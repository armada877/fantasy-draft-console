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rpmello\Downloads\"/>
    </mc:Choice>
  </mc:AlternateContent>
  <bookViews>
    <workbookView xWindow="75" yWindow="465" windowWidth="23475" windowHeight="12600" tabRatio="764"/>
  </bookViews>
  <sheets>
    <sheet name="Intro" sheetId="11" r:id="rId1"/>
    <sheet name="LeagueInfo" sheetId="1" r:id="rId2"/>
    <sheet name="DefaultAuctionValues" sheetId="24" r:id="rId3"/>
    <sheet name="QB" sheetId="2" r:id="rId4"/>
    <sheet name="RB" sheetId="5" r:id="rId5"/>
    <sheet name="WR" sheetId="4" r:id="rId6"/>
    <sheet name="FlexQBWRRBTE" sheetId="32" state="hidden" r:id="rId7"/>
    <sheet name="FlexWRRB" sheetId="31" state="hidden" r:id="rId8"/>
    <sheet name="FlexWRRBTE" sheetId="30" state="hidden" r:id="rId9"/>
    <sheet name="TE" sheetId="3" r:id="rId10"/>
    <sheet name="K" sheetId="18" r:id="rId11"/>
    <sheet name="DEF" sheetId="25" r:id="rId12"/>
    <sheet name="BYEs" sheetId="15" state="hidden" r:id="rId13"/>
    <sheet name="Auction" sheetId="7" r:id="rId14"/>
    <sheet name="Teams" sheetId="29" r:id="rId15"/>
    <sheet name="CheatSheet" sheetId="28" r:id="rId16"/>
  </sheets>
  <definedNames>
    <definedName name="_xlnm._FilterDatabase" localSheetId="13" hidden="1">Auction!$A$12:$O$683</definedName>
    <definedName name="_xlnm._FilterDatabase" localSheetId="8" hidden="1">FlexWRRBTE!$A$1:$I$538</definedName>
    <definedName name="_xlnm._FilterDatabase" localSheetId="4" hidden="1">RB!$A$2:$V$157</definedName>
    <definedName name="_xlnm._FilterDatabase" localSheetId="5" hidden="1">WR!$A$2:$V$231</definedName>
    <definedName name="AllowNegative">LeagueInfo!$H$6</definedName>
    <definedName name="BenchPF">LeagueInfo!$D$17</definedName>
    <definedName name="FlexOn">LeagueInfo!$D$7</definedName>
    <definedName name="FlexType">LeagueInfo!$F$8</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tarters">LeagueInfo!$B$13</definedName>
    <definedName name="StarterPF">LeagueInfo!$D$16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tarters">LeagueInfo!$B$14</definedName>
  </definedNames>
  <calcPr calcId="162913"/>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K397" i="7" l="1"/>
  <c r="K13" i="7"/>
  <c r="K14" i="7"/>
  <c r="K97" i="7"/>
  <c r="K16" i="7"/>
  <c r="K117" i="7"/>
  <c r="K15" i="7"/>
  <c r="K57" i="7"/>
  <c r="K259" i="7"/>
  <c r="K65" i="7"/>
  <c r="K70" i="7"/>
  <c r="K19" i="7"/>
  <c r="K34" i="7"/>
  <c r="K24" i="7"/>
  <c r="K23" i="7"/>
  <c r="K245" i="7"/>
  <c r="K27" i="7"/>
  <c r="K306" i="7"/>
  <c r="K17" i="7"/>
  <c r="K28" i="7"/>
  <c r="K188" i="7"/>
  <c r="K32" i="7"/>
  <c r="K360" i="7"/>
  <c r="K299" i="7"/>
  <c r="K336" i="7"/>
  <c r="K36" i="7"/>
  <c r="K356" i="7"/>
  <c r="K362" i="7"/>
  <c r="K186" i="7"/>
  <c r="K53" i="7"/>
  <c r="K401" i="7"/>
  <c r="K37" i="7"/>
  <c r="K268" i="7"/>
  <c r="K48" i="7"/>
  <c r="K58" i="7"/>
  <c r="K123" i="7"/>
  <c r="K67" i="7"/>
  <c r="K292" i="7"/>
  <c r="K149" i="7"/>
  <c r="K322" i="7"/>
  <c r="K107" i="7"/>
  <c r="K514" i="7"/>
  <c r="K42" i="7"/>
  <c r="K41" i="7"/>
  <c r="K46" i="7"/>
  <c r="K59" i="7"/>
  <c r="K320" i="7"/>
  <c r="K43" i="7"/>
  <c r="K122" i="7"/>
  <c r="K104" i="7"/>
  <c r="K300" i="7"/>
  <c r="K102" i="7"/>
  <c r="K79" i="7"/>
  <c r="K100" i="7"/>
  <c r="K51" i="7"/>
  <c r="K103" i="7"/>
  <c r="K78" i="7"/>
  <c r="K91" i="7"/>
  <c r="K533" i="7"/>
  <c r="K40" i="7"/>
  <c r="K141" i="7"/>
  <c r="K156" i="7"/>
  <c r="K326" i="7"/>
  <c r="K108" i="7"/>
  <c r="K347" i="7"/>
  <c r="K187" i="7"/>
  <c r="K73" i="7"/>
  <c r="K121" i="7"/>
  <c r="K132" i="7"/>
  <c r="K154" i="7"/>
  <c r="K192" i="7"/>
  <c r="K329" i="7"/>
  <c r="K138" i="7"/>
  <c r="K159" i="7"/>
  <c r="K244" i="7"/>
  <c r="K189" i="7"/>
  <c r="K365" i="7"/>
  <c r="K370" i="7"/>
  <c r="K157" i="7"/>
  <c r="K271" i="7"/>
  <c r="K262" i="7"/>
  <c r="K267" i="7"/>
  <c r="K248" i="7"/>
  <c r="K142" i="7"/>
  <c r="K280" i="7"/>
  <c r="K241" i="7"/>
  <c r="K385" i="7"/>
  <c r="K285" i="7"/>
  <c r="K342" i="7"/>
  <c r="K522" i="7"/>
  <c r="K252" i="7"/>
  <c r="K94" i="7"/>
  <c r="K124" i="7"/>
  <c r="K354" i="7"/>
  <c r="K311" i="7"/>
  <c r="K317" i="7"/>
  <c r="K47" i="7"/>
  <c r="K494" i="7"/>
  <c r="K105" i="7"/>
  <c r="K281" i="7"/>
  <c r="K301" i="7"/>
  <c r="K296" i="7"/>
  <c r="K287" i="7"/>
  <c r="K263" i="7"/>
  <c r="K116" i="7"/>
  <c r="K270" i="7"/>
  <c r="K521" i="7"/>
  <c r="K258" i="7"/>
  <c r="K323" i="7"/>
  <c r="K328" i="7"/>
  <c r="K437" i="7"/>
  <c r="K451" i="7"/>
  <c r="K455" i="7"/>
  <c r="K49" i="7"/>
  <c r="K334" i="7"/>
  <c r="K471" i="7"/>
  <c r="K137" i="7"/>
  <c r="K524" i="7"/>
  <c r="K398" i="7"/>
  <c r="K445" i="7"/>
  <c r="K410" i="7"/>
  <c r="K419" i="7"/>
  <c r="K409" i="7"/>
  <c r="K414" i="7"/>
  <c r="K427" i="7"/>
  <c r="K68" i="7"/>
  <c r="K74" i="7"/>
  <c r="K452" i="7"/>
  <c r="K490" i="7"/>
  <c r="K422" i="7"/>
  <c r="K436" i="7"/>
  <c r="K52" i="7"/>
  <c r="K453" i="7"/>
  <c r="K60" i="7"/>
  <c r="K539" i="7"/>
  <c r="K63" i="7"/>
  <c r="K21" i="7"/>
  <c r="K22" i="7"/>
  <c r="K448" i="7"/>
  <c r="K435" i="7"/>
  <c r="K457" i="7"/>
  <c r="K491" i="7"/>
  <c r="K478" i="7"/>
  <c r="K466" i="7"/>
  <c r="K493" i="7"/>
  <c r="K381" i="7"/>
  <c r="K81" i="7"/>
  <c r="K83" i="7"/>
  <c r="K477" i="7"/>
  <c r="K492" i="7"/>
  <c r="K472" i="7"/>
  <c r="K468" i="7"/>
  <c r="K345" i="7"/>
  <c r="K481" i="7"/>
  <c r="K86" i="7"/>
  <c r="K500" i="7"/>
  <c r="K484" i="7"/>
  <c r="K499" i="7"/>
  <c r="K502" i="7"/>
  <c r="K505" i="7"/>
  <c r="K96" i="7"/>
  <c r="K495" i="7"/>
  <c r="K496" i="7"/>
  <c r="K506" i="7"/>
  <c r="K509" i="7"/>
  <c r="K511" i="7"/>
  <c r="K512" i="7"/>
  <c r="K518" i="7"/>
  <c r="K517" i="7"/>
  <c r="K392" i="7"/>
  <c r="K367" i="7"/>
  <c r="K388" i="7"/>
  <c r="K335" i="7"/>
  <c r="K297" i="7"/>
  <c r="K331" i="7"/>
  <c r="K279" i="7"/>
  <c r="K415" i="7"/>
  <c r="K535" i="7"/>
  <c r="K537" i="7"/>
  <c r="K538" i="7"/>
  <c r="K318" i="7"/>
  <c r="K243" i="7"/>
  <c r="K64" i="7"/>
  <c r="K25" i="7"/>
  <c r="K66" i="7"/>
  <c r="K30" i="7"/>
  <c r="K31" i="7"/>
  <c r="K35" i="7"/>
  <c r="K39" i="7"/>
  <c r="K80" i="7"/>
  <c r="K82" i="7"/>
  <c r="K85" i="7"/>
  <c r="K260" i="7"/>
  <c r="K332" i="7"/>
  <c r="K523" i="7"/>
  <c r="K408" i="7"/>
  <c r="K251" i="7"/>
  <c r="K393" i="7"/>
  <c r="K101" i="7"/>
  <c r="K278" i="7"/>
  <c r="K382" i="7"/>
  <c r="K247" i="7"/>
  <c r="K305" i="7"/>
  <c r="K140" i="7"/>
  <c r="K144" i="7"/>
  <c r="K567" i="7"/>
  <c r="K191" i="7"/>
  <c r="K528" i="7"/>
  <c r="K532" i="7"/>
  <c r="K483" i="7"/>
  <c r="K513" i="7"/>
  <c r="K265" i="7"/>
  <c r="K341" i="7"/>
  <c r="K519" i="7"/>
  <c r="K343" i="7"/>
  <c r="K526" i="7"/>
  <c r="K572" i="7"/>
  <c r="K98" i="7"/>
  <c r="K516" i="7"/>
  <c r="K54" i="7"/>
  <c r="K552" i="7"/>
  <c r="K169" i="7"/>
  <c r="K525" i="7"/>
  <c r="K536" i="7"/>
  <c r="K527" i="7"/>
  <c r="K129" i="7"/>
  <c r="K315" i="7"/>
  <c r="K110" i="7"/>
  <c r="K111" i="7"/>
  <c r="K330" i="7"/>
  <c r="K118" i="7"/>
  <c r="K120" i="7"/>
  <c r="K363" i="7"/>
  <c r="K113" i="7"/>
  <c r="K114" i="7"/>
  <c r="K529" i="7"/>
  <c r="K127" i="7"/>
  <c r="K530" i="7"/>
  <c r="K131" i="7"/>
  <c r="K550" i="7"/>
  <c r="K147" i="7"/>
  <c r="K106" i="7"/>
  <c r="K136" i="7"/>
  <c r="K161" i="7"/>
  <c r="K383" i="7"/>
  <c r="K391" i="7"/>
  <c r="K554" i="7"/>
  <c r="K399" i="7"/>
  <c r="K562" i="7"/>
  <c r="K145" i="7"/>
  <c r="K625" i="7"/>
  <c r="K148" i="7"/>
  <c r="K630" i="7"/>
  <c r="K152" i="7"/>
  <c r="K130" i="7"/>
  <c r="K133" i="7"/>
  <c r="K190" i="7"/>
  <c r="K239" i="7"/>
  <c r="K242" i="7"/>
  <c r="K534" i="7"/>
  <c r="K249" i="7"/>
  <c r="K294" i="7"/>
  <c r="K95" i="7"/>
  <c r="K266" i="7"/>
  <c r="K134" i="7"/>
  <c r="K269" i="7"/>
  <c r="K641" i="7"/>
  <c r="K282" i="7"/>
  <c r="K286" i="7"/>
  <c r="K160" i="7"/>
  <c r="K290" i="7"/>
  <c r="K559" i="7"/>
  <c r="K128" i="7"/>
  <c r="K291" i="7"/>
  <c r="K669" i="7"/>
  <c r="K566" i="7"/>
  <c r="K250" i="7"/>
  <c r="K295" i="7"/>
  <c r="K261" i="7"/>
  <c r="K651" i="7"/>
  <c r="K355" i="7"/>
  <c r="K255" i="7"/>
  <c r="K569" i="7"/>
  <c r="K349" i="7"/>
  <c r="K303" i="7"/>
  <c r="K570" i="7"/>
  <c r="K273" i="7"/>
  <c r="K681" i="7"/>
  <c r="K575" i="7"/>
  <c r="K576" i="7"/>
  <c r="K284" i="7"/>
  <c r="K578" i="7"/>
  <c r="K545" i="7"/>
  <c r="K288" i="7"/>
  <c r="K581" i="7"/>
  <c r="K579" i="7"/>
  <c r="K584" i="7"/>
  <c r="K337" i="7"/>
  <c r="K582" i="7"/>
  <c r="K346" i="7"/>
  <c r="K428" i="7"/>
  <c r="K587" i="7"/>
  <c r="K171" i="7"/>
  <c r="K589" i="7"/>
  <c r="K595" i="7"/>
  <c r="K637" i="7"/>
  <c r="K302" i="7"/>
  <c r="K351" i="7"/>
  <c r="K350" i="7"/>
  <c r="K359" i="7"/>
  <c r="K358" i="7"/>
  <c r="K604" i="7"/>
  <c r="K652" i="7"/>
  <c r="K319" i="7"/>
  <c r="K221" i="7"/>
  <c r="K222" i="7"/>
  <c r="K226" i="7"/>
  <c r="K333" i="7"/>
  <c r="K376" i="7"/>
  <c r="K339" i="7"/>
  <c r="K377" i="7"/>
  <c r="K450" i="7"/>
  <c r="K618" i="7"/>
  <c r="K223" i="7"/>
  <c r="K395" i="7"/>
  <c r="K413" i="7"/>
  <c r="K418" i="7"/>
  <c r="K441" i="7"/>
  <c r="K463" i="7"/>
  <c r="K357" i="7"/>
  <c r="K467" i="7"/>
  <c r="K368" i="7"/>
  <c r="K44" i="7"/>
  <c r="K375" i="7"/>
  <c r="K88" i="7"/>
  <c r="K508" i="7"/>
  <c r="K139" i="7"/>
  <c r="K531" i="7"/>
  <c r="K540" i="7"/>
  <c r="K541" i="7"/>
  <c r="K352" i="7"/>
  <c r="K544" i="7"/>
  <c r="K369" i="7"/>
  <c r="K543" i="7"/>
  <c r="K546" i="7"/>
  <c r="K402" i="7"/>
  <c r="K547" i="7"/>
  <c r="K394" i="7"/>
  <c r="K549" i="7"/>
  <c r="K425" i="7"/>
  <c r="K431" i="7"/>
  <c r="K464" i="7"/>
  <c r="K469" i="7"/>
  <c r="K476" i="7"/>
  <c r="K227" i="7"/>
  <c r="K479" i="7"/>
  <c r="K485" i="7"/>
  <c r="K489" i="7"/>
  <c r="K556" i="7"/>
  <c r="K497" i="7"/>
  <c r="K498" i="7"/>
  <c r="K504" i="7"/>
  <c r="K520" i="7"/>
  <c r="K558" i="7"/>
  <c r="K230" i="7"/>
  <c r="K45" i="7"/>
  <c r="K563" i="7"/>
  <c r="K542" i="7"/>
  <c r="K564" i="7"/>
  <c r="K71" i="7"/>
  <c r="K112" i="7"/>
  <c r="K229" i="7"/>
  <c r="K548" i="7"/>
  <c r="K99" i="7"/>
  <c r="K568" i="7"/>
  <c r="K551" i="7"/>
  <c r="K573" i="7"/>
  <c r="K214" i="7"/>
  <c r="K555" i="7"/>
  <c r="K274" i="7"/>
  <c r="K321" i="7"/>
  <c r="K307" i="7"/>
  <c r="K577" i="7"/>
  <c r="K340" i="7"/>
  <c r="K389" i="7"/>
  <c r="K557" i="7"/>
  <c r="K165" i="7"/>
  <c r="K580" i="7"/>
  <c r="K586" i="7"/>
  <c r="K583" i="7"/>
  <c r="K585" i="7"/>
  <c r="K560" i="7"/>
  <c r="K588" i="7"/>
  <c r="K224" i="7"/>
  <c r="K553" i="7"/>
  <c r="K225" i="7"/>
  <c r="K561" i="7"/>
  <c r="K591" i="7"/>
  <c r="K642" i="7"/>
  <c r="K643" i="7"/>
  <c r="K644" i="7"/>
  <c r="K590" i="7"/>
  <c r="K598" i="7"/>
  <c r="K565" i="7"/>
  <c r="K645" i="7"/>
  <c r="K599" i="7"/>
  <c r="K234" i="7"/>
  <c r="K646" i="7"/>
  <c r="K647" i="7"/>
  <c r="K648" i="7"/>
  <c r="K592" i="7"/>
  <c r="K602" i="7"/>
  <c r="K649" i="7"/>
  <c r="K600" i="7"/>
  <c r="K650" i="7"/>
  <c r="K571" i="7"/>
  <c r="K653" i="7"/>
  <c r="K574" i="7"/>
  <c r="K597" i="7"/>
  <c r="K655" i="7"/>
  <c r="K654" i="7"/>
  <c r="K657" i="7"/>
  <c r="K656" i="7"/>
  <c r="K231" i="7"/>
  <c r="K659" i="7"/>
  <c r="K658" i="7"/>
  <c r="K660" i="7"/>
  <c r="K662" i="7"/>
  <c r="K661" i="7"/>
  <c r="K232" i="7"/>
  <c r="K664" i="7"/>
  <c r="K603" i="7"/>
  <c r="K663" i="7"/>
  <c r="K608" i="7"/>
  <c r="K665" i="7"/>
  <c r="K612" i="7"/>
  <c r="K614" i="7"/>
  <c r="K666" i="7"/>
  <c r="K668" i="7"/>
  <c r="K667" i="7"/>
  <c r="K670" i="7"/>
  <c r="K672" i="7"/>
  <c r="K617" i="7"/>
  <c r="K671" i="7"/>
  <c r="K673" i="7"/>
  <c r="K674" i="7"/>
  <c r="K619" i="7"/>
  <c r="K228" i="7"/>
  <c r="K676" i="7"/>
  <c r="K675" i="7"/>
  <c r="K596" i="7"/>
  <c r="K621" i="7"/>
  <c r="K677" i="7"/>
  <c r="K679" i="7"/>
  <c r="K622" i="7"/>
  <c r="K678" i="7"/>
  <c r="K680" i="7"/>
  <c r="K594" i="7"/>
  <c r="K682" i="7"/>
  <c r="K236" i="7"/>
  <c r="K683" i="7"/>
  <c r="K162" i="7"/>
  <c r="K163" i="7"/>
  <c r="K593" i="7"/>
  <c r="K164" i="7"/>
  <c r="K166" i="7"/>
  <c r="K167" i="7"/>
  <c r="K626" i="7"/>
  <c r="K168" i="7"/>
  <c r="K631" i="7"/>
  <c r="K170" i="7"/>
  <c r="K172" i="7"/>
  <c r="K185" i="7"/>
  <c r="K215" i="7"/>
  <c r="K640" i="7"/>
  <c r="K607" i="7"/>
  <c r="K26" i="7"/>
  <c r="K216" i="7"/>
  <c r="K601" i="7"/>
  <c r="K217" i="7"/>
  <c r="K50" i="7"/>
  <c r="K61" i="7"/>
  <c r="K218" i="7"/>
  <c r="K62" i="7"/>
  <c r="K76" i="7"/>
  <c r="K93" i="7"/>
  <c r="K109" i="7"/>
  <c r="K605" i="7"/>
  <c r="K219" i="7"/>
  <c r="K610" i="7"/>
  <c r="K135" i="7"/>
  <c r="K143" i="7"/>
  <c r="K606" i="7"/>
  <c r="K151" i="7"/>
  <c r="K153" i="7"/>
  <c r="K158" i="7"/>
  <c r="K213" i="7"/>
  <c r="K240" i="7"/>
  <c r="K246" i="7"/>
  <c r="K253" i="7"/>
  <c r="K609" i="7"/>
  <c r="K254" i="7"/>
  <c r="K615" i="7"/>
  <c r="K272" i="7"/>
  <c r="K220" i="7"/>
  <c r="K611" i="7"/>
  <c r="K616" i="7"/>
  <c r="K276" i="7"/>
  <c r="K277" i="7"/>
  <c r="K275" i="7"/>
  <c r="K283" i="7"/>
  <c r="K289" i="7"/>
  <c r="K293" i="7"/>
  <c r="K304" i="7"/>
  <c r="K310" i="7"/>
  <c r="K309" i="7"/>
  <c r="K613" i="7"/>
  <c r="K312" i="7"/>
  <c r="K313" i="7"/>
  <c r="K314" i="7"/>
  <c r="K324" i="7"/>
  <c r="K338" i="7"/>
  <c r="K344" i="7"/>
  <c r="K348" i="7"/>
  <c r="K353" i="7"/>
  <c r="K620" i="7"/>
  <c r="K371" i="7"/>
  <c r="K372" i="7"/>
  <c r="K373" i="7"/>
  <c r="K379" i="7"/>
  <c r="K378" i="7"/>
  <c r="K380" i="7"/>
  <c r="K387" i="7"/>
  <c r="K386" i="7"/>
  <c r="K390" i="7"/>
  <c r="K396" i="7"/>
  <c r="K405" i="7"/>
  <c r="K403" i="7"/>
  <c r="K404" i="7"/>
  <c r="K406" i="7"/>
  <c r="K411" i="7"/>
  <c r="K623" i="7"/>
  <c r="K412" i="7"/>
  <c r="K416" i="7"/>
  <c r="K420" i="7"/>
  <c r="K423" i="7"/>
  <c r="K417" i="7"/>
  <c r="K424" i="7"/>
  <c r="K421" i="7"/>
  <c r="K429" i="7"/>
  <c r="K426" i="7"/>
  <c r="K624" i="7"/>
  <c r="K433" i="7"/>
  <c r="K628" i="7"/>
  <c r="K439" i="7"/>
  <c r="K444" i="7"/>
  <c r="K434" i="7"/>
  <c r="K627" i="7"/>
  <c r="K629" i="7"/>
  <c r="K440" i="7"/>
  <c r="K449" i="7"/>
  <c r="K633" i="7"/>
  <c r="K632" i="7"/>
  <c r="K456" i="7"/>
  <c r="K461" i="7"/>
  <c r="K635" i="7"/>
  <c r="K634" i="7"/>
  <c r="K459" i="7"/>
  <c r="K460" i="7"/>
  <c r="K636" i="7"/>
  <c r="K638" i="7"/>
  <c r="K639" i="7"/>
  <c r="K482" i="7"/>
  <c r="K480" i="7"/>
  <c r="K488" i="7"/>
  <c r="K503" i="7"/>
  <c r="K507" i="7"/>
  <c r="K75" i="7"/>
  <c r="K90" i="7"/>
  <c r="K115" i="7"/>
  <c r="K515" i="7"/>
  <c r="K126" i="7"/>
  <c r="K29" i="7"/>
  <c r="K33" i="7"/>
  <c r="K38" i="7"/>
  <c r="K146" i="7"/>
  <c r="K150" i="7"/>
  <c r="K237" i="7"/>
  <c r="K256" i="7"/>
  <c r="K69" i="7"/>
  <c r="K72" i="7"/>
  <c r="K257" i="7"/>
  <c r="K264" i="7"/>
  <c r="K298" i="7"/>
  <c r="K308" i="7"/>
  <c r="K316" i="7"/>
  <c r="K325" i="7"/>
  <c r="K327" i="7"/>
  <c r="K361" i="7"/>
  <c r="K364" i="7"/>
  <c r="K366" i="7"/>
  <c r="K374" i="7"/>
  <c r="K384" i="7"/>
  <c r="K400" i="7"/>
  <c r="K407" i="7"/>
  <c r="K430" i="7"/>
  <c r="K432" i="7"/>
  <c r="K443" i="7"/>
  <c r="K442" i="7"/>
  <c r="K125" i="7"/>
  <c r="K119" i="7"/>
  <c r="K438" i="7"/>
  <c r="K447" i="7"/>
  <c r="K446" i="7"/>
  <c r="K454" i="7"/>
  <c r="K462" i="7"/>
  <c r="K155" i="7"/>
  <c r="K458" i="7"/>
  <c r="K465" i="7"/>
  <c r="K470" i="7"/>
  <c r="K473" i="7"/>
  <c r="K474" i="7"/>
  <c r="K475" i="7"/>
  <c r="K487" i="7"/>
  <c r="K486" i="7"/>
  <c r="K501" i="7"/>
  <c r="K510" i="7"/>
  <c r="K20" i="7"/>
  <c r="K56" i="7"/>
  <c r="K55" i="7"/>
  <c r="K89" i="7"/>
  <c r="K87" i="7"/>
  <c r="K77" i="7"/>
  <c r="K92" i="7"/>
  <c r="K84" i="7"/>
  <c r="K233" i="7"/>
  <c r="K235" i="7"/>
  <c r="K238" i="7"/>
  <c r="K173" i="7"/>
  <c r="K174" i="7"/>
  <c r="K175" i="7"/>
  <c r="K176" i="7"/>
  <c r="K177" i="7"/>
  <c r="K178" i="7"/>
  <c r="K179" i="7"/>
  <c r="K180" i="7"/>
  <c r="K181" i="7"/>
  <c r="K182" i="7"/>
  <c r="K183" i="7"/>
  <c r="K184" i="7"/>
  <c r="K193" i="7"/>
  <c r="K194" i="7"/>
  <c r="K195" i="7"/>
  <c r="K196" i="7"/>
  <c r="K197" i="7"/>
  <c r="K198" i="7"/>
  <c r="K199" i="7"/>
  <c r="K200" i="7"/>
  <c r="K201" i="7"/>
  <c r="K202" i="7"/>
  <c r="K203" i="7"/>
  <c r="K204" i="7"/>
  <c r="K205" i="7"/>
  <c r="K206" i="7"/>
  <c r="K207" i="7"/>
  <c r="K208" i="7"/>
  <c r="K209" i="7"/>
  <c r="K210" i="7"/>
  <c r="K211" i="7"/>
  <c r="K212" i="7"/>
  <c r="K18" i="7"/>
  <c r="I129" i="30" l="1"/>
  <c r="I182" i="30"/>
  <c r="I281" i="30"/>
  <c r="I241" i="30"/>
  <c r="I348" i="30"/>
  <c r="I390" i="30"/>
  <c r="A3" i="18" l="1"/>
  <c r="A5" i="18"/>
  <c r="A24" i="18"/>
  <c r="A6" i="18"/>
  <c r="A4" i="18"/>
  <c r="A11" i="18"/>
  <c r="A8" i="18"/>
  <c r="A9" i="18"/>
  <c r="A12" i="18"/>
  <c r="A13" i="18"/>
  <c r="A20" i="18"/>
  <c r="A10" i="18"/>
  <c r="A7" i="18"/>
  <c r="A21" i="18"/>
  <c r="A23" i="18"/>
  <c r="A16" i="18"/>
  <c r="A17" i="18"/>
  <c r="A14" i="18"/>
  <c r="A26" i="18"/>
  <c r="A25" i="18"/>
  <c r="A30" i="18"/>
  <c r="A18" i="18"/>
  <c r="A27" i="18"/>
  <c r="A15" i="18"/>
  <c r="A19" i="18"/>
  <c r="A31" i="18"/>
  <c r="A29" i="18"/>
  <c r="A22" i="18"/>
  <c r="A28" i="18"/>
  <c r="A32" i="18"/>
  <c r="A33" i="18"/>
  <c r="A34" i="18"/>
  <c r="A35" i="18"/>
  <c r="A36" i="18"/>
  <c r="A37" i="18"/>
  <c r="A2" i="18"/>
  <c r="O4" i="5" l="1"/>
  <c r="O5" i="5"/>
  <c r="O6" i="5"/>
  <c r="O7" i="5"/>
  <c r="O8" i="5"/>
  <c r="O9" i="5"/>
  <c r="O10" i="5"/>
  <c r="O11" i="5"/>
  <c r="O12" i="5"/>
  <c r="O13" i="5"/>
  <c r="O15" i="5"/>
  <c r="O14" i="5"/>
  <c r="O17" i="5"/>
  <c r="O16" i="5"/>
  <c r="O22" i="5"/>
  <c r="O19" i="5"/>
  <c r="O18" i="5"/>
  <c r="O20" i="5"/>
  <c r="O24" i="5"/>
  <c r="O23" i="5"/>
  <c r="O25" i="5"/>
  <c r="O21" i="5"/>
  <c r="O26" i="5"/>
  <c r="O27" i="5"/>
  <c r="O29" i="5"/>
  <c r="O28" i="5"/>
  <c r="O33" i="5"/>
  <c r="O35" i="5"/>
  <c r="O34" i="5"/>
  <c r="O37" i="5"/>
  <c r="O38" i="5"/>
  <c r="O41" i="5"/>
  <c r="O30" i="5"/>
  <c r="O36" i="5"/>
  <c r="O31" i="5"/>
  <c r="O43" i="5"/>
  <c r="O40" i="5"/>
  <c r="O32" i="5"/>
  <c r="O42" i="5"/>
  <c r="O39" i="5"/>
  <c r="O45" i="5"/>
  <c r="O48" i="5"/>
  <c r="O44" i="5"/>
  <c r="O46" i="5"/>
  <c r="O49" i="5"/>
  <c r="O52" i="5"/>
  <c r="O47" i="5"/>
  <c r="O50" i="5"/>
  <c r="O51" i="5"/>
  <c r="O56" i="5"/>
  <c r="O55" i="5"/>
  <c r="O57" i="5"/>
  <c r="O54" i="5"/>
  <c r="O62" i="5"/>
  <c r="O53" i="5"/>
  <c r="O59" i="5"/>
  <c r="O58" i="5"/>
  <c r="O60" i="5"/>
  <c r="O67" i="5"/>
  <c r="O66" i="5"/>
  <c r="O63" i="5"/>
  <c r="O68" i="5"/>
  <c r="O69" i="5"/>
  <c r="O64" i="5"/>
  <c r="O72" i="5"/>
  <c r="O70" i="5"/>
  <c r="O73" i="5"/>
  <c r="O75" i="5"/>
  <c r="O74" i="5"/>
  <c r="O71" i="5"/>
  <c r="O79" i="5"/>
  <c r="O77" i="5"/>
  <c r="O81" i="5"/>
  <c r="O76" i="5"/>
  <c r="O80" i="5"/>
  <c r="O82" i="5"/>
  <c r="O78" i="5"/>
  <c r="O84" i="5"/>
  <c r="O90" i="5"/>
  <c r="O83" i="5"/>
  <c r="O86" i="5"/>
  <c r="O85" i="5"/>
  <c r="O91" i="5"/>
  <c r="O88" i="5"/>
  <c r="O87" i="5"/>
  <c r="O93" i="5"/>
  <c r="O89" i="5"/>
  <c r="O94" i="5"/>
  <c r="O92" i="5"/>
  <c r="O95" i="5"/>
  <c r="O96" i="5"/>
  <c r="O98" i="5"/>
  <c r="O100" i="5"/>
  <c r="O99" i="5"/>
  <c r="O97" i="5"/>
  <c r="O101" i="5"/>
  <c r="O102" i="5"/>
  <c r="O103" i="5"/>
  <c r="O105" i="5"/>
  <c r="O106" i="5"/>
  <c r="O110" i="5"/>
  <c r="O108" i="5"/>
  <c r="O107" i="5"/>
  <c r="O104" i="5"/>
  <c r="O112" i="5"/>
  <c r="O115" i="5"/>
  <c r="O109" i="5"/>
  <c r="O118" i="5"/>
  <c r="O124" i="5"/>
  <c r="O111" i="5"/>
  <c r="O127" i="5"/>
  <c r="O122" i="5"/>
  <c r="O120" i="5"/>
  <c r="O132" i="5"/>
  <c r="O143" i="5"/>
  <c r="O119" i="5"/>
  <c r="O137" i="5"/>
  <c r="O131" i="5"/>
  <c r="O154" i="5"/>
  <c r="O141" i="5"/>
  <c r="O136" i="5"/>
  <c r="O159" i="5"/>
  <c r="O167" i="5"/>
  <c r="O155" i="5"/>
  <c r="O158" i="5"/>
  <c r="O165" i="5"/>
  <c r="O168" i="5"/>
  <c r="O172" i="5"/>
  <c r="O170" i="5"/>
  <c r="O117" i="5"/>
  <c r="O171" i="5"/>
  <c r="O140" i="5"/>
  <c r="O151" i="5"/>
  <c r="O133" i="5"/>
  <c r="O144" i="5"/>
  <c r="O142" i="5"/>
  <c r="O173" i="5"/>
  <c r="O129" i="5"/>
  <c r="O139" i="5"/>
  <c r="O116" i="5"/>
  <c r="O113" i="5"/>
  <c r="O123" i="5"/>
  <c r="O121" i="5"/>
  <c r="O163" i="5"/>
  <c r="O150" i="5"/>
  <c r="O169" i="5"/>
  <c r="O130" i="5"/>
  <c r="O147" i="5"/>
  <c r="O156" i="5"/>
  <c r="O114" i="5"/>
  <c r="O166" i="5"/>
  <c r="O126" i="5"/>
  <c r="O153" i="5"/>
  <c r="O128" i="5"/>
  <c r="O125" i="5"/>
  <c r="O152" i="5"/>
  <c r="O134" i="5"/>
  <c r="O161" i="5"/>
  <c r="O138" i="5"/>
  <c r="O164" i="5"/>
  <c r="O146" i="5"/>
  <c r="O149" i="5"/>
  <c r="O145" i="5"/>
  <c r="O160" i="5"/>
  <c r="O65" i="5"/>
  <c r="O61" i="5"/>
  <c r="O148" i="5"/>
  <c r="O174" i="5"/>
  <c r="O157" i="5"/>
  <c r="O135" i="5"/>
  <c r="O162" i="5"/>
  <c r="O3" i="5"/>
  <c r="O4" i="4"/>
  <c r="J3" i="1"/>
  <c r="O5" i="2" s="1"/>
  <c r="O6" i="2"/>
  <c r="O9" i="2"/>
  <c r="O10" i="2"/>
  <c r="O14" i="2"/>
  <c r="O11" i="2"/>
  <c r="O16" i="2"/>
  <c r="O19" i="2"/>
  <c r="O22" i="2"/>
  <c r="O21" i="2"/>
  <c r="O25" i="2"/>
  <c r="O26" i="2"/>
  <c r="O28" i="2"/>
  <c r="O30" i="2"/>
  <c r="O31" i="2"/>
  <c r="O33" i="2"/>
  <c r="O36" i="2"/>
  <c r="O38" i="2"/>
  <c r="O40" i="2"/>
  <c r="O43" i="2"/>
  <c r="O44" i="2"/>
  <c r="O46" i="2"/>
  <c r="O47" i="2"/>
  <c r="O50" i="2"/>
  <c r="O53" i="2"/>
  <c r="O52" i="2"/>
  <c r="O55" i="2"/>
  <c r="O58" i="2"/>
  <c r="O60" i="2"/>
  <c r="O57" i="2"/>
  <c r="O61" i="2"/>
  <c r="O65" i="2"/>
  <c r="O70" i="2"/>
  <c r="O69" i="2"/>
  <c r="O71" i="2"/>
  <c r="O74" i="2"/>
  <c r="O76" i="2"/>
  <c r="U42" i="2"/>
  <c r="U75" i="2"/>
  <c r="D9" i="28"/>
  <c r="D22" i="28"/>
  <c r="U51" i="2"/>
  <c r="U65" i="2"/>
  <c r="U67" i="2"/>
  <c r="U35" i="2"/>
  <c r="U77" i="2"/>
  <c r="D12" i="28"/>
  <c r="D10" i="28"/>
  <c r="U41" i="2"/>
  <c r="D14" i="28"/>
  <c r="D24" i="28"/>
  <c r="D25" i="28"/>
  <c r="U46" i="2"/>
  <c r="U55" i="2"/>
  <c r="D8" i="28"/>
  <c r="U6" i="2" s="1"/>
  <c r="D18" i="28"/>
  <c r="U53" i="2"/>
  <c r="U43" i="2"/>
  <c r="U60" i="2"/>
  <c r="D32" i="28"/>
  <c r="U74" i="2"/>
  <c r="U39" i="2"/>
  <c r="D30" i="28"/>
  <c r="D20" i="28"/>
  <c r="U59" i="2"/>
  <c r="D19" i="28"/>
  <c r="U72" i="2"/>
  <c r="U44" i="2"/>
  <c r="U40" i="2"/>
  <c r="D28" i="28"/>
  <c r="U68" i="2"/>
  <c r="U66" i="2"/>
  <c r="U71" i="2"/>
  <c r="D17" i="28"/>
  <c r="U38" i="2"/>
  <c r="U56" i="2"/>
  <c r="D26" i="28"/>
  <c r="D13" i="28"/>
  <c r="D16" i="28"/>
  <c r="D21" i="28"/>
  <c r="U47" i="2"/>
  <c r="U45" i="2"/>
  <c r="D15" i="28"/>
  <c r="D5" i="28"/>
  <c r="U50" i="2"/>
  <c r="D23" i="28"/>
  <c r="U73" i="2"/>
  <c r="D34" i="28"/>
  <c r="D27" i="28"/>
  <c r="U76" i="2"/>
  <c r="U61" i="2"/>
  <c r="D11" i="28"/>
  <c r="U34" i="2"/>
  <c r="U48" i="2"/>
  <c r="U64" i="2"/>
  <c r="D29" i="28"/>
  <c r="U49" i="2"/>
  <c r="U63" i="2"/>
  <c r="U52" i="2"/>
  <c r="U69" i="2"/>
  <c r="D6" i="28"/>
  <c r="U4" i="2" s="1"/>
  <c r="D31" i="28"/>
  <c r="D33" i="28"/>
  <c r="U31" i="2" s="1"/>
  <c r="U33" i="2"/>
  <c r="U36" i="2"/>
  <c r="U37" i="2"/>
  <c r="U54" i="2"/>
  <c r="U58" i="2"/>
  <c r="U62" i="2"/>
  <c r="U57" i="2"/>
  <c r="U70" i="2"/>
  <c r="Z3" i="18"/>
  <c r="Z4" i="18"/>
  <c r="Z5" i="18"/>
  <c r="Z6" i="18"/>
  <c r="Z7" i="18"/>
  <c r="Z8" i="18"/>
  <c r="Z9" i="18"/>
  <c r="Z10" i="18"/>
  <c r="Z11" i="18"/>
  <c r="Z12" i="18"/>
  <c r="Z13" i="18"/>
  <c r="Z14" i="18"/>
  <c r="Z15" i="18"/>
  <c r="Z16" i="18"/>
  <c r="Z17" i="18"/>
  <c r="Z18" i="18"/>
  <c r="Z19" i="18"/>
  <c r="Z20" i="18"/>
  <c r="Z21" i="18"/>
  <c r="Z22" i="18"/>
  <c r="Z23" i="18"/>
  <c r="Z24" i="18"/>
  <c r="Z25" i="18"/>
  <c r="Z26" i="18"/>
  <c r="Z27" i="18"/>
  <c r="Z28" i="18"/>
  <c r="Z29" i="18"/>
  <c r="Z30" i="18"/>
  <c r="Z31" i="18"/>
  <c r="Z32" i="18"/>
  <c r="Z33" i="18"/>
  <c r="Z34" i="18"/>
  <c r="Z35" i="18"/>
  <c r="Z36" i="18"/>
  <c r="Z37" i="18"/>
  <c r="Z2" i="18"/>
  <c r="D38" i="28"/>
  <c r="D39" i="28"/>
  <c r="D40" i="28"/>
  <c r="D41" i="28"/>
  <c r="D42" i="28"/>
  <c r="D43" i="28"/>
  <c r="D44" i="28"/>
  <c r="D45" i="28"/>
  <c r="D46" i="28"/>
  <c r="U12" i="3" s="1"/>
  <c r="D47" i="28"/>
  <c r="D48" i="28"/>
  <c r="D49" i="28"/>
  <c r="D50" i="28"/>
  <c r="D51" i="28"/>
  <c r="D52" i="28"/>
  <c r="D53" i="28"/>
  <c r="D54" i="28"/>
  <c r="D55" i="28"/>
  <c r="D56" i="28"/>
  <c r="D57" i="28"/>
  <c r="D58" i="28"/>
  <c r="U24" i="3" s="1"/>
  <c r="D59" i="28"/>
  <c r="D60" i="28"/>
  <c r="D61" i="28"/>
  <c r="D62" i="28"/>
  <c r="D63" i="28"/>
  <c r="D64" i="28"/>
  <c r="U31" i="3"/>
  <c r="U32" i="3"/>
  <c r="U33" i="3"/>
  <c r="U34" i="3"/>
  <c r="U35" i="3"/>
  <c r="U36" i="3"/>
  <c r="U37" i="3"/>
  <c r="U38" i="3"/>
  <c r="U39" i="3"/>
  <c r="U42" i="3"/>
  <c r="U40" i="3"/>
  <c r="U41" i="3"/>
  <c r="U45" i="3"/>
  <c r="U46" i="3"/>
  <c r="U44" i="3"/>
  <c r="U43" i="3"/>
  <c r="U48" i="3"/>
  <c r="U49" i="3"/>
  <c r="U51" i="3"/>
  <c r="U47" i="3"/>
  <c r="U50" i="3"/>
  <c r="U52" i="3"/>
  <c r="U53" i="3"/>
  <c r="U54" i="3"/>
  <c r="U55" i="3"/>
  <c r="U56" i="3"/>
  <c r="U59" i="3"/>
  <c r="U57" i="3"/>
  <c r="U58" i="3"/>
  <c r="U60" i="3"/>
  <c r="U63" i="3"/>
  <c r="U61" i="3"/>
  <c r="U62" i="3"/>
  <c r="U67" i="3"/>
  <c r="U64" i="3"/>
  <c r="U66" i="3"/>
  <c r="U65" i="3"/>
  <c r="U68" i="3"/>
  <c r="U71" i="3"/>
  <c r="U70" i="3"/>
  <c r="U72" i="3"/>
  <c r="U75" i="3"/>
  <c r="U73" i="3"/>
  <c r="U74" i="3"/>
  <c r="U69" i="3"/>
  <c r="U78" i="3"/>
  <c r="U85" i="3"/>
  <c r="U79" i="3"/>
  <c r="U81" i="3"/>
  <c r="U76" i="3"/>
  <c r="U80" i="3"/>
  <c r="U83" i="3"/>
  <c r="U82" i="3"/>
  <c r="U87" i="3"/>
  <c r="U77" i="3"/>
  <c r="U84" i="3"/>
  <c r="U89" i="3"/>
  <c r="U88" i="3"/>
  <c r="U100" i="3"/>
  <c r="U86" i="3"/>
  <c r="U98" i="3"/>
  <c r="U90" i="3"/>
  <c r="U92" i="3"/>
  <c r="U99" i="3"/>
  <c r="U95" i="3"/>
  <c r="U91" i="3"/>
  <c r="U94" i="3"/>
  <c r="U93" i="3"/>
  <c r="U102" i="3"/>
  <c r="U103" i="3"/>
  <c r="U109" i="3"/>
  <c r="U96" i="3"/>
  <c r="U105" i="3"/>
  <c r="U97" i="3"/>
  <c r="U104" i="3"/>
  <c r="U106" i="3"/>
  <c r="U101" i="3"/>
  <c r="U112" i="3"/>
  <c r="U107" i="3"/>
  <c r="U108" i="3"/>
  <c r="U110" i="3"/>
  <c r="U113" i="3"/>
  <c r="U118" i="3"/>
  <c r="U119" i="3"/>
  <c r="U111" i="3"/>
  <c r="U116" i="3"/>
  <c r="U114" i="3"/>
  <c r="U121" i="3"/>
  <c r="U120" i="3"/>
  <c r="U122" i="3"/>
  <c r="U117" i="3"/>
  <c r="U115" i="3"/>
  <c r="U125" i="3"/>
  <c r="U123" i="3"/>
  <c r="U124" i="3"/>
  <c r="U126" i="3"/>
  <c r="U127" i="3"/>
  <c r="U128" i="3"/>
  <c r="U129" i="3"/>
  <c r="V6" i="28"/>
  <c r="U4" i="4" s="1"/>
  <c r="V7" i="28"/>
  <c r="U5" i="4" s="1"/>
  <c r="V8" i="28"/>
  <c r="V9" i="28"/>
  <c r="V10" i="28"/>
  <c r="U8" i="4" s="1"/>
  <c r="V11" i="28"/>
  <c r="V12" i="28"/>
  <c r="V13" i="28"/>
  <c r="V14" i="28"/>
  <c r="V15" i="28"/>
  <c r="V16" i="28"/>
  <c r="V17" i="28"/>
  <c r="V18" i="28"/>
  <c r="V19" i="28"/>
  <c r="V20" i="28"/>
  <c r="V21" i="28"/>
  <c r="V22" i="28"/>
  <c r="V23" i="28"/>
  <c r="V24" i="28"/>
  <c r="V25" i="28"/>
  <c r="V26" i="28"/>
  <c r="V27" i="28"/>
  <c r="V28" i="28"/>
  <c r="V29" i="28"/>
  <c r="V30" i="28"/>
  <c r="V31" i="28"/>
  <c r="V32" i="28"/>
  <c r="V33" i="28"/>
  <c r="V34" i="28"/>
  <c r="V35" i="28"/>
  <c r="V36" i="28"/>
  <c r="V37" i="28"/>
  <c r="V38" i="28"/>
  <c r="V39" i="28"/>
  <c r="V40" i="28"/>
  <c r="V41" i="28"/>
  <c r="V42" i="28"/>
  <c r="V43" i="28"/>
  <c r="V44" i="28"/>
  <c r="V45" i="28"/>
  <c r="V46" i="28"/>
  <c r="V47" i="28"/>
  <c r="V48" i="28"/>
  <c r="V49" i="28"/>
  <c r="V50" i="28"/>
  <c r="V51" i="28"/>
  <c r="V52" i="28"/>
  <c r="V53" i="28"/>
  <c r="V54" i="28"/>
  <c r="V55" i="28"/>
  <c r="V56" i="28"/>
  <c r="V57" i="28"/>
  <c r="V58" i="28"/>
  <c r="V59" i="28"/>
  <c r="V60" i="28"/>
  <c r="V61" i="28"/>
  <c r="V62" i="28"/>
  <c r="V63" i="28"/>
  <c r="V64" i="28"/>
  <c r="U63" i="4"/>
  <c r="U66" i="4"/>
  <c r="U65" i="4"/>
  <c r="U70" i="4"/>
  <c r="U67" i="4"/>
  <c r="U69" i="4"/>
  <c r="U68" i="4"/>
  <c r="U71" i="4"/>
  <c r="U72" i="4"/>
  <c r="U73" i="4"/>
  <c r="U75" i="4"/>
  <c r="U78" i="4"/>
  <c r="U74" i="4"/>
  <c r="U76" i="4"/>
  <c r="U80" i="4"/>
  <c r="U77" i="4"/>
  <c r="U79" i="4"/>
  <c r="U85" i="4"/>
  <c r="U82" i="4"/>
  <c r="U81" i="4"/>
  <c r="U84" i="4"/>
  <c r="U86" i="4"/>
  <c r="U83" i="4"/>
  <c r="U87" i="4"/>
  <c r="U88" i="4"/>
  <c r="U89" i="4"/>
  <c r="U90" i="4"/>
  <c r="U93" i="4"/>
  <c r="U91" i="4"/>
  <c r="U92" i="4"/>
  <c r="U97" i="4"/>
  <c r="U94" i="4"/>
  <c r="U95" i="4"/>
  <c r="U96" i="4"/>
  <c r="U98" i="4"/>
  <c r="U99" i="4"/>
  <c r="U100" i="4"/>
  <c r="U102" i="4"/>
  <c r="U103" i="4"/>
  <c r="U101" i="4"/>
  <c r="U105" i="4"/>
  <c r="U104" i="4"/>
  <c r="U107" i="4"/>
  <c r="U106" i="4"/>
  <c r="U110" i="4"/>
  <c r="U109" i="4"/>
  <c r="U108" i="4"/>
  <c r="U112" i="4"/>
  <c r="U114" i="4"/>
  <c r="U113" i="4"/>
  <c r="U111" i="4"/>
  <c r="U117" i="4"/>
  <c r="U118" i="4"/>
  <c r="U115" i="4"/>
  <c r="U116" i="4"/>
  <c r="U120" i="4"/>
  <c r="U119" i="4"/>
  <c r="U121" i="4"/>
  <c r="U125" i="4"/>
  <c r="U122" i="4"/>
  <c r="U124" i="4"/>
  <c r="U126" i="4"/>
  <c r="U127" i="4"/>
  <c r="U123" i="4"/>
  <c r="U128" i="4"/>
  <c r="U129" i="4"/>
  <c r="U130" i="4"/>
  <c r="U131" i="4"/>
  <c r="U132" i="4"/>
  <c r="U133" i="4"/>
  <c r="U134" i="4"/>
  <c r="U135" i="4"/>
  <c r="U142" i="4"/>
  <c r="U137" i="4"/>
  <c r="U136" i="4"/>
  <c r="U138" i="4"/>
  <c r="U144" i="4"/>
  <c r="U139" i="4"/>
  <c r="U147" i="4"/>
  <c r="U140" i="4"/>
  <c r="U145" i="4"/>
  <c r="U141" i="4"/>
  <c r="U143" i="4"/>
  <c r="U146" i="4"/>
  <c r="U150" i="4"/>
  <c r="U148" i="4"/>
  <c r="U152" i="4"/>
  <c r="U154" i="4"/>
  <c r="U149" i="4"/>
  <c r="U155" i="4"/>
  <c r="U156" i="4"/>
  <c r="U151" i="4"/>
  <c r="U153" i="4"/>
  <c r="U158" i="4"/>
  <c r="U159" i="4"/>
  <c r="U157" i="4"/>
  <c r="U161" i="4"/>
  <c r="U164" i="4"/>
  <c r="U160" i="4"/>
  <c r="U163" i="4"/>
  <c r="U162" i="4"/>
  <c r="U170" i="4"/>
  <c r="U173" i="4"/>
  <c r="U167" i="4"/>
  <c r="U165" i="4"/>
  <c r="U178" i="4"/>
  <c r="U171" i="4"/>
  <c r="U172" i="4"/>
  <c r="U176" i="4"/>
  <c r="U193" i="4"/>
  <c r="U177" i="4"/>
  <c r="U168" i="4"/>
  <c r="U166" i="4"/>
  <c r="U179" i="4"/>
  <c r="U192" i="4"/>
  <c r="U183" i="4"/>
  <c r="U174" i="4"/>
  <c r="U169" i="4"/>
  <c r="U187" i="4"/>
  <c r="U190" i="4"/>
  <c r="U185" i="4"/>
  <c r="U180" i="4"/>
  <c r="U188" i="4"/>
  <c r="U182" i="4"/>
  <c r="U181" i="4"/>
  <c r="U194" i="4"/>
  <c r="U175" i="4"/>
  <c r="U191" i="4"/>
  <c r="U208" i="4"/>
  <c r="U186" i="4"/>
  <c r="U197" i="4"/>
  <c r="U198" i="4"/>
  <c r="U203" i="4"/>
  <c r="U189" i="4"/>
  <c r="U206" i="4"/>
  <c r="U196" i="4"/>
  <c r="U195" i="4"/>
  <c r="U199" i="4"/>
  <c r="U184" i="4"/>
  <c r="U207" i="4"/>
  <c r="U202" i="4"/>
  <c r="U201" i="4"/>
  <c r="U200" i="4"/>
  <c r="U217" i="4"/>
  <c r="U213" i="4"/>
  <c r="U214" i="4"/>
  <c r="U204" i="4"/>
  <c r="U209" i="4"/>
  <c r="U216" i="4"/>
  <c r="U221" i="4"/>
  <c r="U205" i="4"/>
  <c r="U223" i="4"/>
  <c r="U210" i="4"/>
  <c r="U227" i="4"/>
  <c r="U231" i="4"/>
  <c r="U212" i="4"/>
  <c r="U215" i="4"/>
  <c r="U230" i="4"/>
  <c r="U218" i="4"/>
  <c r="U225" i="4"/>
  <c r="U219" i="4"/>
  <c r="U211" i="4"/>
  <c r="U226" i="4"/>
  <c r="U228" i="4"/>
  <c r="U224" i="4"/>
  <c r="U220" i="4"/>
  <c r="U222" i="4"/>
  <c r="U229" i="4"/>
  <c r="D7" i="28"/>
  <c r="U5" i="2" s="1"/>
  <c r="U4" i="5"/>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U128" i="5" s="1"/>
  <c r="M60" i="28"/>
  <c r="M61" i="28"/>
  <c r="M62" i="28"/>
  <c r="M63" i="28"/>
  <c r="U64" i="5" s="1"/>
  <c r="M64" i="28"/>
  <c r="U66" i="5"/>
  <c r="U63" i="5"/>
  <c r="U68" i="5"/>
  <c r="U69" i="5"/>
  <c r="U72" i="5"/>
  <c r="U70" i="5"/>
  <c r="U73" i="5"/>
  <c r="U75" i="5"/>
  <c r="U74" i="5"/>
  <c r="U71" i="5"/>
  <c r="U79" i="5"/>
  <c r="U77" i="5"/>
  <c r="U81" i="5"/>
  <c r="U76" i="5"/>
  <c r="U80" i="5"/>
  <c r="U82" i="5"/>
  <c r="U78" i="5"/>
  <c r="U84" i="5"/>
  <c r="U90" i="5"/>
  <c r="U83" i="5"/>
  <c r="U86" i="5"/>
  <c r="U85" i="5"/>
  <c r="U91" i="5"/>
  <c r="U88" i="5"/>
  <c r="U87" i="5"/>
  <c r="U93" i="5"/>
  <c r="U89" i="5"/>
  <c r="U94" i="5"/>
  <c r="U92" i="5"/>
  <c r="U95" i="5"/>
  <c r="U96" i="5"/>
  <c r="U98" i="5"/>
  <c r="U100" i="5"/>
  <c r="U99" i="5"/>
  <c r="U97" i="5"/>
  <c r="U101" i="5"/>
  <c r="U102" i="5"/>
  <c r="U103" i="5"/>
  <c r="U105" i="5"/>
  <c r="U106" i="5"/>
  <c r="U110" i="5"/>
  <c r="U108" i="5"/>
  <c r="U107" i="5"/>
  <c r="U104" i="5"/>
  <c r="U112" i="5"/>
  <c r="U115" i="5"/>
  <c r="U109" i="5"/>
  <c r="U118" i="5"/>
  <c r="U124" i="5"/>
  <c r="U111" i="5"/>
  <c r="U127" i="5"/>
  <c r="U122" i="5"/>
  <c r="U120" i="5"/>
  <c r="U132" i="5"/>
  <c r="U143" i="5"/>
  <c r="U119" i="5"/>
  <c r="U137" i="5"/>
  <c r="U131" i="5"/>
  <c r="U154" i="5"/>
  <c r="U141" i="5"/>
  <c r="U136" i="5"/>
  <c r="U159" i="5"/>
  <c r="U167" i="5"/>
  <c r="U155" i="5"/>
  <c r="U158" i="5"/>
  <c r="U165" i="5"/>
  <c r="U168" i="5"/>
  <c r="U172" i="5"/>
  <c r="U170" i="5"/>
  <c r="U117" i="5"/>
  <c r="U171" i="5"/>
  <c r="U140" i="5"/>
  <c r="U151" i="5"/>
  <c r="U133" i="5"/>
  <c r="U144" i="5"/>
  <c r="U142" i="5"/>
  <c r="U173" i="5"/>
  <c r="U129" i="5"/>
  <c r="U139" i="5"/>
  <c r="U116" i="5"/>
  <c r="U113" i="5"/>
  <c r="U123" i="5"/>
  <c r="U121" i="5"/>
  <c r="U163" i="5"/>
  <c r="U150" i="5"/>
  <c r="U169" i="5"/>
  <c r="U130" i="5"/>
  <c r="U147" i="5"/>
  <c r="U156" i="5"/>
  <c r="U114" i="5"/>
  <c r="U166" i="5"/>
  <c r="U126" i="5"/>
  <c r="U153" i="5"/>
  <c r="U125" i="5"/>
  <c r="U152" i="5"/>
  <c r="U134" i="5"/>
  <c r="U161" i="5"/>
  <c r="U138" i="5"/>
  <c r="U164" i="5"/>
  <c r="U146" i="5"/>
  <c r="U149" i="5"/>
  <c r="U145" i="5"/>
  <c r="U160" i="5"/>
  <c r="U65" i="5"/>
  <c r="U148" i="5"/>
  <c r="U174" i="5"/>
  <c r="U157" i="5"/>
  <c r="U135" i="5"/>
  <c r="U162" i="5"/>
  <c r="B7" i="1"/>
  <c r="S6" i="18" s="1"/>
  <c r="T6" i="18" s="1"/>
  <c r="B8" i="1"/>
  <c r="S10" i="25" s="1"/>
  <c r="T10" i="25" s="1"/>
  <c r="S30" i="25"/>
  <c r="T30" i="25" s="1"/>
  <c r="S7" i="25"/>
  <c r="T7" i="25" s="1"/>
  <c r="S8" i="18"/>
  <c r="T8" i="18" s="1"/>
  <c r="S25" i="18"/>
  <c r="T25" i="18" s="1"/>
  <c r="S26" i="18"/>
  <c r="T26" i="18" s="1"/>
  <c r="S17" i="25"/>
  <c r="T17" i="25" s="1"/>
  <c r="S30" i="18"/>
  <c r="T30" i="18" s="1"/>
  <c r="S18" i="18"/>
  <c r="T18" i="18" s="1"/>
  <c r="G300" i="7"/>
  <c r="G185" i="7"/>
  <c r="G168" i="7"/>
  <c r="G313" i="7"/>
  <c r="G416" i="7"/>
  <c r="G279" i="7"/>
  <c r="G587" i="7"/>
  <c r="G608" i="7"/>
  <c r="G269" i="7"/>
  <c r="G621" i="7"/>
  <c r="G572" i="7"/>
  <c r="G101" i="7"/>
  <c r="G316" i="7"/>
  <c r="G522" i="7"/>
  <c r="G357" i="7"/>
  <c r="G391" i="7"/>
  <c r="G49" i="7"/>
  <c r="I353" i="30"/>
  <c r="I453" i="30"/>
  <c r="I480" i="30"/>
  <c r="I35" i="30"/>
  <c r="I367" i="30"/>
  <c r="I138" i="30"/>
  <c r="I427" i="30"/>
  <c r="I168" i="30"/>
  <c r="I228" i="30"/>
  <c r="I36" i="30"/>
  <c r="I475" i="30"/>
  <c r="I240" i="30"/>
  <c r="I349" i="30"/>
  <c r="I498" i="30"/>
  <c r="I266" i="30"/>
  <c r="I308" i="30"/>
  <c r="I481" i="30"/>
  <c r="I104" i="30"/>
  <c r="I433" i="30"/>
  <c r="I128" i="30"/>
  <c r="I185" i="30"/>
  <c r="D77" i="2"/>
  <c r="G224" i="7"/>
  <c r="G446" i="7"/>
  <c r="G285" i="7"/>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8" i="18"/>
  <c r="U7" i="18"/>
  <c r="U6" i="18"/>
  <c r="U5" i="18"/>
  <c r="U4" i="18"/>
  <c r="U3" i="18"/>
  <c r="U2" i="18"/>
  <c r="U33" i="25"/>
  <c r="U32" i="25"/>
  <c r="U31" i="25"/>
  <c r="U30" i="25"/>
  <c r="U29" i="25"/>
  <c r="U28" i="25"/>
  <c r="U27" i="25"/>
  <c r="U26" i="25"/>
  <c r="U25" i="25"/>
  <c r="U24" i="25"/>
  <c r="U23" i="25"/>
  <c r="U22" i="25"/>
  <c r="U21" i="25"/>
  <c r="U20" i="25"/>
  <c r="U19" i="25"/>
  <c r="U18" i="25"/>
  <c r="U17" i="25"/>
  <c r="U16" i="25"/>
  <c r="U15" i="25"/>
  <c r="U14" i="25"/>
  <c r="U13" i="25"/>
  <c r="U12" i="25"/>
  <c r="U11" i="25"/>
  <c r="U10" i="25"/>
  <c r="U9" i="25"/>
  <c r="U8" i="25"/>
  <c r="U7" i="25"/>
  <c r="U6" i="25"/>
  <c r="U5" i="25"/>
  <c r="U4" i="25"/>
  <c r="U3" i="25"/>
  <c r="U2" i="25"/>
  <c r="G256" i="7"/>
  <c r="G107" i="7"/>
  <c r="G623" i="7"/>
  <c r="G658" i="7"/>
  <c r="G235" i="7"/>
  <c r="G523" i="7"/>
  <c r="G196" i="7"/>
  <c r="G570" i="7"/>
  <c r="G595" i="7"/>
  <c r="G538" i="7"/>
  <c r="G491" i="7"/>
  <c r="I412" i="30"/>
  <c r="I464" i="30"/>
  <c r="I196" i="30"/>
  <c r="I296" i="30"/>
  <c r="I422" i="30"/>
  <c r="I25" i="30"/>
  <c r="I153" i="30"/>
  <c r="I538" i="32"/>
  <c r="I295" i="32"/>
  <c r="I321" i="32"/>
  <c r="I314" i="32"/>
  <c r="I144" i="32"/>
  <c r="I145" i="32"/>
  <c r="I465" i="32"/>
  <c r="I234" i="32"/>
  <c r="D37" i="28"/>
  <c r="U3" i="3" s="1"/>
  <c r="O3" i="4"/>
  <c r="O5" i="4"/>
  <c r="O7" i="4"/>
  <c r="O8" i="4"/>
  <c r="O6" i="4"/>
  <c r="O10" i="4"/>
  <c r="O9" i="4"/>
  <c r="O11" i="4"/>
  <c r="O12" i="4"/>
  <c r="O17" i="4"/>
  <c r="O15" i="4"/>
  <c r="O13" i="4"/>
  <c r="O21" i="4"/>
  <c r="O16" i="4"/>
  <c r="O14" i="4"/>
  <c r="O18" i="4"/>
  <c r="O24" i="4"/>
  <c r="O26" i="4"/>
  <c r="O29" i="4"/>
  <c r="O19" i="4"/>
  <c r="O20" i="4"/>
  <c r="O25" i="4"/>
  <c r="O22" i="4"/>
  <c r="O23" i="4"/>
  <c r="O31" i="4"/>
  <c r="O27" i="4"/>
  <c r="O34" i="4"/>
  <c r="O28" i="4"/>
  <c r="O36" i="4"/>
  <c r="O30" i="4"/>
  <c r="O32" i="4"/>
  <c r="O33" i="4"/>
  <c r="O35" i="4"/>
  <c r="O42" i="4"/>
  <c r="O37" i="4"/>
  <c r="O43" i="4"/>
  <c r="O38" i="4"/>
  <c r="O45" i="4"/>
  <c r="O40" i="4"/>
  <c r="O41" i="4"/>
  <c r="O39" i="4"/>
  <c r="O48" i="4"/>
  <c r="O44" i="4"/>
  <c r="O50" i="4"/>
  <c r="O47" i="4"/>
  <c r="O46" i="4"/>
  <c r="O49" i="4"/>
  <c r="O55" i="4"/>
  <c r="O53" i="4"/>
  <c r="O51" i="4"/>
  <c r="O52" i="4"/>
  <c r="O56" i="4"/>
  <c r="O54" i="4"/>
  <c r="O57" i="4"/>
  <c r="O59" i="4"/>
  <c r="O62" i="4"/>
  <c r="O58" i="4"/>
  <c r="O63" i="4"/>
  <c r="O64" i="4"/>
  <c r="O60" i="4"/>
  <c r="O61" i="4"/>
  <c r="O65" i="4"/>
  <c r="O66" i="4"/>
  <c r="O70" i="4"/>
  <c r="O69" i="4"/>
  <c r="O68" i="4"/>
  <c r="O67" i="4"/>
  <c r="O78" i="4"/>
  <c r="O71" i="4"/>
  <c r="O72" i="4"/>
  <c r="O73" i="4"/>
  <c r="O80" i="4"/>
  <c r="O77" i="4"/>
  <c r="O79" i="4"/>
  <c r="O75" i="4"/>
  <c r="O85" i="4"/>
  <c r="O74" i="4"/>
  <c r="O87" i="4"/>
  <c r="O76" i="4"/>
  <c r="O81" i="4"/>
  <c r="O84" i="4"/>
  <c r="O86" i="4"/>
  <c r="O83" i="4"/>
  <c r="O90" i="4"/>
  <c r="O88" i="4"/>
  <c r="O82" i="4"/>
  <c r="O89" i="4"/>
  <c r="O93" i="4"/>
  <c r="O91" i="4"/>
  <c r="O95" i="4"/>
  <c r="O103" i="4"/>
  <c r="O92" i="4"/>
  <c r="O96" i="4"/>
  <c r="O97" i="4"/>
  <c r="O99" i="4"/>
  <c r="O98" i="4"/>
  <c r="O102" i="4"/>
  <c r="O94" i="4"/>
  <c r="O100" i="4"/>
  <c r="O101" i="4"/>
  <c r="O104" i="4"/>
  <c r="O110" i="4"/>
  <c r="O105" i="4"/>
  <c r="O107" i="4"/>
  <c r="O108" i="4"/>
  <c r="O112" i="4"/>
  <c r="O106" i="4"/>
  <c r="O109" i="4"/>
  <c r="O113" i="4"/>
  <c r="O114" i="4"/>
  <c r="O120" i="4"/>
  <c r="O111" i="4"/>
  <c r="O117" i="4"/>
  <c r="O119" i="4"/>
  <c r="O121" i="4"/>
  <c r="O118" i="4"/>
  <c r="O116" i="4"/>
  <c r="O115" i="4"/>
  <c r="O125" i="4"/>
  <c r="O123" i="4"/>
  <c r="O127" i="4"/>
  <c r="O122" i="4"/>
  <c r="O126" i="4"/>
  <c r="O124" i="4"/>
  <c r="O131" i="4"/>
  <c r="O128" i="4"/>
  <c r="O129" i="4"/>
  <c r="O134" i="4"/>
  <c r="O132" i="4"/>
  <c r="O130" i="4"/>
  <c r="O133" i="4"/>
  <c r="O139" i="4"/>
  <c r="O142" i="4"/>
  <c r="O145" i="4"/>
  <c r="O135" i="4"/>
  <c r="O147" i="4"/>
  <c r="O137" i="4"/>
  <c r="O138" i="4"/>
  <c r="O144" i="4"/>
  <c r="O136" i="4"/>
  <c r="O140" i="4"/>
  <c r="O141" i="4"/>
  <c r="O149" i="4"/>
  <c r="O148" i="4"/>
  <c r="O143" i="4"/>
  <c r="O154" i="4"/>
  <c r="O150" i="4"/>
  <c r="O146" i="4"/>
  <c r="O156" i="4"/>
  <c r="O152" i="4"/>
  <c r="O155" i="4"/>
  <c r="O151" i="4"/>
  <c r="O153" i="4"/>
  <c r="O157" i="4"/>
  <c r="O161" i="4"/>
  <c r="O158" i="4"/>
  <c r="O163" i="4"/>
  <c r="O159" i="4"/>
  <c r="O164" i="4"/>
  <c r="O170" i="4"/>
  <c r="O167" i="4"/>
  <c r="O162" i="4"/>
  <c r="O160" i="4"/>
  <c r="O178" i="4"/>
  <c r="O177" i="4"/>
  <c r="O165" i="4"/>
  <c r="O171" i="4"/>
  <c r="O172" i="4"/>
  <c r="O193" i="4"/>
  <c r="O176" i="4"/>
  <c r="O173" i="4"/>
  <c r="O166" i="4"/>
  <c r="O169" i="4"/>
  <c r="O192" i="4"/>
  <c r="O183" i="4"/>
  <c r="O174" i="4"/>
  <c r="O179" i="4"/>
  <c r="O168" i="4"/>
  <c r="O185" i="4"/>
  <c r="O187" i="4"/>
  <c r="O182" i="4"/>
  <c r="O190" i="4"/>
  <c r="O202" i="4"/>
  <c r="O188" i="4"/>
  <c r="O186" i="4"/>
  <c r="O181" i="4"/>
  <c r="O175" i="4"/>
  <c r="O197" i="4"/>
  <c r="O194" i="4"/>
  <c r="O180" i="4"/>
  <c r="O208" i="4"/>
  <c r="O206" i="4"/>
  <c r="O191" i="4"/>
  <c r="O189" i="4"/>
  <c r="O195" i="4"/>
  <c r="O198" i="4"/>
  <c r="O184" i="4"/>
  <c r="O196" i="4"/>
  <c r="O203" i="4"/>
  <c r="O199" i="4"/>
  <c r="O207" i="4"/>
  <c r="O201" i="4"/>
  <c r="O217" i="4"/>
  <c r="O204" i="4"/>
  <c r="O209" i="4"/>
  <c r="O216" i="4"/>
  <c r="O214" i="4"/>
  <c r="O223" i="4"/>
  <c r="O200" i="4"/>
  <c r="O213" i="4"/>
  <c r="O227" i="4"/>
  <c r="O221" i="4"/>
  <c r="O210" i="4"/>
  <c r="O212" i="4"/>
  <c r="O218" i="4"/>
  <c r="O205" i="4"/>
  <c r="O225" i="4"/>
  <c r="O230" i="4"/>
  <c r="O215" i="4"/>
  <c r="O226" i="4"/>
  <c r="O219" i="4"/>
  <c r="O231" i="4"/>
  <c r="O211" i="4"/>
  <c r="O228" i="4"/>
  <c r="O224" i="4"/>
  <c r="O220" i="4"/>
  <c r="O222" i="4"/>
  <c r="O229" i="4"/>
  <c r="O3" i="3"/>
  <c r="O5" i="3"/>
  <c r="O4" i="3"/>
  <c r="O7" i="3"/>
  <c r="O6" i="3"/>
  <c r="O10" i="3"/>
  <c r="O8" i="3"/>
  <c r="O9" i="3"/>
  <c r="O12" i="3"/>
  <c r="O11" i="3"/>
  <c r="O13" i="3"/>
  <c r="O14" i="3"/>
  <c r="O17" i="3"/>
  <c r="O15" i="3"/>
  <c r="O16" i="3"/>
  <c r="O18" i="3"/>
  <c r="O20" i="3"/>
  <c r="O19" i="3"/>
  <c r="O23" i="3"/>
  <c r="O21" i="3"/>
  <c r="O22" i="3"/>
  <c r="O24" i="3"/>
  <c r="O25" i="3"/>
  <c r="O28" i="3"/>
  <c r="O26" i="3"/>
  <c r="O27" i="3"/>
  <c r="O30" i="3"/>
  <c r="O31" i="3"/>
  <c r="O29" i="3"/>
  <c r="O32" i="3"/>
  <c r="O33" i="3"/>
  <c r="O36" i="3"/>
  <c r="O34" i="3"/>
  <c r="O37" i="3"/>
  <c r="O39" i="3"/>
  <c r="O35" i="3"/>
  <c r="O38" i="3"/>
  <c r="O42" i="3"/>
  <c r="O40" i="3"/>
  <c r="O46" i="3"/>
  <c r="O43" i="3"/>
  <c r="O44" i="3"/>
  <c r="O41" i="3"/>
  <c r="O51" i="3"/>
  <c r="O48" i="3"/>
  <c r="O49" i="3"/>
  <c r="O45" i="3"/>
  <c r="O47" i="3"/>
  <c r="O52" i="3"/>
  <c r="O50" i="3"/>
  <c r="O54" i="3"/>
  <c r="O55" i="3"/>
  <c r="O63" i="3"/>
  <c r="O59" i="3"/>
  <c r="O53" i="3"/>
  <c r="O62" i="3"/>
  <c r="O56" i="3"/>
  <c r="O58" i="3"/>
  <c r="O67" i="3"/>
  <c r="O60" i="3"/>
  <c r="O57" i="3"/>
  <c r="O61" i="3"/>
  <c r="O64" i="3"/>
  <c r="O66" i="3"/>
  <c r="O65" i="3"/>
  <c r="O68" i="3"/>
  <c r="O72" i="3"/>
  <c r="O71" i="3"/>
  <c r="O73" i="3"/>
  <c r="O75" i="3"/>
  <c r="O70" i="3"/>
  <c r="O69" i="3"/>
  <c r="O85" i="3"/>
  <c r="O78" i="3"/>
  <c r="O79" i="3"/>
  <c r="O74" i="3"/>
  <c r="O76" i="3"/>
  <c r="O83" i="3"/>
  <c r="O87" i="3"/>
  <c r="O81" i="3"/>
  <c r="O80" i="3"/>
  <c r="O82" i="3"/>
  <c r="O77" i="3"/>
  <c r="O88" i="3"/>
  <c r="O84" i="3"/>
  <c r="O86" i="3"/>
  <c r="O90" i="3"/>
  <c r="O98" i="3"/>
  <c r="O89" i="3"/>
  <c r="O93" i="3"/>
  <c r="O100" i="3"/>
  <c r="O99" i="3"/>
  <c r="O95" i="3"/>
  <c r="O92" i="3"/>
  <c r="O91" i="3"/>
  <c r="O102" i="3"/>
  <c r="O94" i="3"/>
  <c r="O103" i="3"/>
  <c r="O97" i="3"/>
  <c r="O109" i="3"/>
  <c r="O96" i="3"/>
  <c r="O106" i="3"/>
  <c r="O105" i="3"/>
  <c r="O104" i="3"/>
  <c r="O108" i="3"/>
  <c r="O110" i="3"/>
  <c r="O101" i="3"/>
  <c r="O113" i="3"/>
  <c r="O112" i="3"/>
  <c r="O107" i="3"/>
  <c r="O119" i="3"/>
  <c r="O118" i="3"/>
  <c r="O116" i="3"/>
  <c r="O111" i="3"/>
  <c r="O120" i="3"/>
  <c r="O114" i="3"/>
  <c r="O115" i="3"/>
  <c r="O122" i="3"/>
  <c r="O117" i="3"/>
  <c r="O123" i="3"/>
  <c r="O121" i="3"/>
  <c r="O125" i="3"/>
  <c r="O124" i="3"/>
  <c r="O126" i="3"/>
  <c r="O127" i="3"/>
  <c r="O128" i="3"/>
  <c r="O129" i="3"/>
  <c r="D15" i="1"/>
  <c r="G618" i="7"/>
  <c r="G549" i="7"/>
  <c r="G202" i="7"/>
  <c r="G45" i="7"/>
  <c r="G278" i="7"/>
  <c r="G334" i="7"/>
  <c r="G73" i="7"/>
  <c r="G484" i="7"/>
  <c r="G377" i="7"/>
  <c r="G444" i="7"/>
  <c r="G249" i="7"/>
  <c r="G542" i="7"/>
  <c r="G532" i="7"/>
  <c r="G631" i="7"/>
  <c r="G534" i="7"/>
  <c r="G275" i="7"/>
  <c r="G609" i="7"/>
  <c r="G611" i="7"/>
  <c r="G110" i="7"/>
  <c r="G387" i="7"/>
  <c r="G580" i="7"/>
  <c r="G674" i="7"/>
  <c r="G121" i="7"/>
  <c r="G242" i="7"/>
  <c r="G656" i="7"/>
  <c r="G462" i="7"/>
  <c r="G575" i="7"/>
  <c r="G403" i="7"/>
  <c r="G151" i="7"/>
  <c r="G554" i="7"/>
  <c r="G573" i="7"/>
  <c r="G67" i="7"/>
  <c r="G111" i="7"/>
  <c r="G390" i="7"/>
  <c r="G435" i="7"/>
  <c r="G437" i="7"/>
  <c r="G615" i="7"/>
  <c r="G165" i="7"/>
  <c r="G83" i="7"/>
  <c r="G91" i="7"/>
  <c r="G20" i="7"/>
  <c r="G148" i="7"/>
  <c r="G519" i="7"/>
  <c r="G592" i="7"/>
  <c r="G507" i="7"/>
  <c r="G26" i="7"/>
  <c r="G420" i="7"/>
  <c r="G131" i="7"/>
  <c r="G271" i="7"/>
  <c r="G177" i="7"/>
  <c r="G239" i="7"/>
  <c r="G662" i="7"/>
  <c r="G398" i="7"/>
  <c r="G353" i="7"/>
  <c r="G561" i="7"/>
  <c r="G209" i="7"/>
  <c r="G647" i="7"/>
  <c r="G392" i="7"/>
  <c r="G545" i="7"/>
  <c r="G133" i="7"/>
  <c r="G321" i="7"/>
  <c r="G50" i="7"/>
  <c r="G176" i="7"/>
  <c r="G459" i="7"/>
  <c r="G163" i="7"/>
  <c r="G330" i="7"/>
  <c r="G252" i="7"/>
  <c r="G442" i="7"/>
  <c r="G678" i="7"/>
  <c r="G375" i="7"/>
  <c r="G429" i="7"/>
  <c r="G201" i="7"/>
  <c r="G365" i="7"/>
  <c r="G569" i="7"/>
  <c r="G657" i="7"/>
  <c r="G676" i="7"/>
  <c r="G671" i="7"/>
  <c r="G103" i="7"/>
  <c r="G296" i="7"/>
  <c r="G638" i="7"/>
  <c r="G473" i="7"/>
  <c r="G238" i="7"/>
  <c r="G187" i="7"/>
  <c r="G69" i="7"/>
  <c r="G555" i="7"/>
  <c r="G86" i="7"/>
  <c r="G474" i="7"/>
  <c r="G263" i="7"/>
  <c r="G531" i="7"/>
  <c r="G127" i="7"/>
  <c r="G31" i="7"/>
  <c r="G457" i="7"/>
  <c r="G600" i="7"/>
  <c r="G312" i="7"/>
  <c r="G607" i="7"/>
  <c r="G297" i="7"/>
  <c r="G598" i="7"/>
  <c r="G395" i="7"/>
  <c r="G72" i="7"/>
  <c r="G468" i="7"/>
  <c r="G220" i="7"/>
  <c r="G428" i="7"/>
  <c r="G204" i="7"/>
  <c r="G211" i="7"/>
  <c r="G104" i="7"/>
  <c r="G487" i="7"/>
  <c r="G141" i="7"/>
  <c r="G190" i="7"/>
  <c r="G61" i="7"/>
  <c r="G183" i="7"/>
  <c r="G286" i="7"/>
  <c r="G318" i="7"/>
  <c r="G586" i="7"/>
  <c r="G304" i="7"/>
  <c r="G603" i="7"/>
  <c r="G200" i="7"/>
  <c r="G622" i="7"/>
  <c r="G675" i="7"/>
  <c r="G610" i="7"/>
  <c r="G424" i="7"/>
  <c r="G471" i="7"/>
  <c r="G617" i="7"/>
  <c r="G367" i="7"/>
  <c r="G322" i="7"/>
  <c r="G371" i="7"/>
  <c r="G406" i="7"/>
  <c r="G246" i="7"/>
  <c r="G422" i="7"/>
  <c r="G389" i="7"/>
  <c r="G179" i="7"/>
  <c r="G203" i="7"/>
  <c r="G145" i="7"/>
  <c r="G540" i="7"/>
  <c r="G372" i="7"/>
  <c r="G120" i="7"/>
  <c r="G430" i="7"/>
  <c r="G378" i="7"/>
  <c r="G302" i="7"/>
  <c r="G645" i="7"/>
  <c r="G157" i="7"/>
  <c r="G335" i="7"/>
  <c r="G578" i="7"/>
  <c r="G388" i="7"/>
  <c r="G153" i="7"/>
  <c r="G139" i="7"/>
  <c r="G513" i="7"/>
  <c r="G140" i="7"/>
  <c r="G449" i="7"/>
  <c r="G130" i="7"/>
  <c r="G642" i="7"/>
  <c r="G164" i="7"/>
  <c r="G488" i="7"/>
  <c r="G467" i="7"/>
  <c r="G253" i="7"/>
  <c r="G369" i="7"/>
  <c r="G47" i="7"/>
  <c r="G664" i="7"/>
  <c r="G308" i="7"/>
  <c r="G568" i="7"/>
  <c r="G172" i="7"/>
  <c r="G282" i="7"/>
  <c r="G385" i="7"/>
  <c r="G401" i="7"/>
  <c r="G293" i="7"/>
  <c r="G539" i="7"/>
  <c r="G80" i="7"/>
  <c r="G559" i="7"/>
  <c r="G512" i="7"/>
  <c r="G633" i="7"/>
  <c r="G583" i="7"/>
  <c r="G116" i="7"/>
  <c r="G99" i="7"/>
  <c r="G126" i="7"/>
  <c r="G376" i="7"/>
  <c r="G336" i="7"/>
  <c r="G626" i="7"/>
  <c r="G599" i="7"/>
  <c r="G448" i="7"/>
  <c r="G257" i="7"/>
  <c r="G680" i="7"/>
  <c r="G419" i="7"/>
  <c r="G184" i="7"/>
  <c r="G345" i="7"/>
  <c r="G117" i="7"/>
  <c r="G243" i="7"/>
  <c r="G175" i="7"/>
  <c r="G366" i="7"/>
  <c r="G563" i="7"/>
  <c r="G404" i="7"/>
  <c r="G115" i="7"/>
  <c r="G112" i="7"/>
  <c r="G218" i="7"/>
  <c r="G574" i="7"/>
  <c r="G464" i="7"/>
  <c r="G619" i="7"/>
  <c r="G567" i="7"/>
  <c r="G228" i="7"/>
  <c r="G241" i="7"/>
  <c r="G560" i="7"/>
  <c r="G295" i="7"/>
  <c r="G652" i="7"/>
  <c r="G41" i="7"/>
  <c r="G350" i="7"/>
  <c r="G527" i="7"/>
  <c r="G466" i="7"/>
  <c r="G317" i="7"/>
  <c r="G58" i="7"/>
  <c r="G35" i="7"/>
  <c r="G630" i="7"/>
  <c r="G358" i="7"/>
  <c r="G673" i="7"/>
  <c r="G290" i="7"/>
  <c r="G29" i="7"/>
  <c r="G143" i="7"/>
  <c r="G455" i="7"/>
  <c r="G66" i="7"/>
  <c r="G21" i="7"/>
  <c r="G477" i="7"/>
  <c r="G641" i="7"/>
  <c r="G670" i="7"/>
  <c r="G250" i="7"/>
  <c r="G251" i="7"/>
  <c r="G558" i="7"/>
  <c r="G503" i="7"/>
  <c r="G105" i="7"/>
  <c r="G604" i="7"/>
  <c r="G364" i="7"/>
  <c r="G349" i="7"/>
  <c r="G482" i="7"/>
  <c r="G289" i="7"/>
  <c r="G122" i="7"/>
  <c r="G439" i="7"/>
  <c r="G481" i="7"/>
  <c r="G497" i="7"/>
  <c r="G225" i="7"/>
  <c r="G307" i="7"/>
  <c r="G89" i="7"/>
  <c r="G654" i="7"/>
  <c r="G343" i="7"/>
  <c r="G100" i="7"/>
  <c r="G84" i="7"/>
  <c r="G602" i="7"/>
  <c r="G421" i="7"/>
  <c r="G265" i="7"/>
  <c r="G636" i="7"/>
  <c r="G356" i="7"/>
  <c r="G525" i="7"/>
  <c r="G215" i="7"/>
  <c r="G82" i="7"/>
  <c r="G166" i="7"/>
  <c r="G262" i="7"/>
  <c r="G189" i="7"/>
  <c r="G162" i="7"/>
  <c r="G331" i="7"/>
  <c r="G394" i="7"/>
  <c r="G640" i="7"/>
  <c r="G438" i="7"/>
  <c r="G581" i="7"/>
  <c r="G659" i="7"/>
  <c r="G596" i="7"/>
  <c r="G270" i="7"/>
  <c r="G98" i="7"/>
  <c r="G210" i="7"/>
  <c r="G92" i="7"/>
  <c r="G93" i="7"/>
  <c r="G267" i="7"/>
  <c r="G668" i="7"/>
  <c r="G413" i="7"/>
  <c r="G402" i="7"/>
  <c r="G264" i="7"/>
  <c r="G533" i="7"/>
  <c r="G591" i="7"/>
  <c r="G149" i="7"/>
  <c r="G217" i="7"/>
  <c r="G593" i="7"/>
  <c r="G344" i="7"/>
  <c r="G96" i="7"/>
  <c r="G649" i="7"/>
  <c r="G553" i="7"/>
  <c r="G194" i="7"/>
  <c r="G502" i="7"/>
  <c r="G214" i="7"/>
  <c r="G447" i="7"/>
  <c r="G268" i="7"/>
  <c r="G370" i="7"/>
  <c r="G329" i="7"/>
  <c r="G287" i="7"/>
  <c r="G414" i="7"/>
  <c r="G39" i="7"/>
  <c r="G500" i="7"/>
  <c r="G180" i="7"/>
  <c r="G81" i="7"/>
  <c r="G259" i="7"/>
  <c r="G493" i="7"/>
  <c r="G216" i="7"/>
  <c r="G639" i="7"/>
  <c r="G213" i="7"/>
  <c r="G432" i="7"/>
  <c r="G37" i="7"/>
  <c r="G384" i="7"/>
  <c r="G479" i="7"/>
  <c r="G298" i="7"/>
  <c r="G579" i="7"/>
  <c r="G288" i="7"/>
  <c r="G306" i="7"/>
  <c r="G613" i="7"/>
  <c r="G450" i="7"/>
  <c r="G281" i="7"/>
  <c r="G207" i="7"/>
  <c r="G197" i="7"/>
  <c r="G339" i="7"/>
  <c r="G272" i="7"/>
  <c r="G514" i="7"/>
  <c r="G386" i="7"/>
  <c r="G309" i="7"/>
  <c r="G129" i="7"/>
  <c r="G74" i="7"/>
  <c r="G199" i="7"/>
  <c r="G571" i="7"/>
  <c r="G605" i="7"/>
  <c r="G277" i="7"/>
  <c r="G478" i="7"/>
  <c r="G374" i="7"/>
  <c r="G379" i="7"/>
  <c r="G305" i="7"/>
  <c r="G460" i="7"/>
  <c r="G332" i="7"/>
  <c r="G36" i="7"/>
  <c r="G510" i="7"/>
  <c r="G548" i="7"/>
  <c r="G328" i="7"/>
  <c r="G333" i="7"/>
  <c r="G632" i="7"/>
  <c r="G564" i="7"/>
  <c r="G663" i="7"/>
  <c r="G445" i="7"/>
  <c r="G258" i="7"/>
  <c r="G352" i="7"/>
  <c r="G526" i="7"/>
  <c r="G138" i="7"/>
  <c r="G511" i="7"/>
  <c r="G495" i="7"/>
  <c r="G433" i="7"/>
  <c r="G490" i="7"/>
  <c r="G667" i="7"/>
  <c r="G408" i="7"/>
  <c r="G380" i="7"/>
  <c r="G485" i="7"/>
  <c r="G565" i="7"/>
  <c r="G441" i="7"/>
  <c r="G359" i="7"/>
  <c r="G650" i="7"/>
  <c r="G590" i="7"/>
  <c r="G174" i="7"/>
  <c r="G541" i="7"/>
  <c r="G292" i="7"/>
  <c r="G601" i="7"/>
  <c r="G266" i="7"/>
  <c r="G48" i="7"/>
  <c r="G470" i="7"/>
  <c r="G614" i="7"/>
  <c r="G68" i="7"/>
  <c r="G483" i="7"/>
  <c r="G291" i="7"/>
  <c r="G71" i="7"/>
  <c r="G338" i="7"/>
  <c r="G247" i="7"/>
  <c r="G556" i="7"/>
  <c r="G410" i="7"/>
  <c r="G22" i="7"/>
  <c r="G520" i="7"/>
  <c r="G582" i="7"/>
  <c r="G40" i="7"/>
  <c r="G505" i="7"/>
  <c r="G628" i="7"/>
  <c r="G181" i="7"/>
  <c r="G486" i="7"/>
  <c r="G506" i="7"/>
  <c r="G405" i="7"/>
  <c r="G634" i="7"/>
  <c r="G529" i="7"/>
  <c r="G301" i="7"/>
  <c r="G77" i="7"/>
  <c r="G56" i="7"/>
  <c r="G351" i="7"/>
  <c r="G87" i="7"/>
  <c r="G537" i="7"/>
  <c r="G431" i="7"/>
  <c r="G43" i="7"/>
  <c r="G452" i="7"/>
  <c r="G508" i="7"/>
  <c r="G109" i="7"/>
  <c r="G627" i="7"/>
  <c r="G161" i="7"/>
  <c r="G475" i="7"/>
  <c r="G114" i="7"/>
  <c r="G677" i="7"/>
  <c r="G274" i="7"/>
  <c r="G655" i="7"/>
  <c r="G635" i="7"/>
  <c r="G643" i="7"/>
  <c r="G158" i="7"/>
  <c r="G346" i="7"/>
  <c r="G146" i="7"/>
  <c r="G412" i="7"/>
  <c r="G193" i="7"/>
  <c r="G32" i="7"/>
  <c r="G637" i="7"/>
  <c r="G361" i="7"/>
  <c r="G147" i="7"/>
  <c r="G530" i="7"/>
  <c r="G425" i="7"/>
  <c r="G63" i="7"/>
  <c r="G454" i="7"/>
  <c r="G113" i="7"/>
  <c r="G240" i="7"/>
  <c r="G588" i="7"/>
  <c r="G303" i="7"/>
  <c r="G509" i="7"/>
  <c r="G489" i="7"/>
  <c r="G173" i="7"/>
  <c r="G683" i="7"/>
  <c r="G679" i="7"/>
  <c r="G206" i="7"/>
  <c r="G314" i="7"/>
  <c r="G25" i="7"/>
  <c r="G60" i="7"/>
  <c r="G443" i="7"/>
  <c r="G62" i="7"/>
  <c r="G585" i="7"/>
  <c r="G311" i="7"/>
  <c r="G368" i="7"/>
  <c r="G411" i="7"/>
  <c r="G340" i="7"/>
  <c r="G576" i="7"/>
  <c r="G283" i="7"/>
  <c r="G515" i="7"/>
  <c r="G597" i="7"/>
  <c r="G648" i="7"/>
  <c r="G407" i="7"/>
  <c r="G248" i="7"/>
  <c r="G451" i="7"/>
  <c r="G319" i="7"/>
  <c r="G543" i="7"/>
  <c r="G499" i="7"/>
  <c r="G144" i="7"/>
  <c r="G55" i="7"/>
  <c r="G79" i="7"/>
  <c r="G85" i="7"/>
  <c r="G90" i="7"/>
  <c r="G325" i="7"/>
  <c r="G123" i="7"/>
  <c r="G178" i="7"/>
  <c r="G106" i="7"/>
  <c r="G208" i="7"/>
  <c r="G135" i="7"/>
  <c r="G276" i="7"/>
  <c r="G612" i="7"/>
  <c r="G383" i="7"/>
  <c r="G665" i="7"/>
  <c r="G244" i="7"/>
  <c r="G426" i="7"/>
  <c r="G660" i="7"/>
  <c r="G458" i="7"/>
  <c r="G132" i="7"/>
  <c r="G75" i="7"/>
  <c r="G30" i="7"/>
  <c r="G646" i="7"/>
  <c r="G70" i="7"/>
  <c r="G589" i="7"/>
  <c r="G142" i="7"/>
  <c r="G284" i="7"/>
  <c r="G136" i="7"/>
  <c r="G78" i="7"/>
  <c r="G396" i="7"/>
  <c r="G472" i="7"/>
  <c r="G461" i="7"/>
  <c r="G54" i="7"/>
  <c r="G310" i="7"/>
  <c r="G517" i="7"/>
  <c r="G348" i="7"/>
  <c r="G182" i="7"/>
  <c r="G160" i="7"/>
  <c r="G150" i="7"/>
  <c r="G465" i="7"/>
  <c r="G152" i="7"/>
  <c r="G594" i="7"/>
  <c r="G327" i="7"/>
  <c r="G118" i="7"/>
  <c r="G453" i="7"/>
  <c r="G337" i="7"/>
  <c r="G546" i="7"/>
  <c r="G536" i="7"/>
  <c r="G326" i="7"/>
  <c r="G544" i="7"/>
  <c r="G469" i="7"/>
  <c r="G535" i="7"/>
  <c r="G682" i="7"/>
  <c r="G233" i="7"/>
  <c r="G672" i="7"/>
  <c r="G125" i="7"/>
  <c r="G137" i="7"/>
  <c r="G463" i="7"/>
  <c r="G423" i="7"/>
  <c r="G294" i="7"/>
  <c r="G399" i="7"/>
  <c r="G644" i="7"/>
  <c r="G64" i="7"/>
  <c r="G88" i="7"/>
  <c r="G661" i="7"/>
  <c r="G577" i="7"/>
  <c r="G124" i="7"/>
  <c r="G38" i="7"/>
  <c r="G254" i="7"/>
  <c r="G347" i="7"/>
  <c r="G629" i="7"/>
  <c r="G620" i="7"/>
  <c r="G557" i="7"/>
  <c r="G76" i="7"/>
  <c r="G418" i="7"/>
  <c r="G373" i="7"/>
  <c r="G584" i="7"/>
  <c r="G566" i="7"/>
  <c r="G427" i="7"/>
  <c r="G261" i="7"/>
  <c r="G52" i="7"/>
  <c r="G219" i="7"/>
  <c r="G417" i="7"/>
  <c r="G498" i="7"/>
  <c r="G504" i="7"/>
  <c r="G501" i="7"/>
  <c r="G167" i="7"/>
  <c r="G476" i="7"/>
  <c r="G409" i="7"/>
  <c r="G606" i="7"/>
  <c r="G516" i="7"/>
  <c r="G653" i="7"/>
  <c r="G440" i="7"/>
  <c r="G102" i="7"/>
  <c r="G393" i="7"/>
  <c r="G192" i="7"/>
  <c r="G195" i="7"/>
  <c r="G323" i="7"/>
  <c r="G456" i="7"/>
  <c r="G315" i="7"/>
  <c r="G400" i="7"/>
  <c r="G273" i="7"/>
  <c r="G547" i="7"/>
  <c r="G198" i="7"/>
  <c r="G480" i="7"/>
  <c r="G496" i="7"/>
  <c r="G324" i="7"/>
  <c r="G616" i="7"/>
  <c r="G436" i="7"/>
  <c r="G44" i="7"/>
  <c r="G212" i="7"/>
  <c r="G170" i="7"/>
  <c r="G492" i="7"/>
  <c r="G624" i="7"/>
  <c r="G381" i="7"/>
  <c r="G434" i="7"/>
  <c r="G551" i="7"/>
  <c r="G119" i="7"/>
  <c r="G33" i="7"/>
  <c r="G155" i="7"/>
  <c r="G666" i="7"/>
  <c r="G205" i="7"/>
  <c r="I423" i="30"/>
  <c r="I237" i="30"/>
  <c r="I8" i="30"/>
  <c r="I288" i="30"/>
  <c r="I290" i="30"/>
  <c r="I146" i="30"/>
  <c r="I358" i="30"/>
  <c r="I447" i="30"/>
  <c r="I462" i="30"/>
  <c r="I212" i="30"/>
  <c r="I257" i="30"/>
  <c r="I458" i="30"/>
  <c r="I193" i="30"/>
  <c r="I312" i="30"/>
  <c r="I404" i="30"/>
  <c r="I192" i="30"/>
  <c r="I249" i="30"/>
  <c r="I223" i="30"/>
  <c r="I268" i="30"/>
  <c r="I170" i="30"/>
  <c r="I242" i="30"/>
  <c r="I315" i="30"/>
  <c r="I405" i="30"/>
  <c r="I189" i="30"/>
  <c r="I280" i="30"/>
  <c r="I187" i="30"/>
  <c r="I130" i="30"/>
  <c r="I392" i="30"/>
  <c r="I306" i="30"/>
  <c r="I371" i="30"/>
  <c r="I425" i="30"/>
  <c r="I457" i="30"/>
  <c r="I137" i="30"/>
  <c r="I135" i="30"/>
  <c r="I12" i="30"/>
  <c r="I28" i="30"/>
  <c r="I216" i="30"/>
  <c r="I486" i="30"/>
  <c r="I359" i="30"/>
  <c r="I345" i="30"/>
  <c r="I432" i="30"/>
  <c r="I356" i="30"/>
  <c r="I238" i="30"/>
  <c r="I333" i="30"/>
  <c r="I198" i="30"/>
  <c r="I31" i="30"/>
  <c r="I304" i="30"/>
  <c r="I229" i="30"/>
  <c r="I26" i="30"/>
  <c r="I314" i="30"/>
  <c r="I414" i="30"/>
  <c r="I509" i="30"/>
  <c r="I408" i="30"/>
  <c r="I127" i="30"/>
  <c r="I326" i="30"/>
  <c r="I205" i="30"/>
  <c r="I261" i="30"/>
  <c r="I512" i="30"/>
  <c r="I66" i="30"/>
  <c r="I161" i="30"/>
  <c r="I491" i="30"/>
  <c r="I208" i="30"/>
  <c r="I46" i="30"/>
  <c r="I523" i="30"/>
  <c r="I370" i="30"/>
  <c r="I93" i="30"/>
  <c r="I299" i="30"/>
  <c r="I301" i="30"/>
  <c r="I329" i="30"/>
  <c r="I496" i="30"/>
  <c r="I75" i="30"/>
  <c r="I226" i="30"/>
  <c r="I160" i="30"/>
  <c r="I400" i="30"/>
  <c r="I105" i="30"/>
  <c r="I171" i="30"/>
  <c r="I295" i="30"/>
  <c r="I516" i="30"/>
  <c r="I287" i="30"/>
  <c r="I73" i="30"/>
  <c r="I448" i="30"/>
  <c r="I255" i="30"/>
  <c r="I149" i="30"/>
  <c r="I172" i="30"/>
  <c r="I159" i="30"/>
  <c r="I494" i="30"/>
  <c r="I492" i="30"/>
  <c r="I499" i="30"/>
  <c r="I48" i="30"/>
  <c r="I407" i="30"/>
  <c r="I76" i="30"/>
  <c r="I47" i="30"/>
  <c r="I114" i="30"/>
  <c r="I20" i="30"/>
  <c r="I215" i="30"/>
  <c r="I222" i="30"/>
  <c r="I225" i="30"/>
  <c r="I459" i="30"/>
  <c r="I323" i="30"/>
  <c r="I273" i="30"/>
  <c r="I267" i="30"/>
  <c r="I253" i="30"/>
  <c r="I469" i="30"/>
  <c r="I29" i="30"/>
  <c r="I332" i="30"/>
  <c r="I199" i="30"/>
  <c r="I351" i="30"/>
  <c r="I441" i="30"/>
  <c r="I165" i="30"/>
  <c r="I34" i="30"/>
  <c r="I111" i="30"/>
  <c r="I340" i="30"/>
  <c r="I152" i="30"/>
  <c r="I444" i="30"/>
  <c r="I88" i="30"/>
  <c r="I482" i="30"/>
  <c r="I520" i="30"/>
  <c r="I125" i="30"/>
  <c r="I96" i="30"/>
  <c r="I289" i="30"/>
  <c r="I338" i="30"/>
  <c r="I173" i="30"/>
  <c r="I513" i="30"/>
  <c r="I337" i="30"/>
  <c r="I409" i="30"/>
  <c r="I415" i="30"/>
  <c r="I37" i="30"/>
  <c r="I167" i="30"/>
  <c r="I87" i="30"/>
  <c r="I179" i="30"/>
  <c r="I98" i="30"/>
  <c r="I504" i="30"/>
  <c r="I368" i="30"/>
  <c r="I203" i="30"/>
  <c r="I279" i="30"/>
  <c r="I250" i="30"/>
  <c r="I389" i="30"/>
  <c r="I150" i="30"/>
  <c r="I436" i="30"/>
  <c r="I293" i="30"/>
  <c r="I428" i="30"/>
  <c r="I169" i="30"/>
  <c r="I298" i="30"/>
  <c r="I32" i="30"/>
  <c r="I430" i="30"/>
  <c r="I78" i="30"/>
  <c r="I148" i="30"/>
  <c r="I140" i="30"/>
  <c r="I213" i="30"/>
  <c r="I243" i="30"/>
  <c r="I57" i="30"/>
  <c r="I305" i="30"/>
  <c r="I107" i="30"/>
  <c r="I376" i="30"/>
  <c r="I41" i="30"/>
  <c r="I232" i="30"/>
  <c r="I58" i="30"/>
  <c r="I63" i="30"/>
  <c r="I477" i="30"/>
  <c r="I254" i="30"/>
  <c r="I490" i="30"/>
  <c r="I375" i="30"/>
  <c r="I68" i="30"/>
  <c r="I381" i="30"/>
  <c r="I231" i="30"/>
  <c r="I449" i="30"/>
  <c r="I487" i="30"/>
  <c r="I424" i="30"/>
  <c r="I56" i="30"/>
  <c r="I110" i="30"/>
  <c r="I420" i="30"/>
  <c r="I92" i="30"/>
  <c r="I99" i="30"/>
  <c r="I90" i="30"/>
  <c r="I438" i="30"/>
  <c r="I411" i="30"/>
  <c r="I121" i="30"/>
  <c r="I55" i="30"/>
  <c r="I59" i="30"/>
  <c r="I399" i="30"/>
  <c r="I451" i="30"/>
  <c r="I82" i="30"/>
  <c r="I465" i="30"/>
  <c r="I479" i="30"/>
  <c r="I454" i="30"/>
  <c r="I387" i="30"/>
  <c r="I139" i="30"/>
  <c r="I278" i="30"/>
  <c r="I83" i="30"/>
  <c r="I397" i="30"/>
  <c r="I62" i="30"/>
  <c r="I501" i="30"/>
  <c r="I72" i="30"/>
  <c r="I49" i="30"/>
  <c r="I274" i="30"/>
  <c r="I529" i="30"/>
  <c r="I94" i="30"/>
  <c r="I297" i="30"/>
  <c r="I109" i="30"/>
  <c r="I217" i="30"/>
  <c r="I141" i="30"/>
  <c r="I383" i="30"/>
  <c r="I506" i="30"/>
  <c r="I467" i="30"/>
  <c r="I328" i="30"/>
  <c r="I221" i="30"/>
  <c r="I71" i="30"/>
  <c r="I17" i="30"/>
  <c r="I526" i="30"/>
  <c r="I522" i="30"/>
  <c r="I272" i="30"/>
  <c r="I244" i="30"/>
  <c r="I395" i="30"/>
  <c r="I416" i="30"/>
  <c r="I233" i="30"/>
  <c r="I388" i="30"/>
  <c r="I77" i="30"/>
  <c r="I103" i="30"/>
  <c r="I42" i="30"/>
  <c r="I100" i="30"/>
  <c r="I445" i="30"/>
  <c r="I443" i="30"/>
  <c r="I218" i="30"/>
  <c r="I61" i="30"/>
  <c r="I188" i="30"/>
  <c r="I108" i="30"/>
  <c r="I177" i="30"/>
  <c r="I373" i="30"/>
  <c r="I476" i="30"/>
  <c r="I336" i="30"/>
  <c r="I434" i="30"/>
  <c r="I50" i="30"/>
  <c r="I13" i="30"/>
  <c r="I16" i="30"/>
  <c r="I260" i="30"/>
  <c r="I207" i="30"/>
  <c r="I200" i="30"/>
  <c r="I7" i="30"/>
  <c r="I113" i="30"/>
  <c r="I86" i="30"/>
  <c r="I419" i="30"/>
  <c r="I365" i="30"/>
  <c r="I398" i="30"/>
  <c r="I101" i="30"/>
  <c r="I116" i="30"/>
  <c r="I126" i="30"/>
  <c r="I15" i="30"/>
  <c r="I115" i="30"/>
  <c r="I136" i="30"/>
  <c r="I456" i="30"/>
  <c r="I45" i="30"/>
  <c r="I245" i="30"/>
  <c r="I379" i="30"/>
  <c r="I317" i="30"/>
  <c r="I54" i="30"/>
  <c r="I271" i="30"/>
  <c r="I374" i="30"/>
  <c r="I263" i="30"/>
  <c r="I330" i="30"/>
  <c r="I30" i="30"/>
  <c r="I65" i="30"/>
  <c r="I3" i="30"/>
  <c r="I23" i="30"/>
  <c r="I124" i="30"/>
  <c r="I303" i="30"/>
  <c r="I85" i="30"/>
  <c r="I247" i="30"/>
  <c r="I40" i="30"/>
  <c r="I377" i="30"/>
  <c r="I235" i="30"/>
  <c r="I403" i="30"/>
  <c r="I527" i="30"/>
  <c r="I343" i="30"/>
  <c r="I154" i="30"/>
  <c r="I39" i="30"/>
  <c r="I133" i="30"/>
  <c r="I277" i="30"/>
  <c r="I91" i="30"/>
  <c r="I446" i="30"/>
  <c r="I220" i="30"/>
  <c r="I386" i="30"/>
  <c r="I294" i="30"/>
  <c r="I190" i="30"/>
  <c r="I123" i="30"/>
  <c r="I282" i="30"/>
  <c r="I339" i="30"/>
  <c r="I515" i="30"/>
  <c r="I204" i="30"/>
  <c r="I256" i="30"/>
  <c r="I112" i="30"/>
  <c r="I81" i="30"/>
  <c r="I180" i="30"/>
  <c r="I495" i="30"/>
  <c r="I369" i="30"/>
  <c r="I413" i="30"/>
  <c r="I118" i="30"/>
  <c r="I239" i="30"/>
  <c r="I276" i="30"/>
  <c r="I211" i="30"/>
  <c r="I60" i="30"/>
  <c r="I174" i="30"/>
  <c r="I452" i="30"/>
  <c r="I236" i="30"/>
  <c r="I325" i="30"/>
  <c r="I265" i="30"/>
  <c r="I528" i="30"/>
  <c r="I342" i="30"/>
  <c r="I524" i="30"/>
  <c r="I471" i="30"/>
  <c r="I186" i="30"/>
  <c r="I195" i="30"/>
  <c r="I510" i="30"/>
  <c r="I224" i="30"/>
  <c r="I455" i="30"/>
  <c r="I470" i="30"/>
  <c r="I14" i="30"/>
  <c r="I431" i="30"/>
  <c r="I270" i="30"/>
  <c r="I18" i="30"/>
  <c r="I230" i="30"/>
  <c r="I393" i="30"/>
  <c r="I507" i="30"/>
  <c r="I344" i="30"/>
  <c r="I5" i="30"/>
  <c r="I518" i="30"/>
  <c r="I322" i="30"/>
  <c r="I6" i="30"/>
  <c r="I206" i="30"/>
  <c r="I300" i="30"/>
  <c r="I52" i="30"/>
  <c r="I363" i="30"/>
  <c r="I372" i="30"/>
  <c r="I262" i="30"/>
  <c r="I142" i="30"/>
  <c r="I194" i="30"/>
  <c r="I500" i="30"/>
  <c r="I131" i="30"/>
  <c r="I122" i="30"/>
  <c r="I84" i="30"/>
  <c r="I319" i="30"/>
  <c r="I502" i="30"/>
  <c r="I283" i="30"/>
  <c r="I67" i="30"/>
  <c r="I421" i="30"/>
  <c r="I361" i="30"/>
  <c r="I284" i="30"/>
  <c r="I258" i="30"/>
  <c r="I51" i="30"/>
  <c r="I517" i="30"/>
  <c r="I151" i="30"/>
  <c r="I442" i="30"/>
  <c r="I489" i="30"/>
  <c r="I503" i="30"/>
  <c r="I9" i="30"/>
  <c r="I19" i="30"/>
  <c r="I214" i="30"/>
  <c r="I357" i="30"/>
  <c r="I354" i="30"/>
  <c r="I234" i="30"/>
  <c r="I143" i="30"/>
  <c r="I156" i="30"/>
  <c r="I10" i="30"/>
  <c r="I4" i="30"/>
  <c r="I401" i="30"/>
  <c r="I484" i="30"/>
  <c r="I426" i="30"/>
  <c r="I210" i="30"/>
  <c r="I362" i="30"/>
  <c r="I366" i="30"/>
  <c r="I302" i="30"/>
  <c r="I181" i="30"/>
  <c r="I473" i="30"/>
  <c r="I251" i="30"/>
  <c r="I355" i="30"/>
  <c r="I201" i="30"/>
  <c r="I429" i="30"/>
  <c r="I117" i="30"/>
  <c r="I158" i="30"/>
  <c r="I525" i="30"/>
  <c r="I11" i="30"/>
  <c r="I514" i="30"/>
  <c r="I166" i="30"/>
  <c r="I437" i="30"/>
  <c r="I246" i="30"/>
  <c r="I144" i="30"/>
  <c r="I313" i="30"/>
  <c r="I155" i="30"/>
  <c r="I474" i="30"/>
  <c r="I2" i="30"/>
  <c r="I80" i="30"/>
  <c r="I321" i="30"/>
  <c r="I497" i="30"/>
  <c r="I385" i="30"/>
  <c r="I391" i="30"/>
  <c r="I27" i="30"/>
  <c r="I95" i="30"/>
  <c r="I74" i="30"/>
  <c r="I191" i="30"/>
  <c r="I248" i="30"/>
  <c r="I318" i="30"/>
  <c r="I183" i="30"/>
  <c r="I89" i="30"/>
  <c r="I316" i="30"/>
  <c r="I285" i="30"/>
  <c r="I508" i="30"/>
  <c r="I69" i="30"/>
  <c r="I463" i="30"/>
  <c r="I286" i="30"/>
  <c r="I102" i="30"/>
  <c r="I331" i="30"/>
  <c r="I259" i="30"/>
  <c r="I378" i="30"/>
  <c r="I352" i="30"/>
  <c r="I468" i="30"/>
  <c r="I219" i="30"/>
  <c r="I197" i="30"/>
  <c r="I460" i="30"/>
  <c r="I417" i="30"/>
  <c r="I157" i="30"/>
  <c r="I461" i="30"/>
  <c r="I396" i="30"/>
  <c r="I33" i="30"/>
  <c r="I310" i="30"/>
  <c r="I264" i="30"/>
  <c r="I335" i="30"/>
  <c r="I53" i="30"/>
  <c r="I21" i="30"/>
  <c r="I252" i="30"/>
  <c r="I346" i="30"/>
  <c r="I120" i="30"/>
  <c r="I175" i="30"/>
  <c r="I132" i="30"/>
  <c r="I493" i="30"/>
  <c r="I24" i="30"/>
  <c r="I70" i="30"/>
  <c r="I176" i="30"/>
  <c r="I209" i="30"/>
  <c r="I505" i="30"/>
  <c r="I439" i="30"/>
  <c r="I106" i="30"/>
  <c r="I97" i="30"/>
  <c r="I145" i="30"/>
  <c r="I450" i="30"/>
  <c r="I382" i="30"/>
  <c r="I311" i="30"/>
  <c r="I44" i="30"/>
  <c r="I478" i="30"/>
  <c r="I202" i="30"/>
  <c r="I519" i="30"/>
  <c r="I307" i="30"/>
  <c r="I275" i="30"/>
  <c r="I410" i="30"/>
  <c r="I38" i="30"/>
  <c r="I466" i="30"/>
  <c r="I435" i="30"/>
  <c r="I184" i="30"/>
  <c r="I364" i="30"/>
  <c r="I418" i="30"/>
  <c r="I334" i="30"/>
  <c r="I269" i="30"/>
  <c r="I440" i="30"/>
  <c r="I521" i="30"/>
  <c r="I347" i="30"/>
  <c r="I380" i="30"/>
  <c r="I163" i="30"/>
  <c r="I291" i="30"/>
  <c r="I350" i="30"/>
  <c r="I360" i="30"/>
  <c r="I341" i="30"/>
  <c r="I227" i="30"/>
  <c r="I320" i="30"/>
  <c r="I22" i="30"/>
  <c r="I394" i="30"/>
  <c r="I324" i="30"/>
  <c r="I162" i="30"/>
  <c r="I164" i="30"/>
  <c r="I488" i="30"/>
  <c r="I327" i="30"/>
  <c r="I64" i="30"/>
  <c r="I119" i="30"/>
  <c r="I472" i="30"/>
  <c r="I134" i="30"/>
  <c r="I485" i="30"/>
  <c r="I292" i="30"/>
  <c r="I79" i="30"/>
  <c r="I483" i="30"/>
  <c r="I384" i="30"/>
  <c r="I309" i="30"/>
  <c r="I402" i="30"/>
  <c r="I43" i="30"/>
  <c r="I147" i="30"/>
  <c r="I511" i="30"/>
  <c r="I178" i="30"/>
  <c r="I406" i="30"/>
  <c r="I22" i="31"/>
  <c r="I127" i="31"/>
  <c r="I21" i="31"/>
  <c r="I163" i="31"/>
  <c r="I233" i="31"/>
  <c r="I160" i="31"/>
  <c r="I192" i="31"/>
  <c r="I189" i="31"/>
  <c r="I390" i="31"/>
  <c r="I340" i="31"/>
  <c r="I205" i="31"/>
  <c r="I219" i="31"/>
  <c r="I119" i="31"/>
  <c r="I135" i="31"/>
  <c r="I88" i="31"/>
  <c r="I103" i="31"/>
  <c r="I68" i="31"/>
  <c r="I366" i="31"/>
  <c r="I132" i="31"/>
  <c r="I38" i="31"/>
  <c r="I311" i="31"/>
  <c r="I242" i="31"/>
  <c r="I179" i="31"/>
  <c r="I17" i="31"/>
  <c r="I296" i="31"/>
  <c r="I123" i="31"/>
  <c r="I220" i="31"/>
  <c r="I97" i="31"/>
  <c r="I6" i="31"/>
  <c r="I74" i="31"/>
  <c r="I332" i="31"/>
  <c r="I148" i="31"/>
  <c r="I352" i="31"/>
  <c r="I308" i="31"/>
  <c r="I355" i="31"/>
  <c r="I226" i="31"/>
  <c r="I25" i="31"/>
  <c r="I139" i="31"/>
  <c r="I251" i="31"/>
  <c r="I309" i="31"/>
  <c r="I333" i="31"/>
  <c r="I287" i="31"/>
  <c r="I203" i="31"/>
  <c r="I379" i="31"/>
  <c r="I211" i="31"/>
  <c r="I221" i="31"/>
  <c r="I51" i="31"/>
  <c r="I82" i="31"/>
  <c r="I65" i="31"/>
  <c r="I28" i="31"/>
  <c r="I301" i="31"/>
  <c r="I120" i="31"/>
  <c r="I85" i="31"/>
  <c r="I104" i="31"/>
  <c r="I55" i="31"/>
  <c r="I395" i="31"/>
  <c r="I126" i="31"/>
  <c r="I14" i="31"/>
  <c r="I238" i="31"/>
  <c r="I302" i="31"/>
  <c r="I243" i="31"/>
  <c r="I53" i="31"/>
  <c r="I255" i="31"/>
  <c r="I350" i="31"/>
  <c r="I180" i="31"/>
  <c r="I40" i="31"/>
  <c r="I343" i="31"/>
  <c r="I250" i="31"/>
  <c r="I363" i="31"/>
  <c r="I199" i="31"/>
  <c r="I294" i="31"/>
  <c r="I193" i="31"/>
  <c r="I305" i="31"/>
  <c r="I70" i="31"/>
  <c r="I191" i="31"/>
  <c r="I59" i="31"/>
  <c r="I295" i="31"/>
  <c r="I387" i="31"/>
  <c r="I73" i="31"/>
  <c r="I105" i="31"/>
  <c r="I298" i="31"/>
  <c r="I240" i="31"/>
  <c r="I144" i="31"/>
  <c r="I397" i="31"/>
  <c r="I99" i="31"/>
  <c r="I114" i="31"/>
  <c r="I197" i="31"/>
  <c r="I150" i="31"/>
  <c r="I264" i="31"/>
  <c r="I181" i="31"/>
  <c r="I273" i="31"/>
  <c r="I398" i="31"/>
  <c r="I297" i="31"/>
  <c r="I140" i="31"/>
  <c r="I369" i="31"/>
  <c r="I170" i="31"/>
  <c r="I165" i="31"/>
  <c r="I100" i="31"/>
  <c r="I147" i="31"/>
  <c r="I166" i="31"/>
  <c r="I8" i="31"/>
  <c r="I274" i="31"/>
  <c r="I209" i="31"/>
  <c r="I342" i="31"/>
  <c r="I37" i="31"/>
  <c r="I312" i="31"/>
  <c r="I272" i="31"/>
  <c r="I130" i="31"/>
  <c r="I330" i="31"/>
  <c r="I184" i="31"/>
  <c r="I78" i="31"/>
  <c r="I349" i="31"/>
  <c r="I289" i="31"/>
  <c r="I344" i="31"/>
  <c r="I319" i="31"/>
  <c r="I396" i="31"/>
  <c r="I156" i="31"/>
  <c r="I377" i="31"/>
  <c r="I138" i="31"/>
  <c r="I26" i="31"/>
  <c r="I92" i="31"/>
  <c r="I223" i="31"/>
  <c r="I345" i="31"/>
  <c r="I279" i="31"/>
  <c r="I351" i="31"/>
  <c r="I56" i="31"/>
  <c r="I370" i="31"/>
  <c r="I2" i="31"/>
  <c r="I35" i="31"/>
  <c r="I314" i="31"/>
  <c r="I46" i="31"/>
  <c r="I101" i="31"/>
  <c r="I27" i="31"/>
  <c r="I339" i="31"/>
  <c r="I196" i="31"/>
  <c r="I90" i="31"/>
  <c r="I321" i="31"/>
  <c r="I270" i="31"/>
  <c r="I152" i="31"/>
  <c r="I206" i="31"/>
  <c r="I128" i="31"/>
  <c r="I386" i="31"/>
  <c r="I317" i="31"/>
  <c r="I79" i="31"/>
  <c r="I154" i="31"/>
  <c r="I121" i="31"/>
  <c r="I146" i="31"/>
  <c r="I336" i="31"/>
  <c r="I30" i="31"/>
  <c r="I195" i="31"/>
  <c r="I271" i="31"/>
  <c r="I15" i="31"/>
  <c r="I306" i="31"/>
  <c r="I117" i="31"/>
  <c r="I323" i="31"/>
  <c r="I143" i="31"/>
  <c r="I400" i="31"/>
  <c r="I45" i="31"/>
  <c r="I291" i="31"/>
  <c r="I183" i="31"/>
  <c r="I401" i="31"/>
  <c r="I187" i="31"/>
  <c r="I248" i="31"/>
  <c r="I310" i="31"/>
  <c r="I260" i="31"/>
  <c r="I106" i="31"/>
  <c r="I134" i="31"/>
  <c r="I215" i="31"/>
  <c r="I112" i="31"/>
  <c r="I131" i="31"/>
  <c r="I212" i="31"/>
  <c r="I228" i="31"/>
  <c r="I384" i="31"/>
  <c r="I198" i="31"/>
  <c r="I241" i="31"/>
  <c r="I172" i="31"/>
  <c r="I269" i="31"/>
  <c r="I247" i="31"/>
  <c r="I23" i="31"/>
  <c r="I266" i="31"/>
  <c r="I385" i="31"/>
  <c r="I18" i="31"/>
  <c r="I81" i="31"/>
  <c r="I95" i="31"/>
  <c r="I354" i="31"/>
  <c r="I162" i="31"/>
  <c r="I63" i="31"/>
  <c r="I277" i="31"/>
  <c r="I204" i="31"/>
  <c r="I307" i="31"/>
  <c r="I292" i="31"/>
  <c r="I9" i="31"/>
  <c r="I214" i="31"/>
  <c r="I253" i="31"/>
  <c r="I107" i="31"/>
  <c r="I76" i="31"/>
  <c r="I244" i="31"/>
  <c r="I218" i="31"/>
  <c r="I231" i="31"/>
  <c r="I394" i="31"/>
  <c r="I111" i="31"/>
  <c r="I186" i="31"/>
  <c r="I280" i="31"/>
  <c r="I378" i="31"/>
  <c r="I190" i="31"/>
  <c r="I268" i="31"/>
  <c r="I52" i="31"/>
  <c r="I282" i="31"/>
  <c r="I109" i="31"/>
  <c r="I262" i="31"/>
  <c r="I185" i="31"/>
  <c r="I393" i="31"/>
  <c r="I234" i="31"/>
  <c r="I72" i="31"/>
  <c r="I129" i="31"/>
  <c r="I257" i="31"/>
  <c r="I328" i="31"/>
  <c r="I84" i="31"/>
  <c r="I357" i="31"/>
  <c r="I4" i="31"/>
  <c r="I60" i="31"/>
  <c r="I341" i="31"/>
  <c r="I93" i="31"/>
  <c r="I246" i="31"/>
  <c r="I24" i="31"/>
  <c r="I151" i="31"/>
  <c r="I275" i="31"/>
  <c r="I265" i="31"/>
  <c r="I102" i="31"/>
  <c r="I222" i="31"/>
  <c r="I164" i="31"/>
  <c r="I368" i="31"/>
  <c r="I80" i="31"/>
  <c r="I174" i="31"/>
  <c r="I383" i="31"/>
  <c r="I225" i="31"/>
  <c r="I391" i="31"/>
  <c r="I281" i="31"/>
  <c r="I322" i="31"/>
  <c r="I286" i="31"/>
  <c r="I16" i="31"/>
  <c r="I91" i="31"/>
  <c r="I113" i="31"/>
  <c r="I61" i="31"/>
  <c r="I47" i="31"/>
  <c r="I155" i="31"/>
  <c r="I392" i="31"/>
  <c r="I245" i="31"/>
  <c r="I69" i="31"/>
  <c r="I201" i="31"/>
  <c r="I374" i="31"/>
  <c r="I33" i="31"/>
  <c r="I325" i="31"/>
  <c r="I49" i="31"/>
  <c r="I402" i="31"/>
  <c r="I316" i="31"/>
  <c r="I365" i="31"/>
  <c r="I261" i="31"/>
  <c r="I96" i="31"/>
  <c r="I230" i="31"/>
  <c r="I89" i="31"/>
  <c r="I153" i="31"/>
  <c r="I42" i="31"/>
  <c r="I353" i="31"/>
  <c r="I375" i="31"/>
  <c r="I284" i="31"/>
  <c r="I20" i="31"/>
  <c r="I207" i="31"/>
  <c r="I259" i="31"/>
  <c r="I300" i="31"/>
  <c r="I334" i="31"/>
  <c r="I87" i="31"/>
  <c r="I235" i="31"/>
  <c r="I77" i="31"/>
  <c r="I194" i="31"/>
  <c r="I389" i="31"/>
  <c r="I136" i="31"/>
  <c r="I263" i="31"/>
  <c r="I224" i="31"/>
  <c r="I13" i="31"/>
  <c r="I3" i="31"/>
  <c r="I327" i="31"/>
  <c r="I326" i="31"/>
  <c r="I373" i="31"/>
  <c r="I98" i="31"/>
  <c r="I159" i="31"/>
  <c r="I285" i="31"/>
  <c r="I356" i="31"/>
  <c r="I19" i="31"/>
  <c r="I278" i="31"/>
  <c r="I362" i="31"/>
  <c r="I315" i="31"/>
  <c r="I288" i="31"/>
  <c r="I7" i="31"/>
  <c r="I299" i="31"/>
  <c r="I29" i="31"/>
  <c r="I290" i="31"/>
  <c r="I43" i="31"/>
  <c r="I210" i="31"/>
  <c r="I50" i="31"/>
  <c r="I335" i="31"/>
  <c r="I239" i="31"/>
  <c r="I176" i="31"/>
  <c r="I10" i="31"/>
  <c r="I337" i="31"/>
  <c r="I171" i="31"/>
  <c r="I217" i="31"/>
  <c r="I168" i="31"/>
  <c r="I320" i="31"/>
  <c r="I62" i="31"/>
  <c r="I304" i="31"/>
  <c r="I12" i="31"/>
  <c r="I86" i="31"/>
  <c r="I71" i="31"/>
  <c r="I256" i="31"/>
  <c r="I182" i="31"/>
  <c r="I44" i="31"/>
  <c r="I124" i="31"/>
  <c r="I267" i="31"/>
  <c r="I376" i="31"/>
  <c r="I348" i="31"/>
  <c r="I216" i="31"/>
  <c r="I142" i="31"/>
  <c r="I48" i="31"/>
  <c r="I137" i="31"/>
  <c r="I372" i="31"/>
  <c r="I94" i="31"/>
  <c r="I157" i="31"/>
  <c r="I75" i="31"/>
  <c r="I361" i="31"/>
  <c r="I283" i="31"/>
  <c r="I313" i="31"/>
  <c r="I32" i="31"/>
  <c r="I122" i="31"/>
  <c r="I208" i="31"/>
  <c r="I54" i="31"/>
  <c r="I173" i="31"/>
  <c r="I116" i="31"/>
  <c r="I202" i="31"/>
  <c r="I118" i="31"/>
  <c r="I381" i="31"/>
  <c r="I11" i="31"/>
  <c r="I237" i="31"/>
  <c r="I66" i="31"/>
  <c r="I175" i="31"/>
  <c r="I39" i="31"/>
  <c r="I34" i="31"/>
  <c r="I329" i="31"/>
  <c r="I227" i="31"/>
  <c r="I115" i="31"/>
  <c r="I58" i="31"/>
  <c r="I232" i="31"/>
  <c r="I254" i="31"/>
  <c r="I331" i="31"/>
  <c r="I276" i="31"/>
  <c r="I167" i="31"/>
  <c r="I145" i="31"/>
  <c r="I83" i="31"/>
  <c r="I338" i="31"/>
  <c r="I108" i="31"/>
  <c r="I200" i="31"/>
  <c r="I213" i="31"/>
  <c r="I57" i="31"/>
  <c r="I110" i="31"/>
  <c r="I380" i="31"/>
  <c r="I258" i="31"/>
  <c r="I347" i="31"/>
  <c r="I158" i="31"/>
  <c r="I178" i="31"/>
  <c r="I41" i="31"/>
  <c r="I318" i="31"/>
  <c r="I67" i="31"/>
  <c r="I5" i="31"/>
  <c r="I371" i="31"/>
  <c r="I188" i="31"/>
  <c r="I358" i="31"/>
  <c r="I388" i="31"/>
  <c r="I133" i="31"/>
  <c r="I324" i="31"/>
  <c r="I293" i="31"/>
  <c r="I149" i="31"/>
  <c r="I303" i="31"/>
  <c r="I177" i="31"/>
  <c r="I169" i="31"/>
  <c r="I359" i="31"/>
  <c r="I360" i="31"/>
  <c r="I141" i="31"/>
  <c r="I36" i="31"/>
  <c r="I125" i="31"/>
  <c r="I367" i="31"/>
  <c r="I249" i="31"/>
  <c r="I161" i="31"/>
  <c r="I229" i="31"/>
  <c r="I236" i="31"/>
  <c r="I346" i="31"/>
  <c r="I364" i="31"/>
  <c r="I382" i="31"/>
  <c r="I399" i="31"/>
  <c r="I31" i="31"/>
  <c r="I64" i="31"/>
  <c r="I252" i="31"/>
  <c r="I256" i="32"/>
  <c r="I303" i="32"/>
  <c r="I92" i="32"/>
  <c r="I106" i="32"/>
  <c r="I89" i="32"/>
  <c r="I172" i="32"/>
  <c r="I21" i="32"/>
  <c r="I510" i="32"/>
  <c r="I207" i="32"/>
  <c r="I178" i="32"/>
  <c r="I29" i="32"/>
  <c r="I193" i="32"/>
  <c r="I47" i="32"/>
  <c r="I301" i="32"/>
  <c r="I305" i="32"/>
  <c r="I13" i="32"/>
  <c r="I396" i="32"/>
  <c r="I586" i="32"/>
  <c r="I325" i="32"/>
  <c r="I577" i="32"/>
  <c r="I313" i="32"/>
  <c r="I246" i="32"/>
  <c r="I417" i="32"/>
  <c r="I27" i="32"/>
  <c r="I457" i="32"/>
  <c r="I187" i="32"/>
  <c r="I606" i="32"/>
  <c r="I279" i="32"/>
  <c r="I283" i="32"/>
  <c r="I319" i="32"/>
  <c r="I153" i="32"/>
  <c r="I391" i="32"/>
  <c r="I539" i="32"/>
  <c r="I430" i="32"/>
  <c r="I68" i="32"/>
  <c r="I10" i="32"/>
  <c r="I110" i="32"/>
  <c r="I41" i="32"/>
  <c r="I485" i="32"/>
  <c r="I176" i="32"/>
  <c r="I560" i="32"/>
  <c r="I451" i="32"/>
  <c r="I225" i="32"/>
  <c r="I239" i="32"/>
  <c r="I468" i="32"/>
  <c r="I372" i="32"/>
  <c r="I450" i="32"/>
  <c r="I342" i="32"/>
  <c r="I534" i="32"/>
  <c r="I509" i="32"/>
  <c r="I108" i="32"/>
  <c r="I437" i="32"/>
  <c r="I407" i="32"/>
  <c r="I201" i="32"/>
  <c r="I261" i="32"/>
  <c r="I438" i="32"/>
  <c r="I130" i="32"/>
  <c r="I28" i="32"/>
  <c r="I149" i="32"/>
  <c r="I332" i="32"/>
  <c r="I601" i="32"/>
  <c r="I447" i="32"/>
  <c r="I121" i="32"/>
  <c r="I116" i="32"/>
  <c r="I487" i="32"/>
  <c r="I357" i="32"/>
  <c r="I111" i="32"/>
  <c r="I616" i="32"/>
  <c r="I329" i="32"/>
  <c r="I541" i="32"/>
  <c r="I384" i="32"/>
  <c r="I506" i="32"/>
  <c r="I271" i="32"/>
  <c r="I96" i="32"/>
  <c r="I542" i="32"/>
  <c r="I39" i="32"/>
  <c r="I5" i="32"/>
  <c r="I57" i="32"/>
  <c r="I46" i="32"/>
  <c r="I320" i="32"/>
  <c r="I426" i="32"/>
  <c r="I297" i="32"/>
  <c r="I581" i="32"/>
  <c r="I432" i="32"/>
  <c r="I454" i="32"/>
  <c r="I359" i="32"/>
  <c r="I167" i="32"/>
  <c r="I504" i="32"/>
  <c r="I497" i="32"/>
  <c r="I134" i="32"/>
  <c r="I612" i="32"/>
  <c r="I257" i="32"/>
  <c r="I114" i="32"/>
  <c r="I24" i="32"/>
  <c r="I42" i="32"/>
  <c r="I62" i="32"/>
  <c r="I78" i="32"/>
  <c r="I56" i="32"/>
  <c r="I478" i="32"/>
  <c r="I317" i="32"/>
  <c r="I373" i="32"/>
  <c r="I45" i="32"/>
  <c r="I126" i="32"/>
  <c r="I433" i="32"/>
  <c r="I174" i="32"/>
  <c r="I584" i="32"/>
  <c r="I602" i="32"/>
  <c r="I20" i="32"/>
  <c r="I547" i="32"/>
  <c r="I607" i="32"/>
  <c r="I235" i="32"/>
  <c r="I531" i="32"/>
  <c r="I469" i="32"/>
  <c r="I600" i="32"/>
  <c r="I494" i="32"/>
  <c r="I251" i="32"/>
  <c r="I568" i="32"/>
  <c r="I324" i="32"/>
  <c r="I200" i="32"/>
  <c r="I551" i="32"/>
  <c r="I120" i="32"/>
  <c r="I403" i="32"/>
  <c r="I567" i="32"/>
  <c r="I139" i="32"/>
  <c r="I464" i="32"/>
  <c r="I516" i="32"/>
  <c r="I124" i="32"/>
  <c r="I575" i="32"/>
  <c r="I307" i="32"/>
  <c r="I3" i="32"/>
  <c r="I570" i="32"/>
  <c r="I328" i="32"/>
  <c r="I461" i="32"/>
  <c r="I455" i="32"/>
  <c r="I310" i="32"/>
  <c r="I378" i="32"/>
  <c r="I483" i="32"/>
  <c r="I397" i="32"/>
  <c r="I354" i="32"/>
  <c r="I393" i="32"/>
  <c r="I491" i="32"/>
  <c r="I32" i="32"/>
  <c r="I412" i="32"/>
  <c r="I382" i="32"/>
  <c r="I349" i="32"/>
  <c r="I241" i="32"/>
  <c r="I16" i="32"/>
  <c r="I223" i="32"/>
  <c r="I292" i="32"/>
  <c r="I195" i="32"/>
  <c r="I376" i="32"/>
  <c r="I401" i="32"/>
  <c r="I343" i="32"/>
  <c r="I136" i="32"/>
  <c r="I615" i="32"/>
  <c r="I216" i="32"/>
  <c r="I58" i="32"/>
  <c r="I122" i="32"/>
  <c r="I520" i="32"/>
  <c r="I383" i="32"/>
  <c r="I371" i="32"/>
  <c r="I83" i="32"/>
  <c r="I135" i="32"/>
  <c r="I170" i="32"/>
  <c r="I166" i="32"/>
  <c r="I264" i="32"/>
  <c r="I458" i="32"/>
  <c r="I104" i="32"/>
  <c r="I142" i="32"/>
  <c r="I565" i="32"/>
  <c r="I267" i="32"/>
  <c r="I614" i="32"/>
  <c r="I55" i="32"/>
  <c r="I388" i="32"/>
  <c r="I233" i="32"/>
  <c r="I38" i="32"/>
  <c r="I590" i="32"/>
  <c r="I336" i="32"/>
  <c r="I419" i="32"/>
  <c r="I67" i="32"/>
  <c r="I263" i="32"/>
  <c r="I431" i="32"/>
  <c r="I356" i="32"/>
  <c r="I449" i="32"/>
  <c r="I97" i="32"/>
  <c r="I231" i="32"/>
  <c r="I337" i="32"/>
  <c r="I255" i="32"/>
  <c r="I525" i="32"/>
  <c r="I119" i="32"/>
  <c r="I611" i="32"/>
  <c r="I164" i="32"/>
  <c r="I242" i="32"/>
  <c r="I330" i="32"/>
  <c r="I400" i="32"/>
  <c r="I334" i="32"/>
  <c r="I502" i="32"/>
  <c r="I237" i="32"/>
  <c r="I368" i="32"/>
  <c r="I9" i="32"/>
  <c r="I151" i="32"/>
  <c r="I268" i="32"/>
  <c r="I280" i="32"/>
  <c r="I484" i="32"/>
  <c r="I347" i="32"/>
  <c r="I224" i="32"/>
  <c r="I613" i="32"/>
  <c r="I339" i="32"/>
  <c r="I467" i="32"/>
  <c r="I554" i="32"/>
  <c r="I243" i="32"/>
  <c r="I282" i="32"/>
  <c r="I300" i="32"/>
  <c r="I34" i="32"/>
  <c r="I545" i="32"/>
  <c r="I340" i="32"/>
  <c r="I6" i="32"/>
  <c r="I370" i="32"/>
  <c r="I596" i="32"/>
  <c r="I155" i="32"/>
  <c r="I594" i="32"/>
  <c r="I205" i="32"/>
  <c r="I17" i="32"/>
  <c r="I222" i="32"/>
  <c r="I81" i="32"/>
  <c r="I211" i="32"/>
  <c r="I561" i="32"/>
  <c r="I37" i="32"/>
  <c r="I302" i="32"/>
  <c r="I499" i="32"/>
  <c r="I288" i="32"/>
  <c r="I266" i="32"/>
  <c r="I296" i="32"/>
  <c r="I523" i="32"/>
  <c r="I564" i="32"/>
  <c r="I443" i="32"/>
  <c r="I408" i="32"/>
  <c r="I154" i="32"/>
  <c r="I456" i="32"/>
  <c r="I315" i="32"/>
  <c r="I71" i="32"/>
  <c r="I128" i="32"/>
  <c r="I418" i="32"/>
  <c r="I508" i="32"/>
  <c r="I131" i="32"/>
  <c r="I351" i="32"/>
  <c r="I444" i="32"/>
  <c r="I379" i="32"/>
  <c r="I180" i="32"/>
  <c r="I232" i="32"/>
  <c r="I566" i="32"/>
  <c r="I194" i="32"/>
  <c r="I102" i="32"/>
  <c r="I361" i="32"/>
  <c r="I140" i="32"/>
  <c r="I327" i="32"/>
  <c r="I341" i="32"/>
  <c r="I411" i="32"/>
  <c r="I294" i="32"/>
  <c r="I15" i="32"/>
  <c r="I500" i="32"/>
  <c r="I471" i="32"/>
  <c r="I54" i="32"/>
  <c r="I517" i="32"/>
  <c r="I548" i="32"/>
  <c r="I184" i="32"/>
  <c r="I365" i="32"/>
  <c r="I219" i="32"/>
  <c r="I573" i="32"/>
  <c r="I105" i="32"/>
  <c r="I43" i="32"/>
  <c r="I221" i="32"/>
  <c r="I527" i="32"/>
  <c r="I277" i="32"/>
  <c r="I215" i="32"/>
  <c r="I143" i="32"/>
  <c r="I536" i="32"/>
  <c r="I549" i="32"/>
  <c r="I477" i="32"/>
  <c r="I374" i="32"/>
  <c r="I599" i="32"/>
  <c r="I80" i="32"/>
  <c r="I214" i="32"/>
  <c r="I587" i="32"/>
  <c r="I416" i="32"/>
  <c r="I445" i="32"/>
  <c r="I522" i="32"/>
  <c r="I598" i="32"/>
  <c r="I162" i="32"/>
  <c r="I4" i="32"/>
  <c r="I495" i="32"/>
  <c r="I526" i="32"/>
  <c r="I274" i="32"/>
  <c r="I290" i="32"/>
  <c r="I463" i="32"/>
  <c r="I260" i="32"/>
  <c r="I576" i="32"/>
  <c r="I206" i="32"/>
  <c r="I498" i="32"/>
  <c r="I311" i="32"/>
  <c r="I60" i="32"/>
  <c r="I346" i="32"/>
  <c r="I409" i="32"/>
  <c r="I580" i="32"/>
  <c r="I423" i="32"/>
  <c r="I555" i="32"/>
  <c r="I524" i="32"/>
  <c r="I270" i="32"/>
  <c r="I441" i="32"/>
  <c r="I344" i="32"/>
  <c r="I262" i="32"/>
  <c r="I603" i="32"/>
  <c r="I115" i="32"/>
  <c r="I486" i="32"/>
  <c r="I90" i="32"/>
  <c r="I335" i="32"/>
  <c r="I466" i="32"/>
  <c r="I101" i="32"/>
  <c r="I591" i="32"/>
  <c r="I217" i="32"/>
  <c r="I61" i="32"/>
  <c r="I198" i="32"/>
  <c r="I544" i="32"/>
  <c r="I592" i="32"/>
  <c r="I173" i="32"/>
  <c r="I472" i="32"/>
  <c r="I440" i="32"/>
  <c r="I304" i="32"/>
  <c r="I100" i="32"/>
  <c r="I546" i="32"/>
  <c r="I69" i="32"/>
  <c r="I49" i="32"/>
  <c r="I562" i="32"/>
  <c r="I507" i="32"/>
  <c r="I490" i="32"/>
  <c r="I177" i="32"/>
  <c r="I583" i="32"/>
  <c r="I593" i="32"/>
  <c r="I387" i="32"/>
  <c r="I389" i="32"/>
  <c r="I390" i="32"/>
  <c r="I23" i="32"/>
  <c r="I530" i="32"/>
  <c r="I428" i="32"/>
  <c r="I253" i="32"/>
  <c r="I326" i="32"/>
  <c r="I86" i="32"/>
  <c r="I137" i="32"/>
  <c r="I535" i="32"/>
  <c r="I66" i="32"/>
  <c r="I381" i="32"/>
  <c r="I552" i="32"/>
  <c r="I103" i="32"/>
  <c r="I352" i="32"/>
  <c r="I363" i="32"/>
  <c r="I127" i="32"/>
  <c r="I85" i="32"/>
  <c r="I94" i="32"/>
  <c r="I141" i="32"/>
  <c r="I204" i="32"/>
  <c r="I179" i="32"/>
  <c r="I98" i="32"/>
  <c r="I318" i="32"/>
  <c r="I414" i="32"/>
  <c r="I14" i="32"/>
  <c r="I196" i="32"/>
  <c r="I44" i="32"/>
  <c r="I556" i="32"/>
  <c r="I158" i="32"/>
  <c r="I333" i="32"/>
  <c r="I479" i="32"/>
  <c r="I470" i="32"/>
  <c r="I197" i="32"/>
  <c r="I150" i="32"/>
  <c r="I480" i="32"/>
  <c r="I308" i="32"/>
  <c r="I558" i="32"/>
  <c r="I405" i="32"/>
  <c r="I375" i="32"/>
  <c r="I48" i="32"/>
  <c r="I392" i="32"/>
  <c r="I588" i="32"/>
  <c r="I238" i="32"/>
  <c r="I503" i="32"/>
  <c r="I227" i="32"/>
  <c r="I385" i="32"/>
  <c r="I281" i="32"/>
  <c r="I298" i="32"/>
  <c r="I476" i="32"/>
  <c r="I474" i="32"/>
  <c r="I36" i="32"/>
  <c r="I579" i="32"/>
  <c r="I186" i="32"/>
  <c r="I278" i="32"/>
  <c r="I532" i="32"/>
  <c r="I132" i="32"/>
  <c r="I394" i="32"/>
  <c r="I286" i="32"/>
  <c r="I95" i="32"/>
  <c r="I289" i="32"/>
  <c r="I191" i="32"/>
  <c r="I322" i="32"/>
  <c r="I424" i="32"/>
  <c r="I413" i="32"/>
  <c r="I299" i="32"/>
  <c r="I18" i="32"/>
  <c r="I309" i="32"/>
  <c r="I572" i="32"/>
  <c r="I252" i="32"/>
  <c r="I350" i="32"/>
  <c r="I138" i="32"/>
  <c r="I316" i="32"/>
  <c r="I190" i="32"/>
  <c r="I511" i="32"/>
  <c r="I366" i="32"/>
  <c r="I156" i="32"/>
  <c r="I475" i="32"/>
  <c r="I415" i="32"/>
  <c r="I208" i="32"/>
  <c r="I87" i="32"/>
  <c r="I515" i="32"/>
  <c r="I247" i="32"/>
  <c r="I220" i="32"/>
  <c r="I202" i="32"/>
  <c r="I550" i="32"/>
  <c r="I481" i="32"/>
  <c r="I369" i="32"/>
  <c r="I146" i="32"/>
  <c r="I362" i="32"/>
  <c r="I183" i="32"/>
  <c r="I459" i="32"/>
  <c r="I287" i="32"/>
  <c r="I123" i="32"/>
  <c r="I420" i="32"/>
  <c r="I113" i="32"/>
  <c r="I226" i="32"/>
  <c r="I609" i="32"/>
  <c r="I52" i="32"/>
  <c r="I505" i="32"/>
  <c r="I228" i="32"/>
  <c r="I91" i="32"/>
  <c r="I453" i="32"/>
  <c r="I50" i="32"/>
  <c r="I291" i="32"/>
  <c r="I429" i="32"/>
  <c r="I168" i="32"/>
  <c r="I11" i="32"/>
  <c r="I265" i="32"/>
  <c r="I171" i="32"/>
  <c r="I493" i="32"/>
  <c r="I608" i="32"/>
  <c r="I360" i="32"/>
  <c r="I250" i="32"/>
  <c r="I2" i="32"/>
  <c r="I269" i="32"/>
  <c r="I348" i="32"/>
  <c r="I323" i="32"/>
  <c r="I275" i="32"/>
  <c r="I70" i="32"/>
  <c r="I72" i="32"/>
  <c r="I84" i="32"/>
  <c r="I147" i="32"/>
  <c r="I553" i="32"/>
  <c r="I117" i="32"/>
  <c r="I79" i="32"/>
  <c r="I77" i="32"/>
  <c r="I448" i="32"/>
  <c r="I125" i="32"/>
  <c r="I571" i="32"/>
  <c r="I12" i="32"/>
  <c r="I159" i="32"/>
  <c r="I65" i="32"/>
  <c r="I597" i="32"/>
  <c r="I210" i="32"/>
  <c r="I161" i="32"/>
  <c r="I528" i="32"/>
  <c r="I574" i="32"/>
  <c r="I519" i="32"/>
  <c r="I107" i="32"/>
  <c r="I512" i="32"/>
  <c r="I406" i="32"/>
  <c r="I181" i="32"/>
  <c r="I59" i="32"/>
  <c r="I358" i="32"/>
  <c r="I53" i="32"/>
  <c r="I240" i="32"/>
  <c r="I93" i="32"/>
  <c r="I578" i="32"/>
  <c r="I312" i="32"/>
  <c r="I425" i="32"/>
  <c r="I557" i="32"/>
  <c r="I355" i="32"/>
  <c r="I284" i="32"/>
  <c r="I64" i="32"/>
  <c r="I249" i="32"/>
  <c r="I398" i="32"/>
  <c r="I452" i="32"/>
  <c r="I537" i="32"/>
  <c r="I589" i="32"/>
  <c r="I185" i="32"/>
  <c r="I489" i="32"/>
  <c r="I435" i="32"/>
  <c r="I488" i="32"/>
  <c r="I129" i="32"/>
  <c r="I462" i="32"/>
  <c r="I439" i="32"/>
  <c r="I31" i="32"/>
  <c r="I276" i="32"/>
  <c r="I165" i="32"/>
  <c r="I118" i="32"/>
  <c r="I338" i="32"/>
  <c r="I51" i="32"/>
  <c r="I213" i="32"/>
  <c r="I25" i="32"/>
  <c r="I533" i="32"/>
  <c r="I410" i="32"/>
  <c r="I585" i="32"/>
  <c r="I529" i="32"/>
  <c r="I88" i="32"/>
  <c r="I399" i="32"/>
  <c r="I209" i="32"/>
  <c r="I244" i="32"/>
  <c r="I473" i="32"/>
  <c r="I245" i="32"/>
  <c r="I175" i="32"/>
  <c r="I76" i="32"/>
  <c r="I230" i="32"/>
  <c r="I434" i="32"/>
  <c r="I19" i="32"/>
  <c r="I367" i="32"/>
  <c r="I133" i="32"/>
  <c r="I345" i="32"/>
  <c r="I7" i="32"/>
  <c r="I212" i="32"/>
  <c r="I272" i="32"/>
  <c r="I35" i="32"/>
  <c r="I148" i="32"/>
  <c r="I192" i="32"/>
  <c r="I26" i="32"/>
  <c r="I364" i="32"/>
  <c r="I8" i="32"/>
  <c r="I236" i="32"/>
  <c r="I112" i="32"/>
  <c r="I436" i="32"/>
  <c r="I40" i="32"/>
  <c r="I74" i="32"/>
  <c r="I30" i="32"/>
  <c r="I163" i="32"/>
  <c r="I514" i="32"/>
  <c r="I402" i="32"/>
  <c r="I380" i="32"/>
  <c r="I540" i="32"/>
  <c r="I422" i="32"/>
  <c r="I169" i="32"/>
  <c r="I293" i="32"/>
  <c r="I501" i="32"/>
  <c r="I446" i="32"/>
  <c r="I353" i="32"/>
  <c r="I404" i="32"/>
  <c r="I482" i="32"/>
  <c r="I610" i="32"/>
  <c r="I605" i="32"/>
  <c r="I421" i="32"/>
  <c r="I604" i="32"/>
  <c r="I63" i="32"/>
  <c r="I259" i="32"/>
  <c r="I559" i="32"/>
  <c r="I273" i="32"/>
  <c r="I460" i="32"/>
  <c r="I82" i="32"/>
  <c r="I518" i="32"/>
  <c r="I188" i="32"/>
  <c r="I595" i="32"/>
  <c r="I513" i="32"/>
  <c r="I73" i="32"/>
  <c r="I189" i="32"/>
  <c r="I157" i="32"/>
  <c r="I22" i="32"/>
  <c r="I582" i="32"/>
  <c r="I160" i="32"/>
  <c r="I442" i="32"/>
  <c r="I258" i="32"/>
  <c r="I377" i="32"/>
  <c r="I395" i="32"/>
  <c r="I386" i="32"/>
  <c r="I229" i="32"/>
  <c r="I33" i="32"/>
  <c r="I152" i="32"/>
  <c r="I203" i="32"/>
  <c r="I569" i="32"/>
  <c r="I427" i="32"/>
  <c r="I306" i="32"/>
  <c r="I496" i="32"/>
  <c r="I563" i="32"/>
  <c r="I75" i="32"/>
  <c r="I543" i="32"/>
  <c r="I248" i="32"/>
  <c r="I99" i="32"/>
  <c r="I331" i="32"/>
  <c r="I182" i="32"/>
  <c r="I254" i="32"/>
  <c r="I492" i="32"/>
  <c r="I285" i="32"/>
  <c r="I109" i="32"/>
  <c r="I521" i="32"/>
  <c r="I199" i="32"/>
  <c r="I218" i="32"/>
  <c r="D37" i="18"/>
  <c r="D174" i="5"/>
  <c r="A243" i="29"/>
  <c r="B255" i="29" s="1" a="1"/>
  <c r="B255" i="29" s="1"/>
  <c r="E255" i="29" s="1"/>
  <c r="B261" i="29" a="1"/>
  <c r="B261" i="29" s="1"/>
  <c r="C261" i="29" s="1"/>
  <c r="D261" i="29" s="1"/>
  <c r="B256" i="29" a="1"/>
  <c r="B256" i="29" s="1"/>
  <c r="E256" i="29" s="1"/>
  <c r="B252" i="29" a="1"/>
  <c r="B252" i="29" s="1"/>
  <c r="C252" i="29" s="1"/>
  <c r="B250" i="29" a="1"/>
  <c r="B250" i="29" s="1"/>
  <c r="E250" i="29" s="1"/>
  <c r="B249" i="29" a="1"/>
  <c r="B249" i="29" s="1"/>
  <c r="C249" i="29" s="1"/>
  <c r="D249" i="29" s="1"/>
  <c r="B246" i="29" a="1"/>
  <c r="B246" i="29" s="1"/>
  <c r="A246" i="29" s="1"/>
  <c r="B245" i="29" a="1"/>
  <c r="B245" i="29" s="1"/>
  <c r="E245" i="29" s="1"/>
  <c r="G219" i="29"/>
  <c r="H237" i="29" s="1" a="1"/>
  <c r="H237" i="29" s="1"/>
  <c r="I237" i="29" s="1"/>
  <c r="J237" i="29" s="1"/>
  <c r="H240" i="29" a="1"/>
  <c r="H240" i="29" s="1"/>
  <c r="G240" i="29" s="1"/>
  <c r="A219" i="29"/>
  <c r="H239" i="29" a="1"/>
  <c r="H239" i="29" s="1"/>
  <c r="K239" i="29" s="1"/>
  <c r="B239" i="29" a="1"/>
  <c r="B239" i="29" s="1"/>
  <c r="E239" i="29" s="1"/>
  <c r="H238" i="29" a="1"/>
  <c r="H238" i="29" s="1"/>
  <c r="B238" i="29" a="1"/>
  <c r="B238" i="29" s="1"/>
  <c r="E238" i="29" s="1"/>
  <c r="B237" i="29" a="1"/>
  <c r="B237" i="29" s="1"/>
  <c r="E237" i="29" s="1"/>
  <c r="H236" i="29" a="1"/>
  <c r="H236" i="29" s="1"/>
  <c r="H235" i="29" a="1"/>
  <c r="H235" i="29" s="1"/>
  <c r="I235" i="29" s="1"/>
  <c r="J235" i="29" s="1"/>
  <c r="B235" i="29" a="1"/>
  <c r="B235" i="29" s="1"/>
  <c r="E235" i="29" s="1"/>
  <c r="H234" i="29" a="1"/>
  <c r="H234" i="29" s="1"/>
  <c r="K234" i="29" s="1"/>
  <c r="B233" i="29" a="1"/>
  <c r="B233" i="29" s="1"/>
  <c r="C233" i="29" s="1"/>
  <c r="D233" i="29" s="1"/>
  <c r="H232" i="29" a="1"/>
  <c r="H232" i="29" s="1"/>
  <c r="H231" i="29" a="1"/>
  <c r="H231" i="29" s="1"/>
  <c r="K231" i="29" s="1"/>
  <c r="B231" i="29" a="1"/>
  <c r="B231" i="29" s="1"/>
  <c r="C231" i="29" s="1"/>
  <c r="H230" i="29" a="1"/>
  <c r="H230" i="29" s="1"/>
  <c r="B230" i="29" a="1"/>
  <c r="B230" i="29" s="1"/>
  <c r="C230" i="29" s="1"/>
  <c r="B229" i="29" a="1"/>
  <c r="B229" i="29" s="1"/>
  <c r="A229" i="29" s="1"/>
  <c r="H228" i="29" a="1"/>
  <c r="H228" i="29" s="1"/>
  <c r="H227" i="29" a="1"/>
  <c r="H227" i="29" s="1"/>
  <c r="G227" i="29" s="1"/>
  <c r="H226" i="29" a="1"/>
  <c r="H226" i="29" s="1"/>
  <c r="K226" i="29" s="1"/>
  <c r="B225" i="29" a="1"/>
  <c r="B225" i="29" s="1"/>
  <c r="E225" i="29" s="1"/>
  <c r="H224" i="29" a="1"/>
  <c r="H224" i="29" s="1"/>
  <c r="G224" i="29" s="1"/>
  <c r="H223" i="29" a="1"/>
  <c r="H223" i="29" s="1"/>
  <c r="B223" i="29" a="1"/>
  <c r="B223" i="29" s="1"/>
  <c r="H222" i="29" a="1"/>
  <c r="H222" i="29" s="1"/>
  <c r="G222" i="29" s="1"/>
  <c r="B221" i="29" a="1"/>
  <c r="B221" i="29" s="1"/>
  <c r="A221" i="29" s="1"/>
  <c r="G195" i="29"/>
  <c r="A195" i="29"/>
  <c r="B214" i="29" s="1" a="1"/>
  <c r="B214" i="29" s="1"/>
  <c r="B215" i="29" a="1"/>
  <c r="B215" i="29" s="1"/>
  <c r="A215" i="29" s="1"/>
  <c r="B216" i="29" a="1"/>
  <c r="B216" i="29" s="1"/>
  <c r="E216" i="29" s="1"/>
  <c r="H213" i="29" a="1"/>
  <c r="H213" i="29" s="1"/>
  <c r="I213" i="29" s="1"/>
  <c r="J213" i="29" s="1"/>
  <c r="B213" i="29" a="1"/>
  <c r="B213" i="29" s="1"/>
  <c r="E213" i="29" s="1"/>
  <c r="B212" i="29" a="1"/>
  <c r="B212" i="29" s="1"/>
  <c r="E212" i="29" s="1"/>
  <c r="B210" i="29" a="1"/>
  <c r="B210" i="29" s="1"/>
  <c r="A210" i="29" s="1"/>
  <c r="B209" i="29" a="1"/>
  <c r="B209" i="29" s="1"/>
  <c r="A209" i="29" s="1"/>
  <c r="B208" i="29" a="1"/>
  <c r="B208" i="29" s="1"/>
  <c r="A208" i="29" s="1"/>
  <c r="B206" i="29" a="1"/>
  <c r="B206" i="29" s="1"/>
  <c r="H205" i="29" a="1"/>
  <c r="H205" i="29" s="1"/>
  <c r="G205" i="29" s="1"/>
  <c r="B205" i="29" a="1"/>
  <c r="B205" i="29" s="1"/>
  <c r="E205" i="29" s="1"/>
  <c r="B204" i="29" a="1"/>
  <c r="B204" i="29" s="1"/>
  <c r="A204" i="29" s="1"/>
  <c r="H203" i="29" a="1"/>
  <c r="H203" i="29" s="1"/>
  <c r="G203" i="29" s="1"/>
  <c r="B202" i="29" a="1"/>
  <c r="B202" i="29" s="1"/>
  <c r="B201" i="29" a="1"/>
  <c r="B201" i="29" s="1"/>
  <c r="C201" i="29" s="1"/>
  <c r="D201" i="29" s="1"/>
  <c r="B200" i="29" a="1"/>
  <c r="B200" i="29" s="1"/>
  <c r="A200" i="29" s="1"/>
  <c r="B198" i="29" a="1"/>
  <c r="B198" i="29" s="1"/>
  <c r="H197" i="29" a="1"/>
  <c r="H197" i="29" s="1"/>
  <c r="B197" i="29" a="1"/>
  <c r="B197" i="29" s="1"/>
  <c r="A197" i="29" s="1"/>
  <c r="G171" i="29"/>
  <c r="H186" i="29" s="1" a="1"/>
  <c r="H186" i="29" s="1"/>
  <c r="I186" i="29" s="1"/>
  <c r="J186" i="29" s="1"/>
  <c r="H189" i="29" a="1"/>
  <c r="H189" i="29" s="1"/>
  <c r="G189" i="29" s="1"/>
  <c r="H192" i="29" a="1"/>
  <c r="H192" i="29" s="1"/>
  <c r="A171" i="29"/>
  <c r="B183" i="29" s="1" a="1"/>
  <c r="B183" i="29" s="1"/>
  <c r="C183" i="29" s="1"/>
  <c r="D183" i="29" s="1"/>
  <c r="H191" i="29" a="1"/>
  <c r="H191" i="29" s="1"/>
  <c r="I191" i="29" s="1"/>
  <c r="J191" i="29" s="1"/>
  <c r="H190" i="29" a="1"/>
  <c r="H190" i="29" s="1"/>
  <c r="K190" i="29" s="1"/>
  <c r="H188" i="29" a="1"/>
  <c r="H188" i="29" s="1"/>
  <c r="G188" i="29" s="1"/>
  <c r="H187" i="29" a="1"/>
  <c r="H187" i="29" s="1"/>
  <c r="B185" i="29" a="1"/>
  <c r="B185" i="29" s="1"/>
  <c r="C185" i="29" s="1"/>
  <c r="D185" i="29" s="1"/>
  <c r="H183" i="29" a="1"/>
  <c r="H183" i="29" s="1"/>
  <c r="I183" i="29" s="1"/>
  <c r="H182" i="29" a="1"/>
  <c r="H182" i="29" s="1"/>
  <c r="G182" i="29" s="1"/>
  <c r="H180" i="29" a="1"/>
  <c r="H180" i="29" s="1"/>
  <c r="K180" i="29" s="1"/>
  <c r="H179" i="29" a="1"/>
  <c r="H179" i="29" s="1"/>
  <c r="H178" i="29" a="1"/>
  <c r="H178" i="29" s="1"/>
  <c r="G178" i="29" s="1"/>
  <c r="H175" i="29" a="1"/>
  <c r="H175" i="29" s="1"/>
  <c r="G175" i="29" s="1"/>
  <c r="B175" i="29" a="1"/>
  <c r="B175" i="29" s="1"/>
  <c r="C175" i="29" s="1"/>
  <c r="H174" i="29" a="1"/>
  <c r="H174" i="29" s="1"/>
  <c r="B174" i="29" a="1"/>
  <c r="B174" i="29" s="1"/>
  <c r="C174" i="29" s="1"/>
  <c r="D174" i="29" s="1"/>
  <c r="G147" i="29"/>
  <c r="H160" i="29" s="1" a="1"/>
  <c r="H160" i="29" s="1"/>
  <c r="I160" i="29" s="1"/>
  <c r="A147" i="29"/>
  <c r="B168" i="29" s="1" a="1"/>
  <c r="B168" i="29" s="1"/>
  <c r="A168" i="29" s="1"/>
  <c r="H159" i="29" a="1"/>
  <c r="H159" i="29" s="1"/>
  <c r="B154" i="29" a="1"/>
  <c r="B154" i="29" s="1"/>
  <c r="E154" i="29" s="1"/>
  <c r="G123" i="29"/>
  <c r="A123" i="29"/>
  <c r="B141" i="29" s="1" a="1"/>
  <c r="B141" i="29" s="1"/>
  <c r="E141" i="29" s="1"/>
  <c r="B142" i="29" a="1"/>
  <c r="B142" i="29" s="1"/>
  <c r="E142" i="29" s="1"/>
  <c r="B136" i="29" a="1"/>
  <c r="B136" i="29" s="1"/>
  <c r="A136" i="29" s="1"/>
  <c r="B126" i="29" a="1"/>
  <c r="B126" i="29" s="1"/>
  <c r="G99" i="29"/>
  <c r="H109" i="29" s="1" a="1"/>
  <c r="H109" i="29" s="1"/>
  <c r="I109" i="29" s="1"/>
  <c r="J109" i="29" s="1"/>
  <c r="A99" i="29"/>
  <c r="B109" i="29" s="1" a="1"/>
  <c r="B109" i="29" s="1"/>
  <c r="A109" i="29" s="1"/>
  <c r="B111" i="29" a="1"/>
  <c r="B111" i="29" s="1"/>
  <c r="E111" i="29" s="1"/>
  <c r="G75" i="29"/>
  <c r="H96" i="29" s="1" a="1"/>
  <c r="H96" i="29" s="1"/>
  <c r="I96" i="29" s="1"/>
  <c r="J96" i="29" s="1"/>
  <c r="A75" i="29"/>
  <c r="B96" i="29" s="1" a="1"/>
  <c r="B96" i="29" s="1"/>
  <c r="A96" i="29" s="1"/>
  <c r="G51" i="29"/>
  <c r="H72" i="29" s="1" a="1"/>
  <c r="H72" i="29" s="1"/>
  <c r="I72" i="29" s="1"/>
  <c r="J72" i="29" s="1"/>
  <c r="A51" i="29"/>
  <c r="B57" i="29" s="1" a="1"/>
  <c r="B57" i="29" s="1"/>
  <c r="G27" i="29"/>
  <c r="H37" i="29" s="1" a="1"/>
  <c r="H37" i="29" s="1"/>
  <c r="I37" i="29" s="1"/>
  <c r="A27" i="29"/>
  <c r="B36" i="29" s="1" a="1"/>
  <c r="B36" i="29" s="1"/>
  <c r="A36" i="29" s="1"/>
  <c r="H39" i="29" a="1"/>
  <c r="H39" i="29" s="1"/>
  <c r="K39" i="29" s="1"/>
  <c r="B38" i="29" a="1"/>
  <c r="B38" i="29" s="1"/>
  <c r="A38" i="29" s="1"/>
  <c r="H29" i="29" a="1"/>
  <c r="H29" i="29" s="1"/>
  <c r="U22" i="29"/>
  <c r="T22" i="29"/>
  <c r="S22" i="29"/>
  <c r="R22" i="29"/>
  <c r="Q22" i="29"/>
  <c r="P22" i="29"/>
  <c r="O22" i="29"/>
  <c r="N22" i="29"/>
  <c r="M22" i="29"/>
  <c r="L22" i="29"/>
  <c r="I22" i="29"/>
  <c r="D10" i="1"/>
  <c r="F4" i="1" s="1"/>
  <c r="B22" i="29" a="1"/>
  <c r="B22" i="29" s="1"/>
  <c r="U21" i="29"/>
  <c r="T21" i="29"/>
  <c r="S21" i="29"/>
  <c r="R21" i="29"/>
  <c r="Q21" i="29"/>
  <c r="P21" i="29"/>
  <c r="O21" i="29"/>
  <c r="N21" i="29"/>
  <c r="M21" i="29"/>
  <c r="L21" i="29"/>
  <c r="I21" i="29"/>
  <c r="B21" i="29" a="1"/>
  <c r="B21" i="29" s="1"/>
  <c r="C21" i="29" s="1"/>
  <c r="D21" i="29" s="1"/>
  <c r="U20" i="29"/>
  <c r="T20" i="29"/>
  <c r="S20" i="29"/>
  <c r="R20" i="29"/>
  <c r="Q20" i="29"/>
  <c r="P20" i="29"/>
  <c r="O20" i="29"/>
  <c r="N20" i="29"/>
  <c r="M20" i="29"/>
  <c r="L20" i="29"/>
  <c r="I20" i="29"/>
  <c r="B20" i="29" a="1"/>
  <c r="B20" i="29" s="1"/>
  <c r="U19" i="29"/>
  <c r="T19" i="29"/>
  <c r="S19" i="29"/>
  <c r="R19" i="29"/>
  <c r="Q19" i="29"/>
  <c r="P19" i="29"/>
  <c r="O19" i="29"/>
  <c r="N19" i="29"/>
  <c r="M19" i="29"/>
  <c r="L19" i="29"/>
  <c r="I19" i="29"/>
  <c r="B19" i="29" a="1"/>
  <c r="B19" i="29" s="1"/>
  <c r="E19" i="29" s="1"/>
  <c r="U18" i="29"/>
  <c r="T18" i="29"/>
  <c r="S18" i="29"/>
  <c r="R18" i="29"/>
  <c r="Q18" i="29"/>
  <c r="P18" i="29"/>
  <c r="O18" i="29"/>
  <c r="N18" i="29"/>
  <c r="M18" i="29"/>
  <c r="L18" i="29"/>
  <c r="I18" i="29"/>
  <c r="B18" i="29" a="1"/>
  <c r="B18" i="29" s="1"/>
  <c r="U17" i="29"/>
  <c r="T17" i="29"/>
  <c r="S17" i="29"/>
  <c r="R17" i="29"/>
  <c r="Q17" i="29"/>
  <c r="P17" i="29"/>
  <c r="O17" i="29"/>
  <c r="N17" i="29"/>
  <c r="M17" i="29"/>
  <c r="L17" i="29"/>
  <c r="I17" i="29"/>
  <c r="B17" i="29" a="1"/>
  <c r="B17" i="29" s="1"/>
  <c r="U16" i="29"/>
  <c r="T16" i="29"/>
  <c r="S16" i="29"/>
  <c r="R16" i="29"/>
  <c r="Q16" i="29"/>
  <c r="P16" i="29"/>
  <c r="O16" i="29"/>
  <c r="N16" i="29"/>
  <c r="M16" i="29"/>
  <c r="L16" i="29"/>
  <c r="I16" i="29"/>
  <c r="B16" i="29" a="1"/>
  <c r="B16" i="29" s="1"/>
  <c r="U15" i="29"/>
  <c r="T15" i="29"/>
  <c r="S15" i="29"/>
  <c r="R15" i="29"/>
  <c r="Q15" i="29"/>
  <c r="P15" i="29"/>
  <c r="O15" i="29"/>
  <c r="N15" i="29"/>
  <c r="M15" i="29"/>
  <c r="L15" i="29"/>
  <c r="I15" i="29"/>
  <c r="B15" i="29" a="1"/>
  <c r="B15" i="29" s="1"/>
  <c r="C15" i="29" s="1"/>
  <c r="D15" i="29" s="1"/>
  <c r="U14" i="29"/>
  <c r="T14" i="29"/>
  <c r="S14" i="29"/>
  <c r="R14" i="29"/>
  <c r="Q14" i="29"/>
  <c r="P14" i="29"/>
  <c r="O14" i="29"/>
  <c r="N14" i="29"/>
  <c r="M14" i="29"/>
  <c r="L14" i="29"/>
  <c r="I14" i="29"/>
  <c r="B14" i="29" a="1"/>
  <c r="B14" i="29" s="1"/>
  <c r="C14" i="29" s="1"/>
  <c r="D14" i="29" s="1"/>
  <c r="U13" i="29"/>
  <c r="T13" i="29"/>
  <c r="S13" i="29"/>
  <c r="R13" i="29"/>
  <c r="Q13" i="29"/>
  <c r="P13" i="29"/>
  <c r="O13" i="29"/>
  <c r="N13" i="29"/>
  <c r="M13" i="29"/>
  <c r="L13" i="29"/>
  <c r="I13" i="29"/>
  <c r="B13" i="29" a="1"/>
  <c r="B13" i="29" s="1"/>
  <c r="U12" i="29"/>
  <c r="T12" i="29"/>
  <c r="S12" i="29"/>
  <c r="R12" i="29"/>
  <c r="Q12" i="29"/>
  <c r="P12" i="29"/>
  <c r="O12" i="29"/>
  <c r="N12" i="29"/>
  <c r="M12" i="29"/>
  <c r="L12" i="29"/>
  <c r="I12" i="29"/>
  <c r="B12" i="29" a="1"/>
  <c r="B12" i="29" s="1"/>
  <c r="U11" i="29"/>
  <c r="T11" i="29"/>
  <c r="S11" i="29"/>
  <c r="R11" i="29"/>
  <c r="Q11" i="29"/>
  <c r="P11" i="29"/>
  <c r="O11" i="29"/>
  <c r="N11" i="29"/>
  <c r="M11" i="29"/>
  <c r="L11" i="29"/>
  <c r="I11" i="29"/>
  <c r="B11" i="29" a="1"/>
  <c r="B11" i="29" s="1"/>
  <c r="U10" i="29"/>
  <c r="T10" i="29"/>
  <c r="S10" i="29"/>
  <c r="R10" i="29"/>
  <c r="Q10" i="29"/>
  <c r="P10" i="29"/>
  <c r="O10" i="29"/>
  <c r="N10" i="29"/>
  <c r="M10" i="29"/>
  <c r="L10" i="29"/>
  <c r="I10" i="29"/>
  <c r="B10" i="29" a="1"/>
  <c r="B10" i="29" s="1"/>
  <c r="A10" i="29" s="1"/>
  <c r="U9" i="29"/>
  <c r="T9" i="29"/>
  <c r="S9" i="29"/>
  <c r="R9" i="29"/>
  <c r="Q9" i="29"/>
  <c r="P9" i="29"/>
  <c r="O9" i="29"/>
  <c r="N9" i="29"/>
  <c r="M9" i="29"/>
  <c r="L9" i="29"/>
  <c r="I9" i="29"/>
  <c r="B9" i="29" a="1"/>
  <c r="B9" i="29" s="1"/>
  <c r="U8" i="29"/>
  <c r="T8" i="29"/>
  <c r="S8" i="29"/>
  <c r="R8" i="29"/>
  <c r="Q8" i="29"/>
  <c r="P8" i="29"/>
  <c r="O8" i="29"/>
  <c r="N8" i="29"/>
  <c r="M8" i="29"/>
  <c r="L8" i="29"/>
  <c r="I8" i="29"/>
  <c r="B8" i="29" a="1"/>
  <c r="B8" i="29" s="1"/>
  <c r="A8" i="29" s="1"/>
  <c r="U7" i="29"/>
  <c r="T7" i="29"/>
  <c r="S7" i="29"/>
  <c r="R7" i="29"/>
  <c r="Q7" i="29"/>
  <c r="P7" i="29"/>
  <c r="O7" i="29"/>
  <c r="N7" i="29"/>
  <c r="M7" i="29"/>
  <c r="L7" i="29"/>
  <c r="I7" i="29"/>
  <c r="B7" i="29" a="1"/>
  <c r="B7" i="29" s="1"/>
  <c r="U6" i="29"/>
  <c r="T6" i="29"/>
  <c r="S6" i="29"/>
  <c r="R6" i="29"/>
  <c r="Q6" i="29"/>
  <c r="P6" i="29"/>
  <c r="O6" i="29"/>
  <c r="N6" i="29"/>
  <c r="M6" i="29"/>
  <c r="L6" i="29"/>
  <c r="I6" i="29"/>
  <c r="B6" i="29" a="1"/>
  <c r="B6" i="29" s="1"/>
  <c r="U5" i="29"/>
  <c r="T5" i="29"/>
  <c r="S5" i="29"/>
  <c r="R5" i="29"/>
  <c r="Q5" i="29"/>
  <c r="P5" i="29"/>
  <c r="O5" i="29"/>
  <c r="N5" i="29"/>
  <c r="M5" i="29"/>
  <c r="L5" i="29"/>
  <c r="I5" i="29"/>
  <c r="B5" i="29" a="1"/>
  <c r="B5" i="29" s="1"/>
  <c r="U4" i="29"/>
  <c r="T4" i="29"/>
  <c r="S4" i="29"/>
  <c r="R4" i="29"/>
  <c r="Q4" i="29"/>
  <c r="P4" i="29"/>
  <c r="O4" i="29"/>
  <c r="N4" i="29"/>
  <c r="M4" i="29"/>
  <c r="L4" i="29"/>
  <c r="I4" i="29"/>
  <c r="B4" i="29" a="1"/>
  <c r="B4" i="29" s="1"/>
  <c r="U3" i="29"/>
  <c r="T3" i="29"/>
  <c r="S3" i="29"/>
  <c r="R3" i="29"/>
  <c r="Q3" i="29"/>
  <c r="P3" i="29"/>
  <c r="O3" i="29"/>
  <c r="N3" i="29"/>
  <c r="M3" i="29"/>
  <c r="L3" i="29"/>
  <c r="I3" i="29"/>
  <c r="B3" i="29" a="1"/>
  <c r="B3" i="29" s="1"/>
  <c r="H2" i="1"/>
  <c r="D11" i="1" s="1"/>
  <c r="D36" i="18"/>
  <c r="D112" i="3"/>
  <c r="D107" i="3"/>
  <c r="D119" i="3"/>
  <c r="D118" i="3"/>
  <c r="D116" i="3"/>
  <c r="D111" i="3"/>
  <c r="D120" i="3"/>
  <c r="D114" i="3"/>
  <c r="D115" i="3"/>
  <c r="D122" i="3"/>
  <c r="D117" i="3"/>
  <c r="D123" i="3"/>
  <c r="D121" i="3"/>
  <c r="D125" i="3"/>
  <c r="D124" i="3"/>
  <c r="D126" i="3"/>
  <c r="D127" i="3"/>
  <c r="D128" i="3"/>
  <c r="D129" i="3"/>
  <c r="D203" i="4"/>
  <c r="D207" i="4"/>
  <c r="D217" i="4"/>
  <c r="D199" i="4"/>
  <c r="D204" i="4"/>
  <c r="D201" i="4"/>
  <c r="D209" i="4"/>
  <c r="D202" i="4"/>
  <c r="D187" i="4"/>
  <c r="D213" i="4"/>
  <c r="D216" i="4"/>
  <c r="D214" i="4"/>
  <c r="D223" i="4"/>
  <c r="D227" i="4"/>
  <c r="D200" i="4"/>
  <c r="D221" i="4"/>
  <c r="D212" i="4"/>
  <c r="D210" i="4"/>
  <c r="D218" i="4"/>
  <c r="D205" i="4"/>
  <c r="D225" i="4"/>
  <c r="D230" i="4"/>
  <c r="D215" i="4"/>
  <c r="D226" i="4"/>
  <c r="D219" i="4"/>
  <c r="D231" i="4"/>
  <c r="D211" i="4"/>
  <c r="D228" i="4"/>
  <c r="D224" i="4"/>
  <c r="D220" i="4"/>
  <c r="D222" i="4"/>
  <c r="D229" i="4"/>
  <c r="D113" i="5"/>
  <c r="D134" i="5"/>
  <c r="D128" i="5"/>
  <c r="D125" i="5"/>
  <c r="D164" i="5"/>
  <c r="D138" i="5"/>
  <c r="D149" i="5"/>
  <c r="D161" i="5"/>
  <c r="D65" i="5"/>
  <c r="D61" i="5"/>
  <c r="D148" i="5"/>
  <c r="D145" i="5"/>
  <c r="D157" i="5"/>
  <c r="D162" i="5"/>
  <c r="D135" i="5"/>
  <c r="D146" i="5"/>
  <c r="D160" i="5"/>
  <c r="D5" i="3"/>
  <c r="C38" i="28" s="1"/>
  <c r="D4" i="3"/>
  <c r="D7" i="3"/>
  <c r="D6" i="3"/>
  <c r="D10" i="3"/>
  <c r="D9" i="3"/>
  <c r="D12" i="3"/>
  <c r="C46" i="28" s="1"/>
  <c r="D11" i="3"/>
  <c r="D13" i="3"/>
  <c r="C48" i="28" s="1"/>
  <c r="D8" i="3"/>
  <c r="C42" i="28" s="1"/>
  <c r="D17" i="3"/>
  <c r="D14" i="3"/>
  <c r="D15" i="3"/>
  <c r="D16" i="3"/>
  <c r="D18" i="3"/>
  <c r="D20" i="3"/>
  <c r="D19" i="3"/>
  <c r="C54" i="28" s="1"/>
  <c r="D23" i="3"/>
  <c r="C55" i="28" s="1"/>
  <c r="D21" i="3"/>
  <c r="D22" i="3"/>
  <c r="D25" i="3"/>
  <c r="D24" i="3"/>
  <c r="C58" i="28" s="1"/>
  <c r="D28" i="3"/>
  <c r="C64" i="28" s="1"/>
  <c r="D26" i="3"/>
  <c r="D27" i="3"/>
  <c r="C62" i="28" s="1"/>
  <c r="D31" i="3"/>
  <c r="D30" i="3"/>
  <c r="D29" i="3"/>
  <c r="D36" i="3"/>
  <c r="D33" i="3"/>
  <c r="D32" i="3"/>
  <c r="D34" i="3"/>
  <c r="D35" i="3"/>
  <c r="D37" i="3"/>
  <c r="D40" i="3"/>
  <c r="D39" i="3"/>
  <c r="D38" i="3"/>
  <c r="D42" i="3"/>
  <c r="D46" i="3"/>
  <c r="D41" i="3"/>
  <c r="D43" i="3"/>
  <c r="D44" i="3"/>
  <c r="D49" i="3"/>
  <c r="D51" i="3"/>
  <c r="D48" i="3"/>
  <c r="D45" i="3"/>
  <c r="D53" i="3"/>
  <c r="D54" i="3"/>
  <c r="D50" i="3"/>
  <c r="D47" i="3"/>
  <c r="D52" i="3"/>
  <c r="D56" i="3"/>
  <c r="D62" i="3"/>
  <c r="D63" i="3"/>
  <c r="D59" i="3"/>
  <c r="D55" i="3"/>
  <c r="D58" i="3"/>
  <c r="D57" i="3"/>
  <c r="D61" i="3"/>
  <c r="D60" i="3"/>
  <c r="D67" i="3"/>
  <c r="D64" i="3"/>
  <c r="D65" i="3"/>
  <c r="D66" i="3"/>
  <c r="D68" i="3"/>
  <c r="D70" i="3"/>
  <c r="D72" i="3"/>
  <c r="D75" i="3"/>
  <c r="D71" i="3"/>
  <c r="D73" i="3"/>
  <c r="D69" i="3"/>
  <c r="D78" i="3"/>
  <c r="D79" i="3"/>
  <c r="D85" i="3"/>
  <c r="D74" i="3"/>
  <c r="D83" i="3"/>
  <c r="D81" i="3"/>
  <c r="D87" i="3"/>
  <c r="D76" i="3"/>
  <c r="D80" i="3"/>
  <c r="D82" i="3"/>
  <c r="D84" i="3"/>
  <c r="D77" i="3"/>
  <c r="D86" i="3"/>
  <c r="D88" i="3"/>
  <c r="D90" i="3"/>
  <c r="D98" i="3"/>
  <c r="D89" i="3"/>
  <c r="D92" i="3"/>
  <c r="D95" i="3"/>
  <c r="D93" i="3"/>
  <c r="D100" i="3"/>
  <c r="D99" i="3"/>
  <c r="D91" i="3"/>
  <c r="D103" i="3"/>
  <c r="D102" i="3"/>
  <c r="D97" i="3"/>
  <c r="D106" i="3"/>
  <c r="D94" i="3"/>
  <c r="D105" i="3"/>
  <c r="D104" i="3"/>
  <c r="D109" i="3"/>
  <c r="D96" i="3"/>
  <c r="D110" i="3"/>
  <c r="D108" i="3"/>
  <c r="D113" i="3"/>
  <c r="D101" i="3"/>
  <c r="D3" i="3"/>
  <c r="C37" i="28" s="1"/>
  <c r="D3" i="4"/>
  <c r="D5" i="4"/>
  <c r="U7" i="28" s="1"/>
  <c r="D7" i="4"/>
  <c r="U8" i="28" s="1"/>
  <c r="D6" i="4"/>
  <c r="D8" i="4"/>
  <c r="U10" i="28" s="1"/>
  <c r="D10" i="4"/>
  <c r="U12" i="28" s="1"/>
  <c r="D15" i="4"/>
  <c r="D17" i="4"/>
  <c r="D14" i="4"/>
  <c r="D16" i="4"/>
  <c r="D12" i="4"/>
  <c r="D21" i="4"/>
  <c r="U27" i="28" s="1"/>
  <c r="D13" i="4"/>
  <c r="D9" i="4"/>
  <c r="U11" i="28" s="1"/>
  <c r="D11" i="4"/>
  <c r="D24" i="4"/>
  <c r="D18" i="4"/>
  <c r="U20" i="28" s="1"/>
  <c r="D20" i="4"/>
  <c r="D26" i="4"/>
  <c r="U21" i="28" s="1"/>
  <c r="D34" i="4"/>
  <c r="D22" i="4"/>
  <c r="D29" i="4"/>
  <c r="U26" i="28" s="1"/>
  <c r="D23" i="4"/>
  <c r="D19" i="4"/>
  <c r="U23" i="28" s="1"/>
  <c r="D27" i="4"/>
  <c r="D36" i="4"/>
  <c r="D25" i="4"/>
  <c r="D28" i="4"/>
  <c r="D31" i="4"/>
  <c r="D32" i="4"/>
  <c r="D35" i="4"/>
  <c r="D42" i="4"/>
  <c r="D33" i="4"/>
  <c r="D30" i="4"/>
  <c r="D43" i="4"/>
  <c r="D40" i="4"/>
  <c r="D37" i="4"/>
  <c r="D39" i="4"/>
  <c r="D41" i="4"/>
  <c r="D38" i="4"/>
  <c r="U45" i="28" s="1"/>
  <c r="D45" i="4"/>
  <c r="D44" i="4"/>
  <c r="D48" i="4"/>
  <c r="D50" i="4"/>
  <c r="D54" i="4"/>
  <c r="D47" i="4"/>
  <c r="D46" i="4"/>
  <c r="D49" i="4"/>
  <c r="D56" i="4"/>
  <c r="D51" i="4"/>
  <c r="D53" i="4"/>
  <c r="D55" i="4"/>
  <c r="D52" i="4"/>
  <c r="D57" i="4"/>
  <c r="D59" i="4"/>
  <c r="D63" i="4"/>
  <c r="D62" i="4"/>
  <c r="D64" i="4"/>
  <c r="D60" i="4"/>
  <c r="D58" i="4"/>
  <c r="D71" i="4"/>
  <c r="D69" i="4"/>
  <c r="D61" i="4"/>
  <c r="D80" i="4"/>
  <c r="D70" i="4"/>
  <c r="D65" i="4"/>
  <c r="D72" i="4"/>
  <c r="D66" i="4"/>
  <c r="D68" i="4"/>
  <c r="D76" i="4"/>
  <c r="D67" i="4"/>
  <c r="D73" i="4"/>
  <c r="D75" i="4"/>
  <c r="D74" i="4"/>
  <c r="D79" i="4"/>
  <c r="D77" i="4"/>
  <c r="D78" i="4"/>
  <c r="D85" i="4"/>
  <c r="D87" i="4"/>
  <c r="D84" i="4"/>
  <c r="D81" i="4"/>
  <c r="D90" i="4"/>
  <c r="D88" i="4"/>
  <c r="D93" i="4"/>
  <c r="D83" i="4"/>
  <c r="D86" i="4"/>
  <c r="D92" i="4"/>
  <c r="D103" i="4"/>
  <c r="D82" i="4"/>
  <c r="D89" i="4"/>
  <c r="D91" i="4"/>
  <c r="D98" i="4"/>
  <c r="D100" i="4"/>
  <c r="D102" i="4"/>
  <c r="D95" i="4"/>
  <c r="D99" i="4"/>
  <c r="D96" i="4"/>
  <c r="D101" i="4"/>
  <c r="D108" i="4"/>
  <c r="D110" i="4"/>
  <c r="D97" i="4"/>
  <c r="D107" i="4"/>
  <c r="D113" i="4"/>
  <c r="D94" i="4"/>
  <c r="D106" i="4"/>
  <c r="D115" i="4"/>
  <c r="D112" i="4"/>
  <c r="D104" i="4"/>
  <c r="D111" i="4"/>
  <c r="D105" i="4"/>
  <c r="D109" i="4"/>
  <c r="D117" i="4"/>
  <c r="D114" i="4"/>
  <c r="D119" i="4"/>
  <c r="D118" i="4"/>
  <c r="D116" i="4"/>
  <c r="D127" i="4"/>
  <c r="D125" i="4"/>
  <c r="D120" i="4"/>
  <c r="D121" i="4"/>
  <c r="D124" i="4"/>
  <c r="D126" i="4"/>
  <c r="D122" i="4"/>
  <c r="D123" i="4"/>
  <c r="D128" i="4"/>
  <c r="D131" i="4"/>
  <c r="D132" i="4"/>
  <c r="D130" i="4"/>
  <c r="D139" i="4"/>
  <c r="D129" i="4"/>
  <c r="D138" i="4"/>
  <c r="D133" i="4"/>
  <c r="D137" i="4"/>
  <c r="D135" i="4"/>
  <c r="D140" i="4"/>
  <c r="D134" i="4"/>
  <c r="D144" i="4"/>
  <c r="D147" i="4"/>
  <c r="D145" i="4"/>
  <c r="D150" i="4"/>
  <c r="D142" i="4"/>
  <c r="D136" i="4"/>
  <c r="D154" i="4"/>
  <c r="D152" i="4"/>
  <c r="D149" i="4"/>
  <c r="D146" i="4"/>
  <c r="D141" i="4"/>
  <c r="D156" i="4"/>
  <c r="D148" i="4"/>
  <c r="D143" i="4"/>
  <c r="D157" i="4"/>
  <c r="D153" i="4"/>
  <c r="D151" i="4"/>
  <c r="D155" i="4"/>
  <c r="D161" i="4"/>
  <c r="D167" i="4"/>
  <c r="D159" i="4"/>
  <c r="D170" i="4"/>
  <c r="D160" i="4"/>
  <c r="D158" i="4"/>
  <c r="D163" i="4"/>
  <c r="D164" i="4"/>
  <c r="D162" i="4"/>
  <c r="D172" i="4"/>
  <c r="D171" i="4"/>
  <c r="D166" i="4"/>
  <c r="D178" i="4"/>
  <c r="D177" i="4"/>
  <c r="D165" i="4"/>
  <c r="D176" i="4"/>
  <c r="D173" i="4"/>
  <c r="D183" i="4"/>
  <c r="D193" i="4"/>
  <c r="D182" i="4"/>
  <c r="D179" i="4"/>
  <c r="D174" i="4"/>
  <c r="D185" i="4"/>
  <c r="D188" i="4"/>
  <c r="D168" i="4"/>
  <c r="D190" i="4"/>
  <c r="D169" i="4"/>
  <c r="D186" i="4"/>
  <c r="D192" i="4"/>
  <c r="D197" i="4"/>
  <c r="D181" i="4"/>
  <c r="D206" i="4"/>
  <c r="D194" i="4"/>
  <c r="D208" i="4"/>
  <c r="D175" i="4"/>
  <c r="D180" i="4"/>
  <c r="D195" i="4"/>
  <c r="D198" i="4"/>
  <c r="D184" i="4"/>
  <c r="D191" i="4"/>
  <c r="D189" i="4"/>
  <c r="D196" i="4"/>
  <c r="D4" i="4"/>
  <c r="U5" i="28" s="1"/>
  <c r="D3" i="5"/>
  <c r="L5" i="28" s="1"/>
  <c r="D4" i="5"/>
  <c r="L6" i="28" s="1"/>
  <c r="D5" i="5"/>
  <c r="D6" i="5"/>
  <c r="L8" i="28" s="1"/>
  <c r="D7" i="5"/>
  <c r="L9" i="28" s="1"/>
  <c r="D11" i="5"/>
  <c r="L13" i="28" s="1"/>
  <c r="D8" i="5"/>
  <c r="D9" i="5"/>
  <c r="L11" i="28" s="1"/>
  <c r="D12" i="5"/>
  <c r="L15" i="28" s="1"/>
  <c r="D10" i="5"/>
  <c r="L12" i="28" s="1"/>
  <c r="D13" i="5"/>
  <c r="D15" i="5"/>
  <c r="D16" i="5"/>
  <c r="L19" i="28" s="1"/>
  <c r="D22" i="5"/>
  <c r="D14" i="5"/>
  <c r="D18" i="5"/>
  <c r="D17" i="5"/>
  <c r="L17" i="28" s="1"/>
  <c r="D20" i="5"/>
  <c r="D24" i="5"/>
  <c r="D21" i="5"/>
  <c r="D19" i="5"/>
  <c r="D29" i="5"/>
  <c r="D33" i="5"/>
  <c r="D37" i="5"/>
  <c r="D34" i="5"/>
  <c r="D38" i="5"/>
  <c r="D23" i="5"/>
  <c r="D26" i="5"/>
  <c r="D35" i="5"/>
  <c r="D25" i="5"/>
  <c r="L27" i="28" s="1"/>
  <c r="D27" i="5"/>
  <c r="L29" i="28" s="1"/>
  <c r="D43" i="5"/>
  <c r="D28" i="5"/>
  <c r="L31" i="28" s="1"/>
  <c r="D41" i="5"/>
  <c r="D32" i="5"/>
  <c r="D45" i="5"/>
  <c r="D36" i="5"/>
  <c r="L32" i="28" s="1"/>
  <c r="D30" i="5"/>
  <c r="D42" i="5"/>
  <c r="D40" i="5"/>
  <c r="D48" i="5"/>
  <c r="D31" i="5"/>
  <c r="L37" i="28" s="1"/>
  <c r="D39" i="5"/>
  <c r="D44" i="5"/>
  <c r="D46" i="5"/>
  <c r="D49" i="5"/>
  <c r="D47" i="5"/>
  <c r="D62" i="5"/>
  <c r="D50" i="5"/>
  <c r="L53" i="28" s="1"/>
  <c r="D55" i="5"/>
  <c r="D56" i="5"/>
  <c r="D54" i="5"/>
  <c r="D52" i="5"/>
  <c r="D53" i="5"/>
  <c r="L57" i="28" s="1"/>
  <c r="D64" i="5"/>
  <c r="D60" i="5"/>
  <c r="L64" i="28" s="1"/>
  <c r="D57" i="5"/>
  <c r="D68" i="5"/>
  <c r="D66" i="5"/>
  <c r="D72" i="5"/>
  <c r="D69" i="5"/>
  <c r="D73" i="5"/>
  <c r="D51" i="5"/>
  <c r="D59" i="5"/>
  <c r="L62" i="28" s="1"/>
  <c r="D67" i="5"/>
  <c r="D58" i="5"/>
  <c r="L63" i="28" s="1"/>
  <c r="D70" i="5"/>
  <c r="D77" i="5"/>
  <c r="D75" i="5"/>
  <c r="D63" i="5"/>
  <c r="D74" i="5"/>
  <c r="D71" i="5"/>
  <c r="D76" i="5"/>
  <c r="D86" i="5"/>
  <c r="D80" i="5"/>
  <c r="D82" i="5"/>
  <c r="D79" i="5"/>
  <c r="D78" i="5"/>
  <c r="D90" i="5"/>
  <c r="D85" i="5"/>
  <c r="D84" i="5"/>
  <c r="D83" i="5"/>
  <c r="D95" i="5"/>
  <c r="D91" i="5"/>
  <c r="D100" i="5"/>
  <c r="D81" i="5"/>
  <c r="D87" i="5"/>
  <c r="D96" i="5"/>
  <c r="D97" i="5"/>
  <c r="D94" i="5"/>
  <c r="D89" i="5"/>
  <c r="D93" i="5"/>
  <c r="D103" i="5"/>
  <c r="D101" i="5"/>
  <c r="D99" i="5"/>
  <c r="D92" i="5"/>
  <c r="D88" i="5"/>
  <c r="D105" i="5"/>
  <c r="D102" i="5"/>
  <c r="D110" i="5"/>
  <c r="D108" i="5"/>
  <c r="D132" i="5"/>
  <c r="D98" i="5"/>
  <c r="D115" i="5"/>
  <c r="D106" i="5"/>
  <c r="D111" i="5"/>
  <c r="D109" i="5"/>
  <c r="D124" i="5"/>
  <c r="D107" i="5"/>
  <c r="D112" i="5"/>
  <c r="D143" i="5"/>
  <c r="D120" i="5"/>
  <c r="D170" i="5"/>
  <c r="D127" i="5"/>
  <c r="D131" i="5"/>
  <c r="D154" i="5"/>
  <c r="D137" i="5"/>
  <c r="D117" i="5"/>
  <c r="D118" i="5"/>
  <c r="D158" i="5"/>
  <c r="D119" i="5"/>
  <c r="D136" i="5"/>
  <c r="D122" i="5"/>
  <c r="D159" i="5"/>
  <c r="D171" i="5"/>
  <c r="D165" i="5"/>
  <c r="D167" i="5"/>
  <c r="D140" i="5"/>
  <c r="D104" i="5"/>
  <c r="D141" i="5"/>
  <c r="D168" i="5"/>
  <c r="D173" i="5"/>
  <c r="D172" i="5"/>
  <c r="D155" i="5"/>
  <c r="D133" i="5"/>
  <c r="D144" i="5"/>
  <c r="D151" i="5"/>
  <c r="D139" i="5"/>
  <c r="D129" i="5"/>
  <c r="D142" i="5"/>
  <c r="D116" i="5"/>
  <c r="D163" i="5"/>
  <c r="D169" i="5"/>
  <c r="D150" i="5"/>
  <c r="D123" i="5"/>
  <c r="D130" i="5"/>
  <c r="D121" i="5"/>
  <c r="D156" i="5"/>
  <c r="D114" i="5"/>
  <c r="D152" i="5"/>
  <c r="D147" i="5"/>
  <c r="D153" i="5"/>
  <c r="D166" i="5"/>
  <c r="D126" i="5"/>
  <c r="D4" i="2"/>
  <c r="C6" i="28" s="1"/>
  <c r="D3" i="2"/>
  <c r="C5" i="28" s="1"/>
  <c r="D6" i="2"/>
  <c r="C8" i="28" s="1"/>
  <c r="D7" i="2"/>
  <c r="D10" i="2"/>
  <c r="D15" i="2"/>
  <c r="D9" i="2"/>
  <c r="D19" i="2"/>
  <c r="D14" i="2"/>
  <c r="D12" i="2"/>
  <c r="D17" i="2"/>
  <c r="D8" i="2"/>
  <c r="D20" i="2"/>
  <c r="C21" i="28" s="1"/>
  <c r="D13" i="2"/>
  <c r="D16" i="2"/>
  <c r="D23" i="2"/>
  <c r="D11" i="2"/>
  <c r="D25" i="2"/>
  <c r="D18" i="2"/>
  <c r="D22" i="2"/>
  <c r="D21" i="2"/>
  <c r="C24" i="28" s="1"/>
  <c r="D24" i="2"/>
  <c r="C27" i="28" s="1"/>
  <c r="D29" i="2"/>
  <c r="D26" i="2"/>
  <c r="C28" i="28" s="1"/>
  <c r="D27" i="2"/>
  <c r="D28" i="2"/>
  <c r="D30" i="2"/>
  <c r="D32" i="2"/>
  <c r="D31" i="2"/>
  <c r="D33" i="2"/>
  <c r="D34" i="2"/>
  <c r="D35" i="2"/>
  <c r="D38" i="2"/>
  <c r="D36" i="2"/>
  <c r="D37" i="2"/>
  <c r="D40" i="2"/>
  <c r="D39" i="2"/>
  <c r="D43" i="2"/>
  <c r="D41" i="2"/>
  <c r="D44" i="2"/>
  <c r="D42" i="2"/>
  <c r="D45" i="2"/>
  <c r="D53" i="2"/>
  <c r="D47" i="2"/>
  <c r="D49" i="2"/>
  <c r="D46" i="2"/>
  <c r="D54" i="2"/>
  <c r="D48" i="2"/>
  <c r="D52" i="2"/>
  <c r="D50" i="2"/>
  <c r="D51" i="2"/>
  <c r="D63" i="2"/>
  <c r="D62" i="2"/>
  <c r="D55" i="2"/>
  <c r="D64" i="2"/>
  <c r="D58" i="2"/>
  <c r="D60" i="2"/>
  <c r="D66" i="2"/>
  <c r="D56" i="2"/>
  <c r="D57" i="2"/>
  <c r="D67" i="2"/>
  <c r="D68" i="2"/>
  <c r="D71" i="2"/>
  <c r="D65" i="2"/>
  <c r="D59" i="2"/>
  <c r="D70" i="2"/>
  <c r="D69" i="2"/>
  <c r="D61" i="2"/>
  <c r="D72" i="2"/>
  <c r="D73" i="2"/>
  <c r="D74" i="2"/>
  <c r="D75" i="2"/>
  <c r="D76" i="2"/>
  <c r="D5" i="2"/>
  <c r="C7" i="28" s="1"/>
  <c r="D35" i="18"/>
  <c r="D5" i="25"/>
  <c r="D8" i="25"/>
  <c r="D6" i="25"/>
  <c r="D7" i="25"/>
  <c r="D10" i="25"/>
  <c r="D9" i="25"/>
  <c r="D11" i="25"/>
  <c r="D12" i="25"/>
  <c r="D13" i="25"/>
  <c r="D14" i="25"/>
  <c r="D15" i="25"/>
  <c r="D16" i="25"/>
  <c r="D17" i="25"/>
  <c r="D19" i="25"/>
  <c r="D18" i="25"/>
  <c r="D20" i="25"/>
  <c r="D21" i="25"/>
  <c r="D22" i="25"/>
  <c r="D23" i="25"/>
  <c r="D24" i="25"/>
  <c r="D25" i="25"/>
  <c r="D26" i="25"/>
  <c r="D27" i="25"/>
  <c r="D28" i="25"/>
  <c r="D29" i="25"/>
  <c r="D30" i="25"/>
  <c r="D31" i="25"/>
  <c r="D32" i="25"/>
  <c r="D33" i="25"/>
  <c r="D4" i="25"/>
  <c r="D3" i="25"/>
  <c r="D2" i="25"/>
  <c r="D3" i="18"/>
  <c r="D5" i="18"/>
  <c r="D24" i="18"/>
  <c r="D6" i="18"/>
  <c r="D4" i="18"/>
  <c r="D11" i="18"/>
  <c r="D8" i="18"/>
  <c r="D9" i="18"/>
  <c r="D12" i="18"/>
  <c r="D13" i="18"/>
  <c r="D20" i="18"/>
  <c r="D10" i="18"/>
  <c r="D7" i="18"/>
  <c r="D21" i="18"/>
  <c r="D23" i="18"/>
  <c r="D16" i="18"/>
  <c r="D17" i="18"/>
  <c r="D14" i="18"/>
  <c r="D26" i="18"/>
  <c r="D25" i="18"/>
  <c r="D30" i="18"/>
  <c r="D18" i="18"/>
  <c r="D27" i="18"/>
  <c r="D15" i="18"/>
  <c r="D19" i="18"/>
  <c r="D31" i="18"/>
  <c r="D29" i="18"/>
  <c r="D22" i="18"/>
  <c r="D28" i="18"/>
  <c r="D32" i="18"/>
  <c r="D33" i="18"/>
  <c r="D34" i="18"/>
  <c r="D2" i="18"/>
  <c r="B34" i="28"/>
  <c r="B33" i="28"/>
  <c r="B32" i="28"/>
  <c r="B31" i="28"/>
  <c r="B30" i="28"/>
  <c r="B29" i="28"/>
  <c r="B28" i="28"/>
  <c r="B27" i="28"/>
  <c r="B26" i="28"/>
  <c r="B25" i="28"/>
  <c r="B24" i="28"/>
  <c r="B23" i="28"/>
  <c r="B22" i="28"/>
  <c r="B21" i="28"/>
  <c r="B20" i="28"/>
  <c r="B19" i="28"/>
  <c r="B18" i="28"/>
  <c r="B17" i="28"/>
  <c r="B16" i="28"/>
  <c r="B15" i="28"/>
  <c r="B14" i="28"/>
  <c r="B13" i="28"/>
  <c r="B12" i="28"/>
  <c r="B11" i="28"/>
  <c r="B10" i="28"/>
  <c r="B9" i="28"/>
  <c r="B8" i="28"/>
  <c r="B7" i="28"/>
  <c r="B6" i="28"/>
  <c r="B5" i="28"/>
  <c r="C7" i="1"/>
  <c r="K12" i="7"/>
  <c r="A24" i="29"/>
  <c r="X9" i="29"/>
  <c r="X10" i="29" s="1"/>
  <c r="T64" i="28"/>
  <c r="K64" i="28"/>
  <c r="B64" i="28"/>
  <c r="T63" i="28"/>
  <c r="K63" i="28"/>
  <c r="B63" i="28"/>
  <c r="T62" i="28"/>
  <c r="K62" i="28"/>
  <c r="B62" i="28"/>
  <c r="T61" i="28"/>
  <c r="K61" i="28"/>
  <c r="B61" i="28"/>
  <c r="T60" i="28"/>
  <c r="K60" i="28"/>
  <c r="B60" i="28"/>
  <c r="T59" i="28"/>
  <c r="K57" i="28"/>
  <c r="B59" i="28"/>
  <c r="T58" i="28"/>
  <c r="K56" i="28"/>
  <c r="B58" i="28"/>
  <c r="T57" i="28"/>
  <c r="K55" i="28"/>
  <c r="B57" i="28"/>
  <c r="T56" i="28"/>
  <c r="K54" i="28"/>
  <c r="B56" i="28"/>
  <c r="T55" i="28"/>
  <c r="K53" i="28"/>
  <c r="B55" i="28"/>
  <c r="T54" i="28"/>
  <c r="K52" i="28"/>
  <c r="B54" i="28"/>
  <c r="T53" i="28"/>
  <c r="K51" i="28"/>
  <c r="B53" i="28"/>
  <c r="T52" i="28"/>
  <c r="K50" i="28"/>
  <c r="B52" i="28"/>
  <c r="T51" i="28"/>
  <c r="K49" i="28"/>
  <c r="B51" i="28"/>
  <c r="T50" i="28"/>
  <c r="K48" i="28"/>
  <c r="B50" i="28"/>
  <c r="T49" i="28"/>
  <c r="K47" i="28"/>
  <c r="B49" i="28"/>
  <c r="T48" i="28"/>
  <c r="K46" i="28"/>
  <c r="B48" i="28"/>
  <c r="T47" i="28"/>
  <c r="K45" i="28"/>
  <c r="B47" i="28"/>
  <c r="T46" i="28"/>
  <c r="K44" i="28"/>
  <c r="B46" i="28"/>
  <c r="T45" i="28"/>
  <c r="K43" i="28"/>
  <c r="B45" i="28"/>
  <c r="T44" i="28"/>
  <c r="K42" i="28"/>
  <c r="B44" i="28"/>
  <c r="T43" i="28"/>
  <c r="K41" i="28"/>
  <c r="B43" i="28"/>
  <c r="T42" i="28"/>
  <c r="K40" i="28"/>
  <c r="B42" i="28"/>
  <c r="T41" i="28"/>
  <c r="K39" i="28"/>
  <c r="B41" i="28"/>
  <c r="T40" i="28"/>
  <c r="K38" i="28"/>
  <c r="B40" i="28"/>
  <c r="T39" i="28"/>
  <c r="K37" i="28"/>
  <c r="B39" i="28"/>
  <c r="T38" i="28"/>
  <c r="K36" i="28"/>
  <c r="B38" i="28"/>
  <c r="T37" i="28"/>
  <c r="K35" i="28"/>
  <c r="B37" i="28"/>
  <c r="T36" i="28"/>
  <c r="K34" i="28"/>
  <c r="T35" i="28"/>
  <c r="K33" i="28"/>
  <c r="T34" i="28"/>
  <c r="K32" i="28"/>
  <c r="T33" i="28"/>
  <c r="K31" i="28"/>
  <c r="T32" i="28"/>
  <c r="K30" i="28"/>
  <c r="T31" i="28"/>
  <c r="K29" i="28"/>
  <c r="T30" i="28"/>
  <c r="K28" i="28"/>
  <c r="T29" i="28"/>
  <c r="K27" i="28"/>
  <c r="T28" i="28"/>
  <c r="K26" i="28"/>
  <c r="T27" i="28"/>
  <c r="K25" i="28"/>
  <c r="T26" i="28"/>
  <c r="K24" i="28"/>
  <c r="T25" i="28"/>
  <c r="K23" i="28"/>
  <c r="T24" i="28"/>
  <c r="K22" i="28"/>
  <c r="T23" i="28"/>
  <c r="K21" i="28"/>
  <c r="T22" i="28"/>
  <c r="K20" i="28"/>
  <c r="T21" i="28"/>
  <c r="K19" i="28"/>
  <c r="T20" i="28"/>
  <c r="K18" i="28"/>
  <c r="T19" i="28"/>
  <c r="K17" i="28"/>
  <c r="T18" i="28"/>
  <c r="K16" i="28"/>
  <c r="T17" i="28"/>
  <c r="K15" i="28"/>
  <c r="T16" i="28"/>
  <c r="K14" i="28"/>
  <c r="T15" i="28"/>
  <c r="K13" i="28"/>
  <c r="T14" i="28"/>
  <c r="K12" i="28"/>
  <c r="T13" i="28"/>
  <c r="K11" i="28"/>
  <c r="T12" i="28"/>
  <c r="K10" i="28"/>
  <c r="T11" i="28"/>
  <c r="K9" i="28"/>
  <c r="T10" i="28"/>
  <c r="K8" i="28"/>
  <c r="T9" i="28"/>
  <c r="K6" i="28"/>
  <c r="T8" i="28"/>
  <c r="K5" i="28"/>
  <c r="T7" i="28"/>
  <c r="K7" i="28"/>
  <c r="T6" i="28"/>
  <c r="K59" i="28"/>
  <c r="T5" i="28"/>
  <c r="K58" i="28"/>
  <c r="U3" i="5"/>
  <c r="H30" i="29" a="1"/>
  <c r="H30" i="29" s="1"/>
  <c r="H32" i="29" a="1"/>
  <c r="H32" i="29" s="1"/>
  <c r="H34" i="29" a="1"/>
  <c r="H34" i="29" s="1"/>
  <c r="H36" i="29" a="1"/>
  <c r="H36" i="29" s="1"/>
  <c r="K36" i="29" s="1"/>
  <c r="H38" i="29" a="1"/>
  <c r="H38" i="29" s="1"/>
  <c r="H40" i="29" a="1"/>
  <c r="H40" i="29" s="1"/>
  <c r="I40" i="29" s="1"/>
  <c r="J40" i="29" s="1"/>
  <c r="H42" i="29" a="1"/>
  <c r="H42" i="29" s="1"/>
  <c r="I42" i="29" s="1"/>
  <c r="J42" i="29" s="1"/>
  <c r="H44" i="29" a="1"/>
  <c r="H44" i="29" s="1"/>
  <c r="H46" i="29" a="1"/>
  <c r="H46" i="29" s="1"/>
  <c r="G46" i="29" s="1"/>
  <c r="H78" i="29" a="1"/>
  <c r="H78" i="29" s="1"/>
  <c r="H86" i="29" a="1"/>
  <c r="H86" i="29" s="1"/>
  <c r="G86" i="29" s="1"/>
  <c r="H94" i="29" a="1"/>
  <c r="H94" i="29" s="1"/>
  <c r="I94" i="29" s="1"/>
  <c r="H144" i="29" a="1"/>
  <c r="H144" i="29" s="1"/>
  <c r="K144" i="29" s="1"/>
  <c r="H143" i="29" a="1"/>
  <c r="H143" i="29" s="1"/>
  <c r="K143" i="29" s="1"/>
  <c r="H142" i="29" a="1"/>
  <c r="H142" i="29" s="1"/>
  <c r="K142" i="29" s="1"/>
  <c r="H141" i="29" a="1"/>
  <c r="H141" i="29" s="1"/>
  <c r="I141" i="29" s="1"/>
  <c r="J141" i="29" s="1"/>
  <c r="H140" i="29" a="1"/>
  <c r="H140" i="29" s="1"/>
  <c r="I140" i="29" s="1"/>
  <c r="H139" i="29" a="1"/>
  <c r="H139" i="29" s="1"/>
  <c r="G139" i="29" s="1"/>
  <c r="H138" i="29" a="1"/>
  <c r="H138" i="29" s="1"/>
  <c r="H137" i="29" a="1"/>
  <c r="H137" i="29" s="1"/>
  <c r="I137" i="29" s="1"/>
  <c r="J137" i="29" s="1"/>
  <c r="H136" i="29" a="1"/>
  <c r="H136" i="29" s="1"/>
  <c r="I136" i="29" s="1"/>
  <c r="J136" i="29" s="1"/>
  <c r="H135" i="29" a="1"/>
  <c r="H135" i="29" s="1"/>
  <c r="K135" i="29" s="1"/>
  <c r="H134" i="29" a="1"/>
  <c r="H134" i="29" s="1"/>
  <c r="G134" i="29" s="1"/>
  <c r="H133" i="29" a="1"/>
  <c r="H133" i="29" s="1"/>
  <c r="H132" i="29" a="1"/>
  <c r="H132" i="29" s="1"/>
  <c r="H131" i="29" a="1"/>
  <c r="H131" i="29" s="1"/>
  <c r="I131" i="29" s="1"/>
  <c r="H130" i="29" a="1"/>
  <c r="H130" i="29" s="1"/>
  <c r="K130" i="29" s="1"/>
  <c r="H129" i="29" a="1"/>
  <c r="H129" i="29" s="1"/>
  <c r="G129" i="29" s="1"/>
  <c r="H128" i="29" a="1"/>
  <c r="H128" i="29" s="1"/>
  <c r="I128" i="29" s="1"/>
  <c r="J128" i="29" s="1"/>
  <c r="H127" i="29" a="1"/>
  <c r="H127" i="29" s="1"/>
  <c r="H126" i="29" a="1"/>
  <c r="H126" i="29" s="1"/>
  <c r="I126" i="29" s="1"/>
  <c r="J126" i="29" s="1"/>
  <c r="H125" i="29" a="1"/>
  <c r="H125" i="29" s="1"/>
  <c r="I125" i="29" s="1"/>
  <c r="H164" i="29" a="1"/>
  <c r="H164" i="29" s="1"/>
  <c r="K164" i="29" s="1"/>
  <c r="H200" i="29" a="1"/>
  <c r="H200" i="29" s="1"/>
  <c r="G200" i="29" s="1"/>
  <c r="H204" i="29" a="1"/>
  <c r="H204" i="29" s="1"/>
  <c r="K204" i="29" s="1"/>
  <c r="H208" i="29" a="1"/>
  <c r="H208" i="29" s="1"/>
  <c r="I208" i="29" s="1"/>
  <c r="H212" i="29" a="1"/>
  <c r="H212" i="29" s="1"/>
  <c r="K212" i="29" s="1"/>
  <c r="H154" i="29" a="1"/>
  <c r="H154" i="29" s="1"/>
  <c r="B155" i="29" a="1"/>
  <c r="B155" i="29" s="1"/>
  <c r="A155" i="29" s="1"/>
  <c r="H158" i="29" a="1"/>
  <c r="H158" i="29" s="1"/>
  <c r="K158" i="29" s="1"/>
  <c r="B159" i="29" a="1"/>
  <c r="B159" i="29" s="1"/>
  <c r="E159" i="29" s="1"/>
  <c r="H162" i="29" a="1"/>
  <c r="H162" i="29" s="1"/>
  <c r="K162" i="29" s="1"/>
  <c r="B163" i="29" a="1"/>
  <c r="B163" i="29" s="1"/>
  <c r="C163" i="29" s="1"/>
  <c r="D163" i="29" s="1"/>
  <c r="H166" i="29" a="1"/>
  <c r="H166" i="29" s="1"/>
  <c r="I166" i="29" s="1"/>
  <c r="H173" i="29" a="1"/>
  <c r="H173" i="29" s="1"/>
  <c r="I173" i="29" s="1"/>
  <c r="J173" i="29" s="1"/>
  <c r="H177" i="29" a="1"/>
  <c r="H177" i="29" s="1"/>
  <c r="I177" i="29" s="1"/>
  <c r="H181" i="29" a="1"/>
  <c r="H181" i="29" s="1"/>
  <c r="H185" i="29" a="1"/>
  <c r="H185" i="29" s="1"/>
  <c r="G185" i="29" s="1"/>
  <c r="H198" i="29" a="1"/>
  <c r="H198" i="29" s="1"/>
  <c r="I198" i="29" s="1"/>
  <c r="J198" i="29" s="1"/>
  <c r="B199" i="29" a="1"/>
  <c r="B199" i="29" s="1"/>
  <c r="E199" i="29" s="1"/>
  <c r="H202" i="29" a="1"/>
  <c r="H202" i="29" s="1"/>
  <c r="K202" i="29" s="1"/>
  <c r="B203" i="29" a="1"/>
  <c r="B203" i="29" s="1"/>
  <c r="A203" i="29" s="1"/>
  <c r="H206" i="29" a="1"/>
  <c r="H206" i="29" s="1"/>
  <c r="I206" i="29" s="1"/>
  <c r="J206" i="29" s="1"/>
  <c r="B207" i="29" a="1"/>
  <c r="B207" i="29" s="1"/>
  <c r="H210" i="29" a="1"/>
  <c r="H210" i="29" s="1"/>
  <c r="B211" i="29" a="1"/>
  <c r="B211" i="29" s="1"/>
  <c r="A211" i="29" s="1"/>
  <c r="H214" i="29" a="1"/>
  <c r="H214" i="29" s="1"/>
  <c r="G214" i="29" s="1"/>
  <c r="H221" i="29" a="1"/>
  <c r="H221" i="29" s="1"/>
  <c r="K221" i="29" s="1"/>
  <c r="H225" i="29" a="1"/>
  <c r="H225" i="29" s="1"/>
  <c r="G225" i="29" s="1"/>
  <c r="H229" i="29" a="1"/>
  <c r="H229" i="29" s="1"/>
  <c r="H233" i="29" a="1"/>
  <c r="H233" i="29" s="1"/>
  <c r="U9" i="28"/>
  <c r="L46" i="28"/>
  <c r="C40" i="28"/>
  <c r="U63" i="28"/>
  <c r="U40" i="28"/>
  <c r="U13" i="28"/>
  <c r="L58" i="28"/>
  <c r="L44" i="28"/>
  <c r="L49" i="28"/>
  <c r="U51" i="28"/>
  <c r="K182" i="29"/>
  <c r="C52" i="28"/>
  <c r="U62" i="28"/>
  <c r="U28" i="28"/>
  <c r="L23" i="28"/>
  <c r="C20" i="28"/>
  <c r="H65" i="29" a="1"/>
  <c r="H65" i="29" s="1"/>
  <c r="I65" i="29" s="1"/>
  <c r="H70" i="29" a="1"/>
  <c r="H70" i="29" s="1"/>
  <c r="K70" i="29" s="1"/>
  <c r="B71" i="29" a="1"/>
  <c r="B71" i="29" s="1"/>
  <c r="E71" i="29" s="1"/>
  <c r="B68" i="29" a="1"/>
  <c r="B68" i="29" s="1"/>
  <c r="B55" i="29" a="1"/>
  <c r="B55" i="29" s="1"/>
  <c r="H161" i="29" a="1"/>
  <c r="H161" i="29" s="1"/>
  <c r="K161" i="29" s="1"/>
  <c r="H157" i="29" a="1"/>
  <c r="H157" i="29" s="1"/>
  <c r="G157" i="29" s="1"/>
  <c r="H149" i="29" a="1"/>
  <c r="H149" i="29" s="1"/>
  <c r="H168" i="29" a="1"/>
  <c r="H168" i="29" s="1"/>
  <c r="G168" i="29" s="1"/>
  <c r="H167" i="29" a="1"/>
  <c r="H167" i="29" s="1"/>
  <c r="G167" i="29" s="1"/>
  <c r="B45" i="29" a="1"/>
  <c r="B45" i="29" s="1"/>
  <c r="B56" i="29" a="1"/>
  <c r="B56" i="29" s="1"/>
  <c r="B61" i="29" a="1"/>
  <c r="B61" i="29" s="1"/>
  <c r="C61" i="29" s="1"/>
  <c r="D61" i="29" s="1"/>
  <c r="H71" i="29" a="1"/>
  <c r="H71" i="29" s="1"/>
  <c r="K71" i="29" s="1"/>
  <c r="B173" i="29" a="1"/>
  <c r="B173" i="29" s="1"/>
  <c r="C173" i="29" s="1"/>
  <c r="B178" i="29" a="1"/>
  <c r="B178" i="29" s="1"/>
  <c r="C178" i="29" s="1"/>
  <c r="D178" i="29" s="1"/>
  <c r="B179" i="29" a="1"/>
  <c r="B179" i="29" s="1"/>
  <c r="H209" i="29" a="1"/>
  <c r="H209" i="29" s="1"/>
  <c r="I209" i="29" s="1"/>
  <c r="J209" i="29" s="1"/>
  <c r="H207" i="29" a="1"/>
  <c r="H207" i="29" s="1"/>
  <c r="I207" i="29" s="1"/>
  <c r="H216" i="29" a="1"/>
  <c r="H216" i="29" s="1"/>
  <c r="I216" i="29" s="1"/>
  <c r="J216" i="29" s="1"/>
  <c r="H215" i="29" a="1"/>
  <c r="H215" i="29" s="1"/>
  <c r="I215" i="29" s="1"/>
  <c r="J215" i="29" s="1"/>
  <c r="H201" i="29" a="1"/>
  <c r="H201" i="29" s="1"/>
  <c r="I201" i="29" s="1"/>
  <c r="J201" i="29" s="1"/>
  <c r="H199" i="29" a="1"/>
  <c r="H199" i="29" s="1"/>
  <c r="I199" i="29" s="1"/>
  <c r="B264" i="29" a="1"/>
  <c r="B264" i="29" s="1"/>
  <c r="C264" i="29" s="1"/>
  <c r="D264" i="29" s="1"/>
  <c r="B258" i="29" a="1"/>
  <c r="B258" i="29" s="1"/>
  <c r="B253" i="29" a="1"/>
  <c r="B253" i="29" s="1"/>
  <c r="B247" i="29" a="1"/>
  <c r="B247" i="29" s="1"/>
  <c r="C247" i="29" s="1"/>
  <c r="B263" i="29" a="1"/>
  <c r="B263" i="29" s="1"/>
  <c r="A263" i="29" s="1"/>
  <c r="B260" i="29" a="1"/>
  <c r="B260" i="29" s="1"/>
  <c r="E260" i="29" s="1"/>
  <c r="B257" i="29" a="1"/>
  <c r="B257" i="29" s="1"/>
  <c r="C257" i="29" s="1"/>
  <c r="D257" i="29" s="1"/>
  <c r="B254" i="29" a="1"/>
  <c r="B254" i="29" s="1"/>
  <c r="C254" i="29" s="1"/>
  <c r="B251" i="29" a="1"/>
  <c r="B251" i="29" s="1"/>
  <c r="B248" i="29" a="1"/>
  <c r="B248" i="29" s="1"/>
  <c r="C248" i="29" s="1"/>
  <c r="H54" i="29" a="1"/>
  <c r="H54" i="29" s="1"/>
  <c r="B65" i="29" a="1"/>
  <c r="B65" i="29" s="1"/>
  <c r="A65" i="29" s="1"/>
  <c r="B66" i="29" a="1"/>
  <c r="B66" i="29" s="1"/>
  <c r="A66" i="29" s="1"/>
  <c r="B67" i="29" a="1"/>
  <c r="B67" i="29" s="1"/>
  <c r="A67" i="29" s="1"/>
  <c r="B69" i="29" a="1"/>
  <c r="B69" i="29" s="1"/>
  <c r="C69" i="29" s="1"/>
  <c r="D69" i="29" s="1"/>
  <c r="H111" i="29" a="1"/>
  <c r="H111" i="29" s="1"/>
  <c r="K111" i="29" s="1"/>
  <c r="H150" i="29" a="1"/>
  <c r="H150" i="29" s="1"/>
  <c r="I150" i="29" s="1"/>
  <c r="H152" i="29" a="1"/>
  <c r="H152" i="29" s="1"/>
  <c r="G152" i="29" s="1"/>
  <c r="H155" i="29" a="1"/>
  <c r="H155" i="29" s="1"/>
  <c r="K155" i="29" s="1"/>
  <c r="H156" i="29" a="1"/>
  <c r="H156" i="29" s="1"/>
  <c r="H163" i="29" a="1"/>
  <c r="H163" i="29" s="1"/>
  <c r="K163" i="29" s="1"/>
  <c r="B188" i="29" a="1"/>
  <c r="B188" i="29" s="1"/>
  <c r="A188" i="29" s="1"/>
  <c r="B180" i="29" a="1"/>
  <c r="B180" i="29" s="1"/>
  <c r="A180" i="29" s="1"/>
  <c r="B192" i="29" a="1"/>
  <c r="B192" i="29" s="1"/>
  <c r="A192" i="29" s="1"/>
  <c r="B184" i="29" a="1"/>
  <c r="B184" i="29" s="1"/>
  <c r="A184" i="29" s="1"/>
  <c r="B176" i="29" a="1"/>
  <c r="B176" i="29" s="1"/>
  <c r="A176" i="29" s="1"/>
  <c r="H69" i="29" a="1"/>
  <c r="H69" i="29" s="1"/>
  <c r="I69" i="29" s="1"/>
  <c r="J69" i="29" s="1"/>
  <c r="H53" i="29" a="1"/>
  <c r="H53" i="29" s="1"/>
  <c r="G53" i="29" s="1"/>
  <c r="H95" i="29" a="1"/>
  <c r="H95" i="29" s="1"/>
  <c r="G95" i="29" s="1"/>
  <c r="H87" i="29" a="1"/>
  <c r="H87" i="29" s="1"/>
  <c r="H79" i="29" a="1"/>
  <c r="H79" i="29" s="1"/>
  <c r="H165" i="29" a="1"/>
  <c r="H165" i="29" s="1"/>
  <c r="K165" i="29" s="1"/>
  <c r="B181" i="29" a="1"/>
  <c r="B181" i="29" s="1"/>
  <c r="A181" i="29" s="1"/>
  <c r="B186" i="29" a="1"/>
  <c r="B186" i="29" s="1"/>
  <c r="C186" i="29" s="1"/>
  <c r="D186" i="29" s="1"/>
  <c r="B187" i="29" a="1"/>
  <c r="B187" i="29" s="1"/>
  <c r="H211" i="29" a="1"/>
  <c r="H211" i="29" s="1"/>
  <c r="G211" i="29" s="1"/>
  <c r="B236" i="29" a="1"/>
  <c r="B236" i="29" s="1"/>
  <c r="E236" i="29" s="1"/>
  <c r="B228" i="29" a="1"/>
  <c r="B228" i="29" s="1"/>
  <c r="A228" i="29" s="1"/>
  <c r="B240" i="29" a="1"/>
  <c r="B240" i="29" s="1"/>
  <c r="A240" i="29" s="1"/>
  <c r="B232" i="29" a="1"/>
  <c r="B232" i="29" s="1"/>
  <c r="E232" i="29" s="1"/>
  <c r="B224" i="29" a="1"/>
  <c r="B224" i="29" s="1"/>
  <c r="E224" i="29" s="1"/>
  <c r="B102" i="29" a="1"/>
  <c r="B102" i="29" s="1"/>
  <c r="B105" i="29" a="1"/>
  <c r="B105" i="29" s="1"/>
  <c r="B110" i="29" a="1"/>
  <c r="B110" i="29" s="1"/>
  <c r="E110" i="29" s="1"/>
  <c r="B113" i="29" a="1"/>
  <c r="B113" i="29" s="1"/>
  <c r="A113" i="29" s="1"/>
  <c r="D241" i="30"/>
  <c r="D281" i="30"/>
  <c r="D129" i="30"/>
  <c r="D348" i="30"/>
  <c r="D390" i="30"/>
  <c r="D182" i="30"/>
  <c r="U42" i="5" l="1"/>
  <c r="U44" i="28"/>
  <c r="U36" i="28"/>
  <c r="U55" i="28"/>
  <c r="U17" i="28"/>
  <c r="L56" i="28"/>
  <c r="L30" i="28"/>
  <c r="S9" i="18"/>
  <c r="T9" i="18" s="1"/>
  <c r="S14" i="18"/>
  <c r="T14" i="18" s="1"/>
  <c r="S37" i="18"/>
  <c r="T37" i="18" s="1"/>
  <c r="S21" i="18"/>
  <c r="T21" i="18" s="1"/>
  <c r="S4" i="18"/>
  <c r="T4" i="18" s="1"/>
  <c r="S24" i="18"/>
  <c r="T24" i="18" s="1"/>
  <c r="S11" i="18"/>
  <c r="T11" i="18" s="1"/>
  <c r="S35" i="18"/>
  <c r="T35" i="18" s="1"/>
  <c r="S19" i="18"/>
  <c r="T19" i="18" s="1"/>
  <c r="S2" i="18"/>
  <c r="T2" i="18" s="1"/>
  <c r="S22" i="18"/>
  <c r="T22" i="18" s="1"/>
  <c r="S5" i="18"/>
  <c r="T5" i="18" s="1"/>
  <c r="S33" i="18"/>
  <c r="T33" i="18" s="1"/>
  <c r="S17" i="18"/>
  <c r="T17" i="18" s="1"/>
  <c r="S36" i="18"/>
  <c r="T36" i="18" s="1"/>
  <c r="S20" i="18"/>
  <c r="T20" i="18" s="1"/>
  <c r="S7" i="18"/>
  <c r="T7" i="18" s="1"/>
  <c r="S31" i="18"/>
  <c r="T31" i="18" s="1"/>
  <c r="S15" i="18"/>
  <c r="T15" i="18" s="1"/>
  <c r="S28" i="18"/>
  <c r="T28" i="18" s="1"/>
  <c r="S23" i="18"/>
  <c r="T23" i="18" s="1"/>
  <c r="S34" i="18"/>
  <c r="T34" i="18" s="1"/>
  <c r="S13" i="18"/>
  <c r="T13" i="18" s="1"/>
  <c r="S29" i="18"/>
  <c r="T29" i="18" s="1"/>
  <c r="S12" i="18"/>
  <c r="T12" i="18" s="1"/>
  <c r="S32" i="18"/>
  <c r="T32" i="18" s="1"/>
  <c r="S16" i="18"/>
  <c r="T16" i="18" s="1"/>
  <c r="S3" i="18"/>
  <c r="T3" i="18" s="1"/>
  <c r="S27" i="18"/>
  <c r="T27" i="18" s="1"/>
  <c r="U15" i="4"/>
  <c r="U13" i="2"/>
  <c r="C59" i="28"/>
  <c r="C43" i="28"/>
  <c r="C63" i="28"/>
  <c r="A69" i="5"/>
  <c r="L60" i="28"/>
  <c r="L33" i="28"/>
  <c r="L21" i="28"/>
  <c r="C41" i="28"/>
  <c r="U29" i="28"/>
  <c r="U60" i="28"/>
  <c r="U50" i="28"/>
  <c r="U41" i="28"/>
  <c r="U18" i="28"/>
  <c r="U64" i="4"/>
  <c r="U56" i="28"/>
  <c r="C29" i="28"/>
  <c r="B151" i="29" a="1"/>
  <c r="B151" i="29" s="1"/>
  <c r="C151" i="29" s="1"/>
  <c r="B131" i="29" a="1"/>
  <c r="B131" i="29" s="1"/>
  <c r="B114" i="29" a="1"/>
  <c r="B114" i="29" s="1"/>
  <c r="A114" i="29" s="1"/>
  <c r="H81" i="29" a="1"/>
  <c r="H81" i="29" s="1"/>
  <c r="H89" i="29" a="1"/>
  <c r="H89" i="29" s="1"/>
  <c r="K89" i="29" s="1"/>
  <c r="H92" i="29" a="1"/>
  <c r="H92" i="29" s="1"/>
  <c r="H84" i="29" a="1"/>
  <c r="H84" i="29" s="1"/>
  <c r="H83" i="29" a="1"/>
  <c r="H83" i="29" s="1"/>
  <c r="H90" i="29" a="1"/>
  <c r="H90" i="29" s="1"/>
  <c r="G90" i="29" s="1"/>
  <c r="H82" i="29" a="1"/>
  <c r="H82" i="29" s="1"/>
  <c r="H91" i="29" a="1"/>
  <c r="H91" i="29" s="1"/>
  <c r="I91" i="29" s="1"/>
  <c r="J91" i="29" s="1"/>
  <c r="H77" i="29" a="1"/>
  <c r="H77" i="29" s="1"/>
  <c r="G77" i="29" s="1"/>
  <c r="H85" i="29" a="1"/>
  <c r="H85" i="29" s="1"/>
  <c r="H93" i="29" a="1"/>
  <c r="H93" i="29" s="1"/>
  <c r="G93" i="29" s="1"/>
  <c r="H88" i="29" a="1"/>
  <c r="H88" i="29" s="1"/>
  <c r="G88" i="29" s="1"/>
  <c r="H80" i="29" a="1"/>
  <c r="H80" i="29" s="1"/>
  <c r="G80" i="29" s="1"/>
  <c r="B83" i="29" a="1"/>
  <c r="B83" i="29" s="1"/>
  <c r="B86" i="29" a="1"/>
  <c r="B86" i="29" s="1"/>
  <c r="A86" i="29" s="1"/>
  <c r="H56" i="29" a="1"/>
  <c r="H56" i="29" s="1"/>
  <c r="G56" i="29" s="1"/>
  <c r="H68" i="29" a="1"/>
  <c r="H68" i="29" s="1"/>
  <c r="K68" i="29" s="1"/>
  <c r="H63" i="29" a="1"/>
  <c r="H63" i="29" s="1"/>
  <c r="I63" i="29" s="1"/>
  <c r="H61" i="29" a="1"/>
  <c r="H61" i="29" s="1"/>
  <c r="G61" i="29" s="1"/>
  <c r="H67" i="29" a="1"/>
  <c r="H67" i="29" s="1"/>
  <c r="G67" i="29" s="1"/>
  <c r="H64" i="29" a="1"/>
  <c r="H64" i="29" s="1"/>
  <c r="G64" i="29" s="1"/>
  <c r="H66" i="29" a="1"/>
  <c r="H66" i="29" s="1"/>
  <c r="H57" i="29" a="1"/>
  <c r="H57" i="29" s="1"/>
  <c r="B70" i="29" a="1"/>
  <c r="B70" i="29" s="1"/>
  <c r="A70" i="29" s="1"/>
  <c r="B72" i="29" a="1"/>
  <c r="B72" i="29" s="1"/>
  <c r="A72" i="29" s="1"/>
  <c r="U32" i="5"/>
  <c r="G191" i="29"/>
  <c r="C237" i="29"/>
  <c r="D237" i="29" s="1"/>
  <c r="C154" i="29"/>
  <c r="D154" i="29" s="1"/>
  <c r="E174" i="29"/>
  <c r="I240" i="29"/>
  <c r="J240" i="29" s="1"/>
  <c r="K186" i="29"/>
  <c r="E261" i="29"/>
  <c r="E230" i="29"/>
  <c r="C141" i="29"/>
  <c r="D141" i="29" s="1"/>
  <c r="C213" i="29"/>
  <c r="D213" i="29" s="1"/>
  <c r="C208" i="29"/>
  <c r="D208" i="29" s="1"/>
  <c r="A239" i="29"/>
  <c r="G180" i="29"/>
  <c r="C250" i="29"/>
  <c r="D250" i="29" s="1"/>
  <c r="I227" i="29"/>
  <c r="J227" i="29" s="1"/>
  <c r="A250" i="29"/>
  <c r="C168" i="29"/>
  <c r="D168" i="29" s="1"/>
  <c r="C239" i="29"/>
  <c r="D239" i="29" s="1"/>
  <c r="I180" i="29"/>
  <c r="J180" i="29" s="1"/>
  <c r="B152" i="29" a="1"/>
  <c r="B152" i="29" s="1"/>
  <c r="B165" i="29" a="1"/>
  <c r="B165" i="29" s="1"/>
  <c r="A165" i="29" s="1"/>
  <c r="B157" i="29" a="1"/>
  <c r="B157" i="29" s="1"/>
  <c r="A157" i="29" s="1"/>
  <c r="B125" i="29" a="1"/>
  <c r="B125" i="29" s="1"/>
  <c r="B134" i="29" a="1"/>
  <c r="B134" i="29" s="1"/>
  <c r="A134" i="29" s="1"/>
  <c r="B143" i="29" a="1"/>
  <c r="B143" i="29" s="1"/>
  <c r="C143" i="29" s="1"/>
  <c r="D143" i="29" s="1"/>
  <c r="B128" i="29" a="1"/>
  <c r="B128" i="29" s="1"/>
  <c r="A128" i="29" s="1"/>
  <c r="B139" i="29" a="1"/>
  <c r="B139" i="29" s="1"/>
  <c r="A139" i="29" s="1"/>
  <c r="H105" i="29" a="1"/>
  <c r="H105" i="29" s="1"/>
  <c r="G105" i="29" s="1"/>
  <c r="H115" i="29" a="1"/>
  <c r="H115" i="29" s="1"/>
  <c r="I115" i="29" s="1"/>
  <c r="J115" i="29" s="1"/>
  <c r="H119" i="29" a="1"/>
  <c r="H119" i="29" s="1"/>
  <c r="K119" i="29" s="1"/>
  <c r="H114" i="29" a="1"/>
  <c r="H114" i="29" s="1"/>
  <c r="G114" i="29" s="1"/>
  <c r="H107" i="29" a="1"/>
  <c r="H107" i="29" s="1"/>
  <c r="G107" i="29" s="1"/>
  <c r="H112" i="29" a="1"/>
  <c r="H112" i="29" s="1"/>
  <c r="G112" i="29" s="1"/>
  <c r="H116" i="29" a="1"/>
  <c r="H116" i="29" s="1"/>
  <c r="G116" i="29" s="1"/>
  <c r="H103" i="29" a="1"/>
  <c r="H103" i="29" s="1"/>
  <c r="H117" i="29" a="1"/>
  <c r="H117" i="29" s="1"/>
  <c r="K117" i="29" s="1"/>
  <c r="H101" i="29" a="1"/>
  <c r="H101" i="29" s="1"/>
  <c r="G101" i="29" s="1"/>
  <c r="H108" i="29" a="1"/>
  <c r="H108" i="29" s="1"/>
  <c r="K108" i="29" s="1"/>
  <c r="H113" i="29" a="1"/>
  <c r="H113" i="29" s="1"/>
  <c r="K113" i="29" s="1"/>
  <c r="H118" i="29" a="1"/>
  <c r="H118" i="29" s="1"/>
  <c r="I118" i="29" s="1"/>
  <c r="J118" i="29" s="1"/>
  <c r="H106" i="29" a="1"/>
  <c r="H106" i="29" s="1"/>
  <c r="G106" i="29" s="1"/>
  <c r="H120" i="29" a="1"/>
  <c r="H120" i="29" s="1"/>
  <c r="K120" i="29" s="1"/>
  <c r="H102" i="29" a="1"/>
  <c r="H102" i="29" s="1"/>
  <c r="H110" i="29" a="1"/>
  <c r="H110" i="29" s="1"/>
  <c r="K110" i="29" s="1"/>
  <c r="B104" i="29" a="1"/>
  <c r="B104" i="29" s="1"/>
  <c r="A104" i="29" s="1"/>
  <c r="K235" i="29"/>
  <c r="A249" i="29"/>
  <c r="A185" i="29"/>
  <c r="A213" i="29"/>
  <c r="A261" i="29"/>
  <c r="G186" i="29"/>
  <c r="K191" i="29"/>
  <c r="E208" i="29"/>
  <c r="E185" i="29"/>
  <c r="A19" i="29"/>
  <c r="D230" i="29"/>
  <c r="K240" i="29"/>
  <c r="B79" i="29" a="1"/>
  <c r="B79" i="29" s="1"/>
  <c r="B64" i="29" a="1"/>
  <c r="B64" i="29" s="1"/>
  <c r="C64" i="29" s="1"/>
  <c r="D64" i="29" s="1"/>
  <c r="B59" i="29" a="1"/>
  <c r="B59" i="29" s="1"/>
  <c r="B54" i="29" a="1"/>
  <c r="B54" i="29" s="1"/>
  <c r="A54" i="29" s="1"/>
  <c r="B60" i="29" a="1"/>
  <c r="B60" i="29" s="1"/>
  <c r="C60" i="29" s="1"/>
  <c r="B62" i="29" a="1"/>
  <c r="B62" i="29" s="1"/>
  <c r="C62" i="29" s="1"/>
  <c r="D62" i="29" s="1"/>
  <c r="B58" i="29" a="1"/>
  <c r="B58" i="29" s="1"/>
  <c r="A58" i="29" s="1"/>
  <c r="B63" i="29" a="1"/>
  <c r="B63" i="29" s="1"/>
  <c r="E63" i="29" s="1"/>
  <c r="B53" i="29" a="1"/>
  <c r="B53" i="29" s="1"/>
  <c r="H31" i="29" a="1"/>
  <c r="H31" i="29" s="1"/>
  <c r="H43" i="29" a="1"/>
  <c r="H43" i="29" s="1"/>
  <c r="I43" i="29" s="1"/>
  <c r="B47" i="29" a="1"/>
  <c r="B47" i="29" s="1"/>
  <c r="E47" i="29" s="1"/>
  <c r="B31" i="29" a="1"/>
  <c r="B31" i="29" s="1"/>
  <c r="A31" i="29" s="1"/>
  <c r="S23" i="25"/>
  <c r="T23" i="25" s="1"/>
  <c r="S14" i="25"/>
  <c r="T14" i="25" s="1"/>
  <c r="S10" i="18"/>
  <c r="T10" i="18" s="1"/>
  <c r="S9" i="25"/>
  <c r="T9" i="25" s="1"/>
  <c r="S32" i="25"/>
  <c r="T32" i="25" s="1"/>
  <c r="S16" i="25"/>
  <c r="T16" i="25" s="1"/>
  <c r="J20" i="29"/>
  <c r="F6" i="1"/>
  <c r="J22" i="29"/>
  <c r="J3" i="29"/>
  <c r="A6" i="7" s="1"/>
  <c r="J4" i="29"/>
  <c r="J5" i="29"/>
  <c r="J6" i="29"/>
  <c r="J7" i="29"/>
  <c r="J8" i="29"/>
  <c r="J9" i="29"/>
  <c r="J10" i="29"/>
  <c r="J11" i="29"/>
  <c r="J12" i="29"/>
  <c r="J13" i="29"/>
  <c r="J14" i="29"/>
  <c r="J15" i="29"/>
  <c r="J16" i="29"/>
  <c r="J17" i="29"/>
  <c r="J19" i="29"/>
  <c r="U24" i="28"/>
  <c r="A41" i="5"/>
  <c r="C23" i="28"/>
  <c r="A183" i="29"/>
  <c r="K227" i="29"/>
  <c r="E183" i="29"/>
  <c r="E136" i="29"/>
  <c r="E201" i="29"/>
  <c r="A201" i="29"/>
  <c r="A154" i="29"/>
  <c r="K72" i="29"/>
  <c r="E96" i="29"/>
  <c r="C209" i="29"/>
  <c r="D209" i="29" s="1"/>
  <c r="D19" i="1"/>
  <c r="U15" i="28"/>
  <c r="U64" i="28"/>
  <c r="U54" i="28"/>
  <c r="U47" i="28"/>
  <c r="U35" i="28"/>
  <c r="C12" i="28"/>
  <c r="C9" i="28"/>
  <c r="U3" i="2"/>
  <c r="U7" i="2"/>
  <c r="U6" i="4"/>
  <c r="U29" i="3"/>
  <c r="U12" i="4"/>
  <c r="U32" i="28"/>
  <c r="A101" i="4"/>
  <c r="U61" i="28"/>
  <c r="U34" i="28"/>
  <c r="A172" i="5"/>
  <c r="L50" i="28"/>
  <c r="L43" i="28"/>
  <c r="L38" i="28"/>
  <c r="C15" i="28"/>
  <c r="C26" i="28"/>
  <c r="A4" i="5"/>
  <c r="A7" i="5"/>
  <c r="A95" i="5"/>
  <c r="U61" i="5"/>
  <c r="U7" i="4"/>
  <c r="U60" i="5"/>
  <c r="A157" i="4"/>
  <c r="A152" i="5"/>
  <c r="A126" i="5"/>
  <c r="A140" i="5"/>
  <c r="A75" i="5"/>
  <c r="A89" i="5"/>
  <c r="A31" i="5"/>
  <c r="A149" i="5"/>
  <c r="A144" i="5"/>
  <c r="A72" i="5"/>
  <c r="A159" i="5"/>
  <c r="A26" i="5"/>
  <c r="A105" i="5"/>
  <c r="A34" i="5"/>
  <c r="A112" i="5"/>
  <c r="A53" i="5"/>
  <c r="A71" i="4"/>
  <c r="A27" i="4"/>
  <c r="A125" i="4"/>
  <c r="A194" i="4"/>
  <c r="L48" i="28"/>
  <c r="L22" i="28"/>
  <c r="C30" i="28"/>
  <c r="C11" i="28"/>
  <c r="U52" i="28"/>
  <c r="A230" i="4"/>
  <c r="A181" i="4"/>
  <c r="A122" i="4"/>
  <c r="A95" i="4"/>
  <c r="A63" i="4"/>
  <c r="A91" i="4"/>
  <c r="U25" i="28"/>
  <c r="A114" i="5"/>
  <c r="A160" i="5"/>
  <c r="A147" i="5"/>
  <c r="A118" i="5"/>
  <c r="A106" i="5"/>
  <c r="A83" i="5"/>
  <c r="C31" i="28"/>
  <c r="C18" i="28"/>
  <c r="U60" i="4"/>
  <c r="U27" i="3"/>
  <c r="I205" i="29"/>
  <c r="J205" i="29" s="1"/>
  <c r="G96" i="29"/>
  <c r="I90" i="29"/>
  <c r="J90" i="29" s="1"/>
  <c r="C38" i="29"/>
  <c r="D38" i="29" s="1"/>
  <c r="E180" i="29"/>
  <c r="U47" i="5"/>
  <c r="U58" i="4"/>
  <c r="U16" i="3"/>
  <c r="A6" i="29"/>
  <c r="U22" i="4"/>
  <c r="U7" i="3"/>
  <c r="A4" i="29"/>
  <c r="U62" i="4"/>
  <c r="U23" i="3"/>
  <c r="U36" i="4"/>
  <c r="U31" i="5"/>
  <c r="U17" i="4"/>
  <c r="U25" i="3"/>
  <c r="U14" i="3"/>
  <c r="U24" i="2"/>
  <c r="U13" i="5"/>
  <c r="U20" i="2"/>
  <c r="U17" i="5"/>
  <c r="U61" i="4"/>
  <c r="U20" i="3"/>
  <c r="U6" i="3"/>
  <c r="U21" i="2"/>
  <c r="C56" i="28"/>
  <c r="C60" i="28"/>
  <c r="C47" i="28"/>
  <c r="U19" i="3"/>
  <c r="U26" i="3"/>
  <c r="U13" i="3"/>
  <c r="C50" i="28"/>
  <c r="C53" i="28"/>
  <c r="C45" i="28"/>
  <c r="C51" i="28"/>
  <c r="A22" i="4"/>
  <c r="A155" i="4"/>
  <c r="A8" i="4"/>
  <c r="A139" i="4"/>
  <c r="A84" i="4"/>
  <c r="A177" i="4"/>
  <c r="A59" i="4"/>
  <c r="A202" i="4"/>
  <c r="A43" i="4"/>
  <c r="A178" i="4"/>
  <c r="A193" i="4"/>
  <c r="A89" i="4"/>
  <c r="A218" i="4"/>
  <c r="A78" i="4"/>
  <c r="A198" i="4"/>
  <c r="U30" i="28"/>
  <c r="U48" i="28"/>
  <c r="U16" i="28"/>
  <c r="U39" i="28"/>
  <c r="L55" i="28"/>
  <c r="A15" i="5"/>
  <c r="A79" i="5"/>
  <c r="A20" i="5"/>
  <c r="A78" i="5"/>
  <c r="A121" i="5"/>
  <c r="A32" i="5"/>
  <c r="A47" i="5"/>
  <c r="A127" i="5"/>
  <c r="L20" i="28"/>
  <c r="L41" i="28"/>
  <c r="L28" i="28"/>
  <c r="L36" i="28"/>
  <c r="L25" i="28"/>
  <c r="L16" i="28"/>
  <c r="U34" i="5"/>
  <c r="U14" i="5"/>
  <c r="A49" i="5"/>
  <c r="A109" i="5"/>
  <c r="A60" i="5"/>
  <c r="A12" i="5"/>
  <c r="A86" i="5"/>
  <c r="A173" i="5"/>
  <c r="A24" i="5"/>
  <c r="U26" i="5"/>
  <c r="U15" i="5"/>
  <c r="L35" i="28"/>
  <c r="L61" i="28"/>
  <c r="L52" i="28"/>
  <c r="L45" i="28"/>
  <c r="L24" i="28"/>
  <c r="L42" i="28"/>
  <c r="L51" i="28"/>
  <c r="L34" i="28"/>
  <c r="L18" i="28"/>
  <c r="L7" i="28"/>
  <c r="C19" i="28"/>
  <c r="C33" i="28"/>
  <c r="C16" i="28"/>
  <c r="C10" i="28"/>
  <c r="C13" i="28"/>
  <c r="C34" i="28"/>
  <c r="U27" i="2"/>
  <c r="U19" i="2"/>
  <c r="U23" i="2"/>
  <c r="U9" i="2"/>
  <c r="C25" i="28"/>
  <c r="C32" i="28"/>
  <c r="U26" i="2"/>
  <c r="U15" i="2"/>
  <c r="C14" i="28"/>
  <c r="U25" i="2"/>
  <c r="L26" i="28"/>
  <c r="C17" i="28"/>
  <c r="L59" i="28"/>
  <c r="C22" i="28"/>
  <c r="U21" i="5"/>
  <c r="U18" i="2"/>
  <c r="U44" i="4"/>
  <c r="U50" i="5"/>
  <c r="U33" i="28"/>
  <c r="U58" i="28"/>
  <c r="L40" i="28"/>
  <c r="L39" i="28"/>
  <c r="L14" i="28"/>
  <c r="U22" i="2"/>
  <c r="U45" i="4"/>
  <c r="U38" i="28"/>
  <c r="U14" i="28"/>
  <c r="U49" i="28"/>
  <c r="U59" i="28"/>
  <c r="A135" i="5"/>
  <c r="U53" i="5"/>
  <c r="U10" i="5"/>
  <c r="U6" i="5"/>
  <c r="U43" i="4"/>
  <c r="U27" i="4"/>
  <c r="U19" i="4"/>
  <c r="U10" i="4"/>
  <c r="U9" i="3"/>
  <c r="C180" i="29"/>
  <c r="D180" i="29" s="1"/>
  <c r="C216" i="29"/>
  <c r="D216" i="29" s="1"/>
  <c r="K15" i="29"/>
  <c r="K22" i="29"/>
  <c r="C221" i="29"/>
  <c r="D221" i="29" s="1"/>
  <c r="E210" i="29"/>
  <c r="K160" i="29"/>
  <c r="I130" i="29"/>
  <c r="J130" i="29" s="1"/>
  <c r="E163" i="29"/>
  <c r="A21" i="29"/>
  <c r="U38" i="5"/>
  <c r="U22" i="5"/>
  <c r="K86" i="29"/>
  <c r="U30" i="3"/>
  <c r="C19" i="29"/>
  <c r="D19" i="29" s="1"/>
  <c r="I200" i="29"/>
  <c r="J200" i="29" s="1"/>
  <c r="E21" i="29"/>
  <c r="C86" i="29"/>
  <c r="D86" i="29" s="1"/>
  <c r="G221" i="29"/>
  <c r="K42" i="29"/>
  <c r="G209" i="29"/>
  <c r="I161" i="29"/>
  <c r="J161" i="29" s="1"/>
  <c r="U11" i="3"/>
  <c r="E254" i="29"/>
  <c r="I134" i="29"/>
  <c r="J134" i="29" s="1"/>
  <c r="I142" i="29"/>
  <c r="J142" i="29" s="1"/>
  <c r="K200" i="29"/>
  <c r="U15" i="3"/>
  <c r="G71" i="29"/>
  <c r="K209" i="29"/>
  <c r="K126" i="29"/>
  <c r="U37" i="4"/>
  <c r="I71" i="29"/>
  <c r="J71" i="29" s="1"/>
  <c r="I89" i="29"/>
  <c r="J89" i="29" s="1"/>
  <c r="G161" i="29"/>
  <c r="G54" i="29"/>
  <c r="E155" i="29"/>
  <c r="U39" i="5"/>
  <c r="U40" i="5"/>
  <c r="U12" i="5"/>
  <c r="U8" i="5"/>
  <c r="U52" i="4"/>
  <c r="U42" i="4"/>
  <c r="U8" i="3"/>
  <c r="U5" i="3"/>
  <c r="C155" i="29"/>
  <c r="D155" i="29" s="1"/>
  <c r="C66" i="29"/>
  <c r="D66" i="29" s="1"/>
  <c r="G155" i="29"/>
  <c r="K69" i="29"/>
  <c r="I155" i="29"/>
  <c r="J155" i="29" s="1"/>
  <c r="U38" i="4"/>
  <c r="U30" i="4"/>
  <c r="U31" i="4"/>
  <c r="U20" i="4"/>
  <c r="U28" i="3"/>
  <c r="U17" i="3"/>
  <c r="E113" i="29"/>
  <c r="G142" i="29"/>
  <c r="U56" i="5"/>
  <c r="U37" i="5"/>
  <c r="U27" i="5"/>
  <c r="U23" i="5"/>
  <c r="U19" i="5"/>
  <c r="U9" i="5"/>
  <c r="U5" i="5"/>
  <c r="U57" i="4"/>
  <c r="U40" i="4"/>
  <c r="U35" i="4"/>
  <c r="U28" i="4"/>
  <c r="U23" i="4"/>
  <c r="U14" i="4"/>
  <c r="U9" i="4"/>
  <c r="U18" i="3"/>
  <c r="U10" i="3"/>
  <c r="U4" i="3"/>
  <c r="U28" i="2"/>
  <c r="U18" i="5"/>
  <c r="U59" i="4"/>
  <c r="U33" i="4"/>
  <c r="U29" i="4"/>
  <c r="U24" i="4"/>
  <c r="U16" i="4"/>
  <c r="U3" i="4"/>
  <c r="U8" i="2"/>
  <c r="K134" i="29"/>
  <c r="U43" i="5"/>
  <c r="U16" i="5"/>
  <c r="U11" i="5"/>
  <c r="U7" i="5"/>
  <c r="U12" i="2"/>
  <c r="A77" i="3"/>
  <c r="A23" i="3"/>
  <c r="A88" i="3"/>
  <c r="A110" i="3"/>
  <c r="A21" i="3"/>
  <c r="A44" i="3"/>
  <c r="C61" i="28"/>
  <c r="C39" i="28"/>
  <c r="C44" i="28"/>
  <c r="C49" i="28"/>
  <c r="A229" i="4"/>
  <c r="U37" i="28"/>
  <c r="U43" i="28"/>
  <c r="U19" i="28"/>
  <c r="U6" i="28"/>
  <c r="U42" i="28"/>
  <c r="U31" i="28"/>
  <c r="U22" i="28"/>
  <c r="L54" i="28"/>
  <c r="L10" i="28"/>
  <c r="U29" i="2"/>
  <c r="U30" i="2"/>
  <c r="K188" i="29"/>
  <c r="I175" i="29"/>
  <c r="J175" i="29" s="1"/>
  <c r="C70" i="29"/>
  <c r="D70" i="29" s="1"/>
  <c r="I182" i="29"/>
  <c r="J182" i="29" s="1"/>
  <c r="J160" i="29"/>
  <c r="K96" i="29"/>
  <c r="K205" i="29"/>
  <c r="E221" i="29"/>
  <c r="A245" i="29"/>
  <c r="A3" i="29"/>
  <c r="D231" i="29"/>
  <c r="C210" i="29"/>
  <c r="D210" i="29" s="1"/>
  <c r="I135" i="29"/>
  <c r="J135" i="29" s="1"/>
  <c r="A216" i="29"/>
  <c r="G143" i="29"/>
  <c r="I46" i="29"/>
  <c r="J46" i="29" s="1"/>
  <c r="G135" i="29"/>
  <c r="I139" i="29"/>
  <c r="J139" i="29" s="1"/>
  <c r="K175" i="29"/>
  <c r="D252" i="29"/>
  <c r="K139" i="29"/>
  <c r="I239" i="29"/>
  <c r="J239" i="29" s="1"/>
  <c r="G234" i="29"/>
  <c r="G160" i="29"/>
  <c r="J65" i="29"/>
  <c r="C225" i="29"/>
  <c r="D225" i="29" s="1"/>
  <c r="G68" i="29"/>
  <c r="K222" i="29"/>
  <c r="I203" i="29"/>
  <c r="J203" i="29" s="1"/>
  <c r="A235" i="29"/>
  <c r="K90" i="29"/>
  <c r="E215" i="29"/>
  <c r="C256" i="29"/>
  <c r="D256" i="29" s="1"/>
  <c r="G190" i="29"/>
  <c r="C246" i="29"/>
  <c r="D246" i="29" s="1"/>
  <c r="A151" i="29"/>
  <c r="K178" i="29"/>
  <c r="K109" i="29"/>
  <c r="E14" i="29"/>
  <c r="A256" i="29"/>
  <c r="I231" i="29"/>
  <c r="J231" i="29" s="1"/>
  <c r="I178" i="29"/>
  <c r="J178" i="29" s="1"/>
  <c r="K128" i="29"/>
  <c r="C235" i="29"/>
  <c r="D235" i="29" s="1"/>
  <c r="C159" i="29"/>
  <c r="D159" i="29" s="1"/>
  <c r="A111" i="29"/>
  <c r="E264" i="29"/>
  <c r="I189" i="29"/>
  <c r="J189" i="29" s="1"/>
  <c r="A15" i="29"/>
  <c r="I225" i="29"/>
  <c r="J225" i="29" s="1"/>
  <c r="I185" i="29"/>
  <c r="J185" i="29" s="1"/>
  <c r="G231" i="29"/>
  <c r="A238" i="29"/>
  <c r="A225" i="29"/>
  <c r="I222" i="29"/>
  <c r="J222" i="29" s="1"/>
  <c r="C212" i="29"/>
  <c r="D212" i="29" s="1"/>
  <c r="G94" i="29"/>
  <c r="G39" i="29"/>
  <c r="E246" i="29"/>
  <c r="A212" i="29"/>
  <c r="K189" i="29"/>
  <c r="C215" i="29"/>
  <c r="D215" i="29" s="1"/>
  <c r="D151" i="29"/>
  <c r="G65" i="29"/>
  <c r="E151" i="29"/>
  <c r="I39" i="29"/>
  <c r="J39" i="29" s="1"/>
  <c r="K203" i="29"/>
  <c r="E15" i="29"/>
  <c r="G109" i="29"/>
  <c r="K65" i="29"/>
  <c r="A131" i="29"/>
  <c r="C142" i="29"/>
  <c r="D142" i="29" s="1"/>
  <c r="C238" i="29"/>
  <c r="D238" i="29" s="1"/>
  <c r="U52" i="5"/>
  <c r="U28" i="5"/>
  <c r="U57" i="5"/>
  <c r="U36" i="5"/>
  <c r="U32" i="2"/>
  <c r="U16" i="2"/>
  <c r="U21" i="3"/>
  <c r="A120" i="3"/>
  <c r="A97" i="3"/>
  <c r="A72" i="3"/>
  <c r="A54" i="3"/>
  <c r="A39" i="3"/>
  <c r="A71" i="3"/>
  <c r="A48" i="3"/>
  <c r="A112" i="3"/>
  <c r="A219" i="4"/>
  <c r="A225" i="4"/>
  <c r="A200" i="4"/>
  <c r="A207" i="4"/>
  <c r="A182" i="4"/>
  <c r="A169" i="4"/>
  <c r="A143" i="4"/>
  <c r="A137" i="4"/>
  <c r="A142" i="4"/>
  <c r="A132" i="4"/>
  <c r="A131" i="4"/>
  <c r="A104" i="4"/>
  <c r="A102" i="4"/>
  <c r="A96" i="4"/>
  <c r="A74" i="4"/>
  <c r="A61" i="4"/>
  <c r="A54" i="4"/>
  <c r="A53" i="4"/>
  <c r="A39" i="4"/>
  <c r="A20" i="4"/>
  <c r="A12" i="4"/>
  <c r="A6" i="4"/>
  <c r="A205" i="4"/>
  <c r="A148" i="5"/>
  <c r="A145" i="5"/>
  <c r="A138" i="5"/>
  <c r="A125" i="5"/>
  <c r="A166" i="5"/>
  <c r="A163" i="5"/>
  <c r="A116" i="5"/>
  <c r="A142" i="5"/>
  <c r="A155" i="5"/>
  <c r="A141" i="5"/>
  <c r="A119" i="5"/>
  <c r="A122" i="5"/>
  <c r="A104" i="5"/>
  <c r="A101" i="5"/>
  <c r="A98" i="5"/>
  <c r="A94" i="5"/>
  <c r="A88" i="5"/>
  <c r="A82" i="5"/>
  <c r="A77" i="5"/>
  <c r="A64" i="5"/>
  <c r="A66" i="5"/>
  <c r="A59" i="5"/>
  <c r="A57" i="5"/>
  <c r="A50" i="5"/>
  <c r="A46" i="5"/>
  <c r="A39" i="5"/>
  <c r="A43" i="5"/>
  <c r="A35" i="5"/>
  <c r="A27" i="5"/>
  <c r="A23" i="5"/>
  <c r="A19" i="5"/>
  <c r="A14" i="5"/>
  <c r="A11" i="5"/>
  <c r="A158" i="5"/>
  <c r="I223" i="29"/>
  <c r="J223" i="29" s="1"/>
  <c r="K223" i="29"/>
  <c r="C240" i="29"/>
  <c r="D240" i="29" s="1"/>
  <c r="G69" i="29"/>
  <c r="K20" i="29"/>
  <c r="J21" i="29"/>
  <c r="U39" i="4"/>
  <c r="G72" i="29"/>
  <c r="K46" i="29"/>
  <c r="G177" i="29"/>
  <c r="G235" i="29"/>
  <c r="E249" i="29"/>
  <c r="G84" i="29"/>
  <c r="G204" i="29"/>
  <c r="C109" i="29"/>
  <c r="D109" i="29" s="1"/>
  <c r="D175" i="29"/>
  <c r="A175" i="29"/>
  <c r="E168" i="29"/>
  <c r="I168" i="29"/>
  <c r="J168" i="29" s="1"/>
  <c r="G137" i="29"/>
  <c r="C96" i="29"/>
  <c r="D96" i="29" s="1"/>
  <c r="E209" i="29"/>
  <c r="E247" i="29"/>
  <c r="E109" i="29"/>
  <c r="E175" i="29"/>
  <c r="A230" i="29"/>
  <c r="A247" i="29"/>
  <c r="A163" i="29"/>
  <c r="K63" i="29"/>
  <c r="J199" i="29"/>
  <c r="E173" i="29"/>
  <c r="I204" i="29"/>
  <c r="J204" i="29" s="1"/>
  <c r="G128" i="29"/>
  <c r="G166" i="29"/>
  <c r="I221" i="29"/>
  <c r="J221" i="29" s="1"/>
  <c r="A159" i="29"/>
  <c r="G144" i="29"/>
  <c r="R23" i="29"/>
  <c r="U44" i="5"/>
  <c r="U53" i="4"/>
  <c r="U47" i="4"/>
  <c r="C232" i="29"/>
  <c r="D232" i="29" s="1"/>
  <c r="M23" i="29"/>
  <c r="U23" i="29"/>
  <c r="K4" i="29"/>
  <c r="K8" i="29"/>
  <c r="K11" i="29"/>
  <c r="G78" i="29"/>
  <c r="A61" i="29"/>
  <c r="G32" i="29"/>
  <c r="K185" i="29"/>
  <c r="C111" i="29"/>
  <c r="D111" i="29" s="1"/>
  <c r="A174" i="29"/>
  <c r="I86" i="29"/>
  <c r="J86" i="29" s="1"/>
  <c r="I164" i="29"/>
  <c r="J164" i="29" s="1"/>
  <c r="K214" i="29"/>
  <c r="K3" i="29"/>
  <c r="G83" i="29"/>
  <c r="A102" i="29"/>
  <c r="A14" i="29"/>
  <c r="A254" i="29"/>
  <c r="K137" i="29"/>
  <c r="D173" i="29"/>
  <c r="D247" i="29"/>
  <c r="D254" i="29"/>
  <c r="I143" i="29"/>
  <c r="J143" i="29" s="1"/>
  <c r="K94" i="29"/>
  <c r="J177" i="29"/>
  <c r="I214" i="29"/>
  <c r="J214" i="29" s="1"/>
  <c r="K207" i="29"/>
  <c r="G165" i="29"/>
  <c r="I190" i="29"/>
  <c r="J190" i="29" s="1"/>
  <c r="G130" i="29"/>
  <c r="A142" i="29"/>
  <c r="I154" i="29"/>
  <c r="J154" i="29" s="1"/>
  <c r="G154" i="29"/>
  <c r="I159" i="29"/>
  <c r="J159" i="29" s="1"/>
  <c r="G159" i="29"/>
  <c r="K159" i="29"/>
  <c r="E187" i="29"/>
  <c r="A187" i="29"/>
  <c r="U25" i="5"/>
  <c r="U55" i="4"/>
  <c r="U51" i="4"/>
  <c r="K177" i="29"/>
  <c r="U48" i="5"/>
  <c r="U30" i="5"/>
  <c r="A5" i="29"/>
  <c r="E18" i="29"/>
  <c r="A18" i="29"/>
  <c r="C18" i="29"/>
  <c r="D18" i="29" s="1"/>
  <c r="K95" i="29"/>
  <c r="A264" i="29"/>
  <c r="I70" i="29"/>
  <c r="J70" i="29" s="1"/>
  <c r="G126" i="29"/>
  <c r="K14" i="29"/>
  <c r="K16" i="29"/>
  <c r="K17" i="29"/>
  <c r="K18" i="29"/>
  <c r="K19" i="29"/>
  <c r="K21" i="29"/>
  <c r="I95" i="29"/>
  <c r="J95" i="29" s="1"/>
  <c r="E66" i="29"/>
  <c r="J150" i="29"/>
  <c r="G36" i="29"/>
  <c r="K154" i="29"/>
  <c r="O23" i="29"/>
  <c r="S23" i="29"/>
  <c r="N23" i="29"/>
  <c r="K5" i="29"/>
  <c r="Q23" i="29"/>
  <c r="K6" i="29"/>
  <c r="K7" i="29"/>
  <c r="K9" i="29"/>
  <c r="K10" i="29"/>
  <c r="P23" i="29"/>
  <c r="T23" i="29"/>
  <c r="K12" i="29"/>
  <c r="K13" i="29"/>
  <c r="U49" i="5"/>
  <c r="U41" i="5"/>
  <c r="U54" i="5"/>
  <c r="U24" i="5"/>
  <c r="U18" i="4"/>
  <c r="U13" i="4"/>
  <c r="A186" i="29"/>
  <c r="G70" i="29"/>
  <c r="E192" i="29"/>
  <c r="U67" i="5"/>
  <c r="U33" i="5"/>
  <c r="U11" i="2"/>
  <c r="G91" i="29"/>
  <c r="A68" i="29"/>
  <c r="E68" i="29"/>
  <c r="C68" i="29"/>
  <c r="D68" i="29" s="1"/>
  <c r="I179" i="29"/>
  <c r="J179" i="29" s="1"/>
  <c r="K179" i="29"/>
  <c r="A214" i="29"/>
  <c r="E214" i="29"/>
  <c r="A55" i="29"/>
  <c r="G79" i="29"/>
  <c r="I149" i="29"/>
  <c r="J149" i="29" s="1"/>
  <c r="G149" i="29"/>
  <c r="K149" i="29"/>
  <c r="G192" i="29"/>
  <c r="K192" i="29"/>
  <c r="I192" i="29"/>
  <c r="J192" i="29" s="1"/>
  <c r="K197" i="29"/>
  <c r="G197" i="29"/>
  <c r="I197" i="29"/>
  <c r="J197" i="29" s="1"/>
  <c r="E45" i="29"/>
  <c r="A45" i="29"/>
  <c r="C45" i="29"/>
  <c r="D45" i="29" s="1"/>
  <c r="E181" i="29"/>
  <c r="I211" i="29"/>
  <c r="J211" i="29" s="1"/>
  <c r="C181" i="29"/>
  <c r="D181" i="29" s="1"/>
  <c r="G163" i="29"/>
  <c r="U20" i="5"/>
  <c r="C184" i="29"/>
  <c r="D184" i="29" s="1"/>
  <c r="K150" i="29"/>
  <c r="A105" i="29"/>
  <c r="E240" i="29"/>
  <c r="G150" i="29"/>
  <c r="K211" i="29"/>
  <c r="C236" i="29"/>
  <c r="D236" i="29" s="1"/>
  <c r="K215" i="29"/>
  <c r="E69" i="29"/>
  <c r="G89" i="29"/>
  <c r="A232" i="29"/>
  <c r="E61" i="29"/>
  <c r="E186" i="29"/>
  <c r="I163" i="29"/>
  <c r="J163" i="29" s="1"/>
  <c r="K129" i="29"/>
  <c r="C192" i="29"/>
  <c r="D192" i="29" s="1"/>
  <c r="E38" i="29"/>
  <c r="L23" i="29"/>
  <c r="U46" i="5"/>
  <c r="U35" i="5"/>
  <c r="U41" i="4"/>
  <c r="U26" i="4"/>
  <c r="U22" i="3"/>
  <c r="U17" i="2"/>
  <c r="G42" i="29"/>
  <c r="E65" i="29"/>
  <c r="C65" i="29"/>
  <c r="D65" i="29" s="1"/>
  <c r="G215" i="29"/>
  <c r="E184" i="29"/>
  <c r="C71" i="29"/>
  <c r="D71" i="29" s="1"/>
  <c r="I167" i="29"/>
  <c r="J167" i="29" s="1"/>
  <c r="U58" i="5"/>
  <c r="U62" i="5"/>
  <c r="U51" i="5"/>
  <c r="U45" i="5"/>
  <c r="U29" i="5"/>
  <c r="J183" i="29"/>
  <c r="U59" i="5"/>
  <c r="U55" i="5"/>
  <c r="U11" i="4"/>
  <c r="U14" i="2"/>
  <c r="U10" i="2"/>
  <c r="A57" i="3"/>
  <c r="A127" i="3"/>
  <c r="A58" i="3"/>
  <c r="A125" i="3"/>
  <c r="A35" i="3"/>
  <c r="A109" i="3"/>
  <c r="A128" i="3"/>
  <c r="A122" i="3"/>
  <c r="A111" i="3"/>
  <c r="A107" i="3"/>
  <c r="A106" i="3"/>
  <c r="A103" i="3"/>
  <c r="A92" i="3"/>
  <c r="A86" i="3"/>
  <c r="A82" i="3"/>
  <c r="A83" i="3"/>
  <c r="A75" i="3"/>
  <c r="A68" i="3"/>
  <c r="A61" i="3"/>
  <c r="A59" i="3"/>
  <c r="A50" i="3"/>
  <c r="A49" i="3"/>
  <c r="A42" i="3"/>
  <c r="A37" i="3"/>
  <c r="A32" i="3"/>
  <c r="A24" i="3"/>
  <c r="A19" i="3"/>
  <c r="A15" i="3"/>
  <c r="A10" i="3"/>
  <c r="A17" i="3"/>
  <c r="A76" i="3"/>
  <c r="A11" i="3"/>
  <c r="A78" i="3"/>
  <c r="A55" i="3"/>
  <c r="A114" i="3"/>
  <c r="A29" i="3"/>
  <c r="A95" i="3"/>
  <c r="A27" i="3"/>
  <c r="A93" i="3"/>
  <c r="A4" i="3"/>
  <c r="A7" i="3"/>
  <c r="C57" i="28"/>
  <c r="A3" i="3"/>
  <c r="A20" i="3"/>
  <c r="A34" i="3"/>
  <c r="A52" i="3"/>
  <c r="A65" i="3"/>
  <c r="A80" i="3"/>
  <c r="A94" i="3"/>
  <c r="A116" i="3"/>
  <c r="A8" i="3"/>
  <c r="A25" i="3"/>
  <c r="A40" i="3"/>
  <c r="A53" i="3"/>
  <c r="A70" i="3"/>
  <c r="A90" i="3"/>
  <c r="A105" i="3"/>
  <c r="A117" i="3"/>
  <c r="A9" i="3"/>
  <c r="A28" i="3"/>
  <c r="A46" i="3"/>
  <c r="A62" i="3"/>
  <c r="A69" i="3"/>
  <c r="A98" i="3"/>
  <c r="A104" i="3"/>
  <c r="A123" i="3"/>
  <c r="A6" i="3"/>
  <c r="A22" i="3"/>
  <c r="A38" i="3"/>
  <c r="A63" i="3"/>
  <c r="A73" i="3"/>
  <c r="A84" i="3"/>
  <c r="A96" i="3"/>
  <c r="A115" i="3"/>
  <c r="A5" i="3"/>
  <c r="A13" i="3"/>
  <c r="A30" i="3"/>
  <c r="A41" i="3"/>
  <c r="A67" i="3"/>
  <c r="A79" i="3"/>
  <c r="A100" i="3"/>
  <c r="A101" i="3"/>
  <c r="A124" i="3"/>
  <c r="A14" i="3"/>
  <c r="A31" i="3"/>
  <c r="A51" i="3"/>
  <c r="A60" i="3"/>
  <c r="A74" i="3"/>
  <c r="A99" i="3"/>
  <c r="A113" i="3"/>
  <c r="A126" i="3"/>
  <c r="A12" i="3"/>
  <c r="A26" i="3"/>
  <c r="A43" i="3"/>
  <c r="A56" i="3"/>
  <c r="A85" i="3"/>
  <c r="A89" i="3"/>
  <c r="A108" i="3"/>
  <c r="A121" i="3"/>
  <c r="A16" i="3"/>
  <c r="A33" i="3"/>
  <c r="A45" i="3"/>
  <c r="A64" i="3"/>
  <c r="A87" i="3"/>
  <c r="A91" i="3"/>
  <c r="A119" i="3"/>
  <c r="A129" i="3"/>
  <c r="A18" i="3"/>
  <c r="A36" i="3"/>
  <c r="A47" i="3"/>
  <c r="A66" i="3"/>
  <c r="A81" i="3"/>
  <c r="A102" i="3"/>
  <c r="A118" i="3"/>
  <c r="A30" i="4"/>
  <c r="A65" i="4"/>
  <c r="A97" i="4"/>
  <c r="A128" i="4"/>
  <c r="A159" i="4"/>
  <c r="A180" i="4"/>
  <c r="A231" i="4"/>
  <c r="A34" i="4"/>
  <c r="A64" i="4"/>
  <c r="A103" i="4"/>
  <c r="A126" i="4"/>
  <c r="A161" i="4"/>
  <c r="A175" i="4"/>
  <c r="A215" i="4"/>
  <c r="A11" i="4"/>
  <c r="A41" i="4"/>
  <c r="A80" i="4"/>
  <c r="A107" i="4"/>
  <c r="A147" i="4"/>
  <c r="A172" i="4"/>
  <c r="A199" i="4"/>
  <c r="A220" i="4"/>
  <c r="A17" i="4"/>
  <c r="A48" i="4"/>
  <c r="A79" i="4"/>
  <c r="A112" i="4"/>
  <c r="A138" i="4"/>
  <c r="A176" i="4"/>
  <c r="A201" i="4"/>
  <c r="A222" i="4"/>
  <c r="A9" i="4"/>
  <c r="A40" i="4"/>
  <c r="A73" i="4"/>
  <c r="A105" i="4"/>
  <c r="A135" i="4"/>
  <c r="A171" i="4"/>
  <c r="A203" i="4"/>
  <c r="A19" i="4"/>
  <c r="A56" i="4"/>
  <c r="A90" i="4"/>
  <c r="A118" i="4"/>
  <c r="A146" i="4"/>
  <c r="A187" i="4"/>
  <c r="A221" i="4"/>
  <c r="A211" i="4"/>
  <c r="A227" i="4"/>
  <c r="A214" i="4"/>
  <c r="A195" i="4"/>
  <c r="A208" i="4"/>
  <c r="A185" i="4"/>
  <c r="A183" i="4"/>
  <c r="A160" i="4"/>
  <c r="A164" i="4"/>
  <c r="A150" i="4"/>
  <c r="A149" i="4"/>
  <c r="A133" i="4"/>
  <c r="A129" i="4"/>
  <c r="A121" i="4"/>
  <c r="A120" i="4"/>
  <c r="A100" i="4"/>
  <c r="A99" i="4"/>
  <c r="A83" i="4"/>
  <c r="A76" i="4"/>
  <c r="A67" i="4"/>
  <c r="A66" i="4"/>
  <c r="A52" i="4"/>
  <c r="A49" i="4"/>
  <c r="A37" i="4"/>
  <c r="A32" i="4"/>
  <c r="A29" i="4"/>
  <c r="A14" i="4"/>
  <c r="A7" i="4"/>
  <c r="A16" i="4"/>
  <c r="A46" i="4"/>
  <c r="A87" i="4"/>
  <c r="A114" i="4"/>
  <c r="A141" i="4"/>
  <c r="A192" i="4"/>
  <c r="A216" i="4"/>
  <c r="A15" i="4"/>
  <c r="A44" i="4"/>
  <c r="A75" i="4"/>
  <c r="A106" i="4"/>
  <c r="A144" i="4"/>
  <c r="A173" i="4"/>
  <c r="A217" i="4"/>
  <c r="A23" i="4"/>
  <c r="A62" i="4"/>
  <c r="A93" i="4"/>
  <c r="A123" i="4"/>
  <c r="A151" i="4"/>
  <c r="A188" i="4"/>
  <c r="A228" i="4"/>
  <c r="A212" i="4"/>
  <c r="A213" i="4"/>
  <c r="A196" i="4"/>
  <c r="A189" i="4"/>
  <c r="A190" i="4"/>
  <c r="A168" i="4"/>
  <c r="A165" i="4"/>
  <c r="A162" i="4"/>
  <c r="A152" i="4"/>
  <c r="A154" i="4"/>
  <c r="A145" i="4"/>
  <c r="A130" i="4"/>
  <c r="A115" i="4"/>
  <c r="A119" i="4"/>
  <c r="A110" i="4"/>
  <c r="A94" i="4"/>
  <c r="A82" i="4"/>
  <c r="A86" i="4"/>
  <c r="A72" i="4"/>
  <c r="A68" i="4"/>
  <c r="A57" i="4"/>
  <c r="A51" i="4"/>
  <c r="A45" i="4"/>
  <c r="A42" i="4"/>
  <c r="A25" i="4"/>
  <c r="A26" i="4"/>
  <c r="A10" i="4"/>
  <c r="A184" i="4"/>
  <c r="U53" i="28"/>
  <c r="U46" i="28"/>
  <c r="A5" i="4"/>
  <c r="A35" i="4"/>
  <c r="A58" i="4"/>
  <c r="A88" i="4"/>
  <c r="A31" i="4"/>
  <c r="A77" i="4"/>
  <c r="A13" i="4"/>
  <c r="A28" i="4"/>
  <c r="A50" i="4"/>
  <c r="A60" i="4"/>
  <c r="A85" i="4"/>
  <c r="A92" i="4"/>
  <c r="A109" i="4"/>
  <c r="A124" i="4"/>
  <c r="A136" i="4"/>
  <c r="A158" i="4"/>
  <c r="A166" i="4"/>
  <c r="A197" i="4"/>
  <c r="A204" i="4"/>
  <c r="A226" i="4"/>
  <c r="A21" i="4"/>
  <c r="A108" i="4"/>
  <c r="A156" i="4"/>
  <c r="A191" i="4"/>
  <c r="A24" i="4"/>
  <c r="A113" i="4"/>
  <c r="A167" i="4"/>
  <c r="A210" i="4"/>
  <c r="A140" i="4"/>
  <c r="A186" i="4"/>
  <c r="U57" i="28"/>
  <c r="U54" i="4"/>
  <c r="U49" i="4"/>
  <c r="U46" i="4"/>
  <c r="U34" i="4"/>
  <c r="U25" i="4"/>
  <c r="U21" i="4"/>
  <c r="A38" i="4"/>
  <c r="A69" i="4"/>
  <c r="A47" i="4"/>
  <c r="A4" i="4"/>
  <c r="A18" i="4"/>
  <c r="A33" i="4"/>
  <c r="A55" i="4"/>
  <c r="A70" i="4"/>
  <c r="A81" i="4"/>
  <c r="A98" i="4"/>
  <c r="A111" i="4"/>
  <c r="A134" i="4"/>
  <c r="A148" i="4"/>
  <c r="A170" i="4"/>
  <c r="A174" i="4"/>
  <c r="A206" i="4"/>
  <c r="A223" i="4"/>
  <c r="A3" i="4"/>
  <c r="A117" i="4"/>
  <c r="A116" i="4"/>
  <c r="A163" i="4"/>
  <c r="A209" i="4"/>
  <c r="A36" i="4"/>
  <c r="A127" i="4"/>
  <c r="A179" i="4"/>
  <c r="A224" i="4"/>
  <c r="A153" i="4"/>
  <c r="U56" i="4"/>
  <c r="U50" i="4"/>
  <c r="U48" i="4"/>
  <c r="U32" i="4"/>
  <c r="A17" i="5"/>
  <c r="A37" i="5"/>
  <c r="A55" i="5"/>
  <c r="A67" i="5"/>
  <c r="A85" i="5"/>
  <c r="A97" i="5"/>
  <c r="A143" i="5"/>
  <c r="A171" i="5"/>
  <c r="A150" i="5"/>
  <c r="A164" i="5"/>
  <c r="A10" i="5"/>
  <c r="A33" i="5"/>
  <c r="A68" i="5"/>
  <c r="A80" i="5"/>
  <c r="A96" i="5"/>
  <c r="A120" i="5"/>
  <c r="A154" i="5"/>
  <c r="A129" i="5"/>
  <c r="A113" i="5"/>
  <c r="A174" i="5"/>
  <c r="A22" i="5"/>
  <c r="A58" i="5"/>
  <c r="A81" i="5"/>
  <c r="A100" i="5"/>
  <c r="A110" i="5"/>
  <c r="A170" i="5"/>
  <c r="A139" i="5"/>
  <c r="A128" i="5"/>
  <c r="A162" i="5"/>
  <c r="A45" i="5"/>
  <c r="A51" i="5"/>
  <c r="A108" i="5"/>
  <c r="A133" i="5"/>
  <c r="A3" i="5"/>
  <c r="A18" i="5"/>
  <c r="A42" i="5"/>
  <c r="A62" i="5"/>
  <c r="A74" i="5"/>
  <c r="A91" i="5"/>
  <c r="A103" i="5"/>
  <c r="A137" i="5"/>
  <c r="A165" i="5"/>
  <c r="A123" i="5"/>
  <c r="A65" i="5"/>
  <c r="A61" i="5"/>
  <c r="A38" i="5"/>
  <c r="A40" i="5"/>
  <c r="A92" i="5"/>
  <c r="A130" i="5"/>
  <c r="A134" i="5"/>
  <c r="A157" i="5"/>
  <c r="A5" i="5"/>
  <c r="A30" i="5"/>
  <c r="A56" i="5"/>
  <c r="A73" i="5"/>
  <c r="A87" i="5"/>
  <c r="A99" i="5"/>
  <c r="A132" i="5"/>
  <c r="A117" i="5"/>
  <c r="A161" i="5"/>
  <c r="A13" i="5"/>
  <c r="A48" i="5"/>
  <c r="A71" i="5"/>
  <c r="A115" i="5"/>
  <c r="A167" i="5"/>
  <c r="A153" i="5"/>
  <c r="A146" i="5"/>
  <c r="A9" i="5"/>
  <c r="A29" i="5"/>
  <c r="A44" i="5"/>
  <c r="A76" i="5"/>
  <c r="A124" i="5"/>
  <c r="A136" i="5"/>
  <c r="A168" i="5"/>
  <c r="A169" i="5"/>
  <c r="A6" i="5"/>
  <c r="A25" i="5"/>
  <c r="A28" i="5"/>
  <c r="A63" i="5"/>
  <c r="A84" i="5"/>
  <c r="A102" i="5"/>
  <c r="A111" i="5"/>
  <c r="A8" i="5"/>
  <c r="A21" i="5"/>
  <c r="A36" i="5"/>
  <c r="A54" i="5"/>
  <c r="A70" i="5"/>
  <c r="A93" i="5"/>
  <c r="A107" i="5"/>
  <c r="A131" i="5"/>
  <c r="A151" i="5"/>
  <c r="A156" i="5"/>
  <c r="A16" i="5"/>
  <c r="A52" i="5"/>
  <c r="A90" i="5"/>
  <c r="L47" i="28"/>
  <c r="G34" i="29"/>
  <c r="G29" i="29"/>
  <c r="K228" i="29"/>
  <c r="G228" i="29"/>
  <c r="I228" i="29"/>
  <c r="J228" i="29" s="1"/>
  <c r="A253" i="29"/>
  <c r="E253" i="29"/>
  <c r="C253" i="29"/>
  <c r="D253" i="29" s="1"/>
  <c r="A57" i="29"/>
  <c r="A9" i="29"/>
  <c r="E72" i="29"/>
  <c r="K87" i="29"/>
  <c r="G87" i="29"/>
  <c r="I87" i="29"/>
  <c r="J87" i="29" s="1"/>
  <c r="C179" i="29"/>
  <c r="D179" i="29" s="1"/>
  <c r="A179" i="29"/>
  <c r="A11" i="29"/>
  <c r="E11" i="29"/>
  <c r="C11" i="29"/>
  <c r="D11" i="29" s="1"/>
  <c r="G187" i="29"/>
  <c r="I187" i="29"/>
  <c r="J187" i="29" s="1"/>
  <c r="K187" i="29"/>
  <c r="K44" i="29"/>
  <c r="I44" i="29"/>
  <c r="J44" i="29" s="1"/>
  <c r="G44" i="29"/>
  <c r="C12" i="29"/>
  <c r="D12" i="29" s="1"/>
  <c r="A12" i="29"/>
  <c r="E12" i="29"/>
  <c r="G230" i="29"/>
  <c r="K230" i="29"/>
  <c r="I230" i="29"/>
  <c r="J230" i="29" s="1"/>
  <c r="A126" i="29"/>
  <c r="A141" i="29"/>
  <c r="A260" i="29"/>
  <c r="C187" i="29"/>
  <c r="D187" i="29" s="1"/>
  <c r="C113" i="29"/>
  <c r="D113" i="29" s="1"/>
  <c r="K157" i="29"/>
  <c r="E188" i="29"/>
  <c r="C136" i="29"/>
  <c r="D136" i="29" s="1"/>
  <c r="G223" i="29"/>
  <c r="K166" i="29"/>
  <c r="G239" i="29"/>
  <c r="I188" i="29"/>
  <c r="J188" i="29" s="1"/>
  <c r="G183" i="29"/>
  <c r="A231" i="29"/>
  <c r="A83" i="29"/>
  <c r="K225" i="29"/>
  <c r="A178" i="29"/>
  <c r="C228" i="29"/>
  <c r="D228" i="29" s="1"/>
  <c r="G136" i="29"/>
  <c r="I129" i="29"/>
  <c r="J129" i="29" s="1"/>
  <c r="G207" i="29"/>
  <c r="A56" i="29"/>
  <c r="I152" i="29"/>
  <c r="J152" i="29" s="1"/>
  <c r="K206" i="29"/>
  <c r="I36" i="29"/>
  <c r="J36" i="29" s="1"/>
  <c r="G164" i="29"/>
  <c r="K125" i="29"/>
  <c r="G179" i="29"/>
  <c r="C214" i="29"/>
  <c r="D214" i="29" s="1"/>
  <c r="C197" i="29"/>
  <c r="D197" i="29" s="1"/>
  <c r="E231" i="29"/>
  <c r="E200" i="29"/>
  <c r="E211" i="29"/>
  <c r="I144" i="29"/>
  <c r="J144" i="29" s="1"/>
  <c r="C224" i="29"/>
  <c r="D224" i="29" s="1"/>
  <c r="A224" i="29"/>
  <c r="I157" i="29"/>
  <c r="J157" i="29" s="1"/>
  <c r="J207" i="29"/>
  <c r="K208" i="29"/>
  <c r="I226" i="29"/>
  <c r="J226" i="29" s="1"/>
  <c r="J208" i="29"/>
  <c r="C245" i="29"/>
  <c r="D245" i="29" s="1"/>
  <c r="J166" i="29"/>
  <c r="A237" i="29"/>
  <c r="K183" i="29"/>
  <c r="E178" i="29"/>
  <c r="K136" i="29"/>
  <c r="G206" i="29"/>
  <c r="E176" i="29"/>
  <c r="C204" i="29"/>
  <c r="D204" i="29" s="1"/>
  <c r="J125" i="29"/>
  <c r="G125" i="29"/>
  <c r="I234" i="29"/>
  <c r="J234" i="29" s="1"/>
  <c r="E204" i="29"/>
  <c r="A252" i="29"/>
  <c r="C211" i="29"/>
  <c r="D211" i="29" s="1"/>
  <c r="K93" i="29"/>
  <c r="C188" i="29"/>
  <c r="D188" i="29" s="1"/>
  <c r="I93" i="29"/>
  <c r="J93" i="29" s="1"/>
  <c r="G208" i="29"/>
  <c r="K152" i="29"/>
  <c r="E228" i="29"/>
  <c r="G226" i="29"/>
  <c r="A71" i="29"/>
  <c r="K167" i="29"/>
  <c r="C176" i="29"/>
  <c r="D176" i="29" s="1"/>
  <c r="E197" i="29"/>
  <c r="E252" i="29"/>
  <c r="C200" i="29"/>
  <c r="D200" i="29" s="1"/>
  <c r="I66" i="29"/>
  <c r="J66" i="29" s="1"/>
  <c r="G66" i="29"/>
  <c r="K66" i="29"/>
  <c r="G233" i="29"/>
  <c r="K233" i="29"/>
  <c r="I233" i="29"/>
  <c r="J233" i="29" s="1"/>
  <c r="G202" i="29"/>
  <c r="I202" i="29"/>
  <c r="J202" i="29" s="1"/>
  <c r="G198" i="29"/>
  <c r="K198" i="29"/>
  <c r="I181" i="29"/>
  <c r="J181" i="29" s="1"/>
  <c r="K181" i="29"/>
  <c r="G181" i="29"/>
  <c r="I132" i="29"/>
  <c r="J132" i="29" s="1"/>
  <c r="G132" i="29"/>
  <c r="K132" i="29"/>
  <c r="K140" i="29"/>
  <c r="J140" i="29"/>
  <c r="G140" i="29"/>
  <c r="G30" i="29"/>
  <c r="A13" i="29"/>
  <c r="C13" i="29"/>
  <c r="D13" i="29" s="1"/>
  <c r="E13" i="29"/>
  <c r="K174" i="29"/>
  <c r="G174" i="29"/>
  <c r="I174" i="29"/>
  <c r="J174" i="29" s="1"/>
  <c r="C206" i="29"/>
  <c r="D206" i="29" s="1"/>
  <c r="A206" i="29"/>
  <c r="E206" i="29"/>
  <c r="E229" i="29"/>
  <c r="C229" i="29"/>
  <c r="D229" i="29" s="1"/>
  <c r="A110" i="29"/>
  <c r="C110" i="29"/>
  <c r="D110" i="29" s="1"/>
  <c r="A251" i="29"/>
  <c r="E251" i="29"/>
  <c r="C251" i="29"/>
  <c r="D251" i="29" s="1"/>
  <c r="I210" i="29"/>
  <c r="J210" i="29" s="1"/>
  <c r="K210" i="29"/>
  <c r="G210" i="29"/>
  <c r="I133" i="29"/>
  <c r="J133" i="29" s="1"/>
  <c r="K133" i="29"/>
  <c r="G133" i="29"/>
  <c r="G141" i="29"/>
  <c r="K141" i="29"/>
  <c r="A16" i="29"/>
  <c r="E16" i="29"/>
  <c r="C16" i="29"/>
  <c r="D16" i="29" s="1"/>
  <c r="A17" i="29"/>
  <c r="E17" i="29"/>
  <c r="C17" i="29"/>
  <c r="D17" i="29" s="1"/>
  <c r="J37" i="29"/>
  <c r="G37" i="29"/>
  <c r="K37" i="29"/>
  <c r="G85" i="29"/>
  <c r="I229" i="29"/>
  <c r="J229" i="29" s="1"/>
  <c r="G229" i="29"/>
  <c r="K229" i="29"/>
  <c r="G127" i="29"/>
  <c r="I127" i="29"/>
  <c r="J127" i="29" s="1"/>
  <c r="K127" i="29"/>
  <c r="K138" i="29"/>
  <c r="G138" i="29"/>
  <c r="I138" i="29"/>
  <c r="J138" i="29" s="1"/>
  <c r="K92" i="29"/>
  <c r="I92" i="29"/>
  <c r="J92" i="29" s="1"/>
  <c r="G92" i="29"/>
  <c r="G40" i="29"/>
  <c r="K40" i="29"/>
  <c r="C202" i="29"/>
  <c r="D202" i="29" s="1"/>
  <c r="A202" i="29"/>
  <c r="E202" i="29"/>
  <c r="C205" i="29"/>
  <c r="D205" i="29" s="1"/>
  <c r="A205" i="29"/>
  <c r="K224" i="29"/>
  <c r="I224" i="29"/>
  <c r="J224" i="29" s="1"/>
  <c r="I232" i="29"/>
  <c r="J232" i="29" s="1"/>
  <c r="G232" i="29"/>
  <c r="K232" i="29"/>
  <c r="G238" i="29"/>
  <c r="K238" i="29"/>
  <c r="I238" i="29"/>
  <c r="J238" i="29" s="1"/>
  <c r="E257" i="29"/>
  <c r="A257" i="29"/>
  <c r="A207" i="29"/>
  <c r="C207" i="29"/>
  <c r="D207" i="29" s="1"/>
  <c r="E207" i="29"/>
  <c r="C203" i="29"/>
  <c r="D203" i="29" s="1"/>
  <c r="E203" i="29"/>
  <c r="K131" i="29"/>
  <c r="J131" i="29"/>
  <c r="G131" i="29"/>
  <c r="G82" i="29"/>
  <c r="K38" i="29"/>
  <c r="I38" i="29"/>
  <c r="J38" i="29" s="1"/>
  <c r="G38" i="29"/>
  <c r="A7" i="29"/>
  <c r="E20" i="29"/>
  <c r="A20" i="29"/>
  <c r="C20" i="29"/>
  <c r="D20" i="29" s="1"/>
  <c r="A22" i="29"/>
  <c r="E22" i="29"/>
  <c r="C22" i="29"/>
  <c r="D22" i="29" s="1"/>
  <c r="E198" i="29"/>
  <c r="A198" i="29"/>
  <c r="C198" i="29"/>
  <c r="G213" i="29"/>
  <c r="K213" i="29"/>
  <c r="E223" i="29"/>
  <c r="A223" i="29"/>
  <c r="E233" i="29"/>
  <c r="A233" i="29"/>
  <c r="K236" i="29"/>
  <c r="G236" i="29"/>
  <c r="I236" i="29"/>
  <c r="J236" i="29" s="1"/>
  <c r="G237" i="29"/>
  <c r="K237" i="29"/>
  <c r="C255" i="29"/>
  <c r="D255" i="29" s="1"/>
  <c r="A255" i="29"/>
  <c r="G158" i="29"/>
  <c r="G212" i="29"/>
  <c r="K91" i="29"/>
  <c r="I165" i="29"/>
  <c r="J165" i="29" s="1"/>
  <c r="A69" i="29"/>
  <c r="K199" i="29"/>
  <c r="C260" i="29"/>
  <c r="D260" i="29" s="1"/>
  <c r="A199" i="29"/>
  <c r="G199" i="29"/>
  <c r="G81" i="29"/>
  <c r="C199" i="29"/>
  <c r="D199" i="29" s="1"/>
  <c r="I212" i="29"/>
  <c r="J212" i="29" s="1"/>
  <c r="E263" i="29"/>
  <c r="C263" i="29"/>
  <c r="D263" i="29" s="1"/>
  <c r="K201" i="29"/>
  <c r="G201" i="29"/>
  <c r="K156" i="29"/>
  <c r="I156" i="29"/>
  <c r="J156" i="29" s="1"/>
  <c r="G156" i="29"/>
  <c r="G111" i="29"/>
  <c r="I111" i="29"/>
  <c r="J111" i="29" s="1"/>
  <c r="E67" i="29"/>
  <c r="C67" i="29"/>
  <c r="D67" i="29" s="1"/>
  <c r="K168" i="29"/>
  <c r="A236" i="29"/>
  <c r="D248" i="29"/>
  <c r="E258" i="29"/>
  <c r="C258" i="29"/>
  <c r="A248" i="29"/>
  <c r="A173" i="29"/>
  <c r="G63" i="29"/>
  <c r="J63" i="29"/>
  <c r="A258" i="29"/>
  <c r="E248" i="29"/>
  <c r="K216" i="29"/>
  <c r="G216" i="29"/>
  <c r="E179" i="29"/>
  <c r="G173" i="29"/>
  <c r="K173" i="29"/>
  <c r="I162" i="29"/>
  <c r="J162" i="29" s="1"/>
  <c r="G162" i="29"/>
  <c r="I158" i="29"/>
  <c r="J158" i="29" s="1"/>
  <c r="J94" i="29"/>
  <c r="G57" i="29"/>
  <c r="B33" i="29" a="1"/>
  <c r="B33" i="29" s="1"/>
  <c r="B34" i="29" a="1"/>
  <c r="B34" i="29" s="1"/>
  <c r="B40" i="29" a="1"/>
  <c r="B40" i="29" s="1"/>
  <c r="B42" i="29" a="1"/>
  <c r="B42" i="29" s="1"/>
  <c r="B48" i="29" a="1"/>
  <c r="B48" i="29" s="1"/>
  <c r="H48" i="29" a="1"/>
  <c r="H48" i="29" s="1"/>
  <c r="H47" i="29" a="1"/>
  <c r="H47" i="29" s="1"/>
  <c r="H45" i="29" a="1"/>
  <c r="H45" i="29" s="1"/>
  <c r="H41" i="29" a="1"/>
  <c r="H41" i="29" s="1"/>
  <c r="H35" i="29" a="1"/>
  <c r="H35" i="29" s="1"/>
  <c r="H33" i="29" a="1"/>
  <c r="H33" i="29" s="1"/>
  <c r="H62" i="29" a="1"/>
  <c r="H62" i="29" s="1"/>
  <c r="B81" i="29" a="1"/>
  <c r="B81" i="29" s="1"/>
  <c r="B95" i="29" a="1"/>
  <c r="B95" i="29" s="1"/>
  <c r="J18" i="29"/>
  <c r="B35" i="29" a="1"/>
  <c r="B35" i="29" s="1"/>
  <c r="B89" i="29" a="1"/>
  <c r="B89" i="29" s="1"/>
  <c r="B93" i="29" a="1"/>
  <c r="B93" i="29" s="1"/>
  <c r="B120" i="29" a="1"/>
  <c r="B120" i="29" s="1"/>
  <c r="B118" i="29" a="1"/>
  <c r="B118" i="29" s="1"/>
  <c r="B103" i="29" a="1"/>
  <c r="B103" i="29" s="1"/>
  <c r="B119" i="29" a="1"/>
  <c r="B119" i="29" s="1"/>
  <c r="B117" i="29" a="1"/>
  <c r="B117" i="29" s="1"/>
  <c r="B116" i="29" a="1"/>
  <c r="B116" i="29" s="1"/>
  <c r="B115" i="29" a="1"/>
  <c r="B115" i="29" s="1"/>
  <c r="B106" i="29" a="1"/>
  <c r="B106" i="29" s="1"/>
  <c r="B112" i="29" a="1"/>
  <c r="B112" i="29" s="1"/>
  <c r="B108" i="29" a="1"/>
  <c r="B108" i="29" s="1"/>
  <c r="B107" i="29" a="1"/>
  <c r="B107" i="29" s="1"/>
  <c r="B101" i="29" a="1"/>
  <c r="B101" i="29" s="1"/>
  <c r="B46" i="29" a="1"/>
  <c r="B46" i="29" s="1"/>
  <c r="B44" i="29" a="1"/>
  <c r="B44" i="29" s="1"/>
  <c r="B43" i="29" a="1"/>
  <c r="B43" i="29" s="1"/>
  <c r="B41" i="29" a="1"/>
  <c r="B41" i="29" s="1"/>
  <c r="B39" i="29" a="1"/>
  <c r="B39" i="29" s="1"/>
  <c r="B37" i="29" a="1"/>
  <c r="B37" i="29" s="1"/>
  <c r="B32" i="29" a="1"/>
  <c r="B32" i="29" s="1"/>
  <c r="B30" i="29" a="1"/>
  <c r="B30" i="29" s="1"/>
  <c r="B29" i="29" a="1"/>
  <c r="B29" i="29" s="1"/>
  <c r="H59" i="29" a="1"/>
  <c r="H59" i="29" s="1"/>
  <c r="H60" i="29" a="1"/>
  <c r="H60" i="29" s="1"/>
  <c r="H55" i="29" a="1"/>
  <c r="H55" i="29" s="1"/>
  <c r="B94" i="29" a="1"/>
  <c r="B94" i="29" s="1"/>
  <c r="B87" i="29" a="1"/>
  <c r="B87" i="29" s="1"/>
  <c r="B85" i="29" a="1"/>
  <c r="B85" i="29" s="1"/>
  <c r="B82" i="29" a="1"/>
  <c r="B82" i="29" s="1"/>
  <c r="B80" i="29" a="1"/>
  <c r="B80" i="29" s="1"/>
  <c r="B78" i="29" a="1"/>
  <c r="B78" i="29" s="1"/>
  <c r="B92" i="29" a="1"/>
  <c r="B92" i="29" s="1"/>
  <c r="B90" i="29" a="1"/>
  <c r="B90" i="29" s="1"/>
  <c r="B88" i="29" a="1"/>
  <c r="B88" i="29" s="1"/>
  <c r="H58" i="29" a="1"/>
  <c r="H58" i="29" s="1"/>
  <c r="B77" i="29" a="1"/>
  <c r="B77" i="29" s="1"/>
  <c r="B84" i="29" a="1"/>
  <c r="B84" i="29" s="1"/>
  <c r="B91" i="29" a="1"/>
  <c r="B91" i="29" s="1"/>
  <c r="H104" i="29" a="1"/>
  <c r="H104" i="29" s="1"/>
  <c r="B127" i="29" a="1"/>
  <c r="B127" i="29" s="1"/>
  <c r="B129" i="29" a="1"/>
  <c r="B129" i="29" s="1"/>
  <c r="B132" i="29" a="1"/>
  <c r="B132" i="29" s="1"/>
  <c r="B133" i="29" a="1"/>
  <c r="B133" i="29" s="1"/>
  <c r="B135" i="29" a="1"/>
  <c r="B135" i="29" s="1"/>
  <c r="B137" i="29" a="1"/>
  <c r="B137" i="29" s="1"/>
  <c r="B140" i="29" a="1"/>
  <c r="B140" i="29" s="1"/>
  <c r="B144" i="29" a="1"/>
  <c r="B144" i="29" s="1"/>
  <c r="H151" i="29" a="1"/>
  <c r="H151" i="29" s="1"/>
  <c r="H153" i="29" a="1"/>
  <c r="H153" i="29" s="1"/>
  <c r="B156" i="29" a="1"/>
  <c r="B156" i="29" s="1"/>
  <c r="B158" i="29" a="1"/>
  <c r="B158" i="29" s="1"/>
  <c r="B166" i="29" a="1"/>
  <c r="B166" i="29" s="1"/>
  <c r="H176" i="29" a="1"/>
  <c r="H176" i="29" s="1"/>
  <c r="H184" i="29" a="1"/>
  <c r="H184" i="29" s="1"/>
  <c r="B190" i="29" a="1"/>
  <c r="B190" i="29" s="1"/>
  <c r="B191" i="29" a="1"/>
  <c r="B191" i="29" s="1"/>
  <c r="B189" i="29" a="1"/>
  <c r="B189" i="29" s="1"/>
  <c r="B234" i="29" a="1"/>
  <c r="B234" i="29" s="1"/>
  <c r="B222" i="29" a="1"/>
  <c r="B222" i="29" s="1"/>
  <c r="B227" i="29" a="1"/>
  <c r="B227" i="29" s="1"/>
  <c r="B226" i="29" a="1"/>
  <c r="B226" i="29" s="1"/>
  <c r="B149" i="29" a="1"/>
  <c r="B149" i="29" s="1"/>
  <c r="B153" i="29" a="1"/>
  <c r="B153" i="29" s="1"/>
  <c r="B160" i="29" a="1"/>
  <c r="B160" i="29" s="1"/>
  <c r="B162" i="29" a="1"/>
  <c r="B162" i="29" s="1"/>
  <c r="B167" i="29" a="1"/>
  <c r="B167" i="29" s="1"/>
  <c r="C223" i="29"/>
  <c r="D223" i="29" s="1"/>
  <c r="B130" i="29" a="1"/>
  <c r="B130" i="29" s="1"/>
  <c r="B138" i="29" a="1"/>
  <c r="B138" i="29" s="1"/>
  <c r="B150" i="29" a="1"/>
  <c r="B150" i="29" s="1"/>
  <c r="B161" i="29" a="1"/>
  <c r="B161" i="29" s="1"/>
  <c r="B164" i="29" a="1"/>
  <c r="B164" i="29" s="1"/>
  <c r="B177" i="29" a="1"/>
  <c r="B177" i="29" s="1"/>
  <c r="B182" i="29" a="1"/>
  <c r="B182" i="29" s="1"/>
  <c r="B259" i="29" a="1"/>
  <c r="B259" i="29" s="1"/>
  <c r="B262" i="29" a="1"/>
  <c r="B262" i="29" s="1"/>
  <c r="S25" i="25"/>
  <c r="S29" i="25"/>
  <c r="S24" i="25"/>
  <c r="S8" i="25"/>
  <c r="S31" i="25"/>
  <c r="S15" i="25"/>
  <c r="S22" i="25"/>
  <c r="S6" i="25"/>
  <c r="S13" i="25"/>
  <c r="S21" i="25"/>
  <c r="S33" i="25"/>
  <c r="S5" i="25"/>
  <c r="S20" i="25"/>
  <c r="S4" i="25"/>
  <c r="S27" i="25"/>
  <c r="S11" i="25"/>
  <c r="S18" i="25"/>
  <c r="S2" i="25"/>
  <c r="S28" i="25"/>
  <c r="S12" i="25"/>
  <c r="S19" i="25"/>
  <c r="S3" i="25"/>
  <c r="S26" i="25"/>
  <c r="O77" i="2"/>
  <c r="O73" i="2"/>
  <c r="O67" i="2"/>
  <c r="O66" i="2"/>
  <c r="O59" i="2"/>
  <c r="O63" i="2"/>
  <c r="O54" i="2"/>
  <c r="O49" i="2"/>
  <c r="O45" i="2"/>
  <c r="O41" i="2"/>
  <c r="O37" i="2"/>
  <c r="O34" i="2"/>
  <c r="O29" i="2"/>
  <c r="O24" i="2"/>
  <c r="O18" i="2"/>
  <c r="O17" i="2"/>
  <c r="O15" i="2"/>
  <c r="O8" i="2"/>
  <c r="O4" i="2"/>
  <c r="O3" i="2"/>
  <c r="O75" i="2"/>
  <c r="O72" i="2"/>
  <c r="O68" i="2"/>
  <c r="O64" i="2"/>
  <c r="O62" i="2"/>
  <c r="O56" i="2"/>
  <c r="O51" i="2"/>
  <c r="O48" i="2"/>
  <c r="O42" i="2"/>
  <c r="O39" i="2"/>
  <c r="O35" i="2"/>
  <c r="O32" i="2"/>
  <c r="O27" i="2"/>
  <c r="O23" i="2"/>
  <c r="O20" i="2"/>
  <c r="O12" i="2"/>
  <c r="O13" i="2"/>
  <c r="O7" i="2"/>
  <c r="H182" i="30"/>
  <c r="H241" i="30"/>
  <c r="H390" i="30"/>
  <c r="H281" i="30"/>
  <c r="H129" i="30"/>
  <c r="H348" i="30"/>
  <c r="E62" i="29" l="1"/>
  <c r="I68" i="29"/>
  <c r="J68" i="29" s="1"/>
  <c r="C72" i="29"/>
  <c r="D72" i="29" s="1"/>
  <c r="I64" i="29"/>
  <c r="J64" i="29" s="1"/>
  <c r="K64" i="29"/>
  <c r="I88" i="29"/>
  <c r="J88" i="29" s="1"/>
  <c r="I67" i="29"/>
  <c r="J67" i="29" s="1"/>
  <c r="E114" i="29"/>
  <c r="E70" i="29"/>
  <c r="K67" i="29"/>
  <c r="C114" i="29"/>
  <c r="D114" i="29" s="1"/>
  <c r="K88" i="29"/>
  <c r="E86" i="29"/>
  <c r="K61" i="29"/>
  <c r="I61" i="29"/>
  <c r="J61" i="29" s="1"/>
  <c r="G119" i="29"/>
  <c r="I116" i="29"/>
  <c r="J116" i="29" s="1"/>
  <c r="G43" i="29"/>
  <c r="A59" i="29"/>
  <c r="I110" i="29"/>
  <c r="J110" i="29" s="1"/>
  <c r="G118" i="29"/>
  <c r="G115" i="29"/>
  <c r="K115" i="29"/>
  <c r="C165" i="29"/>
  <c r="D165" i="29" s="1"/>
  <c r="E165" i="29"/>
  <c r="G117" i="29"/>
  <c r="G110" i="29"/>
  <c r="K43" i="29"/>
  <c r="I117" i="29"/>
  <c r="J117" i="29" s="1"/>
  <c r="K118" i="29"/>
  <c r="G31" i="29"/>
  <c r="G113" i="29"/>
  <c r="K112" i="29"/>
  <c r="I112" i="29"/>
  <c r="J112" i="29" s="1"/>
  <c r="D60" i="29"/>
  <c r="A60" i="29"/>
  <c r="E139" i="29"/>
  <c r="E64" i="29"/>
  <c r="A62" i="29"/>
  <c r="A64" i="29"/>
  <c r="G103" i="29"/>
  <c r="I113" i="29"/>
  <c r="J113" i="29" s="1"/>
  <c r="I114" i="29"/>
  <c r="J114" i="29" s="1"/>
  <c r="K114" i="29"/>
  <c r="C139" i="29"/>
  <c r="D139" i="29" s="1"/>
  <c r="K116" i="29"/>
  <c r="G108" i="29"/>
  <c r="E60" i="29"/>
  <c r="I119" i="29"/>
  <c r="J119" i="29" s="1"/>
  <c r="C157" i="29"/>
  <c r="D157" i="29" s="1"/>
  <c r="E157" i="29"/>
  <c r="I108" i="29"/>
  <c r="J108" i="29" s="1"/>
  <c r="A53" i="29"/>
  <c r="E152" i="29"/>
  <c r="A152" i="29"/>
  <c r="C152" i="29"/>
  <c r="D152" i="29" s="1"/>
  <c r="E143" i="29"/>
  <c r="A143" i="29"/>
  <c r="A125" i="29"/>
  <c r="G102" i="29"/>
  <c r="I120" i="29"/>
  <c r="J120" i="29" s="1"/>
  <c r="G120" i="29"/>
  <c r="A79" i="29"/>
  <c r="A63" i="29"/>
  <c r="C63" i="29"/>
  <c r="D63" i="29" s="1"/>
  <c r="J43" i="29"/>
  <c r="C47" i="29"/>
  <c r="D47" i="29" s="1"/>
  <c r="A47" i="29"/>
  <c r="G348" i="30"/>
  <c r="G182" i="30"/>
  <c r="G129" i="30"/>
  <c r="G241" i="30"/>
  <c r="G390" i="30"/>
  <c r="G281" i="30"/>
  <c r="K23" i="29"/>
  <c r="J217" i="29"/>
  <c r="I145" i="29"/>
  <c r="I217" i="29"/>
  <c r="C217" i="29"/>
  <c r="J145" i="29"/>
  <c r="D198" i="29"/>
  <c r="D217" i="29" s="1"/>
  <c r="I241" i="29"/>
  <c r="Y8" i="29"/>
  <c r="Z8" i="29" s="1"/>
  <c r="Y7" i="29"/>
  <c r="Z7" i="29" s="1"/>
  <c r="J241" i="29"/>
  <c r="A35" i="2"/>
  <c r="E167" i="29"/>
  <c r="C167" i="29"/>
  <c r="D167" i="29" s="1"/>
  <c r="A167" i="29"/>
  <c r="A156" i="29"/>
  <c r="E156" i="29"/>
  <c r="C156" i="29"/>
  <c r="D156" i="29" s="1"/>
  <c r="E140" i="29"/>
  <c r="C140" i="29"/>
  <c r="D140" i="29" s="1"/>
  <c r="A140" i="29"/>
  <c r="A132" i="29"/>
  <c r="C91" i="29"/>
  <c r="D91" i="29" s="1"/>
  <c r="E91" i="29"/>
  <c r="A91" i="29"/>
  <c r="E88" i="29"/>
  <c r="A88" i="29"/>
  <c r="C88" i="29"/>
  <c r="D88" i="29" s="1"/>
  <c r="A80" i="29"/>
  <c r="C94" i="29"/>
  <c r="D94" i="29" s="1"/>
  <c r="E94" i="29"/>
  <c r="A94" i="29"/>
  <c r="A29" i="29"/>
  <c r="E39" i="29"/>
  <c r="A39" i="29"/>
  <c r="C39" i="29"/>
  <c r="D39" i="29" s="1"/>
  <c r="C46" i="29"/>
  <c r="D46" i="29" s="1"/>
  <c r="A46" i="29"/>
  <c r="E46" i="29"/>
  <c r="C112" i="29"/>
  <c r="D112" i="29" s="1"/>
  <c r="A112" i="29"/>
  <c r="E112" i="29"/>
  <c r="E117" i="29"/>
  <c r="C117" i="29"/>
  <c r="D117" i="29" s="1"/>
  <c r="A117" i="29"/>
  <c r="E120" i="29"/>
  <c r="A120" i="29"/>
  <c r="C120" i="29"/>
  <c r="D120" i="29" s="1"/>
  <c r="A89" i="29"/>
  <c r="E89" i="29"/>
  <c r="C89" i="29"/>
  <c r="D89" i="29" s="1"/>
  <c r="G33" i="29"/>
  <c r="G47" i="29"/>
  <c r="I47" i="29"/>
  <c r="J47" i="29" s="1"/>
  <c r="K47" i="29"/>
  <c r="C40" i="29"/>
  <c r="D40" i="29" s="1"/>
  <c r="A40" i="29"/>
  <c r="E40" i="29"/>
  <c r="A20" i="2"/>
  <c r="A51" i="2"/>
  <c r="A68" i="2"/>
  <c r="A15" i="2"/>
  <c r="A29" i="2"/>
  <c r="A45" i="2"/>
  <c r="A59" i="2"/>
  <c r="A77" i="2"/>
  <c r="A22" i="2"/>
  <c r="T26" i="25"/>
  <c r="T28" i="25"/>
  <c r="A47" i="2"/>
  <c r="T2" i="25"/>
  <c r="T4" i="25"/>
  <c r="T21" i="25"/>
  <c r="A33" i="2"/>
  <c r="A74" i="2"/>
  <c r="T15" i="25"/>
  <c r="T29" i="25"/>
  <c r="C182" i="29"/>
  <c r="D182" i="29" s="1"/>
  <c r="E182" i="29"/>
  <c r="A182" i="29"/>
  <c r="A7" i="2"/>
  <c r="A23" i="2"/>
  <c r="A39" i="2"/>
  <c r="A56" i="2"/>
  <c r="A72" i="2"/>
  <c r="A46" i="2"/>
  <c r="A16" i="2"/>
  <c r="A30" i="2"/>
  <c r="A28" i="2"/>
  <c r="A40" i="2"/>
  <c r="A71" i="2"/>
  <c r="A25" i="2"/>
  <c r="A3" i="2"/>
  <c r="A31" i="2"/>
  <c r="A52" i="2"/>
  <c r="A70" i="2"/>
  <c r="A9" i="2"/>
  <c r="A21" i="2"/>
  <c r="A6" i="2"/>
  <c r="A43" i="2"/>
  <c r="A19" i="2"/>
  <c r="A44" i="2"/>
  <c r="A38" i="2"/>
  <c r="A11" i="2"/>
  <c r="A76" i="2"/>
  <c r="A36" i="2"/>
  <c r="A17" i="2"/>
  <c r="A34" i="2"/>
  <c r="A49" i="2"/>
  <c r="A66" i="2"/>
  <c r="A53" i="2"/>
  <c r="T3" i="25"/>
  <c r="A57" i="2"/>
  <c r="A55" i="2"/>
  <c r="T18" i="25"/>
  <c r="T20" i="25"/>
  <c r="T13" i="25"/>
  <c r="A50" i="2"/>
  <c r="T31" i="25"/>
  <c r="T25" i="25"/>
  <c r="C177" i="29"/>
  <c r="D177" i="29" s="1"/>
  <c r="A177" i="29"/>
  <c r="E177" i="29"/>
  <c r="A149" i="29"/>
  <c r="E149" i="29"/>
  <c r="C149" i="29"/>
  <c r="D149" i="29" s="1"/>
  <c r="A234" i="29"/>
  <c r="C234" i="29"/>
  <c r="D234" i="29" s="1"/>
  <c r="E234" i="29"/>
  <c r="G184" i="29"/>
  <c r="K184" i="29"/>
  <c r="I184" i="29"/>
  <c r="J184" i="29" s="1"/>
  <c r="A13" i="2"/>
  <c r="A27" i="2"/>
  <c r="A42" i="2"/>
  <c r="A62" i="2"/>
  <c r="A75" i="2"/>
  <c r="A4" i="2"/>
  <c r="A18" i="2"/>
  <c r="A37" i="2"/>
  <c r="A54" i="2"/>
  <c r="A67" i="2"/>
  <c r="A5" i="2"/>
  <c r="A60" i="2"/>
  <c r="T19" i="25"/>
  <c r="A69" i="2"/>
  <c r="A61" i="2"/>
  <c r="T11" i="25"/>
  <c r="T5" i="25"/>
  <c r="A10" i="2"/>
  <c r="A58" i="2"/>
  <c r="T6" i="25"/>
  <c r="T8" i="25"/>
  <c r="A262" i="29"/>
  <c r="E262" i="29"/>
  <c r="C262" i="29"/>
  <c r="D262" i="29" s="1"/>
  <c r="C164" i="29"/>
  <c r="D164" i="29" s="1"/>
  <c r="E164" i="29"/>
  <c r="A164" i="29"/>
  <c r="A130" i="29"/>
  <c r="E162" i="29"/>
  <c r="C162" i="29"/>
  <c r="D162" i="29" s="1"/>
  <c r="A162" i="29"/>
  <c r="C226" i="29"/>
  <c r="D226" i="29" s="1"/>
  <c r="E226" i="29"/>
  <c r="A226" i="29"/>
  <c r="C189" i="29"/>
  <c r="D189" i="29" s="1"/>
  <c r="A189" i="29"/>
  <c r="E189" i="29"/>
  <c r="G176" i="29"/>
  <c r="K176" i="29"/>
  <c r="I176" i="29"/>
  <c r="G153" i="29"/>
  <c r="K153" i="29"/>
  <c r="I153" i="29"/>
  <c r="J153" i="29" s="1"/>
  <c r="A137" i="29"/>
  <c r="E137" i="29"/>
  <c r="C137" i="29"/>
  <c r="D137" i="29" s="1"/>
  <c r="A129" i="29"/>
  <c r="A84" i="29"/>
  <c r="E90" i="29"/>
  <c r="A90" i="29"/>
  <c r="C90" i="29"/>
  <c r="D90" i="29" s="1"/>
  <c r="A82" i="29"/>
  <c r="G55" i="29"/>
  <c r="A30" i="29"/>
  <c r="C41" i="29"/>
  <c r="D41" i="29" s="1"/>
  <c r="A41" i="29"/>
  <c r="E41" i="29"/>
  <c r="A101" i="29"/>
  <c r="C106" i="29"/>
  <c r="D106" i="29" s="1"/>
  <c r="E106" i="29"/>
  <c r="A106" i="29"/>
  <c r="A119" i="29"/>
  <c r="C119" i="29"/>
  <c r="D119" i="29" s="1"/>
  <c r="E119" i="29"/>
  <c r="A35" i="29"/>
  <c r="A95" i="29"/>
  <c r="E95" i="29"/>
  <c r="C95" i="29"/>
  <c r="D95" i="29" s="1"/>
  <c r="G35" i="29"/>
  <c r="K35" i="29"/>
  <c r="I35" i="29"/>
  <c r="J35" i="29" s="1"/>
  <c r="G48" i="29"/>
  <c r="K48" i="29"/>
  <c r="I48" i="29"/>
  <c r="J48" i="29" s="1"/>
  <c r="A34" i="29"/>
  <c r="C138" i="29"/>
  <c r="D138" i="29" s="1"/>
  <c r="E138" i="29"/>
  <c r="A138" i="29"/>
  <c r="A12" i="2"/>
  <c r="A32" i="2"/>
  <c r="A48" i="2"/>
  <c r="A64" i="2"/>
  <c r="A8" i="2"/>
  <c r="A24" i="2"/>
  <c r="A41" i="2"/>
  <c r="A63" i="2"/>
  <c r="A73" i="2"/>
  <c r="A14" i="2"/>
  <c r="T12" i="25"/>
  <c r="T27" i="25"/>
  <c r="T33" i="25"/>
  <c r="A26" i="2"/>
  <c r="A65" i="2"/>
  <c r="T22" i="25"/>
  <c r="T24" i="25"/>
  <c r="A259" i="29"/>
  <c r="E259" i="29"/>
  <c r="C259" i="29"/>
  <c r="D259" i="29" s="1"/>
  <c r="A161" i="29"/>
  <c r="C161" i="29"/>
  <c r="D161" i="29" s="1"/>
  <c r="E161" i="29"/>
  <c r="E160" i="29"/>
  <c r="C160" i="29"/>
  <c r="D160" i="29" s="1"/>
  <c r="A160" i="29"/>
  <c r="A227" i="29"/>
  <c r="C227" i="29"/>
  <c r="D227" i="29" s="1"/>
  <c r="E227" i="29"/>
  <c r="A191" i="29"/>
  <c r="E191" i="29"/>
  <c r="C191" i="29"/>
  <c r="D191" i="29" s="1"/>
  <c r="C166" i="29"/>
  <c r="D166" i="29" s="1"/>
  <c r="E166" i="29"/>
  <c r="A166" i="29"/>
  <c r="I151" i="29"/>
  <c r="K151" i="29"/>
  <c r="G151" i="29"/>
  <c r="A135" i="29"/>
  <c r="E135" i="29"/>
  <c r="C135" i="29"/>
  <c r="D135" i="29" s="1"/>
  <c r="A127" i="29"/>
  <c r="A77" i="29"/>
  <c r="A92" i="29"/>
  <c r="E92" i="29"/>
  <c r="C92" i="29"/>
  <c r="D92" i="29" s="1"/>
  <c r="C85" i="29"/>
  <c r="D85" i="29" s="1"/>
  <c r="A85" i="29"/>
  <c r="E85" i="29"/>
  <c r="K60" i="29"/>
  <c r="G60" i="29"/>
  <c r="I60" i="29"/>
  <c r="J60" i="29" s="1"/>
  <c r="A32" i="29"/>
  <c r="A43" i="29"/>
  <c r="E43" i="29"/>
  <c r="C43" i="29"/>
  <c r="D43" i="29" s="1"/>
  <c r="E107" i="29"/>
  <c r="A107" i="29"/>
  <c r="C107" i="29"/>
  <c r="D107" i="29" s="1"/>
  <c r="A115" i="29"/>
  <c r="E115" i="29"/>
  <c r="C115" i="29"/>
  <c r="D115" i="29" s="1"/>
  <c r="A103" i="29"/>
  <c r="A81" i="29"/>
  <c r="K41" i="29"/>
  <c r="G41" i="29"/>
  <c r="I41" i="29"/>
  <c r="J41" i="29" s="1"/>
  <c r="C48" i="29"/>
  <c r="D48" i="29" s="1"/>
  <c r="E48" i="29"/>
  <c r="A48" i="29"/>
  <c r="A33" i="29"/>
  <c r="A150" i="29"/>
  <c r="E150" i="29"/>
  <c r="C150" i="29"/>
  <c r="D150" i="29" s="1"/>
  <c r="A153" i="29"/>
  <c r="E153" i="29"/>
  <c r="C153" i="29"/>
  <c r="D153" i="29" s="1"/>
  <c r="C222" i="29"/>
  <c r="A222" i="29"/>
  <c r="E222" i="29"/>
  <c r="E190" i="29"/>
  <c r="C190" i="29"/>
  <c r="D190" i="29" s="1"/>
  <c r="A190" i="29"/>
  <c r="A158" i="29"/>
  <c r="C158" i="29"/>
  <c r="D158" i="29" s="1"/>
  <c r="E158" i="29"/>
  <c r="E144" i="29"/>
  <c r="A144" i="29"/>
  <c r="C144" i="29"/>
  <c r="D144" i="29" s="1"/>
  <c r="A133" i="29"/>
  <c r="G104" i="29"/>
  <c r="G58" i="29"/>
  <c r="I58" i="29"/>
  <c r="J58" i="29" s="1"/>
  <c r="K58" i="29"/>
  <c r="A78" i="29"/>
  <c r="A87" i="29"/>
  <c r="C87" i="29"/>
  <c r="D87" i="29" s="1"/>
  <c r="E87" i="29"/>
  <c r="G59" i="29"/>
  <c r="K59" i="29"/>
  <c r="I59" i="29"/>
  <c r="J59" i="29" s="1"/>
  <c r="C37" i="29"/>
  <c r="D37" i="29" s="1"/>
  <c r="A37" i="29"/>
  <c r="E37" i="29"/>
  <c r="E44" i="29"/>
  <c r="A44" i="29"/>
  <c r="C44" i="29"/>
  <c r="D44" i="29" s="1"/>
  <c r="A108" i="29"/>
  <c r="C108" i="29"/>
  <c r="D108" i="29" s="1"/>
  <c r="E108" i="29"/>
  <c r="C116" i="29"/>
  <c r="D116" i="29" s="1"/>
  <c r="A116" i="29"/>
  <c r="E116" i="29"/>
  <c r="A118" i="29"/>
  <c r="E118" i="29"/>
  <c r="C118" i="29"/>
  <c r="D118" i="29" s="1"/>
  <c r="C93" i="29"/>
  <c r="D93" i="29" s="1"/>
  <c r="E93" i="29"/>
  <c r="A93" i="29"/>
  <c r="G62" i="29"/>
  <c r="I62" i="29"/>
  <c r="J62" i="29" s="1"/>
  <c r="K62" i="29"/>
  <c r="G45" i="29"/>
  <c r="K45" i="29"/>
  <c r="I45" i="29"/>
  <c r="J45" i="29" s="1"/>
  <c r="E42" i="29"/>
  <c r="A42" i="29"/>
  <c r="C42" i="29"/>
  <c r="D42" i="29" s="1"/>
  <c r="D258" i="29"/>
  <c r="C265" i="29" l="1"/>
  <c r="C241" i="29"/>
  <c r="D222" i="29"/>
  <c r="D241" i="29" s="1"/>
  <c r="I193" i="29"/>
  <c r="I169" i="29"/>
  <c r="J151" i="29"/>
  <c r="J169" i="29" s="1"/>
  <c r="J176" i="29"/>
  <c r="J193" i="29" s="1"/>
  <c r="D193" i="29"/>
  <c r="D169" i="29"/>
  <c r="D265" i="29"/>
  <c r="C169" i="29"/>
  <c r="C193" i="29"/>
  <c r="K104" i="29" l="1"/>
  <c r="K106" i="29"/>
  <c r="G231" i="7" l="1"/>
  <c r="I103" i="29" s="1"/>
  <c r="G415" i="7"/>
  <c r="G550" i="7"/>
  <c r="C5" i="29" s="1"/>
  <c r="G191" i="7"/>
  <c r="C59" i="29" s="1"/>
  <c r="G17" i="7"/>
  <c r="C127" i="29" s="1"/>
  <c r="G518" i="7"/>
  <c r="I31" i="29" s="1"/>
  <c r="G562" i="7"/>
  <c r="C31" i="29" s="1"/>
  <c r="G65" i="7"/>
  <c r="C34" i="29" s="1"/>
  <c r="G320" i="7"/>
  <c r="C131" i="29" s="1"/>
  <c r="I79" i="29"/>
  <c r="G528" i="7"/>
  <c r="I85" i="29" s="1"/>
  <c r="G51" i="7"/>
  <c r="I32" i="29" s="1"/>
  <c r="O608" i="7"/>
  <c r="H88" i="30"/>
  <c r="D203" i="7"/>
  <c r="D358" i="30"/>
  <c r="O174" i="7"/>
  <c r="D347" i="30"/>
  <c r="D117" i="30"/>
  <c r="D369" i="32"/>
  <c r="D331" i="7"/>
  <c r="D550" i="7"/>
  <c r="D503" i="32"/>
  <c r="D236" i="32"/>
  <c r="O63" i="7"/>
  <c r="D359" i="30"/>
  <c r="D296" i="30"/>
  <c r="D541" i="7"/>
  <c r="D232" i="7"/>
  <c r="D69" i="32"/>
  <c r="O347" i="7"/>
  <c r="D106" i="7"/>
  <c r="D64" i="7"/>
  <c r="D50" i="7"/>
  <c r="O623" i="7"/>
  <c r="D457" i="7"/>
  <c r="O262" i="7"/>
  <c r="D40" i="7"/>
  <c r="D455" i="30"/>
  <c r="D236" i="7"/>
  <c r="D230" i="31"/>
  <c r="O129" i="7"/>
  <c r="D147" i="30"/>
  <c r="D75" i="31"/>
  <c r="D445" i="7"/>
  <c r="O497" i="7"/>
  <c r="D239" i="30"/>
  <c r="D226" i="32"/>
  <c r="D178" i="30"/>
  <c r="D322" i="7"/>
  <c r="D461" i="7"/>
  <c r="O627" i="7"/>
  <c r="D443" i="30"/>
  <c r="D171" i="30"/>
  <c r="O509" i="7"/>
  <c r="O69" i="7"/>
  <c r="D400" i="7"/>
  <c r="D62" i="7"/>
  <c r="D554" i="7"/>
  <c r="D209" i="30"/>
  <c r="D380" i="31"/>
  <c r="D129" i="7"/>
  <c r="D228" i="7"/>
  <c r="D658" i="7"/>
  <c r="D18" i="30"/>
  <c r="D34" i="7"/>
  <c r="D329" i="7"/>
  <c r="Y16" i="18"/>
  <c r="D196" i="7"/>
  <c r="D434" i="30"/>
  <c r="O14" i="7"/>
  <c r="O56" i="7"/>
  <c r="D426" i="7"/>
  <c r="D252" i="7"/>
  <c r="D379" i="30"/>
  <c r="D4" i="31"/>
  <c r="D154" i="7"/>
  <c r="D185" i="30"/>
  <c r="O328" i="7"/>
  <c r="D17" i="32"/>
  <c r="D438" i="7"/>
  <c r="D130" i="31"/>
  <c r="D520" i="7"/>
  <c r="D36" i="7"/>
  <c r="D586" i="32"/>
  <c r="D378" i="7"/>
  <c r="D48" i="7"/>
  <c r="D281" i="7"/>
  <c r="D385" i="7"/>
  <c r="D444" i="7"/>
  <c r="D387" i="31"/>
  <c r="D3" i="32"/>
  <c r="D150" i="7"/>
  <c r="D250" i="31"/>
  <c r="D226" i="30"/>
  <c r="D214" i="30"/>
  <c r="O106" i="7"/>
  <c r="H116" i="32"/>
  <c r="H524" i="30"/>
  <c r="D154" i="30"/>
  <c r="D196" i="32"/>
  <c r="D358" i="7"/>
  <c r="D644" i="7"/>
  <c r="D183" i="7"/>
  <c r="D306" i="31"/>
  <c r="D379" i="7"/>
  <c r="D319" i="32"/>
  <c r="D221" i="32"/>
  <c r="D363" i="30"/>
  <c r="D514" i="7"/>
  <c r="D623" i="7"/>
  <c r="D402" i="30"/>
  <c r="D324" i="30"/>
  <c r="O470" i="7"/>
  <c r="D445" i="32"/>
  <c r="D277" i="7"/>
  <c r="D197" i="7"/>
  <c r="D275" i="7"/>
  <c r="D168" i="7"/>
  <c r="D190" i="7"/>
  <c r="D254" i="7"/>
  <c r="D596" i="7"/>
  <c r="D607" i="7"/>
  <c r="D478" i="7"/>
  <c r="D485" i="30"/>
  <c r="D131" i="7"/>
  <c r="O621" i="7"/>
  <c r="D95" i="30"/>
  <c r="D313" i="7"/>
  <c r="D106" i="30"/>
  <c r="D112" i="31"/>
  <c r="D69" i="7"/>
  <c r="D233" i="32"/>
  <c r="D578" i="7"/>
  <c r="D496" i="7"/>
  <c r="D173" i="7"/>
  <c r="D166" i="30"/>
  <c r="D335" i="31"/>
  <c r="D394" i="7"/>
  <c r="D135" i="7"/>
  <c r="D180" i="32"/>
  <c r="D409" i="30"/>
  <c r="D337" i="7"/>
  <c r="D170" i="7"/>
  <c r="D111" i="7"/>
  <c r="D604" i="7"/>
  <c r="D334" i="7"/>
  <c r="D566" i="32"/>
  <c r="D193" i="7"/>
  <c r="D282" i="31"/>
  <c r="O576" i="7"/>
  <c r="D261" i="7"/>
  <c r="D662" i="7"/>
  <c r="D58" i="7"/>
  <c r="D360" i="7"/>
  <c r="D177" i="7"/>
  <c r="D8" i="31"/>
  <c r="D362" i="30"/>
  <c r="D188" i="7"/>
  <c r="D512" i="30"/>
  <c r="D11" i="32"/>
  <c r="H460" i="30"/>
  <c r="D105" i="31"/>
  <c r="D382" i="7"/>
  <c r="D55" i="7"/>
  <c r="D485" i="7"/>
  <c r="O259" i="7"/>
  <c r="D333" i="7"/>
  <c r="D401" i="30"/>
  <c r="D21" i="7"/>
  <c r="D456" i="7"/>
  <c r="D559" i="32"/>
  <c r="D504" i="7"/>
  <c r="D482" i="7"/>
  <c r="D161" i="7"/>
  <c r="D49" i="7"/>
  <c r="H211" i="32"/>
  <c r="D331" i="30"/>
  <c r="D252" i="32"/>
  <c r="D513" i="7"/>
  <c r="D258" i="30"/>
  <c r="D413" i="30"/>
  <c r="D91" i="7"/>
  <c r="D229" i="7"/>
  <c r="O332" i="7"/>
  <c r="D176" i="7"/>
  <c r="D125" i="7"/>
  <c r="D528" i="30"/>
  <c r="D180" i="31"/>
  <c r="O620" i="7"/>
  <c r="D146" i="7"/>
  <c r="D73" i="32"/>
  <c r="D120" i="7"/>
  <c r="D31" i="30"/>
  <c r="D199" i="31"/>
  <c r="O635" i="7"/>
  <c r="O270" i="7"/>
  <c r="D115" i="7"/>
  <c r="D114" i="7"/>
  <c r="D373" i="7"/>
  <c r="O93" i="7"/>
  <c r="D137" i="7"/>
  <c r="D35" i="7"/>
  <c r="H2" i="30"/>
  <c r="D194" i="7"/>
  <c r="D38" i="7"/>
  <c r="O359" i="7"/>
  <c r="O500" i="7"/>
  <c r="D481" i="7"/>
  <c r="D234" i="32"/>
  <c r="D245" i="31"/>
  <c r="D103" i="32"/>
  <c r="D285" i="7"/>
  <c r="D265" i="32"/>
  <c r="D107" i="7"/>
  <c r="D156" i="7"/>
  <c r="D215" i="7"/>
  <c r="O544" i="7"/>
  <c r="D60" i="7"/>
  <c r="O291" i="7"/>
  <c r="D516" i="30"/>
  <c r="D280" i="31"/>
  <c r="O361" i="7"/>
  <c r="D329" i="30"/>
  <c r="D13" i="7"/>
  <c r="D51" i="7"/>
  <c r="D643" i="7"/>
  <c r="D37" i="30"/>
  <c r="D141" i="7"/>
  <c r="D177" i="32"/>
  <c r="D442" i="7"/>
  <c r="D345" i="30"/>
  <c r="O583" i="7"/>
  <c r="D472" i="7"/>
  <c r="D295" i="7"/>
  <c r="D409" i="7"/>
  <c r="D376" i="7"/>
  <c r="Y34" i="18"/>
  <c r="H223" i="30"/>
  <c r="D30" i="7"/>
  <c r="D440" i="7"/>
  <c r="O192" i="7"/>
  <c r="D88" i="32"/>
  <c r="D82" i="30"/>
  <c r="D397" i="31"/>
  <c r="O459" i="7"/>
  <c r="D393" i="30"/>
  <c r="D181" i="31"/>
  <c r="D174" i="7"/>
  <c r="D18" i="32"/>
  <c r="D504" i="32"/>
  <c r="D408" i="30"/>
  <c r="D309" i="31"/>
  <c r="D657" i="7"/>
  <c r="D583" i="7"/>
  <c r="O582" i="7"/>
  <c r="D248" i="30"/>
  <c r="D111" i="31"/>
  <c r="D31" i="7"/>
  <c r="D235" i="7"/>
  <c r="D364" i="7"/>
  <c r="D358" i="32"/>
  <c r="D458" i="7"/>
  <c r="D606" i="7"/>
  <c r="D138" i="31"/>
  <c r="D140" i="32"/>
  <c r="D384" i="7"/>
  <c r="D93" i="32"/>
  <c r="H179" i="30"/>
  <c r="D369" i="7"/>
  <c r="D532" i="7"/>
  <c r="D184" i="7"/>
  <c r="D322" i="32"/>
  <c r="D210" i="7"/>
  <c r="D29" i="31"/>
  <c r="D521" i="30"/>
  <c r="D483" i="32"/>
  <c r="D278" i="30"/>
  <c r="D67" i="7"/>
  <c r="D371" i="30"/>
  <c r="D310" i="7"/>
  <c r="D535" i="32"/>
  <c r="D86" i="31"/>
  <c r="O200" i="7"/>
  <c r="D244" i="31"/>
  <c r="D317" i="30"/>
  <c r="D594" i="7"/>
  <c r="D110" i="31"/>
  <c r="O496" i="7"/>
  <c r="D134" i="30"/>
  <c r="D159" i="30"/>
  <c r="O313" i="7"/>
  <c r="H165" i="32"/>
  <c r="D396" i="7"/>
  <c r="O587" i="7"/>
  <c r="D220" i="7"/>
  <c r="D52" i="30"/>
  <c r="D92" i="32"/>
  <c r="D225" i="30"/>
  <c r="O354" i="7"/>
  <c r="D339" i="30"/>
  <c r="D607" i="32"/>
  <c r="D183" i="30"/>
  <c r="D675" i="7"/>
  <c r="D459" i="30"/>
  <c r="D24" i="7"/>
  <c r="D182" i="7"/>
  <c r="D668" i="7"/>
  <c r="D526" i="32"/>
  <c r="D318" i="7"/>
  <c r="D487" i="7"/>
  <c r="D128" i="31"/>
  <c r="D616" i="7"/>
  <c r="D111" i="30"/>
  <c r="O522" i="7"/>
  <c r="D374" i="7"/>
  <c r="D514" i="30"/>
  <c r="D317" i="32"/>
  <c r="D42" i="31"/>
  <c r="D127" i="7"/>
  <c r="D453" i="30"/>
  <c r="D589" i="7"/>
  <c r="O614" i="7"/>
  <c r="O562" i="7"/>
  <c r="D365" i="7"/>
  <c r="D112" i="7"/>
  <c r="D146" i="31"/>
  <c r="O133" i="7"/>
  <c r="D81" i="7"/>
  <c r="H454" i="30"/>
  <c r="O580" i="7"/>
  <c r="D63" i="7"/>
  <c r="D20" i="30"/>
  <c r="D86" i="7"/>
  <c r="D469" i="32"/>
  <c r="D590" i="7"/>
  <c r="D122" i="32"/>
  <c r="D377" i="30"/>
  <c r="O120" i="7"/>
  <c r="O292" i="7"/>
  <c r="D428" i="30"/>
  <c r="D175" i="30"/>
  <c r="D157" i="32"/>
  <c r="D9" i="31"/>
  <c r="H160" i="32"/>
  <c r="D505" i="7"/>
  <c r="D651" i="7"/>
  <c r="D306" i="7"/>
  <c r="O405" i="7"/>
  <c r="D190" i="31"/>
  <c r="D350" i="30"/>
  <c r="D68" i="7"/>
  <c r="D154" i="32"/>
  <c r="D74" i="30"/>
  <c r="O261" i="7"/>
  <c r="H158" i="30"/>
  <c r="D120" i="30"/>
  <c r="D431" i="7"/>
  <c r="D61" i="30"/>
  <c r="D546" i="7"/>
  <c r="D663" i="7"/>
  <c r="D185" i="7"/>
  <c r="D466" i="7"/>
  <c r="D263" i="30"/>
  <c r="D340" i="7"/>
  <c r="Y2" i="18"/>
  <c r="D64" i="30"/>
  <c r="D370" i="7"/>
  <c r="D614" i="7"/>
  <c r="D620" i="7"/>
  <c r="D109" i="31"/>
  <c r="D258" i="31"/>
  <c r="O114" i="7"/>
  <c r="D420" i="7"/>
  <c r="D130" i="7"/>
  <c r="D411" i="30"/>
  <c r="D405" i="7"/>
  <c r="D42" i="7"/>
  <c r="D353" i="7"/>
  <c r="D567" i="7"/>
  <c r="D206" i="32"/>
  <c r="D442" i="30"/>
  <c r="H196" i="30"/>
  <c r="H464" i="30"/>
  <c r="D128" i="7"/>
  <c r="D326" i="31"/>
  <c r="O536" i="7"/>
  <c r="O183" i="7"/>
  <c r="D397" i="32"/>
  <c r="D562" i="7"/>
  <c r="D249" i="7"/>
  <c r="D100" i="30"/>
  <c r="D247" i="7"/>
  <c r="H22" i="31"/>
  <c r="D16" i="31"/>
  <c r="D411" i="7"/>
  <c r="D257" i="7"/>
  <c r="D549" i="32"/>
  <c r="D341" i="30"/>
  <c r="D352" i="32"/>
  <c r="D464" i="7"/>
  <c r="D266" i="31"/>
  <c r="D560" i="7"/>
  <c r="D78" i="7"/>
  <c r="D184" i="32"/>
  <c r="D214" i="7"/>
  <c r="D519" i="7"/>
  <c r="D43" i="31"/>
  <c r="D391" i="30"/>
  <c r="D311" i="7"/>
  <c r="D537" i="7"/>
  <c r="D87" i="30"/>
  <c r="D446" i="7"/>
  <c r="D304" i="30"/>
  <c r="D638" i="7"/>
  <c r="D592" i="7"/>
  <c r="D489" i="30"/>
  <c r="O511" i="7"/>
  <c r="D666" i="7"/>
  <c r="D113" i="32"/>
  <c r="D507" i="7"/>
  <c r="D174" i="32"/>
  <c r="D204" i="7"/>
  <c r="D401" i="31"/>
  <c r="D653" i="7"/>
  <c r="D469" i="7"/>
  <c r="D208" i="30"/>
  <c r="D331" i="31"/>
  <c r="O260" i="7"/>
  <c r="D123" i="7"/>
  <c r="D64" i="31"/>
  <c r="H386" i="30"/>
  <c r="D522" i="32"/>
  <c r="O449" i="7"/>
  <c r="D383" i="7"/>
  <c r="D172" i="7"/>
  <c r="D91" i="30"/>
  <c r="D47" i="7"/>
  <c r="D573" i="32"/>
  <c r="D502" i="7"/>
  <c r="D287" i="30"/>
  <c r="D397" i="30"/>
  <c r="Y30" i="18"/>
  <c r="D265" i="31"/>
  <c r="O341" i="7"/>
  <c r="D231" i="7"/>
  <c r="O248" i="7"/>
  <c r="O356" i="7"/>
  <c r="D291" i="32"/>
  <c r="D160" i="31"/>
  <c r="D612" i="7"/>
  <c r="O664" i="7"/>
  <c r="D158" i="30"/>
  <c r="D227" i="7"/>
  <c r="O173" i="7"/>
  <c r="O547" i="7"/>
  <c r="D231" i="30"/>
  <c r="Y12" i="18"/>
  <c r="O35" i="7"/>
  <c r="D243" i="7"/>
  <c r="D110" i="30"/>
  <c r="D46" i="30"/>
  <c r="D608" i="7"/>
  <c r="D377" i="7"/>
  <c r="D460" i="30"/>
  <c r="D407" i="7"/>
  <c r="D479" i="30"/>
  <c r="D468" i="32"/>
  <c r="D192" i="7"/>
  <c r="D216" i="32"/>
  <c r="O40" i="7"/>
  <c r="D25" i="7"/>
  <c r="D213" i="31"/>
  <c r="D484" i="7"/>
  <c r="D7" i="30"/>
  <c r="D536" i="7"/>
  <c r="D225" i="31"/>
  <c r="D516" i="7"/>
  <c r="D137" i="31"/>
  <c r="D456" i="30"/>
  <c r="D494" i="7"/>
  <c r="D106" i="31"/>
  <c r="D629" i="7"/>
  <c r="D336" i="7"/>
  <c r="D254" i="31"/>
  <c r="D269" i="31"/>
  <c r="O611" i="7"/>
  <c r="D21" i="32"/>
  <c r="H200" i="32"/>
  <c r="O617" i="7"/>
  <c r="O619" i="7"/>
  <c r="O348" i="7"/>
  <c r="D471" i="7"/>
  <c r="D280" i="7"/>
  <c r="D262" i="30"/>
  <c r="D104" i="7"/>
  <c r="O184" i="7"/>
  <c r="D158" i="7"/>
  <c r="O25" i="7"/>
  <c r="H35" i="30"/>
  <c r="D561" i="32"/>
  <c r="D126" i="7"/>
  <c r="D459" i="32"/>
  <c r="D366" i="30"/>
  <c r="D197" i="31"/>
  <c r="D376" i="30"/>
  <c r="D80" i="31"/>
  <c r="D226" i="7"/>
  <c r="D251" i="7"/>
  <c r="D116" i="30"/>
  <c r="D71" i="31"/>
  <c r="D569" i="7"/>
  <c r="D383" i="30"/>
  <c r="D41" i="7"/>
  <c r="O646" i="7"/>
  <c r="D509" i="7"/>
  <c r="D525" i="30"/>
  <c r="D216" i="30"/>
  <c r="O542" i="7"/>
  <c r="D299" i="7"/>
  <c r="D656" i="7"/>
  <c r="D584" i="7"/>
  <c r="D230" i="7"/>
  <c r="D350" i="32"/>
  <c r="D203" i="30"/>
  <c r="D118" i="32"/>
  <c r="D131" i="32"/>
  <c r="D12" i="31"/>
  <c r="D144" i="7"/>
  <c r="D242" i="30"/>
  <c r="D117" i="7"/>
  <c r="D416" i="7"/>
  <c r="D312" i="30"/>
  <c r="D39" i="30"/>
  <c r="H181" i="30"/>
  <c r="H283" i="31"/>
  <c r="H207" i="30"/>
  <c r="D234" i="30"/>
  <c r="D350" i="7"/>
  <c r="O336" i="7"/>
  <c r="D83" i="30"/>
  <c r="D99" i="31"/>
  <c r="D213" i="7"/>
  <c r="H410" i="30"/>
  <c r="D555" i="32"/>
  <c r="H228" i="30"/>
  <c r="D211" i="32"/>
  <c r="D210" i="30"/>
  <c r="D87" i="31"/>
  <c r="D453" i="32"/>
  <c r="D510" i="32"/>
  <c r="D465" i="30"/>
  <c r="D124" i="30"/>
  <c r="D391" i="32"/>
  <c r="D60" i="30"/>
  <c r="H187" i="30"/>
  <c r="D148" i="31"/>
  <c r="O333" i="7"/>
  <c r="D469" i="30"/>
  <c r="D292" i="7"/>
  <c r="D343" i="7"/>
  <c r="D224" i="32"/>
  <c r="D495" i="7"/>
  <c r="D269" i="7"/>
  <c r="D241" i="7"/>
  <c r="O391" i="7"/>
  <c r="D525" i="7"/>
  <c r="D192" i="31"/>
  <c r="D77" i="30"/>
  <c r="O29" i="7"/>
  <c r="D109" i="32"/>
  <c r="O315" i="7"/>
  <c r="D167" i="30"/>
  <c r="H30" i="31"/>
  <c r="D440" i="30"/>
  <c r="D205" i="7"/>
  <c r="D131" i="31"/>
  <c r="O440" i="7"/>
  <c r="D435" i="7"/>
  <c r="D371" i="7"/>
  <c r="O71" i="7"/>
  <c r="D144" i="30"/>
  <c r="D351" i="32"/>
  <c r="D141" i="30"/>
  <c r="D184" i="31"/>
  <c r="D524" i="7"/>
  <c r="D30" i="32"/>
  <c r="H287" i="32"/>
  <c r="D191" i="7"/>
  <c r="O381" i="7"/>
  <c r="H510" i="30"/>
  <c r="D201" i="30"/>
  <c r="D575" i="32"/>
  <c r="D327" i="31"/>
  <c r="D94" i="30"/>
  <c r="O241" i="7"/>
  <c r="D287" i="7"/>
  <c r="D110" i="7"/>
  <c r="H519" i="30"/>
  <c r="D586" i="7"/>
  <c r="D425" i="7"/>
  <c r="D598" i="7"/>
  <c r="D164" i="7"/>
  <c r="O596" i="7"/>
  <c r="H251" i="30"/>
  <c r="D362" i="7"/>
  <c r="D142" i="7"/>
  <c r="D310" i="30"/>
  <c r="D632" i="7"/>
  <c r="O560" i="7"/>
  <c r="D370" i="31"/>
  <c r="D245" i="32"/>
  <c r="D262" i="7"/>
  <c r="D655" i="7"/>
  <c r="D542" i="7"/>
  <c r="D152" i="30"/>
  <c r="D232" i="32"/>
  <c r="D73" i="7"/>
  <c r="D438" i="30"/>
  <c r="D255" i="31"/>
  <c r="D26" i="7"/>
  <c r="D224" i="30"/>
  <c r="D340" i="32"/>
  <c r="D352" i="30"/>
  <c r="O571" i="7"/>
  <c r="O615" i="7"/>
  <c r="D508" i="30"/>
  <c r="D549" i="7"/>
  <c r="D498" i="30"/>
  <c r="D156" i="32"/>
  <c r="O43" i="7"/>
  <c r="D356" i="7"/>
  <c r="D488" i="7"/>
  <c r="D387" i="7"/>
  <c r="D69" i="31"/>
  <c r="D217" i="7"/>
  <c r="D102" i="7"/>
  <c r="D325" i="7"/>
  <c r="D390" i="7"/>
  <c r="D462" i="7"/>
  <c r="D627" i="7"/>
  <c r="D510" i="7"/>
  <c r="D491" i="7"/>
  <c r="D647" i="7"/>
  <c r="D490" i="30"/>
  <c r="D247" i="30"/>
  <c r="D80" i="7"/>
  <c r="D96" i="30"/>
  <c r="O674" i="7"/>
  <c r="O320" i="7"/>
  <c r="D506" i="32"/>
  <c r="D195" i="30"/>
  <c r="D6" i="31"/>
  <c r="D382" i="32"/>
  <c r="D429" i="7"/>
  <c r="D667" i="7"/>
  <c r="O252" i="7"/>
  <c r="D386" i="30"/>
  <c r="D518" i="30"/>
  <c r="D145" i="30"/>
  <c r="D278" i="7"/>
  <c r="D597" i="7"/>
  <c r="D272" i="30"/>
  <c r="D526" i="7"/>
  <c r="D290" i="7"/>
  <c r="D481" i="30"/>
  <c r="D127" i="32"/>
  <c r="D515" i="7"/>
  <c r="O559" i="7"/>
  <c r="O549" i="7"/>
  <c r="D232" i="31"/>
  <c r="D357" i="7"/>
  <c r="D625" i="7"/>
  <c r="D230" i="32"/>
  <c r="D433" i="7"/>
  <c r="D30" i="30"/>
  <c r="O278" i="7"/>
  <c r="D561" i="7"/>
  <c r="D475" i="30"/>
  <c r="D90" i="31"/>
  <c r="D71" i="7"/>
  <c r="D571" i="7"/>
  <c r="O467" i="7"/>
  <c r="D134" i="7"/>
  <c r="O568" i="7"/>
  <c r="D9" i="30"/>
  <c r="D27" i="7"/>
  <c r="D319" i="30"/>
  <c r="D520" i="30"/>
  <c r="D180" i="30"/>
  <c r="D260" i="7"/>
  <c r="D312" i="7"/>
  <c r="O395" i="7"/>
  <c r="D419" i="7"/>
  <c r="D399" i="7"/>
  <c r="D54" i="7"/>
  <c r="D4" i="30"/>
  <c r="D204" i="30"/>
  <c r="D66" i="30"/>
  <c r="O295" i="7"/>
  <c r="D34" i="31"/>
  <c r="D454" i="7"/>
  <c r="O36" i="7"/>
  <c r="D23" i="7"/>
  <c r="D661" i="7"/>
  <c r="D121" i="32"/>
  <c r="D501" i="30"/>
  <c r="D439" i="7"/>
  <c r="D75" i="30"/>
  <c r="D401" i="7"/>
  <c r="D56" i="32"/>
  <c r="D118" i="7"/>
  <c r="D347" i="7"/>
  <c r="D89" i="30"/>
  <c r="D436" i="30"/>
  <c r="D432" i="7"/>
  <c r="D308" i="7"/>
  <c r="O31" i="7"/>
  <c r="D132" i="31"/>
  <c r="D399" i="30"/>
  <c r="D518" i="7"/>
  <c r="H394" i="30"/>
  <c r="D325" i="31"/>
  <c r="D98" i="31"/>
  <c r="D448" i="30"/>
  <c r="D522" i="7"/>
  <c r="D327" i="32"/>
  <c r="D357" i="32"/>
  <c r="D243" i="30"/>
  <c r="D35" i="31"/>
  <c r="D126" i="31"/>
  <c r="D528" i="32"/>
  <c r="D417" i="30"/>
  <c r="H412" i="30"/>
  <c r="D101" i="7"/>
  <c r="D386" i="7"/>
  <c r="D563" i="7"/>
  <c r="D193" i="32"/>
  <c r="D609" i="32"/>
  <c r="D233" i="7"/>
  <c r="D398" i="7"/>
  <c r="D553" i="7"/>
  <c r="D340" i="30"/>
  <c r="O679" i="7"/>
  <c r="D29" i="7"/>
  <c r="D263" i="7"/>
  <c r="D603" i="32"/>
  <c r="D169" i="7"/>
  <c r="D493" i="30"/>
  <c r="D446" i="32"/>
  <c r="D556" i="7"/>
  <c r="D567" i="32"/>
  <c r="D41" i="30"/>
  <c r="D245" i="7"/>
  <c r="D323" i="7"/>
  <c r="O645" i="7"/>
  <c r="D143" i="32"/>
  <c r="D53" i="30"/>
  <c r="Y11" i="18"/>
  <c r="D531" i="7"/>
  <c r="D374" i="31"/>
  <c r="D526" i="30"/>
  <c r="D375" i="31"/>
  <c r="D605" i="32"/>
  <c r="D402" i="7"/>
  <c r="D335" i="32"/>
  <c r="D493" i="7"/>
  <c r="D273" i="7"/>
  <c r="D264" i="7"/>
  <c r="D600" i="7"/>
  <c r="D197" i="30"/>
  <c r="O242" i="7"/>
  <c r="D572" i="7"/>
  <c r="D463" i="30"/>
  <c r="O126" i="7"/>
  <c r="D403" i="32"/>
  <c r="H240" i="32"/>
  <c r="H53" i="32"/>
  <c r="H60" i="31"/>
  <c r="D426" i="30"/>
  <c r="O300" i="7"/>
  <c r="O476" i="7"/>
  <c r="O131" i="7"/>
  <c r="D366" i="32"/>
  <c r="D151" i="32"/>
  <c r="O150" i="7"/>
  <c r="D20" i="7"/>
  <c r="H453" i="30"/>
  <c r="O139" i="7"/>
  <c r="H58" i="31"/>
  <c r="D628" i="7"/>
  <c r="D253" i="7"/>
  <c r="D507" i="30"/>
  <c r="O311" i="7"/>
  <c r="D299" i="30"/>
  <c r="O563" i="7"/>
  <c r="O667" i="7"/>
  <c r="H601" i="32"/>
  <c r="D378" i="30"/>
  <c r="D296" i="7"/>
  <c r="D194" i="30"/>
  <c r="D162" i="32"/>
  <c r="D342" i="31"/>
  <c r="D315" i="7"/>
  <c r="D517" i="7"/>
  <c r="D403" i="7"/>
  <c r="D98" i="30"/>
  <c r="D453" i="7"/>
  <c r="D14" i="7"/>
  <c r="D326" i="30"/>
  <c r="D320" i="7"/>
  <c r="D341" i="31"/>
  <c r="O168" i="7"/>
  <c r="O642" i="7"/>
  <c r="D161" i="30"/>
  <c r="D189" i="31"/>
  <c r="D316" i="7"/>
  <c r="D201" i="32"/>
  <c r="D499" i="7"/>
  <c r="D179" i="31"/>
  <c r="D309" i="7"/>
  <c r="O250" i="7"/>
  <c r="D118" i="30"/>
  <c r="D22" i="31"/>
  <c r="H558" i="32"/>
  <c r="D539" i="32"/>
  <c r="D568" i="7"/>
  <c r="D259" i="30"/>
  <c r="D642" i="7"/>
  <c r="D39" i="32"/>
  <c r="D162" i="30"/>
  <c r="O480" i="7"/>
  <c r="D267" i="7"/>
  <c r="D414" i="7"/>
  <c r="D473" i="30"/>
  <c r="H600" i="32"/>
  <c r="D104" i="31"/>
  <c r="D369" i="30"/>
  <c r="D418" i="7"/>
  <c r="O495" i="7"/>
  <c r="H577" i="32"/>
  <c r="D201" i="31"/>
  <c r="D368" i="31"/>
  <c r="H479" i="30"/>
  <c r="D207" i="7"/>
  <c r="D489" i="7"/>
  <c r="O595" i="7"/>
  <c r="D551" i="32"/>
  <c r="D609" i="7"/>
  <c r="O177" i="7"/>
  <c r="D113" i="30"/>
  <c r="D389" i="32"/>
  <c r="Y24" i="18"/>
  <c r="O228" i="7"/>
  <c r="D297" i="31"/>
  <c r="O166" i="7"/>
  <c r="D117" i="32"/>
  <c r="D249" i="30"/>
  <c r="D31" i="32"/>
  <c r="O590" i="7"/>
  <c r="D278" i="31"/>
  <c r="H290" i="32"/>
  <c r="D291" i="7"/>
  <c r="D479" i="7"/>
  <c r="D39" i="7"/>
  <c r="D535" i="7"/>
  <c r="D496" i="32"/>
  <c r="D660" i="7"/>
  <c r="D338" i="31"/>
  <c r="D351" i="30"/>
  <c r="D284" i="7"/>
  <c r="D308" i="30"/>
  <c r="D114" i="32"/>
  <c r="O258" i="7"/>
  <c r="H124" i="30"/>
  <c r="D14" i="32"/>
  <c r="O432" i="7"/>
  <c r="D368" i="7"/>
  <c r="D259" i="32"/>
  <c r="D593" i="32"/>
  <c r="D555" i="7"/>
  <c r="D198" i="7"/>
  <c r="D6" i="32"/>
  <c r="D410" i="30"/>
  <c r="O420" i="7"/>
  <c r="D34" i="30"/>
  <c r="H357" i="31"/>
  <c r="D242" i="7"/>
  <c r="H413" i="30"/>
  <c r="D220" i="31"/>
  <c r="D327" i="30"/>
  <c r="O360" i="7"/>
  <c r="O374" i="7"/>
  <c r="D318" i="30"/>
  <c r="D240" i="31"/>
  <c r="D482" i="30"/>
  <c r="D260" i="30"/>
  <c r="D7" i="31"/>
  <c r="H178" i="31"/>
  <c r="D224" i="7"/>
  <c r="D602" i="7"/>
  <c r="D50" i="32"/>
  <c r="D139" i="7"/>
  <c r="D43" i="7"/>
  <c r="O483" i="7"/>
  <c r="D343" i="31"/>
  <c r="H83" i="32"/>
  <c r="D16" i="30"/>
  <c r="H116" i="31"/>
  <c r="D409" i="32"/>
  <c r="O64" i="7"/>
  <c r="D151" i="30"/>
  <c r="D439" i="30"/>
  <c r="D463" i="7"/>
  <c r="D603" i="7"/>
  <c r="D99" i="30"/>
  <c r="D293" i="31"/>
  <c r="D133" i="30"/>
  <c r="D222" i="7"/>
  <c r="D344" i="7"/>
  <c r="D363" i="7"/>
  <c r="D678" i="7"/>
  <c r="D149" i="32"/>
  <c r="O605" i="7"/>
  <c r="D276" i="7"/>
  <c r="D148" i="7"/>
  <c r="D381" i="30"/>
  <c r="D15" i="31"/>
  <c r="D149" i="7"/>
  <c r="D84" i="30"/>
  <c r="D274" i="7"/>
  <c r="O240" i="7"/>
  <c r="D67" i="32"/>
  <c r="D136" i="30"/>
  <c r="D211" i="7"/>
  <c r="O26" i="7"/>
  <c r="D44" i="30"/>
  <c r="D337" i="32"/>
  <c r="D290" i="30"/>
  <c r="D571" i="32"/>
  <c r="D218" i="32"/>
  <c r="D90" i="7"/>
  <c r="O456" i="7"/>
  <c r="O218" i="7"/>
  <c r="O239" i="7"/>
  <c r="D46" i="32"/>
  <c r="D53" i="32"/>
  <c r="D72" i="7"/>
  <c r="D518" i="32"/>
  <c r="O172" i="7"/>
  <c r="D415" i="30"/>
  <c r="O625" i="7"/>
  <c r="H502" i="30"/>
  <c r="O335" i="7"/>
  <c r="D233" i="30"/>
  <c r="O565" i="7"/>
  <c r="D388" i="31"/>
  <c r="D454" i="30"/>
  <c r="H240" i="30"/>
  <c r="D184" i="30"/>
  <c r="H210" i="32"/>
  <c r="D557" i="32"/>
  <c r="H547" i="32"/>
  <c r="H218" i="30"/>
  <c r="D223" i="31"/>
  <c r="H366" i="31"/>
  <c r="H111" i="31"/>
  <c r="O130" i="7"/>
  <c r="D375" i="30"/>
  <c r="D264" i="31"/>
  <c r="D618" i="7"/>
  <c r="D165" i="7"/>
  <c r="D35" i="30"/>
  <c r="D58" i="31"/>
  <c r="D314" i="31"/>
  <c r="O460" i="7"/>
  <c r="D20" i="31"/>
  <c r="O51" i="7"/>
  <c r="O285" i="7"/>
  <c r="O204" i="7"/>
  <c r="D622" i="7"/>
  <c r="H212" i="31"/>
  <c r="D279" i="7"/>
  <c r="D189" i="30"/>
  <c r="O48" i="7"/>
  <c r="D450" i="7"/>
  <c r="D683" i="7"/>
  <c r="D415" i="7"/>
  <c r="D676" i="7"/>
  <c r="H506" i="30"/>
  <c r="D226" i="31"/>
  <c r="H72" i="31"/>
  <c r="O82" i="7"/>
  <c r="D174" i="30"/>
  <c r="D461" i="30"/>
  <c r="D75" i="7"/>
  <c r="D239" i="7"/>
  <c r="D576" i="7"/>
  <c r="D116" i="32"/>
  <c r="D385" i="30"/>
  <c r="D588" i="32"/>
  <c r="D220" i="30"/>
  <c r="D388" i="7"/>
  <c r="H480" i="30"/>
  <c r="D249" i="32"/>
  <c r="O488" i="7"/>
  <c r="O629" i="7"/>
  <c r="H179" i="31"/>
  <c r="H474" i="32"/>
  <c r="D426" i="32"/>
  <c r="H222" i="30"/>
  <c r="O451" i="7"/>
  <c r="H177" i="31"/>
  <c r="D613" i="32"/>
  <c r="D179" i="7"/>
  <c r="D364" i="31"/>
  <c r="D218" i="7"/>
  <c r="D311" i="30"/>
  <c r="D467" i="7"/>
  <c r="D75" i="32"/>
  <c r="D424" i="7"/>
  <c r="D528" i="7"/>
  <c r="D62" i="30"/>
  <c r="D133" i="31"/>
  <c r="H252" i="31"/>
  <c r="D384" i="30"/>
  <c r="D458" i="30"/>
  <c r="H267" i="30"/>
  <c r="D604" i="32"/>
  <c r="D630" i="7"/>
  <c r="D332" i="32"/>
  <c r="O49" i="7"/>
  <c r="D224" i="31"/>
  <c r="D122" i="7"/>
  <c r="D4" i="32"/>
  <c r="D89" i="32"/>
  <c r="H470" i="30"/>
  <c r="D570" i="32"/>
  <c r="D122" i="30"/>
  <c r="D540" i="32"/>
  <c r="D260" i="31"/>
  <c r="D108" i="7"/>
  <c r="D57" i="30"/>
  <c r="O654" i="7"/>
  <c r="O411" i="7"/>
  <c r="D155" i="7"/>
  <c r="O283" i="7"/>
  <c r="O212" i="7"/>
  <c r="D147" i="7"/>
  <c r="D323" i="30"/>
  <c r="O393" i="7"/>
  <c r="D68" i="30"/>
  <c r="H325" i="31"/>
  <c r="H395" i="31"/>
  <c r="H175" i="32"/>
  <c r="D241" i="31"/>
  <c r="D360" i="32"/>
  <c r="H174" i="30"/>
  <c r="O189" i="7"/>
  <c r="D44" i="7"/>
  <c r="D179" i="30"/>
  <c r="D160" i="7"/>
  <c r="D91" i="31"/>
  <c r="D617" i="7"/>
  <c r="D315" i="30"/>
  <c r="O342" i="7"/>
  <c r="H381" i="32"/>
  <c r="O186" i="7"/>
  <c r="D163" i="30"/>
  <c r="O73" i="7"/>
  <c r="H498" i="32"/>
  <c r="D384" i="31"/>
  <c r="D591" i="7"/>
  <c r="D94" i="7"/>
  <c r="D217" i="30"/>
  <c r="H22" i="32"/>
  <c r="H238" i="32"/>
  <c r="D354" i="32"/>
  <c r="D268" i="32"/>
  <c r="D297" i="30"/>
  <c r="D238" i="32"/>
  <c r="O434" i="7"/>
  <c r="D544" i="7"/>
  <c r="O441" i="7"/>
  <c r="H72" i="30"/>
  <c r="H521" i="32"/>
  <c r="D211" i="30"/>
  <c r="D57" i="32"/>
  <c r="H50" i="32"/>
  <c r="O340" i="7"/>
  <c r="H101" i="30"/>
  <c r="O350" i="7"/>
  <c r="O47" i="7"/>
  <c r="H263" i="31"/>
  <c r="D359" i="32"/>
  <c r="H117" i="31"/>
  <c r="D32" i="7"/>
  <c r="Y18" i="18"/>
  <c r="O16" i="7"/>
  <c r="D19" i="7"/>
  <c r="D101" i="32"/>
  <c r="D425" i="30"/>
  <c r="D74" i="31"/>
  <c r="D608" i="32"/>
  <c r="D447" i="7"/>
  <c r="D272" i="32"/>
  <c r="D8" i="30"/>
  <c r="D201" i="7"/>
  <c r="D427" i="30"/>
  <c r="D246" i="7"/>
  <c r="D103" i="7"/>
  <c r="D187" i="31"/>
  <c r="D233" i="31"/>
  <c r="H476" i="30"/>
  <c r="D440" i="32"/>
  <c r="D468" i="30"/>
  <c r="H338" i="31"/>
  <c r="D41" i="32"/>
  <c r="D451" i="30"/>
  <c r="D253" i="31"/>
  <c r="D98" i="7"/>
  <c r="D368" i="30"/>
  <c r="D430" i="32"/>
  <c r="D168" i="31"/>
  <c r="O141" i="7"/>
  <c r="D255" i="7"/>
  <c r="D316" i="32"/>
  <c r="D301" i="31"/>
  <c r="D112" i="30"/>
  <c r="O243" i="7"/>
  <c r="D558" i="32"/>
  <c r="H154" i="30"/>
  <c r="H265" i="32"/>
  <c r="O46" i="7"/>
  <c r="O501" i="7"/>
  <c r="D44" i="31"/>
  <c r="H206" i="30"/>
  <c r="H118" i="31"/>
  <c r="H189" i="30"/>
  <c r="D548" i="32"/>
  <c r="H271" i="32"/>
  <c r="H186" i="31"/>
  <c r="D219" i="31"/>
  <c r="O397" i="7"/>
  <c r="H320" i="30"/>
  <c r="D185" i="32"/>
  <c r="D158" i="32"/>
  <c r="D342" i="7"/>
  <c r="H131" i="32"/>
  <c r="D306" i="32"/>
  <c r="D139" i="32"/>
  <c r="H302" i="30"/>
  <c r="D367" i="32"/>
  <c r="O435" i="7"/>
  <c r="H249" i="30"/>
  <c r="D351" i="31"/>
  <c r="H117" i="32"/>
  <c r="O404" i="7"/>
  <c r="O552" i="7"/>
  <c r="D138" i="7"/>
  <c r="H499" i="30"/>
  <c r="H280" i="31"/>
  <c r="D395" i="31"/>
  <c r="O427" i="7"/>
  <c r="H184" i="30"/>
  <c r="D202" i="30"/>
  <c r="O323" i="7"/>
  <c r="H215" i="30"/>
  <c r="H43" i="30"/>
  <c r="H233" i="32"/>
  <c r="D136" i="7"/>
  <c r="O357" i="7"/>
  <c r="D328" i="32"/>
  <c r="D246" i="32"/>
  <c r="H292" i="32"/>
  <c r="H3" i="30"/>
  <c r="H268" i="31"/>
  <c r="H246" i="32"/>
  <c r="O78" i="7"/>
  <c r="O185" i="7"/>
  <c r="D82" i="7"/>
  <c r="H138" i="32"/>
  <c r="D11" i="31"/>
  <c r="D25" i="32"/>
  <c r="H193" i="31"/>
  <c r="O491" i="7"/>
  <c r="H486" i="30"/>
  <c r="D527" i="30"/>
  <c r="D395" i="7"/>
  <c r="D56" i="7"/>
  <c r="H32" i="30"/>
  <c r="D62" i="32"/>
  <c r="D119" i="30"/>
  <c r="D13" i="31"/>
  <c r="H87" i="30"/>
  <c r="H572" i="32"/>
  <c r="D111" i="32"/>
  <c r="D480" i="32"/>
  <c r="Y19" i="18"/>
  <c r="H484" i="30"/>
  <c r="H106" i="31"/>
  <c r="D565" i="7"/>
  <c r="D144" i="31"/>
  <c r="H244" i="31"/>
  <c r="H549" i="32"/>
  <c r="H320" i="31"/>
  <c r="H323" i="31"/>
  <c r="H39" i="31"/>
  <c r="D9" i="32"/>
  <c r="D262" i="32"/>
  <c r="D158" i="31"/>
  <c r="D463" i="32"/>
  <c r="D631" i="7"/>
  <c r="H379" i="30"/>
  <c r="O227" i="7"/>
  <c r="O108" i="7"/>
  <c r="D478" i="32"/>
  <c r="H92" i="31"/>
  <c r="O68" i="7"/>
  <c r="O182" i="7"/>
  <c r="D103" i="30"/>
  <c r="D128" i="32"/>
  <c r="H246" i="31"/>
  <c r="O199" i="7"/>
  <c r="H382" i="30"/>
  <c r="H8" i="32"/>
  <c r="D387" i="32"/>
  <c r="H235" i="30"/>
  <c r="D288" i="30"/>
  <c r="D167" i="7"/>
  <c r="H392" i="30"/>
  <c r="D580" i="7"/>
  <c r="Y36" i="18"/>
  <c r="O567" i="7"/>
  <c r="D344" i="32"/>
  <c r="D19" i="30"/>
  <c r="D124" i="7"/>
  <c r="O630" i="7"/>
  <c r="O316" i="7"/>
  <c r="O169" i="7"/>
  <c r="D239" i="31"/>
  <c r="O221" i="7"/>
  <c r="O680" i="7"/>
  <c r="O84" i="7"/>
  <c r="D157" i="30"/>
  <c r="D244" i="7"/>
  <c r="D446" i="30"/>
  <c r="D235" i="32"/>
  <c r="D404" i="30"/>
  <c r="D364" i="30"/>
  <c r="O37" i="7"/>
  <c r="D487" i="30"/>
  <c r="D188" i="32"/>
  <c r="D612" i="32"/>
  <c r="D443" i="7"/>
  <c r="D402" i="31"/>
  <c r="D251" i="30"/>
  <c r="D449" i="7"/>
  <c r="H61" i="30"/>
  <c r="D96" i="7"/>
  <c r="D307" i="31"/>
  <c r="D82" i="31"/>
  <c r="H154" i="32"/>
  <c r="D83" i="31"/>
  <c r="D451" i="7"/>
  <c r="H353" i="30"/>
  <c r="D235" i="30"/>
  <c r="H107" i="30"/>
  <c r="D300" i="7"/>
  <c r="D95" i="32"/>
  <c r="D593" i="7"/>
  <c r="H308" i="30"/>
  <c r="D594" i="32"/>
  <c r="D497" i="30"/>
  <c r="O671" i="7"/>
  <c r="D533" i="7"/>
  <c r="D509" i="30"/>
  <c r="D380" i="7"/>
  <c r="D250" i="7"/>
  <c r="H510" i="32"/>
  <c r="D539" i="7"/>
  <c r="D207" i="30"/>
  <c r="O647" i="7"/>
  <c r="D46" i="7"/>
  <c r="D202" i="7"/>
  <c r="D272" i="7"/>
  <c r="D156" i="30"/>
  <c r="H501" i="32"/>
  <c r="D29" i="30"/>
  <c r="D474" i="7"/>
  <c r="D293" i="30"/>
  <c r="D333" i="31"/>
  <c r="O303" i="7"/>
  <c r="D650" i="7"/>
  <c r="D283" i="32"/>
  <c r="D108" i="30"/>
  <c r="D434" i="7"/>
  <c r="H498" i="30"/>
  <c r="D305" i="7"/>
  <c r="D362" i="32"/>
  <c r="D349" i="7"/>
  <c r="O477" i="7"/>
  <c r="O392" i="7"/>
  <c r="O118" i="7"/>
  <c r="O33" i="7"/>
  <c r="H420" i="32"/>
  <c r="H520" i="32"/>
  <c r="O257" i="7"/>
  <c r="D540" i="7"/>
  <c r="D301" i="30"/>
  <c r="D529" i="7"/>
  <c r="H161" i="32"/>
  <c r="H508" i="30"/>
  <c r="D179" i="32"/>
  <c r="D476" i="30"/>
  <c r="D590" i="32"/>
  <c r="D85" i="7"/>
  <c r="D468" i="7"/>
  <c r="H383" i="31"/>
  <c r="D464" i="32"/>
  <c r="O369" i="7"/>
  <c r="D577" i="7"/>
  <c r="D51" i="30"/>
  <c r="D189" i="32"/>
  <c r="H355" i="32"/>
  <c r="H495" i="30"/>
  <c r="D471" i="30"/>
  <c r="H184" i="32"/>
  <c r="O163" i="7"/>
  <c r="D130" i="32"/>
  <c r="D323" i="31"/>
  <c r="D191" i="32"/>
  <c r="H391" i="31"/>
  <c r="D448" i="32"/>
  <c r="H401" i="30"/>
  <c r="O112" i="7"/>
  <c r="D288" i="7"/>
  <c r="D95" i="7"/>
  <c r="O402" i="7"/>
  <c r="D359" i="7"/>
  <c r="D349" i="31"/>
  <c r="O604" i="7"/>
  <c r="D461" i="32"/>
  <c r="D167" i="31"/>
  <c r="D304" i="7"/>
  <c r="H255" i="30"/>
  <c r="D28" i="31"/>
  <c r="H77" i="30"/>
  <c r="O487" i="7"/>
  <c r="D52" i="31"/>
  <c r="D645" i="7"/>
  <c r="O175" i="7"/>
  <c r="D639" i="7"/>
  <c r="D398" i="32"/>
  <c r="D37" i="7"/>
  <c r="D121" i="7"/>
  <c r="D621" i="7"/>
  <c r="D238" i="30"/>
  <c r="O551" i="7"/>
  <c r="D215" i="32"/>
  <c r="D452" i="7"/>
  <c r="D178" i="32"/>
  <c r="H526" i="30"/>
  <c r="O628" i="7"/>
  <c r="H275" i="30"/>
  <c r="H119" i="31"/>
  <c r="O384" i="7"/>
  <c r="H344" i="32"/>
  <c r="O351" i="7"/>
  <c r="H210" i="31"/>
  <c r="D289" i="7"/>
  <c r="D530" i="7"/>
  <c r="D155" i="32"/>
  <c r="D554" i="32"/>
  <c r="H550" i="32"/>
  <c r="D599" i="32"/>
  <c r="D318" i="31"/>
  <c r="D403" i="30"/>
  <c r="D488" i="32"/>
  <c r="O678" i="7"/>
  <c r="D55" i="30"/>
  <c r="O255" i="7"/>
  <c r="D505" i="32"/>
  <c r="D291" i="30"/>
  <c r="H11" i="32"/>
  <c r="D491" i="30"/>
  <c r="H207" i="31"/>
  <c r="D490" i="32"/>
  <c r="O490" i="7"/>
  <c r="O652" i="7"/>
  <c r="O593" i="7"/>
  <c r="O457" i="7"/>
  <c r="O503" i="7"/>
  <c r="H188" i="30"/>
  <c r="H350" i="30"/>
  <c r="H527" i="30"/>
  <c r="O385" i="7"/>
  <c r="O306" i="7"/>
  <c r="H554" i="32"/>
  <c r="D59" i="30"/>
  <c r="H355" i="30"/>
  <c r="D285" i="32"/>
  <c r="H170" i="31"/>
  <c r="D118" i="31"/>
  <c r="O296" i="7"/>
  <c r="H371" i="32"/>
  <c r="D254" i="32"/>
  <c r="D288" i="32"/>
  <c r="D289" i="31"/>
  <c r="H562" i="32"/>
  <c r="H79" i="30"/>
  <c r="D429" i="32"/>
  <c r="H230" i="31"/>
  <c r="H321" i="31"/>
  <c r="H378" i="32"/>
  <c r="D187" i="7"/>
  <c r="H399" i="30"/>
  <c r="O433" i="7"/>
  <c r="H308" i="32"/>
  <c r="D23" i="32"/>
  <c r="H202" i="32"/>
  <c r="H342" i="32"/>
  <c r="D573" i="7"/>
  <c r="H143" i="32"/>
  <c r="H485" i="32"/>
  <c r="D167" i="32"/>
  <c r="D441" i="32"/>
  <c r="O673" i="7"/>
  <c r="D25" i="31"/>
  <c r="H7" i="30"/>
  <c r="H47" i="30"/>
  <c r="D547" i="7"/>
  <c r="D399" i="32"/>
  <c r="D484" i="32"/>
  <c r="D333" i="30"/>
  <c r="H452" i="32"/>
  <c r="H477" i="30"/>
  <c r="O566" i="7"/>
  <c r="H289" i="30"/>
  <c r="D354" i="31"/>
  <c r="O530" i="7"/>
  <c r="H166" i="30"/>
  <c r="D124" i="31"/>
  <c r="O410" i="7"/>
  <c r="D471" i="32"/>
  <c r="H183" i="30"/>
  <c r="H367" i="30"/>
  <c r="D283" i="7"/>
  <c r="D421" i="7"/>
  <c r="H198" i="32"/>
  <c r="H365" i="31"/>
  <c r="D336" i="30"/>
  <c r="D127" i="30"/>
  <c r="D59" i="7"/>
  <c r="H450" i="30"/>
  <c r="H369" i="30"/>
  <c r="D475" i="7"/>
  <c r="D143" i="31"/>
  <c r="D418" i="32"/>
  <c r="D97" i="7"/>
  <c r="O504" i="7"/>
  <c r="D328" i="7"/>
  <c r="D248" i="7"/>
  <c r="O681" i="7"/>
  <c r="D195" i="7"/>
  <c r="H470" i="32"/>
  <c r="H178" i="32"/>
  <c r="H69" i="32"/>
  <c r="H205" i="31"/>
  <c r="D153" i="32"/>
  <c r="O450" i="7"/>
  <c r="H213" i="31"/>
  <c r="D455" i="32"/>
  <c r="H174" i="31"/>
  <c r="D574" i="32"/>
  <c r="H399" i="31"/>
  <c r="D23" i="31"/>
  <c r="D73" i="30"/>
  <c r="O572" i="7"/>
  <c r="D242" i="31"/>
  <c r="D436" i="32"/>
  <c r="H448" i="30"/>
  <c r="H344" i="30"/>
  <c r="D646" i="7"/>
  <c r="D640" i="7"/>
  <c r="O207" i="7"/>
  <c r="D270" i="7"/>
  <c r="D389" i="7"/>
  <c r="D371" i="31"/>
  <c r="D372" i="7"/>
  <c r="O416" i="7"/>
  <c r="D441" i="7"/>
  <c r="D382" i="31"/>
  <c r="O507" i="7"/>
  <c r="D153" i="7"/>
  <c r="D221" i="30"/>
  <c r="D325" i="30"/>
  <c r="O83" i="7"/>
  <c r="D192" i="32"/>
  <c r="H155" i="30"/>
  <c r="D33" i="7"/>
  <c r="O626" i="7"/>
  <c r="O27" i="7"/>
  <c r="D143" i="7"/>
  <c r="D300" i="30"/>
  <c r="D396" i="31"/>
  <c r="H90" i="31"/>
  <c r="D205" i="32"/>
  <c r="D210" i="31"/>
  <c r="H8" i="31"/>
  <c r="H70" i="32"/>
  <c r="H6" i="30"/>
  <c r="H236" i="31"/>
  <c r="D619" i="7"/>
  <c r="D77" i="31"/>
  <c r="D349" i="32"/>
  <c r="D256" i="30"/>
  <c r="D353" i="32"/>
  <c r="D277" i="32"/>
  <c r="D298" i="31"/>
  <c r="O289" i="7"/>
  <c r="O669" i="7"/>
  <c r="D249" i="31"/>
  <c r="D65" i="30"/>
  <c r="D5" i="31"/>
  <c r="D169" i="32"/>
  <c r="D78" i="30"/>
  <c r="D125" i="32"/>
  <c r="D479" i="32"/>
  <c r="H481" i="30"/>
  <c r="D387" i="30"/>
  <c r="D93" i="7"/>
  <c r="D261" i="32"/>
  <c r="D191" i="31"/>
  <c r="D149" i="31"/>
  <c r="D521" i="7"/>
  <c r="D117" i="31"/>
  <c r="O230" i="7"/>
  <c r="D538" i="7"/>
  <c r="O191" i="7"/>
  <c r="H87" i="31"/>
  <c r="D125" i="30"/>
  <c r="D265" i="7"/>
  <c r="D159" i="7"/>
  <c r="O458" i="7"/>
  <c r="D125" i="31"/>
  <c r="D330" i="7"/>
  <c r="H497" i="30"/>
  <c r="D367" i="7"/>
  <c r="O383" i="7"/>
  <c r="O523" i="7"/>
  <c r="H60" i="32"/>
  <c r="H492" i="30"/>
  <c r="D353" i="30"/>
  <c r="O662" i="7"/>
  <c r="O557" i="7"/>
  <c r="D67" i="31"/>
  <c r="H247" i="31"/>
  <c r="D510" i="30"/>
  <c r="D476" i="7"/>
  <c r="D548" i="7"/>
  <c r="O633" i="7"/>
  <c r="D581" i="7"/>
  <c r="D680" i="7"/>
  <c r="D219" i="7"/>
  <c r="H66" i="30"/>
  <c r="H509" i="30"/>
  <c r="H432" i="32"/>
  <c r="D346" i="31"/>
  <c r="O436" i="7"/>
  <c r="O279" i="7"/>
  <c r="D88" i="30"/>
  <c r="D28" i="7"/>
  <c r="D582" i="7"/>
  <c r="H29" i="30"/>
  <c r="O272" i="7"/>
  <c r="D470" i="30"/>
  <c r="O650" i="7"/>
  <c r="O601" i="7"/>
  <c r="D163" i="7"/>
  <c r="D497" i="32"/>
  <c r="D175" i="7"/>
  <c r="H520" i="30"/>
  <c r="D174" i="31"/>
  <c r="D48" i="30"/>
  <c r="D216" i="7"/>
  <c r="D509" i="32"/>
  <c r="D294" i="7"/>
  <c r="D97" i="31"/>
  <c r="H406" i="30"/>
  <c r="D194" i="31"/>
  <c r="H314" i="31"/>
  <c r="D203" i="31"/>
  <c r="D142" i="32"/>
  <c r="D108" i="32"/>
  <c r="D195" i="32"/>
  <c r="D200" i="7"/>
  <c r="H50" i="30"/>
  <c r="D273" i="32"/>
  <c r="D336" i="32"/>
  <c r="O127" i="7"/>
  <c r="D374" i="30"/>
  <c r="D260" i="32"/>
  <c r="O92" i="7"/>
  <c r="O363" i="7"/>
  <c r="D652" i="7"/>
  <c r="D221" i="31"/>
  <c r="H138" i="30"/>
  <c r="H290" i="30"/>
  <c r="H307" i="31"/>
  <c r="D394" i="30"/>
  <c r="H102" i="31"/>
  <c r="O101" i="7"/>
  <c r="D32" i="31"/>
  <c r="D544" i="32"/>
  <c r="O577" i="7"/>
  <c r="O74" i="7"/>
  <c r="O516" i="7"/>
  <c r="D416" i="32"/>
  <c r="H604" i="32"/>
  <c r="D152" i="32"/>
  <c r="D424" i="30"/>
  <c r="D157" i="7"/>
  <c r="D38" i="30"/>
  <c r="D398" i="30"/>
  <c r="D271" i="32"/>
  <c r="D31" i="31"/>
  <c r="D512" i="7"/>
  <c r="O138" i="7"/>
  <c r="O599" i="7"/>
  <c r="H389" i="30"/>
  <c r="D503" i="7"/>
  <c r="H39" i="30"/>
  <c r="D355" i="7"/>
  <c r="O539" i="7"/>
  <c r="H217" i="32"/>
  <c r="H27" i="32"/>
  <c r="H377" i="32"/>
  <c r="D395" i="30"/>
  <c r="D494" i="30"/>
  <c r="H121" i="32"/>
  <c r="D21" i="30"/>
  <c r="D230" i="30"/>
  <c r="D65" i="7"/>
  <c r="D29" i="32"/>
  <c r="D237" i="32"/>
  <c r="D377" i="31"/>
  <c r="D275" i="32"/>
  <c r="D682" i="7"/>
  <c r="D404" i="7"/>
  <c r="D218" i="30"/>
  <c r="O206" i="7"/>
  <c r="D199" i="32"/>
  <c r="D276" i="31"/>
  <c r="H305" i="32"/>
  <c r="H93" i="30"/>
  <c r="O76" i="7"/>
  <c r="H347" i="32"/>
  <c r="H364" i="31"/>
  <c r="H162" i="32"/>
  <c r="H33" i="30"/>
  <c r="O216" i="7"/>
  <c r="H423" i="32"/>
  <c r="D50" i="31"/>
  <c r="D430" i="7"/>
  <c r="H172" i="31"/>
  <c r="H346" i="30"/>
  <c r="H337" i="30"/>
  <c r="D333" i="32"/>
  <c r="O346" i="7"/>
  <c r="O147" i="7"/>
  <c r="D150" i="30"/>
  <c r="D49" i="30"/>
  <c r="D193" i="30"/>
  <c r="O308" i="7"/>
  <c r="H131" i="30"/>
  <c r="D287" i="32"/>
  <c r="D247" i="32"/>
  <c r="H270" i="30"/>
  <c r="D255" i="30"/>
  <c r="O196" i="7"/>
  <c r="H38" i="30"/>
  <c r="D615" i="32"/>
  <c r="O187" i="7"/>
  <c r="H144" i="30"/>
  <c r="D370" i="32"/>
  <c r="D517" i="32"/>
  <c r="H388" i="32"/>
  <c r="H110" i="32"/>
  <c r="H272" i="30"/>
  <c r="O454" i="7"/>
  <c r="H42" i="31"/>
  <c r="H352" i="30"/>
  <c r="D244" i="32"/>
  <c r="O400" i="7"/>
  <c r="D181" i="30"/>
  <c r="D76" i="7"/>
  <c r="O372" i="7"/>
  <c r="H262" i="32"/>
  <c r="D222" i="31"/>
  <c r="H324" i="30"/>
  <c r="D74" i="7"/>
  <c r="H28" i="32"/>
  <c r="H471" i="32"/>
  <c r="D155" i="30"/>
  <c r="D351" i="7"/>
  <c r="D287" i="31"/>
  <c r="D398" i="31"/>
  <c r="D279" i="32"/>
  <c r="D89" i="7"/>
  <c r="D157" i="31"/>
  <c r="D583" i="32"/>
  <c r="H34" i="31"/>
  <c r="O136" i="7"/>
  <c r="D146" i="30"/>
  <c r="D355" i="31"/>
  <c r="D507" i="32"/>
  <c r="D457" i="32"/>
  <c r="H513" i="30"/>
  <c r="D349" i="30"/>
  <c r="D286" i="31"/>
  <c r="O251" i="7"/>
  <c r="H200" i="30"/>
  <c r="H80" i="31"/>
  <c r="H353" i="31"/>
  <c r="H31" i="32"/>
  <c r="D247" i="31"/>
  <c r="H234" i="30"/>
  <c r="H334" i="30"/>
  <c r="O237" i="7"/>
  <c r="D363" i="32"/>
  <c r="D483" i="7"/>
  <c r="D284" i="30"/>
  <c r="O86" i="7"/>
  <c r="D324" i="7"/>
  <c r="D511" i="7"/>
  <c r="D248" i="32"/>
  <c r="O426" i="7"/>
  <c r="D441" i="30"/>
  <c r="D194" i="32"/>
  <c r="O276" i="7"/>
  <c r="H336" i="30"/>
  <c r="D543" i="7"/>
  <c r="H209" i="32"/>
  <c r="H557" i="32"/>
  <c r="D142" i="30"/>
  <c r="D641" i="7"/>
  <c r="H304" i="31"/>
  <c r="D328" i="30"/>
  <c r="D559" i="7"/>
  <c r="O22" i="7"/>
  <c r="D49" i="32"/>
  <c r="H202" i="30"/>
  <c r="O209" i="7"/>
  <c r="Y28" i="18"/>
  <c r="D116" i="7"/>
  <c r="H44" i="31"/>
  <c r="D3" i="31"/>
  <c r="H94" i="30"/>
  <c r="H26" i="32"/>
  <c r="D320" i="30"/>
  <c r="H227" i="30"/>
  <c r="H109" i="30"/>
  <c r="H28" i="30"/>
  <c r="D474" i="30"/>
  <c r="H465" i="30"/>
  <c r="H574" i="32"/>
  <c r="H217" i="31"/>
  <c r="H86" i="32"/>
  <c r="O100" i="7"/>
  <c r="H599" i="32"/>
  <c r="D305" i="30"/>
  <c r="O58" i="7"/>
  <c r="D266" i="32"/>
  <c r="D79" i="30"/>
  <c r="D491" i="32"/>
  <c r="H262" i="30"/>
  <c r="H191" i="30"/>
  <c r="H321" i="32"/>
  <c r="D97" i="32"/>
  <c r="D558" i="7"/>
  <c r="O529" i="7"/>
  <c r="H325" i="30"/>
  <c r="O314" i="7"/>
  <c r="D176" i="32"/>
  <c r="H27" i="31"/>
  <c r="H229" i="31"/>
  <c r="H224" i="30"/>
  <c r="O445" i="7"/>
  <c r="H12" i="32"/>
  <c r="H22" i="30"/>
  <c r="O486" i="7"/>
  <c r="D336" i="31"/>
  <c r="H306" i="32"/>
  <c r="H378" i="30"/>
  <c r="O401" i="7"/>
  <c r="O643" i="7"/>
  <c r="D228" i="31"/>
  <c r="D243" i="31"/>
  <c r="O95" i="7"/>
  <c r="D38" i="31"/>
  <c r="H368" i="31"/>
  <c r="D304" i="31"/>
  <c r="D160" i="30"/>
  <c r="O569" i="7"/>
  <c r="H146" i="31"/>
  <c r="H407" i="32"/>
  <c r="D102" i="32"/>
  <c r="H179" i="32"/>
  <c r="O225" i="7"/>
  <c r="D467" i="32"/>
  <c r="D372" i="32"/>
  <c r="O193" i="7"/>
  <c r="D221" i="7"/>
  <c r="O461" i="7"/>
  <c r="H18" i="32"/>
  <c r="D83" i="32"/>
  <c r="H462" i="30"/>
  <c r="D68" i="31"/>
  <c r="H164" i="31"/>
  <c r="D3" i="30"/>
  <c r="H341" i="31"/>
  <c r="D386" i="32"/>
  <c r="O403" i="7"/>
  <c r="H304" i="32"/>
  <c r="H615" i="32"/>
  <c r="D207" i="32"/>
  <c r="H77" i="31"/>
  <c r="H162" i="30"/>
  <c r="H292" i="30"/>
  <c r="D132" i="30"/>
  <c r="D523" i="30"/>
  <c r="D356" i="32"/>
  <c r="D417" i="32"/>
  <c r="D208" i="7"/>
  <c r="D19" i="31"/>
  <c r="D393" i="7"/>
  <c r="D51" i="32"/>
  <c r="H254" i="30"/>
  <c r="D530" i="32"/>
  <c r="D406" i="30"/>
  <c r="H187" i="32"/>
  <c r="H482" i="32"/>
  <c r="O142" i="7"/>
  <c r="H19" i="32"/>
  <c r="H415" i="30"/>
  <c r="H46" i="32"/>
  <c r="D43" i="30"/>
  <c r="D302" i="30"/>
  <c r="D476" i="32"/>
  <c r="D423" i="30"/>
  <c r="H293" i="31"/>
  <c r="O636" i="7"/>
  <c r="D447" i="32"/>
  <c r="O75" i="7"/>
  <c r="H248" i="31"/>
  <c r="D327" i="7"/>
  <c r="D508" i="7"/>
  <c r="D615" i="7"/>
  <c r="D86" i="30"/>
  <c r="D435" i="30"/>
  <c r="O277" i="7"/>
  <c r="O125" i="7"/>
  <c r="H481" i="32"/>
  <c r="D240" i="7"/>
  <c r="D579" i="7"/>
  <c r="H398" i="31"/>
  <c r="H388" i="31"/>
  <c r="D636" i="7"/>
  <c r="O154" i="7"/>
  <c r="D365" i="31"/>
  <c r="D502" i="30"/>
  <c r="O484" i="7"/>
  <c r="H363" i="31"/>
  <c r="D298" i="7"/>
  <c r="O15" i="7"/>
  <c r="D105" i="30"/>
  <c r="D33" i="31"/>
  <c r="H47" i="31"/>
  <c r="H122" i="32"/>
  <c r="D492" i="7"/>
  <c r="H200" i="31"/>
  <c r="H52" i="30"/>
  <c r="O157" i="7"/>
  <c r="D84" i="7"/>
  <c r="D605" i="7"/>
  <c r="O656" i="7"/>
  <c r="D250" i="30"/>
  <c r="O632" i="7"/>
  <c r="D348" i="32"/>
  <c r="D236" i="30"/>
  <c r="O413" i="7"/>
  <c r="H208" i="32"/>
  <c r="D570" i="7"/>
  <c r="D268" i="30"/>
  <c r="D152" i="31"/>
  <c r="D464" i="30"/>
  <c r="H114" i="32"/>
  <c r="D316" i="30"/>
  <c r="Y9" i="18"/>
  <c r="H52" i="32"/>
  <c r="H303" i="30"/>
  <c r="D176" i="30"/>
  <c r="O508" i="7"/>
  <c r="D388" i="30"/>
  <c r="H303" i="31"/>
  <c r="H145" i="30"/>
  <c r="D329" i="31"/>
  <c r="D150" i="32"/>
  <c r="H511" i="30"/>
  <c r="H286" i="31"/>
  <c r="D259" i="7"/>
  <c r="D209" i="32"/>
  <c r="H91" i="31"/>
  <c r="H345" i="31"/>
  <c r="D80" i="32"/>
  <c r="O418" i="7"/>
  <c r="H176" i="30"/>
  <c r="D121" i="30"/>
  <c r="H156" i="32"/>
  <c r="O502" i="7"/>
  <c r="O481" i="7"/>
  <c r="D143" i="30"/>
  <c r="D310" i="32"/>
  <c r="D578" i="32"/>
  <c r="H219" i="32"/>
  <c r="D326" i="32"/>
  <c r="D517" i="30"/>
  <c r="D519" i="32"/>
  <c r="D546" i="32"/>
  <c r="H204" i="30"/>
  <c r="D202" i="31"/>
  <c r="H337" i="31"/>
  <c r="O53" i="7"/>
  <c r="H586" i="32"/>
  <c r="H514" i="32"/>
  <c r="D252" i="30"/>
  <c r="D520" i="32"/>
  <c r="D587" i="32"/>
  <c r="O606" i="7"/>
  <c r="D354" i="7"/>
  <c r="D338" i="30"/>
  <c r="O42" i="7"/>
  <c r="O339" i="7"/>
  <c r="H556" i="32"/>
  <c r="O581" i="7"/>
  <c r="D465" i="7"/>
  <c r="D13" i="32"/>
  <c r="H469" i="32"/>
  <c r="O233" i="7"/>
  <c r="H529" i="30"/>
  <c r="H443" i="32"/>
  <c r="O132" i="7"/>
  <c r="D127" i="31"/>
  <c r="D188" i="31"/>
  <c r="H39" i="32"/>
  <c r="D392" i="30"/>
  <c r="D341" i="7"/>
  <c r="D397" i="7"/>
  <c r="D16" i="32"/>
  <c r="O492" i="7"/>
  <c r="H349" i="30"/>
  <c r="D626" i="7"/>
  <c r="O545" i="7"/>
  <c r="H310" i="31"/>
  <c r="H128" i="30"/>
  <c r="H435" i="32"/>
  <c r="H242" i="32"/>
  <c r="D253" i="30"/>
  <c r="D33" i="30"/>
  <c r="D437" i="30"/>
  <c r="D340" i="31"/>
  <c r="O275" i="7"/>
  <c r="O482" i="7"/>
  <c r="D255" i="32"/>
  <c r="O137" i="7"/>
  <c r="D108" i="31"/>
  <c r="O406" i="7"/>
  <c r="H221" i="30"/>
  <c r="H178" i="30"/>
  <c r="H497" i="32"/>
  <c r="D47" i="30"/>
  <c r="D86" i="32"/>
  <c r="H18" i="30"/>
  <c r="D654" i="7"/>
  <c r="D597" i="32"/>
  <c r="H238" i="30"/>
  <c r="D63" i="30"/>
  <c r="H111" i="30"/>
  <c r="D261" i="30"/>
  <c r="D359" i="31"/>
  <c r="D113" i="7"/>
  <c r="D28" i="32"/>
  <c r="H151" i="31"/>
  <c r="D335" i="30"/>
  <c r="H13" i="30"/>
  <c r="H374" i="30"/>
  <c r="D545" i="7"/>
  <c r="D165" i="30"/>
  <c r="D506" i="7"/>
  <c r="O54" i="7"/>
  <c r="H362" i="31"/>
  <c r="D187" i="30"/>
  <c r="D386" i="31"/>
  <c r="D124" i="32"/>
  <c r="H81" i="32"/>
  <c r="H311" i="32"/>
  <c r="D588" i="7"/>
  <c r="H4" i="30"/>
  <c r="H381" i="30"/>
  <c r="D495" i="32"/>
  <c r="D412" i="7"/>
  <c r="O373" i="7"/>
  <c r="H537" i="32"/>
  <c r="D173" i="31"/>
  <c r="D16" i="7"/>
  <c r="H342" i="31"/>
  <c r="D381" i="31"/>
  <c r="H109" i="31"/>
  <c r="O156" i="7"/>
  <c r="D237" i="30"/>
  <c r="O287" i="7"/>
  <c r="D496" i="30"/>
  <c r="D196" i="31"/>
  <c r="H308" i="31"/>
  <c r="O607" i="7"/>
  <c r="D375" i="7"/>
  <c r="D107" i="31"/>
  <c r="O455" i="7"/>
  <c r="D285" i="31"/>
  <c r="H439" i="30"/>
  <c r="O600" i="7"/>
  <c r="D396" i="30"/>
  <c r="D172" i="31"/>
  <c r="H144" i="32"/>
  <c r="D332" i="31"/>
  <c r="H56" i="31"/>
  <c r="D22" i="7"/>
  <c r="D138" i="30"/>
  <c r="D574" i="7"/>
  <c r="O85" i="7"/>
  <c r="O408" i="7"/>
  <c r="H183" i="31"/>
  <c r="H225" i="30"/>
  <c r="O564" i="7"/>
  <c r="D56" i="31"/>
  <c r="O618" i="7"/>
  <c r="O245" i="7"/>
  <c r="O438" i="7"/>
  <c r="H354" i="32"/>
  <c r="H382" i="32"/>
  <c r="D262" i="31"/>
  <c r="D365" i="32"/>
  <c r="H53" i="31"/>
  <c r="D258" i="7"/>
  <c r="H10" i="30"/>
  <c r="H15" i="31"/>
  <c r="H90" i="32"/>
  <c r="D524" i="32"/>
  <c r="H413" i="32"/>
  <c r="H64" i="30"/>
  <c r="O443" i="7"/>
  <c r="O532" i="7"/>
  <c r="D161" i="32"/>
  <c r="D382" i="30"/>
  <c r="D266" i="30"/>
  <c r="O152" i="7"/>
  <c r="H570" i="32"/>
  <c r="Y26" i="18"/>
  <c r="O214" i="7"/>
  <c r="D379" i="32"/>
  <c r="H231" i="30"/>
  <c r="O264" i="7"/>
  <c r="D155" i="31"/>
  <c r="H130" i="30"/>
  <c r="O613" i="7"/>
  <c r="H139" i="32"/>
  <c r="H338" i="30"/>
  <c r="H219" i="30"/>
  <c r="D527" i="32"/>
  <c r="D223" i="32"/>
  <c r="D332" i="7"/>
  <c r="O668" i="7"/>
  <c r="D225" i="32"/>
  <c r="O639" i="7"/>
  <c r="O217" i="7"/>
  <c r="O494" i="7"/>
  <c r="D8" i="32"/>
  <c r="O659" i="7"/>
  <c r="H42" i="30"/>
  <c r="H487" i="32"/>
  <c r="D321" i="31"/>
  <c r="D292" i="32"/>
  <c r="D282" i="7"/>
  <c r="D358" i="31"/>
  <c r="H364" i="32"/>
  <c r="O337" i="7"/>
  <c r="D537" i="32"/>
  <c r="D502" i="32"/>
  <c r="H376" i="32"/>
  <c r="H120" i="32"/>
  <c r="H394" i="31"/>
  <c r="H501" i="30"/>
  <c r="D316" i="31"/>
  <c r="H414" i="30"/>
  <c r="D48" i="32"/>
  <c r="D475" i="32"/>
  <c r="D450" i="32"/>
  <c r="D57" i="7"/>
  <c r="D454" i="32"/>
  <c r="D452" i="32"/>
  <c r="D109" i="30"/>
  <c r="D681" i="7"/>
  <c r="D26" i="32"/>
  <c r="Y25" i="18"/>
  <c r="D99" i="7"/>
  <c r="D602" i="32"/>
  <c r="H264" i="32"/>
  <c r="Y31" i="18"/>
  <c r="H390" i="32"/>
  <c r="D649" i="7"/>
  <c r="H294" i="32"/>
  <c r="D412" i="30"/>
  <c r="D515" i="30"/>
  <c r="O622" i="7"/>
  <c r="Y4" i="18"/>
  <c r="D419" i="32"/>
  <c r="D575" i="7"/>
  <c r="D444" i="30"/>
  <c r="D119" i="7"/>
  <c r="D76" i="31"/>
  <c r="D188" i="30"/>
  <c r="D317" i="31"/>
  <c r="D495" i="30"/>
  <c r="D10" i="30"/>
  <c r="H48" i="30"/>
  <c r="D88" i="7"/>
  <c r="H69" i="30"/>
  <c r="H228" i="31"/>
  <c r="H424" i="30"/>
  <c r="H222" i="31"/>
  <c r="D428" i="32"/>
  <c r="H274" i="31"/>
  <c r="H250" i="32"/>
  <c r="D290" i="32"/>
  <c r="H233" i="30"/>
  <c r="H58" i="32"/>
  <c r="D381" i="7"/>
  <c r="O215" i="7"/>
  <c r="H114" i="30"/>
  <c r="D483" i="30"/>
  <c r="D393" i="31"/>
  <c r="D44" i="32"/>
  <c r="H224" i="32"/>
  <c r="D198" i="30"/>
  <c r="D105" i="32"/>
  <c r="D40" i="31"/>
  <c r="D228" i="30"/>
  <c r="D271" i="30"/>
  <c r="D66" i="7"/>
  <c r="O609" i="7"/>
  <c r="O269" i="7"/>
  <c r="H273" i="30"/>
  <c r="D422" i="7"/>
  <c r="D522" i="30"/>
  <c r="O358" i="7"/>
  <c r="D232" i="30"/>
  <c r="O525" i="7"/>
  <c r="D61" i="31"/>
  <c r="D102" i="31"/>
  <c r="D270" i="32"/>
  <c r="H579" i="32"/>
  <c r="O244" i="7"/>
  <c r="H596" i="32"/>
  <c r="H342" i="30"/>
  <c r="D532" i="32"/>
  <c r="O201" i="7"/>
  <c r="D214" i="31"/>
  <c r="H463" i="32"/>
  <c r="D473" i="7"/>
  <c r="O167" i="7"/>
  <c r="D105" i="7"/>
  <c r="H99" i="31"/>
  <c r="H193" i="30"/>
  <c r="D396" i="32"/>
  <c r="H607" i="32"/>
  <c r="D144" i="32"/>
  <c r="H151" i="30"/>
  <c r="D419" i="30"/>
  <c r="D166" i="7"/>
  <c r="H598" i="32"/>
  <c r="D606" i="32"/>
  <c r="H50" i="31"/>
  <c r="D178" i="7"/>
  <c r="D472" i="30"/>
  <c r="D616" i="32"/>
  <c r="D263" i="32"/>
  <c r="H329" i="32"/>
  <c r="H594" i="32"/>
  <c r="O423" i="7"/>
  <c r="D32" i="32"/>
  <c r="D206" i="31"/>
  <c r="H315" i="32"/>
  <c r="D306" i="30"/>
  <c r="D489" i="32"/>
  <c r="O111" i="7"/>
  <c r="D536" i="32"/>
  <c r="H336" i="31"/>
  <c r="D366" i="7"/>
  <c r="H309" i="31"/>
  <c r="D624" i="7"/>
  <c r="D153" i="31"/>
  <c r="D494" i="32"/>
  <c r="O637" i="7"/>
  <c r="H614" i="32"/>
  <c r="H464" i="32"/>
  <c r="O422" i="7"/>
  <c r="H125" i="30"/>
  <c r="D301" i="7"/>
  <c r="D659" i="7"/>
  <c r="D39" i="31"/>
  <c r="D348" i="7"/>
  <c r="H222" i="32"/>
  <c r="D200" i="30"/>
  <c r="H2" i="32"/>
  <c r="O190" i="7"/>
  <c r="D136" i="31"/>
  <c r="O155" i="7"/>
  <c r="D186" i="32"/>
  <c r="O493" i="7"/>
  <c r="H382" i="31"/>
  <c r="D450" i="30"/>
  <c r="H585" i="32"/>
  <c r="D673" i="7"/>
  <c r="O205" i="7"/>
  <c r="D104" i="30"/>
  <c r="D611" i="32"/>
  <c r="D459" i="7"/>
  <c r="O298" i="7"/>
  <c r="O181" i="7"/>
  <c r="H254" i="31"/>
  <c r="H367" i="32"/>
  <c r="D279" i="31"/>
  <c r="D513" i="32"/>
  <c r="H197" i="32"/>
  <c r="D281" i="32"/>
  <c r="D171" i="7"/>
  <c r="H276" i="31"/>
  <c r="H450" i="32"/>
  <c r="H231" i="32"/>
  <c r="D410" i="7"/>
  <c r="H479" i="32"/>
  <c r="H119" i="32"/>
  <c r="D234" i="31"/>
  <c r="H402" i="31"/>
  <c r="O364" i="7"/>
  <c r="D121" i="31"/>
  <c r="H359" i="32"/>
  <c r="D433" i="32"/>
  <c r="H330" i="30"/>
  <c r="H252" i="30"/>
  <c r="O224" i="7"/>
  <c r="H42" i="32"/>
  <c r="D206" i="30"/>
  <c r="D17" i="7"/>
  <c r="H447" i="32"/>
  <c r="O584" i="7"/>
  <c r="D59" i="32"/>
  <c r="O546" i="7"/>
  <c r="H312" i="32"/>
  <c r="O558" i="7"/>
  <c r="O479" i="7"/>
  <c r="H185" i="32"/>
  <c r="O319" i="7"/>
  <c r="H306" i="30"/>
  <c r="D222" i="30"/>
  <c r="D385" i="32"/>
  <c r="D84" i="31"/>
  <c r="H340" i="31"/>
  <c r="D357" i="30"/>
  <c r="H568" i="32"/>
  <c r="Y15" i="18"/>
  <c r="D295" i="31"/>
  <c r="D439" i="32"/>
  <c r="H19" i="30"/>
  <c r="O475" i="7"/>
  <c r="H368" i="30"/>
  <c r="O378" i="7"/>
  <c r="H385" i="31"/>
  <c r="H355" i="31"/>
  <c r="D268" i="31"/>
  <c r="O555" i="7"/>
  <c r="H405" i="30"/>
  <c r="H294" i="31"/>
  <c r="D95" i="31"/>
  <c r="D551" i="7"/>
  <c r="D177" i="31"/>
  <c r="H266" i="32"/>
  <c r="D128" i="30"/>
  <c r="O380" i="7"/>
  <c r="D552" i="7"/>
  <c r="H168" i="31"/>
  <c r="D165" i="31"/>
  <c r="D330" i="30"/>
  <c r="O376" i="7"/>
  <c r="O79" i="7"/>
  <c r="D163" i="32"/>
  <c r="D344" i="31"/>
  <c r="D116" i="31"/>
  <c r="D406" i="7"/>
  <c r="D40" i="30"/>
  <c r="D345" i="31"/>
  <c r="O390" i="7"/>
  <c r="H96" i="32"/>
  <c r="H211" i="31"/>
  <c r="H286" i="30"/>
  <c r="H432" i="30"/>
  <c r="O144" i="7"/>
  <c r="H205" i="30"/>
  <c r="D587" i="7"/>
  <c r="O586" i="7"/>
  <c r="H140" i="32"/>
  <c r="O543" i="7"/>
  <c r="D431" i="30"/>
  <c r="H298" i="31"/>
  <c r="O640" i="7"/>
  <c r="H444" i="30"/>
  <c r="D80" i="30"/>
  <c r="H276" i="32"/>
  <c r="H142" i="30"/>
  <c r="D147" i="32"/>
  <c r="D191" i="30"/>
  <c r="D362" i="31"/>
  <c r="H391" i="32"/>
  <c r="H214" i="30"/>
  <c r="H136" i="32"/>
  <c r="H366" i="32"/>
  <c r="D348" i="31"/>
  <c r="H255" i="32"/>
  <c r="H127" i="32"/>
  <c r="O330" i="7"/>
  <c r="D369" i="31"/>
  <c r="H173" i="31"/>
  <c r="O198" i="7"/>
  <c r="D156" i="31"/>
  <c r="D61" i="32"/>
  <c r="H175" i="31"/>
  <c r="D267" i="31"/>
  <c r="H158" i="31"/>
  <c r="O219" i="7"/>
  <c r="H74" i="31"/>
  <c r="H223" i="32"/>
  <c r="D329" i="32"/>
  <c r="D445" i="30"/>
  <c r="H59" i="31"/>
  <c r="D246" i="30"/>
  <c r="O94" i="7"/>
  <c r="D400" i="32"/>
  <c r="H428" i="32"/>
  <c r="D14" i="31"/>
  <c r="D601" i="7"/>
  <c r="O223" i="7"/>
  <c r="H388" i="30"/>
  <c r="H47" i="32"/>
  <c r="D163" i="31"/>
  <c r="D15" i="7"/>
  <c r="D109" i="7"/>
  <c r="H375" i="32"/>
  <c r="D357" i="31"/>
  <c r="D54" i="31"/>
  <c r="D328" i="31"/>
  <c r="O439" i="7"/>
  <c r="H523" i="32"/>
  <c r="Y22" i="18"/>
  <c r="D584" i="32"/>
  <c r="D309" i="32"/>
  <c r="H106" i="30"/>
  <c r="D92" i="7"/>
  <c r="D519" i="30"/>
  <c r="D405" i="30"/>
  <c r="H150" i="31"/>
  <c r="H264" i="30"/>
  <c r="H242" i="30"/>
  <c r="D477" i="30"/>
  <c r="H275" i="31"/>
  <c r="O657" i="7"/>
  <c r="D610" i="32"/>
  <c r="H350" i="32"/>
  <c r="H387" i="31"/>
  <c r="D112" i="32"/>
  <c r="H159" i="30"/>
  <c r="D378" i="32"/>
  <c r="O425" i="7"/>
  <c r="H275" i="32"/>
  <c r="D52" i="32"/>
  <c r="H97" i="32"/>
  <c r="D523" i="7"/>
  <c r="D135" i="30"/>
  <c r="H156" i="31"/>
  <c r="H369" i="32"/>
  <c r="D7" i="32"/>
  <c r="D281" i="31"/>
  <c r="H460" i="32"/>
  <c r="H567" i="32"/>
  <c r="D320" i="32"/>
  <c r="D490" i="7"/>
  <c r="D313" i="32"/>
  <c r="H269" i="30"/>
  <c r="D272" i="31"/>
  <c r="H187" i="31"/>
  <c r="H24" i="31"/>
  <c r="H124" i="32"/>
  <c r="H213" i="32"/>
  <c r="H454" i="32"/>
  <c r="D307" i="7"/>
  <c r="D114" i="30"/>
  <c r="H293" i="32"/>
  <c r="O123" i="7"/>
  <c r="H106" i="32"/>
  <c r="D186" i="7"/>
  <c r="H175" i="30"/>
  <c r="H79" i="32"/>
  <c r="H73" i="30"/>
  <c r="O247" i="7"/>
  <c r="H384" i="30"/>
  <c r="H103" i="30"/>
  <c r="H69" i="31"/>
  <c r="D243" i="32"/>
  <c r="H364" i="30"/>
  <c r="H73" i="32"/>
  <c r="H612" i="32"/>
  <c r="H333" i="30"/>
  <c r="D83" i="7"/>
  <c r="H136" i="30"/>
  <c r="H65" i="30"/>
  <c r="O537" i="7"/>
  <c r="H76" i="31"/>
  <c r="H153" i="32"/>
  <c r="H232" i="31"/>
  <c r="H32" i="32"/>
  <c r="H14" i="32"/>
  <c r="O226" i="7"/>
  <c r="H41" i="32"/>
  <c r="D126" i="32"/>
  <c r="H381" i="31"/>
  <c r="H343" i="30"/>
  <c r="H299" i="31"/>
  <c r="H472" i="30"/>
  <c r="D568" i="32"/>
  <c r="H214" i="31"/>
  <c r="H94" i="32"/>
  <c r="D411" i="32"/>
  <c r="H130" i="32"/>
  <c r="H375" i="30"/>
  <c r="H436" i="32"/>
  <c r="H417" i="32"/>
  <c r="H54" i="30"/>
  <c r="H324" i="31"/>
  <c r="H140" i="30"/>
  <c r="H328" i="32"/>
  <c r="H212" i="32"/>
  <c r="Y21" i="18"/>
  <c r="D314" i="7"/>
  <c r="H359" i="30"/>
  <c r="D175" i="32"/>
  <c r="D529" i="30"/>
  <c r="D527" i="7"/>
  <c r="O107" i="7"/>
  <c r="H611" i="32"/>
  <c r="H368" i="32"/>
  <c r="D115" i="32"/>
  <c r="H374" i="31"/>
  <c r="D460" i="32"/>
  <c r="D560" i="32"/>
  <c r="H8" i="30"/>
  <c r="O368" i="7"/>
  <c r="H310" i="32"/>
  <c r="D346" i="7"/>
  <c r="H192" i="30"/>
  <c r="H125" i="31"/>
  <c r="H216" i="32"/>
  <c r="H366" i="30"/>
  <c r="D12" i="32"/>
  <c r="H477" i="32"/>
  <c r="D377" i="32"/>
  <c r="O195" i="7"/>
  <c r="H224" i="31"/>
  <c r="D256" i="31"/>
  <c r="H475" i="30"/>
  <c r="O284" i="7"/>
  <c r="D326" i="7"/>
  <c r="D36" i="31"/>
  <c r="H505" i="30"/>
  <c r="O649" i="7"/>
  <c r="H215" i="31"/>
  <c r="H305" i="30"/>
  <c r="D205" i="30"/>
  <c r="D679" i="7"/>
  <c r="H23" i="32"/>
  <c r="H285" i="32"/>
  <c r="D17" i="30"/>
  <c r="O344" i="7"/>
  <c r="H256" i="32"/>
  <c r="D36" i="30"/>
  <c r="D205" i="31"/>
  <c r="H344" i="31"/>
  <c r="D172" i="30"/>
  <c r="O90" i="7"/>
  <c r="D18" i="31"/>
  <c r="D271" i="7"/>
  <c r="D147" i="31"/>
  <c r="H15" i="30"/>
  <c r="D53" i="7"/>
  <c r="H25" i="31"/>
  <c r="D81" i="30"/>
  <c r="H171" i="32"/>
  <c r="H9" i="31"/>
  <c r="D97" i="30"/>
  <c r="H113" i="32"/>
  <c r="Y29" i="18"/>
  <c r="O281" i="7"/>
  <c r="D596" i="32"/>
  <c r="H75" i="31"/>
  <c r="H295" i="30"/>
  <c r="D400" i="31"/>
  <c r="H595" i="32"/>
  <c r="D552" i="32"/>
  <c r="O286" i="7"/>
  <c r="D521" i="32"/>
  <c r="D314" i="32"/>
  <c r="H148" i="30"/>
  <c r="H438" i="32"/>
  <c r="D130" i="30"/>
  <c r="D677" i="7"/>
  <c r="O367" i="7"/>
  <c r="H169" i="32"/>
  <c r="H176" i="32"/>
  <c r="O104" i="7"/>
  <c r="H226" i="31"/>
  <c r="D538" i="32"/>
  <c r="H433" i="30"/>
  <c r="O682" i="7"/>
  <c r="H323" i="30"/>
  <c r="H232" i="32"/>
  <c r="D240" i="32"/>
  <c r="H204" i="31"/>
  <c r="H170" i="30"/>
  <c r="H575" i="32"/>
  <c r="D45" i="30"/>
  <c r="D315" i="31"/>
  <c r="H82" i="32"/>
  <c r="H291" i="31"/>
  <c r="D408" i="7"/>
  <c r="O465" i="7"/>
  <c r="H391" i="30"/>
  <c r="D498" i="32"/>
  <c r="H68" i="32"/>
  <c r="D294" i="31"/>
  <c r="H44" i="32"/>
  <c r="O294" i="7"/>
  <c r="H45" i="31"/>
  <c r="H316" i="31"/>
  <c r="H421" i="32"/>
  <c r="D421" i="30"/>
  <c r="O105" i="7"/>
  <c r="O672" i="7"/>
  <c r="H534" i="32"/>
  <c r="H489" i="30"/>
  <c r="H40" i="30"/>
  <c r="D598" i="32"/>
  <c r="H573" i="32"/>
  <c r="D599" i="7"/>
  <c r="H448" i="32"/>
  <c r="H149" i="32"/>
  <c r="H43" i="32"/>
  <c r="D458" i="32"/>
  <c r="D415" i="32"/>
  <c r="O91" i="7"/>
  <c r="D360" i="31"/>
  <c r="D74" i="32"/>
  <c r="H92" i="32"/>
  <c r="D275" i="31"/>
  <c r="H231" i="31"/>
  <c r="H589" i="32"/>
  <c r="D283" i="31"/>
  <c r="H522" i="32"/>
  <c r="D569" i="32"/>
  <c r="O644" i="7"/>
  <c r="O165" i="7"/>
  <c r="H63" i="30"/>
  <c r="D257" i="32"/>
  <c r="H65" i="32"/>
  <c r="H446" i="30"/>
  <c r="H321" i="30"/>
  <c r="D297" i="32"/>
  <c r="H538" i="32"/>
  <c r="D665" i="7"/>
  <c r="H40" i="31"/>
  <c r="H299" i="32"/>
  <c r="H102" i="30"/>
  <c r="H438" i="30"/>
  <c r="H134" i="31"/>
  <c r="D162" i="31"/>
  <c r="H287" i="30"/>
  <c r="D238" i="7"/>
  <c r="H403" i="30"/>
  <c r="H447" i="30"/>
  <c r="D455" i="7"/>
  <c r="H216" i="30"/>
  <c r="O524" i="7"/>
  <c r="O592" i="7"/>
  <c r="H7" i="31"/>
  <c r="H162" i="31"/>
  <c r="D161" i="31"/>
  <c r="D545" i="32"/>
  <c r="D534" i="7"/>
  <c r="D199" i="7"/>
  <c r="D556" i="32"/>
  <c r="D389" i="30"/>
  <c r="O386" i="7"/>
  <c r="D541" i="32"/>
  <c r="H397" i="32"/>
  <c r="H186" i="30"/>
  <c r="D339" i="32"/>
  <c r="O318" i="7"/>
  <c r="H483" i="30"/>
  <c r="Y35" i="18"/>
  <c r="H84" i="30"/>
  <c r="O638" i="7"/>
  <c r="H206" i="31"/>
  <c r="D353" i="31"/>
  <c r="D182" i="31"/>
  <c r="D342" i="32"/>
  <c r="D268" i="7"/>
  <c r="H319" i="32"/>
  <c r="H95" i="32"/>
  <c r="D227" i="31"/>
  <c r="H73" i="31"/>
  <c r="H553" i="32"/>
  <c r="D263" i="31"/>
  <c r="D477" i="7"/>
  <c r="H137" i="31"/>
  <c r="H531" i="32"/>
  <c r="H446" i="32"/>
  <c r="O202" i="7"/>
  <c r="D65" i="31"/>
  <c r="H307" i="30"/>
  <c r="O421" i="7"/>
  <c r="D219" i="30"/>
  <c r="O61" i="7"/>
  <c r="H332" i="31"/>
  <c r="H66" i="31"/>
  <c r="O603" i="7"/>
  <c r="D101" i="30"/>
  <c r="O234" i="7"/>
  <c r="D279" i="30"/>
  <c r="O293" i="7"/>
  <c r="O70" i="7"/>
  <c r="D20" i="32"/>
  <c r="H288" i="30"/>
  <c r="O469" i="7"/>
  <c r="D60" i="31"/>
  <c r="D500" i="30"/>
  <c r="Y3" i="18"/>
  <c r="D486" i="7"/>
  <c r="H327" i="32"/>
  <c r="D19" i="32"/>
  <c r="H68" i="31"/>
  <c r="D383" i="32"/>
  <c r="D376" i="31"/>
  <c r="D100" i="32"/>
  <c r="H61" i="32"/>
  <c r="D208" i="31"/>
  <c r="O45" i="7"/>
  <c r="O148" i="7"/>
  <c r="H302" i="32"/>
  <c r="H343" i="32"/>
  <c r="H112" i="32"/>
  <c r="D81" i="31"/>
  <c r="D270" i="30"/>
  <c r="H191" i="32"/>
  <c r="D283" i="30"/>
  <c r="D361" i="32"/>
  <c r="D390" i="31"/>
  <c r="H467" i="32"/>
  <c r="O254" i="7"/>
  <c r="H138" i="31"/>
  <c r="O409" i="7"/>
  <c r="H63" i="31"/>
  <c r="H17" i="31"/>
  <c r="H13" i="31"/>
  <c r="H194" i="32"/>
  <c r="D385" i="31"/>
  <c r="H603" i="32"/>
  <c r="H430" i="30"/>
  <c r="D146" i="32"/>
  <c r="H163" i="30"/>
  <c r="H104" i="31"/>
  <c r="H404" i="30"/>
  <c r="H133" i="32"/>
  <c r="H512" i="30"/>
  <c r="H146" i="30"/>
  <c r="D259" i="31"/>
  <c r="H356" i="32"/>
  <c r="O338" i="7"/>
  <c r="H466" i="30"/>
  <c r="O17" i="7"/>
  <c r="H452" i="30"/>
  <c r="H128" i="32"/>
  <c r="H250" i="31"/>
  <c r="O211" i="7"/>
  <c r="D373" i="31"/>
  <c r="H322" i="31"/>
  <c r="H23" i="31"/>
  <c r="H55" i="30"/>
  <c r="D229" i="31"/>
  <c r="H192" i="32"/>
  <c r="D418" i="30"/>
  <c r="D204" i="31"/>
  <c r="D89" i="31"/>
  <c r="D192" i="30"/>
  <c r="D214" i="32"/>
  <c r="D142" i="31"/>
  <c r="H85" i="30"/>
  <c r="O464" i="7"/>
  <c r="H412" i="32"/>
  <c r="O448" i="7"/>
  <c r="H100" i="30"/>
  <c r="O414" i="7"/>
  <c r="H378" i="31"/>
  <c r="D237" i="7"/>
  <c r="H16" i="32"/>
  <c r="O377" i="7"/>
  <c r="O256" i="7"/>
  <c r="D671" i="7"/>
  <c r="D70" i="7"/>
  <c r="O513" i="7"/>
  <c r="H15" i="32"/>
  <c r="D60" i="32"/>
  <c r="D21" i="31"/>
  <c r="H349" i="32"/>
  <c r="H214" i="32"/>
  <c r="H339" i="32"/>
  <c r="H291" i="32"/>
  <c r="D99" i="32"/>
  <c r="H273" i="32"/>
  <c r="D141" i="31"/>
  <c r="H239" i="31"/>
  <c r="H345" i="32"/>
  <c r="H278" i="32"/>
  <c r="H198" i="30"/>
  <c r="D45" i="7"/>
  <c r="H249" i="32"/>
  <c r="D254" i="30"/>
  <c r="O44" i="7"/>
  <c r="H282" i="31"/>
  <c r="H310" i="30"/>
  <c r="D84" i="32"/>
  <c r="O498" i="7"/>
  <c r="D674" i="7"/>
  <c r="O665" i="7"/>
  <c r="H151" i="32"/>
  <c r="H473" i="32"/>
  <c r="H341" i="32"/>
  <c r="O534" i="7"/>
  <c r="H161" i="30"/>
  <c r="H436" i="30"/>
  <c r="H118" i="32"/>
  <c r="H468" i="32"/>
  <c r="H21" i="31"/>
  <c r="H98" i="32"/>
  <c r="H183" i="32"/>
  <c r="H409" i="32"/>
  <c r="H316" i="30"/>
  <c r="O375" i="7"/>
  <c r="D229" i="32"/>
  <c r="D18" i="7"/>
  <c r="H299" i="30"/>
  <c r="D293" i="7"/>
  <c r="H171" i="31"/>
  <c r="H82" i="31"/>
  <c r="H416" i="30"/>
  <c r="H539" i="32"/>
  <c r="D633" i="7"/>
  <c r="H118" i="30"/>
  <c r="D114" i="31"/>
  <c r="H346" i="32"/>
  <c r="H453" i="32"/>
  <c r="H113" i="30"/>
  <c r="O52" i="7"/>
  <c r="H309" i="30"/>
  <c r="D346" i="30"/>
  <c r="D67" i="30"/>
  <c r="D564" i="32"/>
  <c r="D78" i="32"/>
  <c r="Y14" i="18"/>
  <c r="H462" i="32"/>
  <c r="H293" i="30"/>
  <c r="H561" i="32"/>
  <c r="D572" i="32"/>
  <c r="H148" i="32"/>
  <c r="D228" i="32"/>
  <c r="O41" i="7"/>
  <c r="D87" i="7"/>
  <c r="D27" i="32"/>
  <c r="D5" i="30"/>
  <c r="D168" i="32"/>
  <c r="O267" i="7"/>
  <c r="H517" i="30"/>
  <c r="H517" i="32"/>
  <c r="D171" i="32"/>
  <c r="H221" i="31"/>
  <c r="H204" i="32"/>
  <c r="D405" i="32"/>
  <c r="H107" i="31"/>
  <c r="D342" i="30"/>
  <c r="D141" i="32"/>
  <c r="O128" i="7"/>
  <c r="H249" i="31"/>
  <c r="H514" i="30"/>
  <c r="O263" i="7"/>
  <c r="D300" i="31"/>
  <c r="O670" i="7"/>
  <c r="O518" i="7"/>
  <c r="H417" i="30"/>
  <c r="O66" i="7"/>
  <c r="H500" i="30"/>
  <c r="D318" i="32"/>
  <c r="D269" i="30"/>
  <c r="H352" i="32"/>
  <c r="H235" i="31"/>
  <c r="H53" i="30"/>
  <c r="H385" i="30"/>
  <c r="H449" i="30"/>
  <c r="O394" i="7"/>
  <c r="D170" i="31"/>
  <c r="H386" i="31"/>
  <c r="D28" i="30"/>
  <c r="D482" i="32"/>
  <c r="D431" i="32"/>
  <c r="D70" i="30"/>
  <c r="D595" i="32"/>
  <c r="D131" i="30"/>
  <c r="H351" i="31"/>
  <c r="H397" i="31"/>
  <c r="D154" i="31"/>
  <c r="O382" i="7"/>
  <c r="D45" i="32"/>
  <c r="D46" i="31"/>
  <c r="D447" i="30"/>
  <c r="H433" i="32"/>
  <c r="D565" i="32"/>
  <c r="H309" i="32"/>
  <c r="D320" i="31"/>
  <c r="H36" i="32"/>
  <c r="H476" i="32"/>
  <c r="D34" i="32"/>
  <c r="H250" i="30"/>
  <c r="H122" i="31"/>
  <c r="D148" i="30"/>
  <c r="H424" i="32"/>
  <c r="H167" i="30"/>
  <c r="O194" i="7"/>
  <c r="D503" i="30"/>
  <c r="D506" i="30"/>
  <c r="D189" i="7"/>
  <c r="O59" i="7"/>
  <c r="H367" i="31"/>
  <c r="D42" i="32"/>
  <c r="H104" i="30"/>
  <c r="O159" i="7"/>
  <c r="D354" i="30"/>
  <c r="O271" i="7"/>
  <c r="H416" i="32"/>
  <c r="H519" i="32"/>
  <c r="H375" i="31"/>
  <c r="D151" i="31"/>
  <c r="D175" i="31"/>
  <c r="D264" i="30"/>
  <c r="D407" i="30"/>
  <c r="H278" i="31"/>
  <c r="D150" i="31"/>
  <c r="D173" i="30"/>
  <c r="H126" i="30"/>
  <c r="D427" i="7"/>
  <c r="H329" i="31"/>
  <c r="D307" i="32"/>
  <c r="D54" i="30"/>
  <c r="D467" i="30"/>
  <c r="D218" i="31"/>
  <c r="H203" i="31"/>
  <c r="D407" i="32"/>
  <c r="O122" i="7"/>
  <c r="H313" i="31"/>
  <c r="D338" i="7"/>
  <c r="H181" i="32"/>
  <c r="D302" i="31"/>
  <c r="H445" i="30"/>
  <c r="O290" i="7"/>
  <c r="H62" i="32"/>
  <c r="O305" i="7"/>
  <c r="D319" i="31"/>
  <c r="D413" i="7"/>
  <c r="D485" i="32"/>
  <c r="D324" i="31"/>
  <c r="H402" i="32"/>
  <c r="D417" i="7"/>
  <c r="D303" i="7"/>
  <c r="H143" i="30"/>
  <c r="D601" i="32"/>
  <c r="H404" i="32"/>
  <c r="D432" i="30"/>
  <c r="H140" i="31"/>
  <c r="D63" i="31"/>
  <c r="H319" i="31"/>
  <c r="H105" i="31"/>
  <c r="D81" i="32"/>
  <c r="D78" i="31"/>
  <c r="D352" i="31"/>
  <c r="H34" i="30"/>
  <c r="D534" i="32"/>
  <c r="D96" i="32"/>
  <c r="H74" i="32"/>
  <c r="O34" i="7"/>
  <c r="D277" i="31"/>
  <c r="H203" i="32"/>
  <c r="H6" i="32"/>
  <c r="Y23" i="18"/>
  <c r="D56" i="30"/>
  <c r="H317" i="31"/>
  <c r="H379" i="31"/>
  <c r="H234" i="31"/>
  <c r="H116" i="30"/>
  <c r="O520" i="7"/>
  <c r="H64" i="32"/>
  <c r="H584" i="32"/>
  <c r="D473" i="32"/>
  <c r="D581" i="32"/>
  <c r="H590" i="32"/>
  <c r="D394" i="32"/>
  <c r="H528" i="32"/>
  <c r="O301" i="7"/>
  <c r="H38" i="32"/>
  <c r="H81" i="30"/>
  <c r="D213" i="30"/>
  <c r="O317" i="7"/>
  <c r="H272" i="32"/>
  <c r="D296" i="32"/>
  <c r="H147" i="31"/>
  <c r="D512" i="32"/>
  <c r="H153" i="30"/>
  <c r="D33" i="32"/>
  <c r="H347" i="31"/>
  <c r="O676" i="7"/>
  <c r="H361" i="32"/>
  <c r="O60" i="7"/>
  <c r="H259" i="31"/>
  <c r="H281" i="32"/>
  <c r="D300" i="32"/>
  <c r="D380" i="30"/>
  <c r="D280" i="32"/>
  <c r="D585" i="7"/>
  <c r="D72" i="30"/>
  <c r="H205" i="32"/>
  <c r="H466" i="32"/>
  <c r="D62" i="31"/>
  <c r="D303" i="32"/>
  <c r="H92" i="30"/>
  <c r="H507" i="32"/>
  <c r="O110" i="7"/>
  <c r="O210" i="7"/>
  <c r="O135" i="7"/>
  <c r="O331" i="7"/>
  <c r="D389" i="31"/>
  <c r="D140" i="7"/>
  <c r="H429" i="32"/>
  <c r="D137" i="32"/>
  <c r="H85" i="32"/>
  <c r="D51" i="31"/>
  <c r="H295" i="31"/>
  <c r="O589" i="7"/>
  <c r="D252" i="31"/>
  <c r="D126" i="30"/>
  <c r="D330" i="32"/>
  <c r="H189" i="31"/>
  <c r="D339" i="7"/>
  <c r="D120" i="32"/>
  <c r="D257" i="30"/>
  <c r="H185" i="30"/>
  <c r="H372" i="31"/>
  <c r="H400" i="31"/>
  <c r="O468" i="7"/>
  <c r="H347" i="30"/>
  <c r="H145" i="32"/>
  <c r="D285" i="30"/>
  <c r="H297" i="31"/>
  <c r="H518" i="32"/>
  <c r="H325" i="32"/>
  <c r="D271" i="31"/>
  <c r="H199" i="30"/>
  <c r="O153" i="7"/>
  <c r="D93" i="31"/>
  <c r="O453" i="7"/>
  <c r="O178" i="7"/>
  <c r="D401" i="32"/>
  <c r="D553" i="32"/>
  <c r="H279" i="32"/>
  <c r="O471" i="7"/>
  <c r="D165" i="32"/>
  <c r="H346" i="31"/>
  <c r="O553" i="7"/>
  <c r="H232" i="30"/>
  <c r="D375" i="32"/>
  <c r="D275" i="30"/>
  <c r="D423" i="7"/>
  <c r="D41" i="31"/>
  <c r="D437" i="32"/>
  <c r="H449" i="32"/>
  <c r="H216" i="31"/>
  <c r="H279" i="31"/>
  <c r="H443" i="30"/>
  <c r="O321" i="7"/>
  <c r="D425" i="32"/>
  <c r="D422" i="32"/>
  <c r="D670" i="7"/>
  <c r="D15" i="32"/>
  <c r="H223" i="31"/>
  <c r="D294" i="30"/>
  <c r="H283" i="30"/>
  <c r="O124" i="7"/>
  <c r="H257" i="32"/>
  <c r="H180" i="30"/>
  <c r="H254" i="32"/>
  <c r="D308" i="31"/>
  <c r="H132" i="31"/>
  <c r="D256" i="32"/>
  <c r="H196" i="31"/>
  <c r="D282" i="32"/>
  <c r="D145" i="7"/>
  <c r="D309" i="30"/>
  <c r="D170" i="30"/>
  <c r="O597" i="7"/>
  <c r="D92" i="30"/>
  <c r="O160" i="7"/>
  <c r="D341" i="32"/>
  <c r="D234" i="7"/>
  <c r="D220" i="32"/>
  <c r="H428" i="30"/>
  <c r="D436" i="7"/>
  <c r="D90" i="30"/>
  <c r="D299" i="32"/>
  <c r="H80" i="30"/>
  <c r="H528" i="30"/>
  <c r="D525" i="32"/>
  <c r="H468" i="30"/>
  <c r="H67" i="31"/>
  <c r="H208" i="31"/>
  <c r="D312" i="31"/>
  <c r="D123" i="31"/>
  <c r="H555" i="32"/>
  <c r="D672" i="7"/>
  <c r="H516" i="32"/>
  <c r="O188" i="7"/>
  <c r="O624" i="7"/>
  <c r="H160" i="31"/>
  <c r="H281" i="31"/>
  <c r="D501" i="7"/>
  <c r="H12" i="30"/>
  <c r="D239" i="32"/>
  <c r="H315" i="31"/>
  <c r="H370" i="30"/>
  <c r="D278" i="32"/>
  <c r="H185" i="31"/>
  <c r="H268" i="30"/>
  <c r="H150" i="30"/>
  <c r="H3" i="32"/>
  <c r="D49" i="31"/>
  <c r="O663" i="7"/>
  <c r="H129" i="32"/>
  <c r="H71" i="32"/>
  <c r="D562" i="32"/>
  <c r="D70" i="31"/>
  <c r="H339" i="31"/>
  <c r="H373" i="30"/>
  <c r="D229" i="30"/>
  <c r="D361" i="7"/>
  <c r="H463" i="30"/>
  <c r="H209" i="31"/>
  <c r="D140" i="31"/>
  <c r="H377" i="31"/>
  <c r="D120" i="31"/>
  <c r="D212" i="30"/>
  <c r="H283" i="32"/>
  <c r="D505" i="30"/>
  <c r="D216" i="31"/>
  <c r="O444" i="7"/>
  <c r="H225" i="32"/>
  <c r="H591" i="32"/>
  <c r="H266" i="31"/>
  <c r="H474" i="30"/>
  <c r="H609" i="32"/>
  <c r="H84" i="31"/>
  <c r="D277" i="30"/>
  <c r="H370" i="31"/>
  <c r="D237" i="31"/>
  <c r="D235" i="31"/>
  <c r="O575" i="7"/>
  <c r="H61" i="31"/>
  <c r="D91" i="32"/>
  <c r="D94" i="32"/>
  <c r="O238" i="7"/>
  <c r="D212" i="32"/>
  <c r="D164" i="31"/>
  <c r="Y32" i="18"/>
  <c r="O28" i="7"/>
  <c r="D484" i="30"/>
  <c r="H131" i="31"/>
  <c r="D133" i="7"/>
  <c r="H373" i="31"/>
  <c r="D462" i="30"/>
  <c r="D299" i="31"/>
  <c r="D356" i="31"/>
  <c r="H274" i="30"/>
  <c r="D265" i="30"/>
  <c r="H385" i="32"/>
  <c r="D152" i="7"/>
  <c r="D77" i="7"/>
  <c r="D400" i="30"/>
  <c r="D380" i="32"/>
  <c r="H172" i="32"/>
  <c r="D58" i="32"/>
  <c r="H458" i="32"/>
  <c r="D57" i="31"/>
  <c r="D245" i="30"/>
  <c r="D217" i="31"/>
  <c r="H605" i="32"/>
  <c r="D276" i="32"/>
  <c r="D119" i="31"/>
  <c r="H457" i="30"/>
  <c r="H582" i="32"/>
  <c r="D550" i="32"/>
  <c r="O80" i="7"/>
  <c r="D557" i="7"/>
  <c r="D335" i="7"/>
  <c r="H57" i="32"/>
  <c r="H490" i="32"/>
  <c r="H169" i="30"/>
  <c r="O180" i="7"/>
  <c r="O579" i="7"/>
  <c r="O561" i="7"/>
  <c r="O55" i="7"/>
  <c r="D43" i="32"/>
  <c r="D190" i="32"/>
  <c r="D355" i="30"/>
  <c r="H324" i="32"/>
  <c r="O653" i="7"/>
  <c r="H195" i="30"/>
  <c r="H340" i="32"/>
  <c r="D2" i="31"/>
  <c r="H85" i="31"/>
  <c r="H543" i="32"/>
  <c r="Y10" i="18"/>
  <c r="D408" i="32"/>
  <c r="H340" i="30"/>
  <c r="D319" i="7"/>
  <c r="H261" i="32"/>
  <c r="D448" i="7"/>
  <c r="D139" i="31"/>
  <c r="H322" i="32"/>
  <c r="D337" i="30"/>
  <c r="O158" i="7"/>
  <c r="Y7" i="18"/>
  <c r="H350" i="31"/>
  <c r="H493" i="32"/>
  <c r="H580" i="32"/>
  <c r="H207" i="32"/>
  <c r="H81" i="31"/>
  <c r="H469" i="30"/>
  <c r="O570" i="7"/>
  <c r="H285" i="30"/>
  <c r="D345" i="32"/>
  <c r="H63" i="32"/>
  <c r="H526" i="32"/>
  <c r="H119" i="30"/>
  <c r="D330" i="31"/>
  <c r="D70" i="32"/>
  <c r="D24" i="31"/>
  <c r="O18" i="7"/>
  <c r="H289" i="31"/>
  <c r="D465" i="32"/>
  <c r="D246" i="31"/>
  <c r="D500" i="32"/>
  <c r="H229" i="30"/>
  <c r="D339" i="31"/>
  <c r="H59" i="32"/>
  <c r="D456" i="32"/>
  <c r="D135" i="32"/>
  <c r="D410" i="32"/>
  <c r="H108" i="31"/>
  <c r="H478" i="32"/>
  <c r="H253" i="32"/>
  <c r="D511" i="32"/>
  <c r="H133" i="30"/>
  <c r="H260" i="31"/>
  <c r="H306" i="31"/>
  <c r="H127" i="30"/>
  <c r="H264" i="31"/>
  <c r="D391" i="31"/>
  <c r="H418" i="30"/>
  <c r="D284" i="32"/>
  <c r="H105" i="32"/>
  <c r="D564" i="7"/>
  <c r="D547" i="32"/>
  <c r="H148" i="31"/>
  <c r="D173" i="32"/>
  <c r="H403" i="32"/>
  <c r="H127" i="31"/>
  <c r="D576" i="32"/>
  <c r="D100" i="7"/>
  <c r="O396" i="7"/>
  <c r="H230" i="32"/>
  <c r="H265" i="30"/>
  <c r="D225" i="7"/>
  <c r="D312" i="32"/>
  <c r="O463" i="7"/>
  <c r="O535" i="7"/>
  <c r="O634" i="7"/>
  <c r="D332" i="30"/>
  <c r="H272" i="31"/>
  <c r="H461" i="30"/>
  <c r="H442" i="32"/>
  <c r="H440" i="30"/>
  <c r="O683" i="7"/>
  <c r="D69" i="30"/>
  <c r="H197" i="30"/>
  <c r="H108" i="32"/>
  <c r="D27" i="31"/>
  <c r="H389" i="31"/>
  <c r="H332" i="30"/>
  <c r="H257" i="31"/>
  <c r="H78" i="32"/>
  <c r="O229" i="7"/>
  <c r="D488" i="30"/>
  <c r="D308" i="32"/>
  <c r="H492" i="32"/>
  <c r="H491" i="30"/>
  <c r="D298" i="32"/>
  <c r="D267" i="30"/>
  <c r="H357" i="32"/>
  <c r="O541" i="7"/>
  <c r="H569" i="32"/>
  <c r="H261" i="31"/>
  <c r="O67" i="7"/>
  <c r="H201" i="32"/>
  <c r="D334" i="32"/>
  <c r="D500" i="7"/>
  <c r="H471" i="30"/>
  <c r="O334" i="7"/>
  <c r="D50" i="30"/>
  <c r="H245" i="30"/>
  <c r="H362" i="32"/>
  <c r="H194" i="31"/>
  <c r="D11" i="30"/>
  <c r="O415" i="7"/>
  <c r="H154" i="31"/>
  <c r="Y27" i="18"/>
  <c r="D404" i="32"/>
  <c r="D516" i="32"/>
  <c r="D195" i="31"/>
  <c r="H11" i="31"/>
  <c r="H348" i="32"/>
  <c r="H255" i="31"/>
  <c r="H107" i="32"/>
  <c r="O655" i="7"/>
  <c r="D499" i="32"/>
  <c r="H265" i="31"/>
  <c r="D169" i="31"/>
  <c r="H62" i="31"/>
  <c r="H147" i="30"/>
  <c r="H115" i="30"/>
  <c r="D460" i="7"/>
  <c r="H353" i="32"/>
  <c r="H518" i="30"/>
  <c r="H128" i="31"/>
  <c r="H165" i="30"/>
  <c r="D422" i="30"/>
  <c r="D242" i="32"/>
  <c r="H505" i="32"/>
  <c r="D438" i="32"/>
  <c r="D420" i="32"/>
  <c r="H84" i="32"/>
  <c r="H199" i="31"/>
  <c r="D76" i="32"/>
  <c r="H182" i="31"/>
  <c r="O345" i="7"/>
  <c r="H206" i="32"/>
  <c r="O428" i="7"/>
  <c r="O23" i="7"/>
  <c r="O370" i="7"/>
  <c r="H266" i="30"/>
  <c r="H276" i="30"/>
  <c r="H91" i="30"/>
  <c r="H328" i="31"/>
  <c r="H184" i="31"/>
  <c r="D420" i="30"/>
  <c r="H237" i="31"/>
  <c r="O146" i="7"/>
  <c r="D66" i="31"/>
  <c r="D543" i="32"/>
  <c r="H37" i="30"/>
  <c r="D35" i="32"/>
  <c r="O424" i="7"/>
  <c r="D104" i="32"/>
  <c r="D215" i="31"/>
  <c r="D222" i="32"/>
  <c r="H504" i="32"/>
  <c r="D66" i="32"/>
  <c r="H405" i="32"/>
  <c r="H380" i="32"/>
  <c r="H370" i="32"/>
  <c r="H330" i="31"/>
  <c r="H279" i="30"/>
  <c r="H219" i="31"/>
  <c r="D585" i="32"/>
  <c r="H217" i="30"/>
  <c r="D286" i="30"/>
  <c r="H60" i="30"/>
  <c r="D137" i="30"/>
  <c r="D159" i="31"/>
  <c r="H16" i="30"/>
  <c r="D211" i="31"/>
  <c r="O485" i="7"/>
  <c r="H137" i="32"/>
  <c r="H319" i="30"/>
  <c r="D292" i="30"/>
  <c r="D451" i="32"/>
  <c r="D413" i="32"/>
  <c r="H35" i="32"/>
  <c r="O304" i="7"/>
  <c r="D290" i="31"/>
  <c r="Y33" i="18"/>
  <c r="H335" i="32"/>
  <c r="D22" i="30"/>
  <c r="D79" i="31"/>
  <c r="H312" i="30"/>
  <c r="D274" i="30"/>
  <c r="H211" i="30"/>
  <c r="D183" i="31"/>
  <c r="H509" i="32"/>
  <c r="H420" i="30"/>
  <c r="D248" i="31"/>
  <c r="H269" i="31"/>
  <c r="O265" i="7"/>
  <c r="O399" i="7"/>
  <c r="H79" i="31"/>
  <c r="H418" i="32"/>
  <c r="H411" i="32"/>
  <c r="D365" i="30"/>
  <c r="O527" i="7"/>
  <c r="D302" i="7"/>
  <c r="O179" i="7"/>
  <c r="H14" i="30"/>
  <c r="Y8" i="18"/>
  <c r="O430" i="7"/>
  <c r="H315" i="30"/>
  <c r="H489" i="32"/>
  <c r="H166" i="32"/>
  <c r="H192" i="31"/>
  <c r="D297" i="7"/>
  <c r="D186" i="31"/>
  <c r="H500" i="32"/>
  <c r="H41" i="30"/>
  <c r="H270" i="32"/>
  <c r="H225" i="31"/>
  <c r="H180" i="32"/>
  <c r="O249" i="7"/>
  <c r="D253" i="32"/>
  <c r="H181" i="31"/>
  <c r="H226" i="32"/>
  <c r="H49" i="32"/>
  <c r="O447" i="7"/>
  <c r="O164" i="7"/>
  <c r="D435" i="32"/>
  <c r="H190" i="31"/>
  <c r="H273" i="31"/>
  <c r="H478" i="30"/>
  <c r="O352" i="7"/>
  <c r="O489" i="7"/>
  <c r="D257" i="31"/>
  <c r="H487" i="30"/>
  <c r="H486" i="32"/>
  <c r="D122" i="31"/>
  <c r="H36" i="31"/>
  <c r="D107" i="30"/>
  <c r="H198" i="31"/>
  <c r="H170" i="32"/>
  <c r="D54" i="32"/>
  <c r="O96" i="7"/>
  <c r="O98" i="7"/>
  <c r="D381" i="32"/>
  <c r="D591" i="32"/>
  <c r="H297" i="30"/>
  <c r="D515" i="32"/>
  <c r="O327" i="7"/>
  <c r="D429" i="30"/>
  <c r="H202" i="31"/>
  <c r="O57" i="7"/>
  <c r="Y5" i="18"/>
  <c r="H529" i="32"/>
  <c r="O115" i="7"/>
  <c r="H67" i="32"/>
  <c r="H305" i="31"/>
  <c r="H89" i="30"/>
  <c r="D204" i="32"/>
  <c r="O550" i="7"/>
  <c r="D223" i="7"/>
  <c r="H513" i="32"/>
  <c r="H253" i="30"/>
  <c r="O307" i="7"/>
  <c r="D92" i="31"/>
  <c r="D472" i="32"/>
  <c r="H515" i="30"/>
  <c r="D443" i="32"/>
  <c r="O526" i="7"/>
  <c r="H298" i="30"/>
  <c r="H54" i="32"/>
  <c r="O231" i="7"/>
  <c r="O145" i="7"/>
  <c r="H201" i="30"/>
  <c r="H248" i="30"/>
  <c r="D301" i="32"/>
  <c r="H451" i="30"/>
  <c r="D321" i="30"/>
  <c r="D103" i="31"/>
  <c r="D356" i="30"/>
  <c r="H159" i="31"/>
  <c r="D428" i="7"/>
  <c r="O540" i="7"/>
  <c r="H610" i="32"/>
  <c r="D183" i="32"/>
  <c r="D100" i="31"/>
  <c r="D355" i="32"/>
  <c r="O77" i="7"/>
  <c r="D203" i="32"/>
  <c r="O591" i="7"/>
  <c r="D251" i="31"/>
  <c r="H297" i="32"/>
  <c r="O88" i="7"/>
  <c r="D402" i="32"/>
  <c r="O87" i="7"/>
  <c r="H86" i="31"/>
  <c r="O309" i="7"/>
  <c r="D487" i="32"/>
  <c r="D206" i="7"/>
  <c r="D76" i="30"/>
  <c r="H521" i="30"/>
  <c r="H70" i="30"/>
  <c r="H37" i="31"/>
  <c r="H97" i="30"/>
  <c r="H503" i="32"/>
  <c r="H357" i="30"/>
  <c r="H145" i="31"/>
  <c r="H139" i="31"/>
  <c r="H431" i="30"/>
  <c r="D213" i="32"/>
  <c r="D200" i="31"/>
  <c r="H458" i="30"/>
  <c r="D478" i="30"/>
  <c r="O121" i="7"/>
  <c r="O140" i="7"/>
  <c r="H292" i="31"/>
  <c r="H360" i="31"/>
  <c r="D145" i="32"/>
  <c r="H147" i="32"/>
  <c r="H113" i="31"/>
  <c r="H157" i="32"/>
  <c r="H126" i="32"/>
  <c r="H20" i="32"/>
  <c r="D151" i="7"/>
  <c r="H296" i="31"/>
  <c r="H96" i="30"/>
  <c r="H114" i="31"/>
  <c r="H196" i="32"/>
  <c r="H565" i="32"/>
  <c r="O499" i="7"/>
  <c r="H98" i="31"/>
  <c r="H173" i="32"/>
  <c r="D307" i="30"/>
  <c r="H260" i="30"/>
  <c r="O362" i="7"/>
  <c r="H167" i="32"/>
  <c r="H121" i="30"/>
  <c r="H423" i="30"/>
  <c r="H288" i="32"/>
  <c r="D113" i="31"/>
  <c r="O474" i="7"/>
  <c r="D352" i="7"/>
  <c r="H251" i="31"/>
  <c r="D23" i="30"/>
  <c r="D334" i="30"/>
  <c r="H280" i="30"/>
  <c r="D210" i="32"/>
  <c r="D325" i="32"/>
  <c r="D303" i="30"/>
  <c r="O325" i="7"/>
  <c r="H473" i="30"/>
  <c r="D212" i="7"/>
  <c r="H177" i="30"/>
  <c r="H10" i="31"/>
  <c r="H397" i="30"/>
  <c r="D160" i="32"/>
  <c r="D414" i="30"/>
  <c r="H396" i="30"/>
  <c r="H165" i="31"/>
  <c r="H66" i="32"/>
  <c r="H213" i="30"/>
  <c r="H9" i="32"/>
  <c r="D310" i="31"/>
  <c r="D370" i="30"/>
  <c r="D53" i="31"/>
  <c r="D282" i="30"/>
  <c r="D343" i="32"/>
  <c r="D466" i="30"/>
  <c r="D119" i="32"/>
  <c r="D347" i="31"/>
  <c r="D197" i="32"/>
  <c r="D115" i="30"/>
  <c r="H101" i="32"/>
  <c r="H488" i="32"/>
  <c r="Y20" i="18"/>
  <c r="H233" i="31"/>
  <c r="H168" i="32"/>
  <c r="H343" i="31"/>
  <c r="D251" i="32"/>
  <c r="H96" i="31"/>
  <c r="H332" i="32"/>
  <c r="O97" i="7"/>
  <c r="O371" i="7"/>
  <c r="H135" i="30"/>
  <c r="D64" i="32"/>
  <c r="H239" i="30"/>
  <c r="H354" i="30"/>
  <c r="O81" i="7"/>
  <c r="H157" i="30"/>
  <c r="D134" i="32"/>
  <c r="H71" i="31"/>
  <c r="D449" i="32"/>
  <c r="H150" i="32"/>
  <c r="H123" i="31"/>
  <c r="O297" i="7"/>
  <c r="D59" i="31"/>
  <c r="D432" i="32"/>
  <c r="D430" i="30"/>
  <c r="H74" i="30"/>
  <c r="O355" i="7"/>
  <c r="H5" i="32"/>
  <c r="D37" i="31"/>
  <c r="D96" i="31"/>
  <c r="O349" i="7"/>
  <c r="H490" i="30"/>
  <c r="H437" i="30"/>
  <c r="H327" i="30"/>
  <c r="D280" i="30"/>
  <c r="D25" i="30"/>
  <c r="D289" i="30"/>
  <c r="O556" i="7"/>
  <c r="O103" i="7"/>
  <c r="O616" i="7"/>
  <c r="D55" i="32"/>
  <c r="H14" i="31"/>
  <c r="D392" i="32"/>
  <c r="H267" i="32"/>
  <c r="D313" i="30"/>
  <c r="H291" i="30"/>
  <c r="D315" i="32"/>
  <c r="H5" i="31"/>
  <c r="H613" i="32"/>
  <c r="H389" i="32"/>
  <c r="D664" i="7"/>
  <c r="H5" i="30"/>
  <c r="H176" i="31"/>
  <c r="H427" i="32"/>
  <c r="H195" i="31"/>
  <c r="H386" i="32"/>
  <c r="H115" i="31"/>
  <c r="H593" i="32"/>
  <c r="H256" i="31"/>
  <c r="O117" i="7"/>
  <c r="H77" i="32"/>
  <c r="D199" i="30"/>
  <c r="H421" i="30"/>
  <c r="O660" i="7"/>
  <c r="D592" i="32"/>
  <c r="H442" i="30"/>
  <c r="H36" i="30"/>
  <c r="H426" i="32"/>
  <c r="O602" i="7"/>
  <c r="D274" i="31"/>
  <c r="H115" i="32"/>
  <c r="D276" i="30"/>
  <c r="D406" i="32"/>
  <c r="O161" i="7"/>
  <c r="H164" i="30"/>
  <c r="D258" i="32"/>
  <c r="H288" i="31"/>
  <c r="H246" i="30"/>
  <c r="D322" i="30"/>
  <c r="H230" i="30"/>
  <c r="H425" i="30"/>
  <c r="H71" i="30"/>
  <c r="D27" i="30"/>
  <c r="O437" i="7"/>
  <c r="H97" i="31"/>
  <c r="D292" i="31"/>
  <c r="H142" i="31"/>
  <c r="H411" i="30"/>
  <c r="H103" i="32"/>
  <c r="H201" i="31"/>
  <c r="H392" i="32"/>
  <c r="D219" i="32"/>
  <c r="O389" i="7"/>
  <c r="H242" i="31"/>
  <c r="D38" i="32"/>
  <c r="H51" i="32"/>
  <c r="D2" i="30"/>
  <c r="H31" i="31"/>
  <c r="D168" i="30"/>
  <c r="Y17" i="18"/>
  <c r="H35" i="31"/>
  <c r="H260" i="32"/>
  <c r="H117" i="30"/>
  <c r="D379" i="31"/>
  <c r="H362" i="30"/>
  <c r="O574" i="7"/>
  <c r="H121" i="31"/>
  <c r="H408" i="30"/>
  <c r="D303" i="31"/>
  <c r="H243" i="31"/>
  <c r="D136" i="32"/>
  <c r="H373" i="32"/>
  <c r="D392" i="31"/>
  <c r="H287" i="31"/>
  <c r="D364" i="32"/>
  <c r="H220" i="31"/>
  <c r="D153" i="30"/>
  <c r="H271" i="30"/>
  <c r="H365" i="30"/>
  <c r="D274" i="32"/>
  <c r="H100" i="31"/>
  <c r="H21" i="32"/>
  <c r="H278" i="30"/>
  <c r="H527" i="32"/>
  <c r="H326" i="30"/>
  <c r="D176" i="31"/>
  <c r="H524" i="32"/>
  <c r="H78" i="30"/>
  <c r="H535" i="32"/>
  <c r="D6" i="30"/>
  <c r="O510" i="7"/>
  <c r="H419" i="30"/>
  <c r="H48" i="32"/>
  <c r="D311" i="32"/>
  <c r="O519" i="7"/>
  <c r="D10" i="32"/>
  <c r="H135" i="32"/>
  <c r="O631" i="7"/>
  <c r="H51" i="31"/>
  <c r="H248" i="32"/>
  <c r="H296" i="32"/>
  <c r="H387" i="30"/>
  <c r="D267" i="32"/>
  <c r="H465" i="32"/>
  <c r="O151" i="7"/>
  <c r="H348" i="31"/>
  <c r="H67" i="30"/>
  <c r="O353" i="7"/>
  <c r="H17" i="32"/>
  <c r="H235" i="32"/>
  <c r="O343" i="7"/>
  <c r="D393" i="32"/>
  <c r="D338" i="32"/>
  <c r="D470" i="7"/>
  <c r="D424" i="32"/>
  <c r="O578" i="7"/>
  <c r="H488" i="30"/>
  <c r="H396" i="31"/>
  <c r="D2" i="32"/>
  <c r="H571" i="32"/>
  <c r="H220" i="32"/>
  <c r="D123" i="30"/>
  <c r="H258" i="30"/>
  <c r="H482" i="30"/>
  <c r="O24" i="7"/>
  <c r="Y13" i="18"/>
  <c r="H441" i="30"/>
  <c r="D634" i="7"/>
  <c r="O548" i="7"/>
  <c r="D582" i="32"/>
  <c r="O329" i="7"/>
  <c r="O407" i="7"/>
  <c r="D523" i="32"/>
  <c r="H240" i="31"/>
  <c r="H434" i="30"/>
  <c r="H25" i="32"/>
  <c r="D501" i="32"/>
  <c r="H360" i="30"/>
  <c r="H369" i="31"/>
  <c r="O666" i="7"/>
  <c r="D566" i="7"/>
  <c r="H172" i="30"/>
  <c r="D423" i="32"/>
  <c r="D497" i="7"/>
  <c r="H149" i="30"/>
  <c r="D294" i="32"/>
  <c r="O13" i="7"/>
  <c r="H220" i="30"/>
  <c r="D231" i="32"/>
  <c r="H257" i="30"/>
  <c r="H316" i="32"/>
  <c r="O246" i="7"/>
  <c r="D367" i="30"/>
  <c r="D17" i="31"/>
  <c r="H400" i="30"/>
  <c r="D190" i="30"/>
  <c r="D373" i="30"/>
  <c r="D172" i="32"/>
  <c r="D345" i="7"/>
  <c r="H132" i="32"/>
  <c r="H563" i="32"/>
  <c r="D48" i="31"/>
  <c r="D511" i="30"/>
  <c r="H317" i="30"/>
  <c r="D32" i="30"/>
  <c r="H245" i="31"/>
  <c r="H544" i="32"/>
  <c r="H76" i="30"/>
  <c r="H65" i="31"/>
  <c r="H4" i="32"/>
  <c r="H9" i="30"/>
  <c r="H149" i="31"/>
  <c r="D266" i="7"/>
  <c r="D376" i="32"/>
  <c r="D227" i="32"/>
  <c r="O299" i="7"/>
  <c r="H358" i="31"/>
  <c r="H169" i="31"/>
  <c r="O538" i="7"/>
  <c r="H7" i="32"/>
  <c r="H258" i="31"/>
  <c r="D371" i="32"/>
  <c r="D614" i="32"/>
  <c r="D244" i="30"/>
  <c r="D71" i="32"/>
  <c r="H483" i="32"/>
  <c r="H270" i="31"/>
  <c r="D347" i="32"/>
  <c r="H48" i="31"/>
  <c r="H277" i="32"/>
  <c r="O268" i="7"/>
  <c r="H434" i="32"/>
  <c r="H237" i="30"/>
  <c r="H20" i="31"/>
  <c r="H159" i="32"/>
  <c r="D208" i="32"/>
  <c r="D337" i="31"/>
  <c r="H459" i="32"/>
  <c r="O466" i="7"/>
  <c r="H461" i="32"/>
  <c r="H136" i="31"/>
  <c r="H24" i="30"/>
  <c r="H229" i="32"/>
  <c r="H158" i="32"/>
  <c r="O431" i="7"/>
  <c r="H337" i="32"/>
  <c r="H247" i="30"/>
  <c r="O310" i="7"/>
  <c r="D240" i="30"/>
  <c r="D193" i="31"/>
  <c r="D15" i="30"/>
  <c r="H64" i="31"/>
  <c r="H75" i="30"/>
  <c r="O515" i="7"/>
  <c r="D321" i="7"/>
  <c r="O452" i="7"/>
  <c r="O512" i="7"/>
  <c r="D361" i="30"/>
  <c r="H289" i="32"/>
  <c r="H54" i="31"/>
  <c r="H177" i="32"/>
  <c r="H384" i="32"/>
  <c r="H120" i="31"/>
  <c r="O32" i="7"/>
  <c r="H323" i="32"/>
  <c r="H111" i="32"/>
  <c r="H525" i="30"/>
  <c r="D421" i="32"/>
  <c r="O365" i="7"/>
  <c r="D589" i="32"/>
  <c r="D477" i="32"/>
  <c r="H11" i="30"/>
  <c r="H174" i="32"/>
  <c r="H239" i="32"/>
  <c r="H383" i="30"/>
  <c r="H57" i="30"/>
  <c r="H142" i="32"/>
  <c r="D36" i="32"/>
  <c r="D26" i="30"/>
  <c r="D508" i="32"/>
  <c r="D499" i="30"/>
  <c r="H295" i="32"/>
  <c r="D198" i="32"/>
  <c r="H583" i="32"/>
  <c r="O232" i="7"/>
  <c r="H387" i="32"/>
  <c r="H425" i="32"/>
  <c r="H104" i="32"/>
  <c r="H3" i="31"/>
  <c r="H459" i="30"/>
  <c r="D334" i="31"/>
  <c r="H320" i="32"/>
  <c r="H72" i="32"/>
  <c r="H525" i="32"/>
  <c r="D442" i="32"/>
  <c r="D295" i="32"/>
  <c r="H20" i="30"/>
  <c r="D72" i="31"/>
  <c r="H101" i="31"/>
  <c r="H33" i="32"/>
  <c r="O116" i="7"/>
  <c r="O62" i="7"/>
  <c r="H493" i="30"/>
  <c r="D637" i="7"/>
  <c r="H307" i="32"/>
  <c r="D295" i="30"/>
  <c r="H195" i="32"/>
  <c r="H516" i="30"/>
  <c r="D133" i="32"/>
  <c r="D123" i="32"/>
  <c r="H331" i="30"/>
  <c r="O65" i="7"/>
  <c r="H261" i="30"/>
  <c r="D134" i="31"/>
  <c r="H227" i="32"/>
  <c r="H134" i="30"/>
  <c r="D524" i="30"/>
  <c r="H300" i="32"/>
  <c r="D164" i="32"/>
  <c r="D391" i="7"/>
  <c r="H406" i="32"/>
  <c r="H322" i="30"/>
  <c r="D648" i="7"/>
  <c r="D98" i="32"/>
  <c r="D368" i="32"/>
  <c r="D344" i="30"/>
  <c r="D145" i="31"/>
  <c r="D94" i="31"/>
  <c r="H46" i="31"/>
  <c r="O203" i="7"/>
  <c r="D298" i="30"/>
  <c r="H303" i="32"/>
  <c r="H212" i="30"/>
  <c r="H124" i="31"/>
  <c r="H393" i="30"/>
  <c r="D129" i="32"/>
  <c r="H329" i="30"/>
  <c r="H358" i="32"/>
  <c r="H75" i="32"/>
  <c r="H245" i="32"/>
  <c r="D187" i="32"/>
  <c r="D47" i="32"/>
  <c r="D399" i="31"/>
  <c r="H49" i="30"/>
  <c r="D531" i="32"/>
  <c r="H393" i="31"/>
  <c r="H551" i="32"/>
  <c r="H371" i="30"/>
  <c r="H95" i="30"/>
  <c r="H301" i="31"/>
  <c r="D388" i="32"/>
  <c r="H120" i="30"/>
  <c r="Y6" i="18"/>
  <c r="H439" i="32"/>
  <c r="H314" i="32"/>
  <c r="H55" i="31"/>
  <c r="O50" i="7"/>
  <c r="H32" i="31"/>
  <c r="H384" i="31"/>
  <c r="H16" i="31"/>
  <c r="H437" i="32"/>
  <c r="H284" i="32"/>
  <c r="D286" i="7"/>
  <c r="D13" i="30"/>
  <c r="H395" i="32"/>
  <c r="D372" i="30"/>
  <c r="D395" i="32"/>
  <c r="H171" i="30"/>
  <c r="H515" i="32"/>
  <c r="H606" i="32"/>
  <c r="O521" i="7"/>
  <c r="H336" i="32"/>
  <c r="D139" i="30"/>
  <c r="D449" i="30"/>
  <c r="D600" i="32"/>
  <c r="H422" i="30"/>
  <c r="H349" i="31"/>
  <c r="D79" i="32"/>
  <c r="H95" i="31"/>
  <c r="H137" i="30"/>
  <c r="D331" i="32"/>
  <c r="D71" i="30"/>
  <c r="H215" i="32"/>
  <c r="D61" i="7"/>
  <c r="H536" i="32"/>
  <c r="H274" i="32"/>
  <c r="D270" i="31"/>
  <c r="H27" i="30"/>
  <c r="H99" i="30"/>
  <c r="D363" i="31"/>
  <c r="D577" i="32"/>
  <c r="H311" i="31"/>
  <c r="O573" i="7"/>
  <c r="H88" i="32"/>
  <c r="O274" i="7"/>
  <c r="D481" i="32"/>
  <c r="H576" i="32"/>
  <c r="H484" i="32"/>
  <c r="H256" i="30"/>
  <c r="H431" i="32"/>
  <c r="H300" i="31"/>
  <c r="H90" i="30"/>
  <c r="O288" i="7"/>
  <c r="H422" i="32"/>
  <c r="O208" i="7"/>
  <c r="H399" i="32"/>
  <c r="H333" i="31"/>
  <c r="H409" i="30"/>
  <c r="D542" i="32"/>
  <c r="H401" i="31"/>
  <c r="H126" i="31"/>
  <c r="D302" i="32"/>
  <c r="H186" i="32"/>
  <c r="H379" i="32"/>
  <c r="D12" i="30"/>
  <c r="O472" i="7"/>
  <c r="H193" i="32"/>
  <c r="D273" i="30"/>
  <c r="D185" i="31"/>
  <c r="D313" i="31"/>
  <c r="D480" i="30"/>
  <c r="H182" i="32"/>
  <c r="H166" i="31"/>
  <c r="H398" i="32"/>
  <c r="D181" i="7"/>
  <c r="H55" i="32"/>
  <c r="H402" i="30"/>
  <c r="H455" i="30"/>
  <c r="H407" i="30"/>
  <c r="O149" i="7"/>
  <c r="O528" i="7"/>
  <c r="H372" i="32"/>
  <c r="H197" i="31"/>
  <c r="H241" i="31"/>
  <c r="D217" i="32"/>
  <c r="H371" i="31"/>
  <c r="H33" i="31"/>
  <c r="D77" i="32"/>
  <c r="H10" i="32"/>
  <c r="H98" i="30"/>
  <c r="H377" i="30"/>
  <c r="H467" i="30"/>
  <c r="O429" i="7"/>
  <c r="O677" i="7"/>
  <c r="D437" i="7"/>
  <c r="H125" i="32"/>
  <c r="H280" i="32"/>
  <c r="H317" i="32"/>
  <c r="D181" i="32"/>
  <c r="D514" i="32"/>
  <c r="O222" i="7"/>
  <c r="D132" i="32"/>
  <c r="D513" i="30"/>
  <c r="H326" i="31"/>
  <c r="H352" i="31"/>
  <c r="H361" i="30"/>
  <c r="H401" i="32"/>
  <c r="H318" i="31"/>
  <c r="H123" i="32"/>
  <c r="H259" i="30"/>
  <c r="D373" i="32"/>
  <c r="H153" i="31"/>
  <c r="D166" i="31"/>
  <c r="D212" i="31"/>
  <c r="D68" i="32"/>
  <c r="H451" i="32"/>
  <c r="H43" i="31"/>
  <c r="H456" i="32"/>
  <c r="H144" i="31"/>
  <c r="H160" i="30"/>
  <c r="O220" i="7"/>
  <c r="D322" i="31"/>
  <c r="D207" i="31"/>
  <c r="H62" i="30"/>
  <c r="D311" i="31"/>
  <c r="O588" i="7"/>
  <c r="O134" i="7"/>
  <c r="D361" i="31"/>
  <c r="O38" i="7"/>
  <c r="H29" i="32"/>
  <c r="H259" i="32"/>
  <c r="D579" i="32"/>
  <c r="H152" i="32"/>
  <c r="D291" i="31"/>
  <c r="O213" i="7"/>
  <c r="H44" i="30"/>
  <c r="H480" i="32"/>
  <c r="H457" i="32"/>
  <c r="O610" i="7"/>
  <c r="H392" i="31"/>
  <c r="O648" i="7"/>
  <c r="H234" i="32"/>
  <c r="H290" i="31"/>
  <c r="O197" i="7"/>
  <c r="O89" i="7"/>
  <c r="H394" i="32"/>
  <c r="H359" i="31"/>
  <c r="H80" i="32"/>
  <c r="D88" i="31"/>
  <c r="D238" i="31"/>
  <c r="H345" i="30"/>
  <c r="H444" i="32"/>
  <c r="H258" i="32"/>
  <c r="H374" i="32"/>
  <c r="D138" i="32"/>
  <c r="H503" i="30"/>
  <c r="H440" i="32"/>
  <c r="H361" i="31"/>
  <c r="H560" i="32"/>
  <c r="O282" i="7"/>
  <c r="D457" i="30"/>
  <c r="H133" i="31"/>
  <c r="D444" i="32"/>
  <c r="H390" i="31"/>
  <c r="H395" i="30"/>
  <c r="D24" i="30"/>
  <c r="O366" i="7"/>
  <c r="D55" i="31"/>
  <c r="O170" i="7"/>
  <c r="H365" i="32"/>
  <c r="H141" i="32"/>
  <c r="D390" i="32"/>
  <c r="H435" i="30"/>
  <c r="O253" i="7"/>
  <c r="D669" i="7"/>
  <c r="D305" i="31"/>
  <c r="O39" i="7"/>
  <c r="D85" i="30"/>
  <c r="H134" i="32"/>
  <c r="H244" i="30"/>
  <c r="O273" i="7"/>
  <c r="O473" i="7"/>
  <c r="D470" i="32"/>
  <c r="H335" i="31"/>
  <c r="D288" i="31"/>
  <c r="H110" i="31"/>
  <c r="H51" i="30"/>
  <c r="O533" i="7"/>
  <c r="H4" i="31"/>
  <c r="D304" i="32"/>
  <c r="H78" i="31"/>
  <c r="D498" i="7"/>
  <c r="D148" i="32"/>
  <c r="O514" i="7"/>
  <c r="O661" i="7"/>
  <c r="D42" i="30"/>
  <c r="D264" i="32"/>
  <c r="D101" i="31"/>
  <c r="D47" i="31"/>
  <c r="H105" i="30"/>
  <c r="H58" i="30"/>
  <c r="H112" i="31"/>
  <c r="O113" i="7"/>
  <c r="H294" i="30"/>
  <c r="O505" i="7"/>
  <c r="H218" i="32"/>
  <c r="H86" i="30"/>
  <c r="D269" i="32"/>
  <c r="H456" i="30"/>
  <c r="D178" i="31"/>
  <c r="D63" i="32"/>
  <c r="H130" i="31"/>
  <c r="D466" i="32"/>
  <c r="O398" i="7"/>
  <c r="H199" i="32"/>
  <c r="D284" i="31"/>
  <c r="O30" i="7"/>
  <c r="H88" i="31"/>
  <c r="D427" i="32"/>
  <c r="D45" i="31"/>
  <c r="O171" i="7"/>
  <c r="H38" i="31"/>
  <c r="D452" i="30"/>
  <c r="H523" i="30"/>
  <c r="D529" i="32"/>
  <c r="H455" i="32"/>
  <c r="D129" i="31"/>
  <c r="H152" i="31"/>
  <c r="D87" i="32"/>
  <c r="H475" i="32"/>
  <c r="H334" i="31"/>
  <c r="H93" i="31"/>
  <c r="H331" i="32"/>
  <c r="H341" i="30"/>
  <c r="O419" i="7"/>
  <c r="H393" i="32"/>
  <c r="D196" i="30"/>
  <c r="D366" i="31"/>
  <c r="D215" i="30"/>
  <c r="H533" i="32"/>
  <c r="H430" i="32"/>
  <c r="H296" i="30"/>
  <c r="H564" i="32"/>
  <c r="H109" i="32"/>
  <c r="D416" i="30"/>
  <c r="D202" i="32"/>
  <c r="H313" i="30"/>
  <c r="H221" i="32"/>
  <c r="D474" i="32"/>
  <c r="H56" i="30"/>
  <c r="D14" i="30"/>
  <c r="H41" i="31"/>
  <c r="D58" i="30"/>
  <c r="H530" i="32"/>
  <c r="O102" i="7"/>
  <c r="O280" i="7"/>
  <c r="H52" i="31"/>
  <c r="O72" i="7"/>
  <c r="H419" i="32"/>
  <c r="D107" i="32"/>
  <c r="H112" i="30"/>
  <c r="H243" i="30"/>
  <c r="O176" i="7"/>
  <c r="H356" i="31"/>
  <c r="H314" i="30"/>
  <c r="D37" i="32"/>
  <c r="D367" i="31"/>
  <c r="O266" i="7"/>
  <c r="O235" i="7"/>
  <c r="H2" i="31"/>
  <c r="H333" i="32"/>
  <c r="D162" i="7"/>
  <c r="H318" i="32"/>
  <c r="H301" i="32"/>
  <c r="O517" i="7"/>
  <c r="H59" i="30"/>
  <c r="H587" i="32"/>
  <c r="D595" i="7"/>
  <c r="H286" i="32"/>
  <c r="H300" i="30"/>
  <c r="H29" i="31"/>
  <c r="D492" i="32"/>
  <c r="H277" i="30"/>
  <c r="O554" i="7"/>
  <c r="D383" i="31"/>
  <c r="H141" i="31"/>
  <c r="H358" i="30"/>
  <c r="H68" i="30"/>
  <c r="H155" i="32"/>
  <c r="H491" i="32"/>
  <c r="H57" i="31"/>
  <c r="O417" i="7"/>
  <c r="H559" i="32"/>
  <c r="D79" i="7"/>
  <c r="H578" i="32"/>
  <c r="H37" i="32"/>
  <c r="O594" i="7"/>
  <c r="H354" i="31"/>
  <c r="D372" i="31"/>
  <c r="H532" i="32"/>
  <c r="Y37" i="18"/>
  <c r="H284" i="30"/>
  <c r="H512" i="32"/>
  <c r="H180" i="31"/>
  <c r="O658" i="7"/>
  <c r="D305" i="32"/>
  <c r="D256" i="7"/>
  <c r="H163" i="32"/>
  <c r="D135" i="31"/>
  <c r="H511" i="32"/>
  <c r="D317" i="7"/>
  <c r="O641" i="7"/>
  <c r="H335" i="30"/>
  <c r="O585" i="7"/>
  <c r="H46" i="30"/>
  <c r="H139" i="30"/>
  <c r="H426" i="30"/>
  <c r="H103" i="31"/>
  <c r="H143" i="31"/>
  <c r="H25" i="30"/>
  <c r="D5" i="32"/>
  <c r="O19" i="7"/>
  <c r="H168" i="30"/>
  <c r="D198" i="31"/>
  <c r="H251" i="32"/>
  <c r="H496" i="32"/>
  <c r="H302" i="31"/>
  <c r="O99" i="7"/>
  <c r="D613" i="7"/>
  <c r="H141" i="30"/>
  <c r="H331" i="31"/>
  <c r="H548" i="32"/>
  <c r="H89" i="31"/>
  <c r="D580" i="32"/>
  <c r="H339" i="30"/>
  <c r="D149" i="30"/>
  <c r="H241" i="32"/>
  <c r="D140" i="30"/>
  <c r="H56" i="32"/>
  <c r="O322" i="7"/>
  <c r="H129" i="31"/>
  <c r="H429" i="30"/>
  <c r="H485" i="30"/>
  <c r="H338" i="32"/>
  <c r="O21" i="7"/>
  <c r="O387" i="7"/>
  <c r="H236" i="32"/>
  <c r="H34" i="32"/>
  <c r="O388" i="7"/>
  <c r="H581" i="32"/>
  <c r="O326" i="7"/>
  <c r="D486" i="30"/>
  <c r="O162" i="7"/>
  <c r="D563" i="32"/>
  <c r="H93" i="32"/>
  <c r="H31" i="30"/>
  <c r="D209" i="31"/>
  <c r="D378" i="31"/>
  <c r="H494" i="30"/>
  <c r="O598" i="7"/>
  <c r="D85" i="32"/>
  <c r="H26" i="30"/>
  <c r="D231" i="31"/>
  <c r="D296" i="31"/>
  <c r="H89" i="32"/>
  <c r="H363" i="32"/>
  <c r="H602" i="32"/>
  <c r="D90" i="32"/>
  <c r="D480" i="7"/>
  <c r="D10" i="31"/>
  <c r="D241" i="32"/>
  <c r="H30" i="30"/>
  <c r="H588" i="32"/>
  <c r="H376" i="31"/>
  <c r="D350" i="31"/>
  <c r="D486" i="32"/>
  <c r="H244" i="32"/>
  <c r="D209" i="7"/>
  <c r="H49" i="31"/>
  <c r="D360" i="30"/>
  <c r="D611" i="7"/>
  <c r="H161" i="31"/>
  <c r="H372" i="30"/>
  <c r="H271" i="31"/>
  <c r="H616" i="32"/>
  <c r="H506" i="32"/>
  <c r="D200" i="32"/>
  <c r="D286" i="32"/>
  <c r="H540" i="32"/>
  <c r="D73" i="31"/>
  <c r="H552" i="32"/>
  <c r="H400" i="32"/>
  <c r="H189" i="32"/>
  <c r="H26" i="31"/>
  <c r="H164" i="32"/>
  <c r="H28" i="31"/>
  <c r="O20" i="7"/>
  <c r="H188" i="32"/>
  <c r="H284" i="31"/>
  <c r="D434" i="32"/>
  <c r="H414" i="32"/>
  <c r="H508" i="32"/>
  <c r="H45" i="32"/>
  <c r="D106" i="32"/>
  <c r="D93" i="30"/>
  <c r="H156" i="30"/>
  <c r="H6" i="31"/>
  <c r="H312" i="31"/>
  <c r="O675" i="7"/>
  <c r="H70" i="31"/>
  <c r="H21" i="30"/>
  <c r="H376" i="30"/>
  <c r="D24" i="32"/>
  <c r="H13" i="32"/>
  <c r="D504" i="30"/>
  <c r="H592" i="32"/>
  <c r="H301" i="30"/>
  <c r="H155" i="31"/>
  <c r="H102" i="32"/>
  <c r="H190" i="30"/>
  <c r="D314" i="30"/>
  <c r="H40" i="32"/>
  <c r="H210" i="30"/>
  <c r="H30" i="32"/>
  <c r="D635" i="7"/>
  <c r="H236" i="30"/>
  <c r="D533" i="32"/>
  <c r="H82" i="30"/>
  <c r="D392" i="7"/>
  <c r="O379" i="7"/>
  <c r="H356" i="30"/>
  <c r="H83" i="30"/>
  <c r="H318" i="30"/>
  <c r="H110" i="30"/>
  <c r="D273" i="31"/>
  <c r="H135" i="31"/>
  <c r="H410" i="32"/>
  <c r="H218" i="31"/>
  <c r="H298" i="32"/>
  <c r="H173" i="30"/>
  <c r="H209" i="30"/>
  <c r="H23" i="30"/>
  <c r="H496" i="30"/>
  <c r="O462" i="7"/>
  <c r="H18" i="31"/>
  <c r="H203" i="30"/>
  <c r="H227" i="31"/>
  <c r="H304" i="30"/>
  <c r="D65" i="32"/>
  <c r="H100" i="32"/>
  <c r="H24" i="32"/>
  <c r="H441" i="32"/>
  <c r="O612" i="7"/>
  <c r="D171" i="31"/>
  <c r="D132" i="7"/>
  <c r="D40" i="32"/>
  <c r="H237" i="32"/>
  <c r="H546" i="32"/>
  <c r="H360" i="32"/>
  <c r="H494" i="32"/>
  <c r="H87" i="32"/>
  <c r="H19" i="31"/>
  <c r="H167" i="31"/>
  <c r="D72" i="32"/>
  <c r="D321" i="32"/>
  <c r="D186" i="30"/>
  <c r="D374" i="32"/>
  <c r="H94" i="31"/>
  <c r="H17" i="30"/>
  <c r="H267" i="31"/>
  <c r="D30" i="31"/>
  <c r="O119" i="7"/>
  <c r="H152" i="30"/>
  <c r="H12" i="31"/>
  <c r="D159" i="32"/>
  <c r="H247" i="32"/>
  <c r="D384" i="32"/>
  <c r="H132" i="30"/>
  <c r="H334" i="32"/>
  <c r="H282" i="30"/>
  <c r="H380" i="30"/>
  <c r="O236" i="7"/>
  <c r="H99" i="32"/>
  <c r="D293" i="32"/>
  <c r="H285" i="31"/>
  <c r="H415" i="32"/>
  <c r="H122" i="30"/>
  <c r="D110" i="32"/>
  <c r="H45" i="30"/>
  <c r="D26" i="31"/>
  <c r="H83" i="31"/>
  <c r="O478" i="7"/>
  <c r="D223" i="30"/>
  <c r="H163" i="31"/>
  <c r="D180" i="7"/>
  <c r="H326" i="32"/>
  <c r="H383" i="32"/>
  <c r="D462" i="32"/>
  <c r="D343" i="30"/>
  <c r="D394" i="31"/>
  <c r="H226" i="30"/>
  <c r="H313" i="32"/>
  <c r="O446" i="7"/>
  <c r="H495" i="32"/>
  <c r="D493" i="32"/>
  <c r="H228" i="32"/>
  <c r="O531" i="7"/>
  <c r="H91" i="32"/>
  <c r="O143" i="7"/>
  <c r="D166" i="32"/>
  <c r="H243" i="32"/>
  <c r="D82" i="32"/>
  <c r="H146" i="32"/>
  <c r="H327" i="31"/>
  <c r="D433" i="30"/>
  <c r="D414" i="32"/>
  <c r="H277" i="31"/>
  <c r="D289" i="32"/>
  <c r="H597" i="32"/>
  <c r="H157" i="31"/>
  <c r="D412" i="32"/>
  <c r="D164" i="30"/>
  <c r="D177" i="30"/>
  <c r="O442" i="7"/>
  <c r="D115" i="31"/>
  <c r="H608" i="32"/>
  <c r="D236" i="31"/>
  <c r="H311" i="30"/>
  <c r="H76" i="32"/>
  <c r="D102" i="30"/>
  <c r="H566" i="32"/>
  <c r="H253" i="31"/>
  <c r="H541" i="32"/>
  <c r="H396" i="32"/>
  <c r="D323" i="32"/>
  <c r="H191" i="31"/>
  <c r="H208" i="30"/>
  <c r="D52" i="7"/>
  <c r="D261" i="31"/>
  <c r="O651" i="7"/>
  <c r="D22" i="32"/>
  <c r="H499" i="32"/>
  <c r="O506" i="7"/>
  <c r="D492" i="30"/>
  <c r="O302" i="7"/>
  <c r="O412" i="7"/>
  <c r="D85" i="31"/>
  <c r="H398" i="30"/>
  <c r="H262" i="31"/>
  <c r="H252" i="32"/>
  <c r="H108" i="30"/>
  <c r="D324" i="32"/>
  <c r="D227" i="30"/>
  <c r="H123" i="30"/>
  <c r="H268" i="32"/>
  <c r="H507" i="30"/>
  <c r="O324" i="7"/>
  <c r="H380" i="31"/>
  <c r="H330" i="32"/>
  <c r="O312" i="7"/>
  <c r="H194" i="30"/>
  <c r="H427" i="30"/>
  <c r="H269" i="32"/>
  <c r="D169" i="30"/>
  <c r="H351" i="32"/>
  <c r="D250" i="32"/>
  <c r="H188" i="31"/>
  <c r="D610" i="7"/>
  <c r="H472" i="32"/>
  <c r="H445" i="32"/>
  <c r="H190" i="32"/>
  <c r="H328" i="30"/>
  <c r="H408" i="32"/>
  <c r="O109" i="7"/>
  <c r="H351" i="30"/>
  <c r="H238" i="31"/>
  <c r="H542" i="32"/>
  <c r="D170" i="32"/>
  <c r="H502" i="32"/>
  <c r="H504" i="30"/>
  <c r="H282" i="32"/>
  <c r="H263" i="30"/>
  <c r="H545" i="32"/>
  <c r="D346" i="32"/>
  <c r="D182" i="32"/>
  <c r="H263" i="32"/>
  <c r="G263" i="32" l="1"/>
  <c r="G545" i="32"/>
  <c r="G263" i="30"/>
  <c r="G282" i="32"/>
  <c r="G504" i="30"/>
  <c r="G502" i="32"/>
  <c r="G542" i="32"/>
  <c r="G238" i="31"/>
  <c r="G351" i="30"/>
  <c r="G408" i="32"/>
  <c r="G328" i="30"/>
  <c r="G190" i="32"/>
  <c r="G445" i="32"/>
  <c r="G472" i="32"/>
  <c r="C610" i="7"/>
  <c r="G188" i="31"/>
  <c r="G351" i="32"/>
  <c r="G269" i="32"/>
  <c r="G427" i="30"/>
  <c r="G194" i="30"/>
  <c r="G330" i="32"/>
  <c r="G380" i="31"/>
  <c r="G507" i="30"/>
  <c r="G268" i="32"/>
  <c r="G123" i="30"/>
  <c r="G108" i="30"/>
  <c r="G252" i="32"/>
  <c r="G262" i="31"/>
  <c r="G398" i="30"/>
  <c r="G499" i="32"/>
  <c r="C52" i="7"/>
  <c r="G208" i="30"/>
  <c r="G191" i="31"/>
  <c r="G396" i="32"/>
  <c r="G541" i="32"/>
  <c r="G253" i="31"/>
  <c r="G566" i="32"/>
  <c r="G76" i="32"/>
  <c r="G311" i="30"/>
  <c r="G608" i="32"/>
  <c r="G157" i="31"/>
  <c r="G597" i="32"/>
  <c r="G277" i="31"/>
  <c r="G327" i="31"/>
  <c r="G146" i="32"/>
  <c r="G243" i="32"/>
  <c r="G91" i="32"/>
  <c r="G228" i="32"/>
  <c r="G495" i="32"/>
  <c r="G313" i="32"/>
  <c r="G226" i="30"/>
  <c r="G383" i="32"/>
  <c r="G326" i="32"/>
  <c r="C180" i="7"/>
  <c r="G163" i="31"/>
  <c r="G83" i="31"/>
  <c r="G45" i="30"/>
  <c r="G122" i="30"/>
  <c r="G415" i="32"/>
  <c r="G285" i="31"/>
  <c r="G99" i="32"/>
  <c r="G380" i="30"/>
  <c r="G282" i="30"/>
  <c r="G334" i="32"/>
  <c r="G132" i="30"/>
  <c r="G247" i="32"/>
  <c r="G12" i="31"/>
  <c r="G152" i="30"/>
  <c r="G267" i="31"/>
  <c r="G17" i="30"/>
  <c r="G94" i="31"/>
  <c r="G167" i="31"/>
  <c r="G19" i="31"/>
  <c r="G87" i="32"/>
  <c r="G237" i="32"/>
  <c r="G494" i="32"/>
  <c r="G360" i="32"/>
  <c r="G546" i="32"/>
  <c r="C132" i="7"/>
  <c r="G441" i="32"/>
  <c r="G100" i="32"/>
  <c r="G24" i="32"/>
  <c r="G304" i="30"/>
  <c r="G227" i="31"/>
  <c r="G203" i="30"/>
  <c r="G18" i="31"/>
  <c r="G496" i="30"/>
  <c r="G23" i="30"/>
  <c r="G209" i="30"/>
  <c r="G173" i="30"/>
  <c r="G298" i="32"/>
  <c r="G218" i="31"/>
  <c r="G410" i="32"/>
  <c r="G135" i="31"/>
  <c r="G110" i="30"/>
  <c r="G83" i="30"/>
  <c r="G318" i="30"/>
  <c r="G356" i="30"/>
  <c r="C392" i="7"/>
  <c r="G82" i="30"/>
  <c r="G236" i="30"/>
  <c r="C635" i="7"/>
  <c r="G30" i="32"/>
  <c r="G210" i="30"/>
  <c r="G40" i="32"/>
  <c r="G190" i="30"/>
  <c r="G102" i="32"/>
  <c r="G155" i="31"/>
  <c r="G301" i="30"/>
  <c r="G592" i="32"/>
  <c r="G13" i="32"/>
  <c r="G376" i="30"/>
  <c r="G21" i="30"/>
  <c r="G70" i="31"/>
  <c r="G312" i="31"/>
  <c r="G6" i="31"/>
  <c r="G156" i="30"/>
  <c r="G45" i="32"/>
  <c r="G508" i="32"/>
  <c r="G414" i="32"/>
  <c r="G284" i="31"/>
  <c r="G188" i="32"/>
  <c r="G28" i="31"/>
  <c r="G164" i="32"/>
  <c r="G26" i="31"/>
  <c r="G189" i="32"/>
  <c r="G400" i="32"/>
  <c r="G552" i="32"/>
  <c r="G540" i="32"/>
  <c r="G506" i="32"/>
  <c r="G616" i="32"/>
  <c r="G271" i="31"/>
  <c r="G372" i="30"/>
  <c r="G161" i="31"/>
  <c r="C611" i="7"/>
  <c r="G49" i="31"/>
  <c r="C209" i="7"/>
  <c r="G244" i="32"/>
  <c r="G376" i="31"/>
  <c r="G588" i="32"/>
  <c r="F30" i="30"/>
  <c r="G30" i="30"/>
  <c r="C480" i="7"/>
  <c r="G363" i="32"/>
  <c r="G602" i="32"/>
  <c r="G89" i="32"/>
  <c r="G26" i="30"/>
  <c r="G494" i="30"/>
  <c r="G31" i="30"/>
  <c r="G93" i="32"/>
  <c r="G581" i="32"/>
  <c r="G34" i="32"/>
  <c r="G236" i="32"/>
  <c r="G338" i="32"/>
  <c r="G485" i="30"/>
  <c r="G429" i="30"/>
  <c r="G129" i="31"/>
  <c r="G56" i="32"/>
  <c r="G241" i="32"/>
  <c r="G339" i="30"/>
  <c r="G89" i="31"/>
  <c r="G548" i="32"/>
  <c r="G331" i="31"/>
  <c r="G141" i="30"/>
  <c r="C613" i="7"/>
  <c r="G302" i="31"/>
  <c r="G496" i="32"/>
  <c r="G251" i="32"/>
  <c r="G168" i="30"/>
  <c r="G25" i="30"/>
  <c r="F25" i="30"/>
  <c r="G143" i="31"/>
  <c r="G103" i="31"/>
  <c r="G139" i="30"/>
  <c r="G426" i="30"/>
  <c r="G46" i="30"/>
  <c r="G335" i="30"/>
  <c r="C317" i="7"/>
  <c r="G511" i="32"/>
  <c r="G163" i="32"/>
  <c r="C256" i="7"/>
  <c r="G180" i="31"/>
  <c r="G512" i="32"/>
  <c r="G284" i="30"/>
  <c r="G532" i="32"/>
  <c r="G354" i="31"/>
  <c r="G37" i="32"/>
  <c r="G578" i="32"/>
  <c r="C79" i="7"/>
  <c r="G559" i="32"/>
  <c r="G57" i="31"/>
  <c r="G491" i="32"/>
  <c r="G155" i="32"/>
  <c r="G68" i="30"/>
  <c r="G358" i="30"/>
  <c r="G141" i="31"/>
  <c r="G277" i="30"/>
  <c r="F29" i="31"/>
  <c r="G29" i="31"/>
  <c r="G300" i="30"/>
  <c r="G286" i="32"/>
  <c r="C595" i="7"/>
  <c r="G587" i="32"/>
  <c r="G59" i="30"/>
  <c r="G301" i="32"/>
  <c r="G318" i="32"/>
  <c r="C162" i="7"/>
  <c r="G333" i="32"/>
  <c r="G2" i="31"/>
  <c r="F2" i="31"/>
  <c r="G314" i="30"/>
  <c r="G356" i="31"/>
  <c r="G243" i="30"/>
  <c r="G112" i="30"/>
  <c r="G419" i="32"/>
  <c r="G52" i="31"/>
  <c r="G530" i="32"/>
  <c r="G41" i="31"/>
  <c r="G56" i="30"/>
  <c r="G221" i="32"/>
  <c r="G313" i="30"/>
  <c r="G109" i="32"/>
  <c r="G564" i="32"/>
  <c r="G296" i="30"/>
  <c r="G430" i="32"/>
  <c r="G533" i="32"/>
  <c r="G393" i="32"/>
  <c r="G341" i="30"/>
  <c r="G331" i="32"/>
  <c r="G93" i="31"/>
  <c r="G334" i="31"/>
  <c r="G475" i="32"/>
  <c r="G152" i="31"/>
  <c r="G455" i="32"/>
  <c r="G523" i="30"/>
  <c r="G38" i="31"/>
  <c r="G88" i="31"/>
  <c r="G199" i="32"/>
  <c r="G130" i="31"/>
  <c r="G456" i="30"/>
  <c r="G86" i="30"/>
  <c r="G218" i="32"/>
  <c r="G294" i="30"/>
  <c r="G112" i="31"/>
  <c r="G58" i="30"/>
  <c r="G105" i="30"/>
  <c r="C498" i="7"/>
  <c r="G78" i="31"/>
  <c r="G4" i="31"/>
  <c r="G51" i="30"/>
  <c r="G110" i="31"/>
  <c r="G335" i="31"/>
  <c r="G244" i="30"/>
  <c r="G134" i="32"/>
  <c r="C669" i="7"/>
  <c r="E55" i="29" s="1"/>
  <c r="G435" i="30"/>
  <c r="G141" i="32"/>
  <c r="G365" i="32"/>
  <c r="G395" i="30"/>
  <c r="G390" i="31"/>
  <c r="G133" i="31"/>
  <c r="G560" i="32"/>
  <c r="G361" i="31"/>
  <c r="G440" i="32"/>
  <c r="G503" i="30"/>
  <c r="G374" i="32"/>
  <c r="G258" i="32"/>
  <c r="G444" i="32"/>
  <c r="G345" i="30"/>
  <c r="G80" i="32"/>
  <c r="G359" i="31"/>
  <c r="G394" i="32"/>
  <c r="G290" i="31"/>
  <c r="G234" i="32"/>
  <c r="G392" i="31"/>
  <c r="G457" i="32"/>
  <c r="G480" i="32"/>
  <c r="G44" i="30"/>
  <c r="G152" i="32"/>
  <c r="G259" i="32"/>
  <c r="G29" i="32"/>
  <c r="G62" i="30"/>
  <c r="G160" i="30"/>
  <c r="G144" i="31"/>
  <c r="G456" i="32"/>
  <c r="G43" i="31"/>
  <c r="G451" i="32"/>
  <c r="G153" i="31"/>
  <c r="G259" i="30"/>
  <c r="G123" i="32"/>
  <c r="G318" i="31"/>
  <c r="G401" i="32"/>
  <c r="G361" i="30"/>
  <c r="G352" i="31"/>
  <c r="G326" i="31"/>
  <c r="G280" i="32"/>
  <c r="G317" i="32"/>
  <c r="G125" i="32"/>
  <c r="C437" i="7"/>
  <c r="G467" i="30"/>
  <c r="G377" i="30"/>
  <c r="G98" i="30"/>
  <c r="G10" i="32"/>
  <c r="G33" i="31"/>
  <c r="G371" i="31"/>
  <c r="G241" i="31"/>
  <c r="G197" i="31"/>
  <c r="G372" i="32"/>
  <c r="G407" i="30"/>
  <c r="G455" i="30"/>
  <c r="G402" i="30"/>
  <c r="G55" i="32"/>
  <c r="C181" i="7"/>
  <c r="G398" i="32"/>
  <c r="G166" i="31"/>
  <c r="G182" i="32"/>
  <c r="G193" i="32"/>
  <c r="G186" i="32"/>
  <c r="G379" i="32"/>
  <c r="G126" i="31"/>
  <c r="G401" i="31"/>
  <c r="G409" i="30"/>
  <c r="G333" i="31"/>
  <c r="G399" i="32"/>
  <c r="G422" i="32"/>
  <c r="G90" i="30"/>
  <c r="G300" i="31"/>
  <c r="G431" i="32"/>
  <c r="G256" i="30"/>
  <c r="G484" i="32"/>
  <c r="G576" i="32"/>
  <c r="G88" i="32"/>
  <c r="G311" i="31"/>
  <c r="G99" i="30"/>
  <c r="G27" i="30"/>
  <c r="G274" i="32"/>
  <c r="G536" i="32"/>
  <c r="C61" i="7"/>
  <c r="G215" i="32"/>
  <c r="G137" i="30"/>
  <c r="G95" i="31"/>
  <c r="G349" i="31"/>
  <c r="G422" i="30"/>
  <c r="G336" i="32"/>
  <c r="G606" i="32"/>
  <c r="G515" i="32"/>
  <c r="G171" i="30"/>
  <c r="G395" i="32"/>
  <c r="C286" i="7"/>
  <c r="G284" i="32"/>
  <c r="G437" i="32"/>
  <c r="G384" i="31"/>
  <c r="G16" i="31"/>
  <c r="G32" i="31"/>
  <c r="G55" i="31"/>
  <c r="G314" i="32"/>
  <c r="G439" i="32"/>
  <c r="G120" i="30"/>
  <c r="G301" i="31"/>
  <c r="G95" i="30"/>
  <c r="G371" i="30"/>
  <c r="G551" i="32"/>
  <c r="G393" i="31"/>
  <c r="G49" i="30"/>
  <c r="G75" i="32"/>
  <c r="G245" i="32"/>
  <c r="G358" i="32"/>
  <c r="G329" i="30"/>
  <c r="G393" i="30"/>
  <c r="G124" i="31"/>
  <c r="G212" i="30"/>
  <c r="G303" i="32"/>
  <c r="G46" i="31"/>
  <c r="C648" i="7"/>
  <c r="G322" i="30"/>
  <c r="G406" i="32"/>
  <c r="C391" i="7"/>
  <c r="G300" i="32"/>
  <c r="G134" i="30"/>
  <c r="G227" i="32"/>
  <c r="G261" i="30"/>
  <c r="G331" i="30"/>
  <c r="G516" i="30"/>
  <c r="G195" i="32"/>
  <c r="G307" i="32"/>
  <c r="C637" i="7"/>
  <c r="G493" i="30"/>
  <c r="G33" i="32"/>
  <c r="G101" i="31"/>
  <c r="G20" i="30"/>
  <c r="G72" i="32"/>
  <c r="G525" i="32"/>
  <c r="G320" i="32"/>
  <c r="G459" i="30"/>
  <c r="F3" i="31"/>
  <c r="G3" i="31"/>
  <c r="G425" i="32"/>
  <c r="G104" i="32"/>
  <c r="G387" i="32"/>
  <c r="G583" i="32"/>
  <c r="G295" i="32"/>
  <c r="G142" i="32"/>
  <c r="G57" i="30"/>
  <c r="G383" i="30"/>
  <c r="G239" i="32"/>
  <c r="G174" i="32"/>
  <c r="G11" i="30"/>
  <c r="F11" i="30"/>
  <c r="G525" i="30"/>
  <c r="G111" i="32"/>
  <c r="G323" i="32"/>
  <c r="G120" i="31"/>
  <c r="G384" i="32"/>
  <c r="G177" i="32"/>
  <c r="G54" i="31"/>
  <c r="G289" i="32"/>
  <c r="C321" i="7"/>
  <c r="G75" i="30"/>
  <c r="G64" i="31"/>
  <c r="G247" i="30"/>
  <c r="G337" i="32"/>
  <c r="G158" i="32"/>
  <c r="G229" i="32"/>
  <c r="G24" i="30"/>
  <c r="F24" i="30"/>
  <c r="G136" i="31"/>
  <c r="G461" i="32"/>
  <c r="G459" i="32"/>
  <c r="G159" i="32"/>
  <c r="G20" i="31"/>
  <c r="G237" i="30"/>
  <c r="G434" i="32"/>
  <c r="G277" i="32"/>
  <c r="G48" i="31"/>
  <c r="G270" i="31"/>
  <c r="G483" i="32"/>
  <c r="G258" i="31"/>
  <c r="G7" i="32"/>
  <c r="G169" i="31"/>
  <c r="G358" i="31"/>
  <c r="C266" i="7"/>
  <c r="G149" i="31"/>
  <c r="G9" i="30"/>
  <c r="G4" i="32"/>
  <c r="G65" i="31"/>
  <c r="G76" i="30"/>
  <c r="G544" i="32"/>
  <c r="G245" i="31"/>
  <c r="G317" i="30"/>
  <c r="G563" i="32"/>
  <c r="G132" i="32"/>
  <c r="C345" i="7"/>
  <c r="G400" i="30"/>
  <c r="G316" i="32"/>
  <c r="G257" i="30"/>
  <c r="G220" i="30"/>
  <c r="G149" i="30"/>
  <c r="C497" i="7"/>
  <c r="G172" i="30"/>
  <c r="C566" i="7"/>
  <c r="G369" i="31"/>
  <c r="G360" i="30"/>
  <c r="G25" i="32"/>
  <c r="G434" i="30"/>
  <c r="G240" i="31"/>
  <c r="C634" i="7"/>
  <c r="G441" i="30"/>
  <c r="G482" i="30"/>
  <c r="G258" i="30"/>
  <c r="G220" i="32"/>
  <c r="G571" i="32"/>
  <c r="G396" i="31"/>
  <c r="G488" i="30"/>
  <c r="C470" i="7"/>
  <c r="G235" i="32"/>
  <c r="G17" i="32"/>
  <c r="G67" i="30"/>
  <c r="G348" i="31"/>
  <c r="G465" i="32"/>
  <c r="G387" i="30"/>
  <c r="G296" i="32"/>
  <c r="G248" i="32"/>
  <c r="G51" i="31"/>
  <c r="G135" i="32"/>
  <c r="G48" i="32"/>
  <c r="G419" i="30"/>
  <c r="G535" i="32"/>
  <c r="G78" i="30"/>
  <c r="G524" i="32"/>
  <c r="G326" i="30"/>
  <c r="G527" i="32"/>
  <c r="G278" i="30"/>
  <c r="G21" i="32"/>
  <c r="G100" i="31"/>
  <c r="G271" i="30"/>
  <c r="G365" i="30"/>
  <c r="G220" i="31"/>
  <c r="G287" i="31"/>
  <c r="G373" i="32"/>
  <c r="G243" i="31"/>
  <c r="G408" i="30"/>
  <c r="G121" i="31"/>
  <c r="G362" i="30"/>
  <c r="G117" i="30"/>
  <c r="G260" i="32"/>
  <c r="F35" i="31"/>
  <c r="G35" i="31"/>
  <c r="G31" i="31"/>
  <c r="G51" i="32"/>
  <c r="G242" i="31"/>
  <c r="G392" i="32"/>
  <c r="G201" i="31"/>
  <c r="G103" i="32"/>
  <c r="G411" i="30"/>
  <c r="G142" i="31"/>
  <c r="G97" i="31"/>
  <c r="G230" i="30"/>
  <c r="G71" i="30"/>
  <c r="G425" i="30"/>
  <c r="G246" i="30"/>
  <c r="G288" i="31"/>
  <c r="G164" i="30"/>
  <c r="G115" i="32"/>
  <c r="G426" i="32"/>
  <c r="G36" i="30"/>
  <c r="G442" i="30"/>
  <c r="G421" i="30"/>
  <c r="G77" i="32"/>
  <c r="G256" i="31"/>
  <c r="G593" i="32"/>
  <c r="G115" i="31"/>
  <c r="G386" i="32"/>
  <c r="G195" i="31"/>
  <c r="G427" i="32"/>
  <c r="G176" i="31"/>
  <c r="G5" i="30"/>
  <c r="C664" i="7"/>
  <c r="G389" i="32"/>
  <c r="G613" i="32"/>
  <c r="G5" i="31"/>
  <c r="G291" i="30"/>
  <c r="G267" i="32"/>
  <c r="G14" i="31"/>
  <c r="G327" i="30"/>
  <c r="G437" i="30"/>
  <c r="G490" i="30"/>
  <c r="G5" i="32"/>
  <c r="G74" i="30"/>
  <c r="G123" i="31"/>
  <c r="G150" i="32"/>
  <c r="G71" i="31"/>
  <c r="G157" i="30"/>
  <c r="G354" i="30"/>
  <c r="G239" i="30"/>
  <c r="G135" i="30"/>
  <c r="G332" i="32"/>
  <c r="G96" i="31"/>
  <c r="G343" i="31"/>
  <c r="G168" i="32"/>
  <c r="G233" i="31"/>
  <c r="G488" i="32"/>
  <c r="G101" i="32"/>
  <c r="G9" i="32"/>
  <c r="G213" i="30"/>
  <c r="G66" i="32"/>
  <c r="G165" i="31"/>
  <c r="G396" i="30"/>
  <c r="G397" i="30"/>
  <c r="G10" i="31"/>
  <c r="G177" i="30"/>
  <c r="C212" i="7"/>
  <c r="G473" i="30"/>
  <c r="G280" i="30"/>
  <c r="G251" i="31"/>
  <c r="C352" i="7"/>
  <c r="G288" i="32"/>
  <c r="G423" i="30"/>
  <c r="G121" i="30"/>
  <c r="G167" i="32"/>
  <c r="G260" i="30"/>
  <c r="G173" i="32"/>
  <c r="G98" i="31"/>
  <c r="G565" i="32"/>
  <c r="G196" i="32"/>
  <c r="G114" i="31"/>
  <c r="G96" i="30"/>
  <c r="G296" i="31"/>
  <c r="C151" i="7"/>
  <c r="G20" i="32"/>
  <c r="G126" i="32"/>
  <c r="G157" i="32"/>
  <c r="G113" i="31"/>
  <c r="G147" i="32"/>
  <c r="G360" i="31"/>
  <c r="G292" i="31"/>
  <c r="G458" i="30"/>
  <c r="G431" i="30"/>
  <c r="G139" i="31"/>
  <c r="G145" i="31"/>
  <c r="G357" i="30"/>
  <c r="G503" i="32"/>
  <c r="G97" i="30"/>
  <c r="F37" i="31"/>
  <c r="G37" i="31"/>
  <c r="G70" i="30"/>
  <c r="G521" i="30"/>
  <c r="C206" i="7"/>
  <c r="G86" i="31"/>
  <c r="G297" i="32"/>
  <c r="G610" i="32"/>
  <c r="C428" i="7"/>
  <c r="G159" i="31"/>
  <c r="G451" i="30"/>
  <c r="G248" i="30"/>
  <c r="G201" i="30"/>
  <c r="G54" i="32"/>
  <c r="G298" i="30"/>
  <c r="G515" i="30"/>
  <c r="G253" i="30"/>
  <c r="G513" i="32"/>
  <c r="C223" i="7"/>
  <c r="K53" i="29" s="1"/>
  <c r="G89" i="30"/>
  <c r="G305" i="31"/>
  <c r="G67" i="32"/>
  <c r="G529" i="32"/>
  <c r="G202" i="31"/>
  <c r="G297" i="30"/>
  <c r="G170" i="32"/>
  <c r="G198" i="31"/>
  <c r="G36" i="31"/>
  <c r="G486" i="32"/>
  <c r="G487" i="30"/>
  <c r="G478" i="30"/>
  <c r="G273" i="31"/>
  <c r="G190" i="31"/>
  <c r="G49" i="32"/>
  <c r="G226" i="32"/>
  <c r="G181" i="31"/>
  <c r="G180" i="32"/>
  <c r="G225" i="31"/>
  <c r="G270" i="32"/>
  <c r="G41" i="30"/>
  <c r="G500" i="32"/>
  <c r="C297" i="7"/>
  <c r="G192" i="31"/>
  <c r="G166" i="32"/>
  <c r="G489" i="32"/>
  <c r="G315" i="30"/>
  <c r="G14" i="30"/>
  <c r="C302" i="7"/>
  <c r="G411" i="32"/>
  <c r="G418" i="32"/>
  <c r="G79" i="31"/>
  <c r="G269" i="31"/>
  <c r="G420" i="30"/>
  <c r="G509" i="32"/>
  <c r="G211" i="30"/>
  <c r="G312" i="30"/>
  <c r="G335" i="32"/>
  <c r="G35" i="32"/>
  <c r="G319" i="30"/>
  <c r="G137" i="32"/>
  <c r="G16" i="30"/>
  <c r="G60" i="30"/>
  <c r="G217" i="30"/>
  <c r="G219" i="31"/>
  <c r="G279" i="30"/>
  <c r="G330" i="31"/>
  <c r="G370" i="32"/>
  <c r="G380" i="32"/>
  <c r="G405" i="32"/>
  <c r="G504" i="32"/>
  <c r="F37" i="30"/>
  <c r="G37" i="30"/>
  <c r="G237" i="31"/>
  <c r="G184" i="31"/>
  <c r="G328" i="31"/>
  <c r="G91" i="30"/>
  <c r="G276" i="30"/>
  <c r="G266" i="30"/>
  <c r="G206" i="32"/>
  <c r="G182" i="31"/>
  <c r="G199" i="31"/>
  <c r="G505" i="32"/>
  <c r="G84" i="32"/>
  <c r="G165" i="30"/>
  <c r="G128" i="31"/>
  <c r="G518" i="30"/>
  <c r="G353" i="32"/>
  <c r="C460" i="7"/>
  <c r="G115" i="30"/>
  <c r="G147" i="30"/>
  <c r="G62" i="31"/>
  <c r="G265" i="31"/>
  <c r="G107" i="32"/>
  <c r="G255" i="31"/>
  <c r="G348" i="32"/>
  <c r="F11" i="31"/>
  <c r="G11" i="31"/>
  <c r="G154" i="31"/>
  <c r="G194" i="31"/>
  <c r="G362" i="32"/>
  <c r="G245" i="30"/>
  <c r="G471" i="30"/>
  <c r="C500" i="7"/>
  <c r="G201" i="32"/>
  <c r="G261" i="31"/>
  <c r="G569" i="32"/>
  <c r="G357" i="32"/>
  <c r="G491" i="30"/>
  <c r="G492" i="32"/>
  <c r="G78" i="32"/>
  <c r="G257" i="31"/>
  <c r="G332" i="30"/>
  <c r="G389" i="31"/>
  <c r="G108" i="32"/>
  <c r="G197" i="30"/>
  <c r="G440" i="30"/>
  <c r="G442" i="32"/>
  <c r="G461" i="30"/>
  <c r="G272" i="31"/>
  <c r="C225" i="7"/>
  <c r="G265" i="30"/>
  <c r="G230" i="32"/>
  <c r="C100" i="7"/>
  <c r="G127" i="31"/>
  <c r="G403" i="32"/>
  <c r="G148" i="31"/>
  <c r="C564" i="7"/>
  <c r="G105" i="32"/>
  <c r="G418" i="30"/>
  <c r="G264" i="31"/>
  <c r="G127" i="30"/>
  <c r="G306" i="31"/>
  <c r="G260" i="31"/>
  <c r="G133" i="30"/>
  <c r="G253" i="32"/>
  <c r="G478" i="32"/>
  <c r="G108" i="31"/>
  <c r="G59" i="32"/>
  <c r="G229" i="30"/>
  <c r="G289" i="31"/>
  <c r="G119" i="30"/>
  <c r="G526" i="32"/>
  <c r="G63" i="32"/>
  <c r="G285" i="30"/>
  <c r="G469" i="30"/>
  <c r="G81" i="31"/>
  <c r="G580" i="32"/>
  <c r="G207" i="32"/>
  <c r="G493" i="32"/>
  <c r="G350" i="31"/>
  <c r="G322" i="32"/>
  <c r="C448" i="7"/>
  <c r="G261" i="32"/>
  <c r="C319" i="7"/>
  <c r="G340" i="30"/>
  <c r="G543" i="32"/>
  <c r="G85" i="31"/>
  <c r="G340" i="32"/>
  <c r="G195" i="30"/>
  <c r="G324" i="32"/>
  <c r="G169" i="30"/>
  <c r="G490" i="32"/>
  <c r="G57" i="32"/>
  <c r="C335" i="7"/>
  <c r="C557" i="7"/>
  <c r="G582" i="32"/>
  <c r="G457" i="30"/>
  <c r="G605" i="32"/>
  <c r="G458" i="32"/>
  <c r="G172" i="32"/>
  <c r="C77" i="7"/>
  <c r="C152" i="7"/>
  <c r="G385" i="32"/>
  <c r="G274" i="30"/>
  <c r="G373" i="31"/>
  <c r="C133" i="7"/>
  <c r="G131" i="31"/>
  <c r="G61" i="31"/>
  <c r="G370" i="31"/>
  <c r="G84" i="31"/>
  <c r="G609" i="32"/>
  <c r="G474" i="30"/>
  <c r="G266" i="31"/>
  <c r="G591" i="32"/>
  <c r="G225" i="32"/>
  <c r="G283" i="32"/>
  <c r="G377" i="31"/>
  <c r="G209" i="31"/>
  <c r="G463" i="30"/>
  <c r="C361" i="7"/>
  <c r="G373" i="30"/>
  <c r="G339" i="31"/>
  <c r="G71" i="32"/>
  <c r="G129" i="32"/>
  <c r="G3" i="32"/>
  <c r="G150" i="30"/>
  <c r="G268" i="30"/>
  <c r="G185" i="31"/>
  <c r="G370" i="30"/>
  <c r="G315" i="31"/>
  <c r="G12" i="30"/>
  <c r="C501" i="7"/>
  <c r="G281" i="31"/>
  <c r="G160" i="31"/>
  <c r="G516" i="32"/>
  <c r="C672" i="7"/>
  <c r="G555" i="32"/>
  <c r="G208" i="31"/>
  <c r="G67" i="31"/>
  <c r="G468" i="30"/>
  <c r="G528" i="30"/>
  <c r="G80" i="30"/>
  <c r="C436" i="7"/>
  <c r="G428" i="30"/>
  <c r="C234" i="7"/>
  <c r="K30" i="29" s="1"/>
  <c r="C145" i="7"/>
  <c r="G196" i="31"/>
  <c r="G132" i="31"/>
  <c r="G254" i="32"/>
  <c r="G180" i="30"/>
  <c r="G257" i="32"/>
  <c r="G283" i="30"/>
  <c r="G223" i="31"/>
  <c r="C670" i="7"/>
  <c r="G443" i="30"/>
  <c r="G279" i="31"/>
  <c r="G216" i="31"/>
  <c r="G449" i="32"/>
  <c r="C423" i="7"/>
  <c r="G232" i="30"/>
  <c r="G346" i="31"/>
  <c r="G279" i="32"/>
  <c r="G199" i="30"/>
  <c r="G325" i="32"/>
  <c r="G518" i="32"/>
  <c r="G297" i="31"/>
  <c r="G145" i="32"/>
  <c r="G347" i="30"/>
  <c r="G400" i="31"/>
  <c r="G372" i="31"/>
  <c r="G185" i="30"/>
  <c r="C339" i="7"/>
  <c r="G189" i="31"/>
  <c r="G295" i="31"/>
  <c r="G85" i="32"/>
  <c r="G429" i="32"/>
  <c r="C140" i="7"/>
  <c r="G507" i="32"/>
  <c r="G92" i="30"/>
  <c r="G466" i="32"/>
  <c r="G205" i="32"/>
  <c r="C585" i="7"/>
  <c r="G281" i="32"/>
  <c r="G259" i="31"/>
  <c r="G361" i="32"/>
  <c r="G347" i="31"/>
  <c r="G153" i="30"/>
  <c r="G147" i="31"/>
  <c r="G272" i="32"/>
  <c r="G81" i="30"/>
  <c r="G38" i="32"/>
  <c r="G590" i="32"/>
  <c r="G584" i="32"/>
  <c r="G528" i="32"/>
  <c r="G64" i="32"/>
  <c r="G116" i="30"/>
  <c r="G379" i="31"/>
  <c r="G234" i="31"/>
  <c r="G317" i="31"/>
  <c r="G6" i="32"/>
  <c r="G203" i="32"/>
  <c r="G74" i="32"/>
  <c r="G34" i="30"/>
  <c r="G105" i="31"/>
  <c r="G319" i="31"/>
  <c r="G140" i="31"/>
  <c r="G404" i="32"/>
  <c r="G143" i="30"/>
  <c r="C303" i="7"/>
  <c r="C417" i="7"/>
  <c r="G402" i="32"/>
  <c r="C413" i="7"/>
  <c r="G62" i="32"/>
  <c r="G445" i="30"/>
  <c r="G181" i="32"/>
  <c r="C338" i="7"/>
  <c r="G313" i="31"/>
  <c r="G203" i="31"/>
  <c r="G329" i="31"/>
  <c r="C427" i="7"/>
  <c r="G126" i="30"/>
  <c r="G278" i="31"/>
  <c r="G375" i="31"/>
  <c r="G519" i="32"/>
  <c r="G416" i="32"/>
  <c r="G104" i="30"/>
  <c r="G367" i="31"/>
  <c r="C189" i="7"/>
  <c r="G167" i="30"/>
  <c r="G424" i="32"/>
  <c r="G122" i="31"/>
  <c r="G250" i="30"/>
  <c r="G476" i="32"/>
  <c r="G36" i="32"/>
  <c r="G309" i="32"/>
  <c r="G433" i="32"/>
  <c r="G397" i="31"/>
  <c r="G351" i="31"/>
  <c r="G386" i="31"/>
  <c r="G385" i="30"/>
  <c r="G449" i="30"/>
  <c r="G53" i="30"/>
  <c r="G235" i="31"/>
  <c r="G352" i="32"/>
  <c r="G500" i="30"/>
  <c r="G417" i="30"/>
  <c r="G514" i="30"/>
  <c r="G249" i="31"/>
  <c r="G107" i="31"/>
  <c r="G204" i="32"/>
  <c r="G221" i="31"/>
  <c r="G517" i="32"/>
  <c r="G517" i="30"/>
  <c r="C87" i="7"/>
  <c r="G148" i="32"/>
  <c r="G561" i="32"/>
  <c r="G293" i="30"/>
  <c r="G462" i="32"/>
  <c r="G309" i="30"/>
  <c r="G113" i="30"/>
  <c r="G453" i="32"/>
  <c r="G346" i="32"/>
  <c r="G118" i="30"/>
  <c r="C633" i="7"/>
  <c r="G539" i="32"/>
  <c r="G416" i="30"/>
  <c r="G82" i="31"/>
  <c r="G171" i="31"/>
  <c r="C293" i="7"/>
  <c r="G299" i="30"/>
  <c r="C18" i="7"/>
  <c r="G316" i="30"/>
  <c r="G409" i="32"/>
  <c r="G183" i="32"/>
  <c r="G98" i="32"/>
  <c r="G21" i="31"/>
  <c r="G468" i="32"/>
  <c r="G118" i="32"/>
  <c r="G436" i="30"/>
  <c r="G161" i="30"/>
  <c r="G341" i="32"/>
  <c r="G473" i="32"/>
  <c r="G151" i="32"/>
  <c r="C674" i="7"/>
  <c r="G310" i="30"/>
  <c r="G282" i="31"/>
  <c r="G249" i="32"/>
  <c r="C45" i="7"/>
  <c r="G198" i="30"/>
  <c r="G278" i="32"/>
  <c r="G345" i="32"/>
  <c r="G239" i="31"/>
  <c r="G339" i="32"/>
  <c r="G214" i="32"/>
  <c r="G273" i="32"/>
  <c r="G291" i="32"/>
  <c r="G349" i="32"/>
  <c r="G15" i="32"/>
  <c r="C70" i="7"/>
  <c r="C671" i="7"/>
  <c r="G16" i="32"/>
  <c r="C237" i="7"/>
  <c r="E102" i="29" s="1"/>
  <c r="G378" i="31"/>
  <c r="G100" i="30"/>
  <c r="G412" i="32"/>
  <c r="G85" i="30"/>
  <c r="G192" i="32"/>
  <c r="G55" i="30"/>
  <c r="G322" i="31"/>
  <c r="G23" i="31"/>
  <c r="F23" i="31"/>
  <c r="G250" i="31"/>
  <c r="G128" i="32"/>
  <c r="G452" i="30"/>
  <c r="G466" i="30"/>
  <c r="G356" i="32"/>
  <c r="G146" i="30"/>
  <c r="G512" i="30"/>
  <c r="G133" i="32"/>
  <c r="G404" i="30"/>
  <c r="G104" i="31"/>
  <c r="G163" i="30"/>
  <c r="G430" i="30"/>
  <c r="G603" i="32"/>
  <c r="G194" i="32"/>
  <c r="G17" i="31"/>
  <c r="G13" i="31"/>
  <c r="F13" i="31"/>
  <c r="G63" i="31"/>
  <c r="G138" i="31"/>
  <c r="G467" i="32"/>
  <c r="G191" i="32"/>
  <c r="G112" i="32"/>
  <c r="G343" i="32"/>
  <c r="G302" i="32"/>
  <c r="G61" i="32"/>
  <c r="G68" i="31"/>
  <c r="G327" i="32"/>
  <c r="C486" i="7"/>
  <c r="G288" i="30"/>
  <c r="G66" i="31"/>
  <c r="G332" i="31"/>
  <c r="G307" i="30"/>
  <c r="G446" i="32"/>
  <c r="G531" i="32"/>
  <c r="G137" i="31"/>
  <c r="C477" i="7"/>
  <c r="G553" i="32"/>
  <c r="G73" i="31"/>
  <c r="G95" i="32"/>
  <c r="G319" i="32"/>
  <c r="C268" i="7"/>
  <c r="G206" i="31"/>
  <c r="G84" i="30"/>
  <c r="G483" i="30"/>
  <c r="G186" i="30"/>
  <c r="G397" i="32"/>
  <c r="C199" i="7"/>
  <c r="C534" i="7"/>
  <c r="G162" i="31"/>
  <c r="G7" i="31"/>
  <c r="G216" i="30"/>
  <c r="C455" i="7"/>
  <c r="G447" i="30"/>
  <c r="G403" i="30"/>
  <c r="C238" i="7"/>
  <c r="G287" i="30"/>
  <c r="G134" i="31"/>
  <c r="G438" i="30"/>
  <c r="G102" i="30"/>
  <c r="G299" i="32"/>
  <c r="G40" i="31"/>
  <c r="C665" i="7"/>
  <c r="G538" i="32"/>
  <c r="G321" i="30"/>
  <c r="G446" i="30"/>
  <c r="G65" i="32"/>
  <c r="G63" i="30"/>
  <c r="G522" i="32"/>
  <c r="G589" i="32"/>
  <c r="G231" i="31"/>
  <c r="G92" i="32"/>
  <c r="G149" i="32"/>
  <c r="G43" i="32"/>
  <c r="G448" i="32"/>
  <c r="C599" i="7"/>
  <c r="G573" i="32"/>
  <c r="G40" i="30"/>
  <c r="G489" i="30"/>
  <c r="G534" i="32"/>
  <c r="G421" i="32"/>
  <c r="G316" i="31"/>
  <c r="G45" i="31"/>
  <c r="G44" i="32"/>
  <c r="G68" i="32"/>
  <c r="G391" i="30"/>
  <c r="C408" i="7"/>
  <c r="G291" i="31"/>
  <c r="G82" i="32"/>
  <c r="G575" i="32"/>
  <c r="G170" i="30"/>
  <c r="G204" i="31"/>
  <c r="G232" i="32"/>
  <c r="G323" i="30"/>
  <c r="G433" i="30"/>
  <c r="G226" i="31"/>
  <c r="G176" i="32"/>
  <c r="G169" i="32"/>
  <c r="C677" i="7"/>
  <c r="G438" i="32"/>
  <c r="G148" i="30"/>
  <c r="G595" i="32"/>
  <c r="G295" i="30"/>
  <c r="G75" i="31"/>
  <c r="G113" i="32"/>
  <c r="G9" i="31"/>
  <c r="G171" i="32"/>
  <c r="G25" i="31"/>
  <c r="C53" i="7"/>
  <c r="E9" i="29" s="1"/>
  <c r="G15" i="30"/>
  <c r="C271" i="7"/>
  <c r="G344" i="31"/>
  <c r="G256" i="32"/>
  <c r="G285" i="32"/>
  <c r="G23" i="32"/>
  <c r="C679" i="7"/>
  <c r="G305" i="30"/>
  <c r="G215" i="31"/>
  <c r="G505" i="30"/>
  <c r="C326" i="7"/>
  <c r="G475" i="30"/>
  <c r="G224" i="31"/>
  <c r="G477" i="32"/>
  <c r="G366" i="30"/>
  <c r="G216" i="32"/>
  <c r="G125" i="31"/>
  <c r="G192" i="30"/>
  <c r="C346" i="7"/>
  <c r="G310" i="32"/>
  <c r="G8" i="30"/>
  <c r="G374" i="31"/>
  <c r="G368" i="32"/>
  <c r="G611" i="32"/>
  <c r="C527" i="7"/>
  <c r="G359" i="30"/>
  <c r="C314" i="7"/>
  <c r="G212" i="32"/>
  <c r="G328" i="32"/>
  <c r="G140" i="30"/>
  <c r="G324" i="31"/>
  <c r="G54" i="30"/>
  <c r="G417" i="32"/>
  <c r="G436" i="32"/>
  <c r="G375" i="30"/>
  <c r="G130" i="32"/>
  <c r="G94" i="32"/>
  <c r="G214" i="31"/>
  <c r="G472" i="30"/>
  <c r="G299" i="31"/>
  <c r="G343" i="30"/>
  <c r="G381" i="31"/>
  <c r="G41" i="32"/>
  <c r="G14" i="32"/>
  <c r="G32" i="32"/>
  <c r="G232" i="31"/>
  <c r="G153" i="32"/>
  <c r="G76" i="31"/>
  <c r="G65" i="30"/>
  <c r="G136" i="30"/>
  <c r="C83" i="7"/>
  <c r="G333" i="30"/>
  <c r="G612" i="32"/>
  <c r="G73" i="32"/>
  <c r="G364" i="30"/>
  <c r="G69" i="31"/>
  <c r="G103" i="30"/>
  <c r="G384" i="30"/>
  <c r="G73" i="30"/>
  <c r="G79" i="32"/>
  <c r="G175" i="30"/>
  <c r="C186" i="7"/>
  <c r="K82" i="29" s="1"/>
  <c r="G106" i="32"/>
  <c r="G293" i="32"/>
  <c r="C307" i="7"/>
  <c r="G213" i="32"/>
  <c r="G454" i="32"/>
  <c r="G124" i="32"/>
  <c r="F24" i="31"/>
  <c r="G24" i="31"/>
  <c r="G187" i="31"/>
  <c r="G269" i="30"/>
  <c r="C490" i="7"/>
  <c r="G567" i="32"/>
  <c r="G460" i="32"/>
  <c r="G369" i="32"/>
  <c r="G156" i="31"/>
  <c r="C523" i="7"/>
  <c r="G97" i="32"/>
  <c r="G275" i="32"/>
  <c r="G159" i="30"/>
  <c r="G387" i="31"/>
  <c r="G350" i="32"/>
  <c r="G275" i="31"/>
  <c r="G242" i="30"/>
  <c r="G264" i="30"/>
  <c r="G150" i="31"/>
  <c r="C92" i="7"/>
  <c r="G106" i="30"/>
  <c r="G523" i="32"/>
  <c r="G375" i="32"/>
  <c r="C109" i="7"/>
  <c r="C15" i="7"/>
  <c r="K105" i="29" s="1"/>
  <c r="G47" i="32"/>
  <c r="G388" i="30"/>
  <c r="C601" i="7"/>
  <c r="G428" i="32"/>
  <c r="G59" i="31"/>
  <c r="G223" i="32"/>
  <c r="G74" i="31"/>
  <c r="G158" i="31"/>
  <c r="G175" i="31"/>
  <c r="G173" i="31"/>
  <c r="G127" i="32"/>
  <c r="G255" i="32"/>
  <c r="G366" i="32"/>
  <c r="G136" i="32"/>
  <c r="G214" i="30"/>
  <c r="G391" i="32"/>
  <c r="G142" i="30"/>
  <c r="G276" i="32"/>
  <c r="G444" i="30"/>
  <c r="G298" i="31"/>
  <c r="G140" i="32"/>
  <c r="C587" i="7"/>
  <c r="G205" i="30"/>
  <c r="G432" i="30"/>
  <c r="G286" i="30"/>
  <c r="G211" i="31"/>
  <c r="G96" i="32"/>
  <c r="C406" i="7"/>
  <c r="G168" i="31"/>
  <c r="C552" i="7"/>
  <c r="E36" i="29" s="1"/>
  <c r="G266" i="32"/>
  <c r="C551" i="7"/>
  <c r="G294" i="31"/>
  <c r="G405" i="30"/>
  <c r="G355" i="31"/>
  <c r="G385" i="31"/>
  <c r="G368" i="30"/>
  <c r="G19" i="30"/>
  <c r="G568" i="32"/>
  <c r="G340" i="31"/>
  <c r="G306" i="30"/>
  <c r="G185" i="32"/>
  <c r="G312" i="32"/>
  <c r="G447" i="32"/>
  <c r="C17" i="7"/>
  <c r="E127" i="29" s="1"/>
  <c r="G42" i="32"/>
  <c r="G252" i="30"/>
  <c r="G330" i="30"/>
  <c r="G359" i="32"/>
  <c r="G402" i="31"/>
  <c r="G119" i="32"/>
  <c r="G479" i="32"/>
  <c r="C410" i="7"/>
  <c r="G231" i="32"/>
  <c r="G450" i="32"/>
  <c r="G276" i="31"/>
  <c r="C171" i="7"/>
  <c r="K34" i="29" s="1"/>
  <c r="G197" i="32"/>
  <c r="G367" i="32"/>
  <c r="G254" i="31"/>
  <c r="C459" i="7"/>
  <c r="C673" i="7"/>
  <c r="G585" i="32"/>
  <c r="G382" i="31"/>
  <c r="G2" i="32"/>
  <c r="G222" i="32"/>
  <c r="C348" i="7"/>
  <c r="C659" i="7"/>
  <c r="C301" i="7"/>
  <c r="G125" i="30"/>
  <c r="G464" i="32"/>
  <c r="G614" i="32"/>
  <c r="C624" i="7"/>
  <c r="G309" i="31"/>
  <c r="C366" i="7"/>
  <c r="G336" i="31"/>
  <c r="G315" i="32"/>
  <c r="G594" i="32"/>
  <c r="G329" i="32"/>
  <c r="C178" i="7"/>
  <c r="G50" i="31"/>
  <c r="G598" i="32"/>
  <c r="C166" i="7"/>
  <c r="G151" i="30"/>
  <c r="G607" i="32"/>
  <c r="G193" i="30"/>
  <c r="G99" i="31"/>
  <c r="C105" i="7"/>
  <c r="C473" i="7"/>
  <c r="G463" i="32"/>
  <c r="G342" i="30"/>
  <c r="G596" i="32"/>
  <c r="G579" i="32"/>
  <c r="C422" i="7"/>
  <c r="G273" i="30"/>
  <c r="C66" i="7"/>
  <c r="G224" i="32"/>
  <c r="G114" i="30"/>
  <c r="C381" i="7"/>
  <c r="G58" i="32"/>
  <c r="G233" i="30"/>
  <c r="G250" i="32"/>
  <c r="G274" i="31"/>
  <c r="G222" i="31"/>
  <c r="G424" i="30"/>
  <c r="G228" i="31"/>
  <c r="G69" i="30"/>
  <c r="C88" i="7"/>
  <c r="G48" i="30"/>
  <c r="C119" i="7"/>
  <c r="C575" i="7"/>
  <c r="G294" i="32"/>
  <c r="C649" i="7"/>
  <c r="G390" i="32"/>
  <c r="G264" i="32"/>
  <c r="C99" i="7"/>
  <c r="C681" i="7"/>
  <c r="E53" i="29" s="1"/>
  <c r="C57" i="7"/>
  <c r="E132" i="29" s="1"/>
  <c r="G414" i="30"/>
  <c r="G501" i="30"/>
  <c r="G394" i="31"/>
  <c r="G120" i="32"/>
  <c r="G376" i="32"/>
  <c r="G364" i="32"/>
  <c r="C282" i="7"/>
  <c r="G487" i="32"/>
  <c r="G42" i="30"/>
  <c r="C332" i="7"/>
  <c r="G219" i="30"/>
  <c r="G338" i="30"/>
  <c r="G139" i="32"/>
  <c r="G130" i="30"/>
  <c r="G231" i="30"/>
  <c r="G570" i="32"/>
  <c r="G64" i="30"/>
  <c r="G413" i="32"/>
  <c r="G90" i="32"/>
  <c r="G15" i="31"/>
  <c r="G10" i="30"/>
  <c r="C258" i="7"/>
  <c r="G53" i="31"/>
  <c r="G382" i="32"/>
  <c r="G354" i="32"/>
  <c r="G225" i="30"/>
  <c r="G183" i="31"/>
  <c r="C574" i="7"/>
  <c r="C22" i="7"/>
  <c r="G56" i="31"/>
  <c r="G144" i="32"/>
  <c r="G439" i="30"/>
  <c r="C375" i="7"/>
  <c r="G308" i="31"/>
  <c r="G109" i="31"/>
  <c r="G342" i="31"/>
  <c r="C16" i="7"/>
  <c r="E81" i="29" s="1"/>
  <c r="G537" i="32"/>
  <c r="C412" i="7"/>
  <c r="G381" i="30"/>
  <c r="G4" i="30"/>
  <c r="C588" i="7"/>
  <c r="G311" i="32"/>
  <c r="G81" i="32"/>
  <c r="G362" i="31"/>
  <c r="C506" i="7"/>
  <c r="C545" i="7"/>
  <c r="G374" i="30"/>
  <c r="G13" i="30"/>
  <c r="F13" i="30"/>
  <c r="G151" i="31"/>
  <c r="C113" i="7"/>
  <c r="G111" i="30"/>
  <c r="G238" i="30"/>
  <c r="C654" i="7"/>
  <c r="G18" i="30"/>
  <c r="G497" i="32"/>
  <c r="G178" i="30"/>
  <c r="G221" i="30"/>
  <c r="G242" i="32"/>
  <c r="G435" i="32"/>
  <c r="G128" i="30"/>
  <c r="G310" i="31"/>
  <c r="C626" i="7"/>
  <c r="G349" i="30"/>
  <c r="C397" i="7"/>
  <c r="E58" i="29" s="1"/>
  <c r="C341" i="7"/>
  <c r="K56" i="29" s="1"/>
  <c r="G39" i="32"/>
  <c r="G443" i="32"/>
  <c r="G529" i="30"/>
  <c r="G469" i="32"/>
  <c r="C465" i="7"/>
  <c r="G556" i="32"/>
  <c r="C354" i="7"/>
  <c r="G514" i="32"/>
  <c r="G586" i="32"/>
  <c r="G337" i="31"/>
  <c r="G204" i="30"/>
  <c r="G219" i="32"/>
  <c r="G156" i="32"/>
  <c r="G176" i="30"/>
  <c r="G345" i="31"/>
  <c r="G91" i="31"/>
  <c r="C259" i="7"/>
  <c r="G286" i="31"/>
  <c r="G511" i="30"/>
  <c r="G145" i="30"/>
  <c r="G303" i="31"/>
  <c r="G303" i="30"/>
  <c r="G52" i="32"/>
  <c r="G114" i="32"/>
  <c r="C570" i="7"/>
  <c r="G208" i="32"/>
  <c r="C605" i="7"/>
  <c r="C84" i="7"/>
  <c r="G52" i="30"/>
  <c r="G200" i="31"/>
  <c r="C492" i="7"/>
  <c r="G122" i="32"/>
  <c r="G47" i="31"/>
  <c r="C298" i="7"/>
  <c r="G363" i="31"/>
  <c r="C636" i="7"/>
  <c r="G398" i="31"/>
  <c r="G388" i="31"/>
  <c r="C579" i="7"/>
  <c r="C240" i="7"/>
  <c r="G481" i="32"/>
  <c r="C615" i="7"/>
  <c r="C508" i="7"/>
  <c r="C327" i="7"/>
  <c r="G248" i="31"/>
  <c r="G293" i="31"/>
  <c r="G46" i="32"/>
  <c r="G415" i="30"/>
  <c r="G19" i="32"/>
  <c r="G482" i="32"/>
  <c r="G187" i="32"/>
  <c r="G254" i="30"/>
  <c r="C393" i="7"/>
  <c r="C208" i="7"/>
  <c r="G292" i="30"/>
  <c r="G162" i="30"/>
  <c r="G77" i="31"/>
  <c r="G615" i="32"/>
  <c r="G304" i="32"/>
  <c r="G341" i="31"/>
  <c r="G164" i="31"/>
  <c r="G462" i="30"/>
  <c r="G18" i="32"/>
  <c r="C221" i="7"/>
  <c r="E54" i="29" s="1"/>
  <c r="G179" i="32"/>
  <c r="G407" i="32"/>
  <c r="G146" i="31"/>
  <c r="G368" i="31"/>
  <c r="G378" i="30"/>
  <c r="G306" i="32"/>
  <c r="G22" i="30"/>
  <c r="G12" i="32"/>
  <c r="G224" i="30"/>
  <c r="G27" i="31"/>
  <c r="G229" i="31"/>
  <c r="G325" i="30"/>
  <c r="C558" i="7"/>
  <c r="G321" i="32"/>
  <c r="G191" i="30"/>
  <c r="G262" i="30"/>
  <c r="G599" i="32"/>
  <c r="G86" i="32"/>
  <c r="G217" i="31"/>
  <c r="G574" i="32"/>
  <c r="G109" i="30"/>
  <c r="G227" i="30"/>
  <c r="G465" i="30"/>
  <c r="G28" i="30"/>
  <c r="G26" i="32"/>
  <c r="G94" i="30"/>
  <c r="G44" i="31"/>
  <c r="C116" i="7"/>
  <c r="G202" i="30"/>
  <c r="C559" i="7"/>
  <c r="G304" i="31"/>
  <c r="C641" i="7"/>
  <c r="G557" i="32"/>
  <c r="G209" i="32"/>
  <c r="C543" i="7"/>
  <c r="G336" i="30"/>
  <c r="C324" i="7"/>
  <c r="C511" i="7"/>
  <c r="C483" i="7"/>
  <c r="G334" i="30"/>
  <c r="G234" i="30"/>
  <c r="G31" i="32"/>
  <c r="G80" i="31"/>
  <c r="G353" i="31"/>
  <c r="G200" i="30"/>
  <c r="G513" i="30"/>
  <c r="G34" i="31"/>
  <c r="C89" i="7"/>
  <c r="C351" i="7"/>
  <c r="G471" i="32"/>
  <c r="G28" i="32"/>
  <c r="C74" i="7"/>
  <c r="G324" i="30"/>
  <c r="G262" i="32"/>
  <c r="C76" i="7"/>
  <c r="G352" i="30"/>
  <c r="G42" i="31"/>
  <c r="G272" i="30"/>
  <c r="G110" i="32"/>
  <c r="G388" i="32"/>
  <c r="G144" i="30"/>
  <c r="G38" i="30"/>
  <c r="G270" i="30"/>
  <c r="G131" i="30"/>
  <c r="G337" i="30"/>
  <c r="G346" i="30"/>
  <c r="G172" i="31"/>
  <c r="C430" i="7"/>
  <c r="G423" i="32"/>
  <c r="G33" i="30"/>
  <c r="G162" i="32"/>
  <c r="G364" i="31"/>
  <c r="G347" i="32"/>
  <c r="G93" i="30"/>
  <c r="G305" i="32"/>
  <c r="C404" i="7"/>
  <c r="C682" i="7"/>
  <c r="C65" i="7"/>
  <c r="E34" i="29" s="1"/>
  <c r="G121" i="32"/>
  <c r="G377" i="32"/>
  <c r="G27" i="32"/>
  <c r="G217" i="32"/>
  <c r="C355" i="7"/>
  <c r="E29" i="29" s="1"/>
  <c r="F39" i="30"/>
  <c r="G39" i="30"/>
  <c r="C503" i="7"/>
  <c r="G389" i="30"/>
  <c r="C512" i="7"/>
  <c r="C157" i="7"/>
  <c r="G604" i="32"/>
  <c r="G102" i="31"/>
  <c r="G307" i="31"/>
  <c r="G290" i="30"/>
  <c r="G138" i="30"/>
  <c r="C652" i="7"/>
  <c r="G50" i="30"/>
  <c r="C200" i="7"/>
  <c r="G314" i="31"/>
  <c r="G406" i="30"/>
  <c r="C294" i="7"/>
  <c r="C216" i="7"/>
  <c r="G520" i="30"/>
  <c r="C175" i="7"/>
  <c r="C163" i="7"/>
  <c r="G29" i="30"/>
  <c r="C582" i="7"/>
  <c r="C28" i="7"/>
  <c r="K33" i="29" s="1"/>
  <c r="G432" i="32"/>
  <c r="G509" i="30"/>
  <c r="G66" i="30"/>
  <c r="C548" i="7"/>
  <c r="C219" i="7"/>
  <c r="C680" i="7"/>
  <c r="C581" i="7"/>
  <c r="C476" i="7"/>
  <c r="G247" i="31"/>
  <c r="G492" i="30"/>
  <c r="G60" i="32"/>
  <c r="C367" i="7"/>
  <c r="G497" i="30"/>
  <c r="C330" i="7"/>
  <c r="C159" i="7"/>
  <c r="E80" i="29" s="1"/>
  <c r="C265" i="7"/>
  <c r="G87" i="31"/>
  <c r="C538" i="7"/>
  <c r="C521" i="7"/>
  <c r="K83" i="29" s="1"/>
  <c r="C93" i="7"/>
  <c r="G481" i="30"/>
  <c r="C619" i="7"/>
  <c r="G236" i="31"/>
  <c r="G6" i="30"/>
  <c r="G70" i="32"/>
  <c r="G8" i="31"/>
  <c r="G90" i="31"/>
  <c r="C143" i="7"/>
  <c r="C33" i="7"/>
  <c r="G155" i="30"/>
  <c r="C153" i="7"/>
  <c r="C441" i="7"/>
  <c r="C372" i="7"/>
  <c r="C640" i="7"/>
  <c r="C389" i="7"/>
  <c r="C270" i="7"/>
  <c r="C646" i="7"/>
  <c r="G344" i="30"/>
  <c r="G448" i="30"/>
  <c r="G399" i="31"/>
  <c r="G174" i="31"/>
  <c r="G213" i="31"/>
  <c r="G205" i="31"/>
  <c r="G178" i="32"/>
  <c r="G69" i="32"/>
  <c r="G470" i="32"/>
  <c r="C248" i="7"/>
  <c r="C195" i="7"/>
  <c r="C328" i="7"/>
  <c r="C97" i="7"/>
  <c r="K80" i="29" s="1"/>
  <c r="C475" i="7"/>
  <c r="G369" i="30"/>
  <c r="G450" i="30"/>
  <c r="C59" i="7"/>
  <c r="E10" i="29" s="1"/>
  <c r="G365" i="31"/>
  <c r="G198" i="32"/>
  <c r="C421" i="7"/>
  <c r="C283" i="7"/>
  <c r="G367" i="30"/>
  <c r="G183" i="30"/>
  <c r="G166" i="30"/>
  <c r="G289" i="30"/>
  <c r="G477" i="30"/>
  <c r="G452" i="32"/>
  <c r="C547" i="7"/>
  <c r="G47" i="30"/>
  <c r="G7" i="30"/>
  <c r="G485" i="32"/>
  <c r="G143" i="32"/>
  <c r="C573" i="7"/>
  <c r="G342" i="32"/>
  <c r="G202" i="32"/>
  <c r="G308" i="32"/>
  <c r="G399" i="30"/>
  <c r="C187" i="7"/>
  <c r="G378" i="32"/>
  <c r="G230" i="31"/>
  <c r="G321" i="31"/>
  <c r="G79" i="30"/>
  <c r="G562" i="32"/>
  <c r="G371" i="32"/>
  <c r="G170" i="31"/>
  <c r="G355" i="30"/>
  <c r="G554" i="32"/>
  <c r="G350" i="30"/>
  <c r="G527" i="30"/>
  <c r="G188" i="30"/>
  <c r="G207" i="31"/>
  <c r="G11" i="32"/>
  <c r="G550" i="32"/>
  <c r="C530" i="7"/>
  <c r="C289" i="7"/>
  <c r="G210" i="31"/>
  <c r="G344" i="32"/>
  <c r="G119" i="31"/>
  <c r="G275" i="30"/>
  <c r="G526" i="30"/>
  <c r="C452" i="7"/>
  <c r="C621" i="7"/>
  <c r="C121" i="7"/>
  <c r="C37" i="7"/>
  <c r="C639" i="7"/>
  <c r="C645" i="7"/>
  <c r="G77" i="30"/>
  <c r="G255" i="30"/>
  <c r="C304" i="7"/>
  <c r="C288" i="7"/>
  <c r="C359" i="7"/>
  <c r="C95" i="7"/>
  <c r="E104" i="29" s="1"/>
  <c r="G401" i="30"/>
  <c r="G391" i="31"/>
  <c r="G184" i="32"/>
  <c r="G495" i="30"/>
  <c r="G355" i="32"/>
  <c r="C577" i="7"/>
  <c r="G383" i="31"/>
  <c r="C468" i="7"/>
  <c r="C85" i="7"/>
  <c r="G508" i="30"/>
  <c r="G161" i="32"/>
  <c r="C529" i="7"/>
  <c r="C540" i="7"/>
  <c r="G520" i="32"/>
  <c r="G420" i="32"/>
  <c r="C349" i="7"/>
  <c r="C305" i="7"/>
  <c r="G498" i="30"/>
  <c r="C434" i="7"/>
  <c r="C650" i="7"/>
  <c r="C474" i="7"/>
  <c r="G501" i="32"/>
  <c r="C272" i="7"/>
  <c r="C202" i="7"/>
  <c r="C46" i="7"/>
  <c r="E83" i="29" s="1"/>
  <c r="C539" i="7"/>
  <c r="G510" i="32"/>
  <c r="C250" i="7"/>
  <c r="C380" i="7"/>
  <c r="C533" i="7"/>
  <c r="G308" i="30"/>
  <c r="C593" i="7"/>
  <c r="C300" i="7"/>
  <c r="G107" i="30"/>
  <c r="G353" i="30"/>
  <c r="C451" i="7"/>
  <c r="G154" i="32"/>
  <c r="C96" i="7"/>
  <c r="G61" i="30"/>
  <c r="C449" i="7"/>
  <c r="C443" i="7"/>
  <c r="C244" i="7"/>
  <c r="C124" i="7"/>
  <c r="C580" i="7"/>
  <c r="G392" i="30"/>
  <c r="C167" i="7"/>
  <c r="G235" i="30"/>
  <c r="G8" i="32"/>
  <c r="G382" i="30"/>
  <c r="G246" i="31"/>
  <c r="G92" i="31"/>
  <c r="G379" i="30"/>
  <c r="C631" i="7"/>
  <c r="G39" i="31"/>
  <c r="G320" i="31"/>
  <c r="G323" i="31"/>
  <c r="G549" i="32"/>
  <c r="G244" i="31"/>
  <c r="C565" i="7"/>
  <c r="G106" i="31"/>
  <c r="G484" i="30"/>
  <c r="G572" i="32"/>
  <c r="G87" i="30"/>
  <c r="G32" i="30"/>
  <c r="C56" i="7"/>
  <c r="C395" i="7"/>
  <c r="G486" i="30"/>
  <c r="G193" i="31"/>
  <c r="G138" i="32"/>
  <c r="C82" i="7"/>
  <c r="G246" i="32"/>
  <c r="G268" i="31"/>
  <c r="F3" i="30"/>
  <c r="G3" i="30"/>
  <c r="G292" i="32"/>
  <c r="C136" i="7"/>
  <c r="G233" i="32"/>
  <c r="G215" i="30"/>
  <c r="G43" i="30"/>
  <c r="G184" i="30"/>
  <c r="G280" i="31"/>
  <c r="G499" i="30"/>
  <c r="C138" i="7"/>
  <c r="G117" i="32"/>
  <c r="G249" i="30"/>
  <c r="G302" i="30"/>
  <c r="G131" i="32"/>
  <c r="C342" i="7"/>
  <c r="E82" i="29" s="1"/>
  <c r="G320" i="30"/>
  <c r="G186" i="31"/>
  <c r="G271" i="32"/>
  <c r="G189" i="30"/>
  <c r="G118" i="31"/>
  <c r="G206" i="30"/>
  <c r="G265" i="32"/>
  <c r="G154" i="30"/>
  <c r="C255" i="7"/>
  <c r="E128" i="29" s="1"/>
  <c r="C98" i="7"/>
  <c r="G338" i="31"/>
  <c r="G476" i="30"/>
  <c r="C103" i="7"/>
  <c r="C246" i="7"/>
  <c r="C201" i="7"/>
  <c r="C447" i="7"/>
  <c r="C19" i="7"/>
  <c r="E129" i="29" s="1"/>
  <c r="C32" i="7"/>
  <c r="G117" i="31"/>
  <c r="G263" i="31"/>
  <c r="G101" i="30"/>
  <c r="G50" i="32"/>
  <c r="G521" i="32"/>
  <c r="G72" i="30"/>
  <c r="C544" i="7"/>
  <c r="G238" i="32"/>
  <c r="G22" i="32"/>
  <c r="C94" i="7"/>
  <c r="E77" i="29" s="1"/>
  <c r="C591" i="7"/>
  <c r="G498" i="32"/>
  <c r="G381" i="32"/>
  <c r="C617" i="7"/>
  <c r="C160" i="7"/>
  <c r="C44" i="7"/>
  <c r="G174" i="30"/>
  <c r="G175" i="32"/>
  <c r="G325" i="31"/>
  <c r="G395" i="31"/>
  <c r="C147" i="7"/>
  <c r="C155" i="7"/>
  <c r="C108" i="7"/>
  <c r="K57" i="29" s="1"/>
  <c r="G470" i="30"/>
  <c r="C122" i="7"/>
  <c r="C630" i="7"/>
  <c r="G267" i="30"/>
  <c r="G252" i="31"/>
  <c r="C528" i="7"/>
  <c r="K85" i="29" s="1"/>
  <c r="C424" i="7"/>
  <c r="C467" i="7"/>
  <c r="C218" i="7"/>
  <c r="C179" i="7"/>
  <c r="G177" i="31"/>
  <c r="G222" i="30"/>
  <c r="G474" i="32"/>
  <c r="G179" i="31"/>
  <c r="G480" i="30"/>
  <c r="C388" i="7"/>
  <c r="C239" i="7"/>
  <c r="C576" i="7"/>
  <c r="C75" i="7"/>
  <c r="G72" i="31"/>
  <c r="G506" i="30"/>
  <c r="C450" i="7"/>
  <c r="C676" i="7"/>
  <c r="C415" i="7"/>
  <c r="K84" i="29" s="1"/>
  <c r="C683" i="7"/>
  <c r="C279" i="7"/>
  <c r="G212" i="31"/>
  <c r="C622" i="7"/>
  <c r="C165" i="7"/>
  <c r="C618" i="7"/>
  <c r="G111" i="31"/>
  <c r="G366" i="31"/>
  <c r="G218" i="30"/>
  <c r="G547" i="32"/>
  <c r="G210" i="32"/>
  <c r="G240" i="30"/>
  <c r="G502" i="30"/>
  <c r="C72" i="7"/>
  <c r="C90" i="7"/>
  <c r="C211" i="7"/>
  <c r="C274" i="7"/>
  <c r="C149" i="7"/>
  <c r="C148" i="7"/>
  <c r="C276" i="7"/>
  <c r="C678" i="7"/>
  <c r="C363" i="7"/>
  <c r="E103" i="29" s="1"/>
  <c r="C344" i="7"/>
  <c r="C222" i="7"/>
  <c r="K29" i="29" s="1"/>
  <c r="C603" i="7"/>
  <c r="C463" i="7"/>
  <c r="G116" i="31"/>
  <c r="G83" i="32"/>
  <c r="C43" i="7"/>
  <c r="C139" i="7"/>
  <c r="C602" i="7"/>
  <c r="C224" i="7"/>
  <c r="G178" i="31"/>
  <c r="G413" i="30"/>
  <c r="C242" i="7"/>
  <c r="G357" i="31"/>
  <c r="C198" i="7"/>
  <c r="C555" i="7"/>
  <c r="C368" i="7"/>
  <c r="G124" i="30"/>
  <c r="C284" i="7"/>
  <c r="C660" i="7"/>
  <c r="C535" i="7"/>
  <c r="C479" i="7"/>
  <c r="C39" i="7"/>
  <c r="C291" i="7"/>
  <c r="G290" i="32"/>
  <c r="C609" i="7"/>
  <c r="C489" i="7"/>
  <c r="C207" i="7"/>
  <c r="G479" i="30"/>
  <c r="G577" i="32"/>
  <c r="C418" i="7"/>
  <c r="G600" i="32"/>
  <c r="C267" i="7"/>
  <c r="C414" i="7"/>
  <c r="C642" i="7"/>
  <c r="C568" i="7"/>
  <c r="G558" i="32"/>
  <c r="C309" i="7"/>
  <c r="C499" i="7"/>
  <c r="C316" i="7"/>
  <c r="C320" i="7"/>
  <c r="E131" i="29" s="1"/>
  <c r="C14" i="7"/>
  <c r="E6" i="29" s="1"/>
  <c r="C453" i="7"/>
  <c r="C517" i="7"/>
  <c r="C403" i="7"/>
  <c r="C315" i="7"/>
  <c r="C296" i="7"/>
  <c r="G601" i="32"/>
  <c r="C253" i="7"/>
  <c r="C628" i="7"/>
  <c r="G58" i="31"/>
  <c r="G453" i="30"/>
  <c r="C20" i="7"/>
  <c r="G60" i="31"/>
  <c r="G240" i="32"/>
  <c r="G53" i="32"/>
  <c r="C572" i="7"/>
  <c r="C600" i="7"/>
  <c r="C273" i="7"/>
  <c r="C264" i="7"/>
  <c r="C493" i="7"/>
  <c r="C402" i="7"/>
  <c r="C531" i="7"/>
  <c r="C323" i="7"/>
  <c r="C245" i="7"/>
  <c r="E4" i="29" s="1"/>
  <c r="C556" i="7"/>
  <c r="C169" i="7"/>
  <c r="E105" i="29" s="1"/>
  <c r="C263" i="7"/>
  <c r="C29" i="7"/>
  <c r="C553" i="7"/>
  <c r="C398" i="7"/>
  <c r="C233" i="7"/>
  <c r="C563" i="7"/>
  <c r="C386" i="7"/>
  <c r="C101" i="7"/>
  <c r="G412" i="30"/>
  <c r="C522" i="7"/>
  <c r="G394" i="30"/>
  <c r="C518" i="7"/>
  <c r="K31" i="29" s="1"/>
  <c r="C308" i="7"/>
  <c r="C432" i="7"/>
  <c r="C347" i="7"/>
  <c r="C118" i="7"/>
  <c r="C401" i="7"/>
  <c r="C439" i="7"/>
  <c r="C23" i="7"/>
  <c r="E79" i="29" s="1"/>
  <c r="C454" i="7"/>
  <c r="C54" i="7"/>
  <c r="C312" i="7"/>
  <c r="C399" i="7"/>
  <c r="C419" i="7"/>
  <c r="C260" i="7"/>
  <c r="E57" i="29" s="1"/>
  <c r="C27" i="7"/>
  <c r="E35" i="29" s="1"/>
  <c r="C571" i="7"/>
  <c r="C134" i="7"/>
  <c r="E30" i="29" s="1"/>
  <c r="C71" i="7"/>
  <c r="C561" i="7"/>
  <c r="C433" i="7"/>
  <c r="C625" i="7"/>
  <c r="K55" i="29" s="1"/>
  <c r="C357" i="7"/>
  <c r="C515" i="7"/>
  <c r="C290" i="7"/>
  <c r="C526" i="7"/>
  <c r="C597" i="7"/>
  <c r="C278" i="7"/>
  <c r="C667" i="7"/>
  <c r="C429" i="7"/>
  <c r="C80" i="7"/>
  <c r="C325" i="7"/>
  <c r="C647" i="7"/>
  <c r="C510" i="7"/>
  <c r="C462" i="7"/>
  <c r="C102" i="7"/>
  <c r="C491" i="7"/>
  <c r="C627" i="7"/>
  <c r="C390" i="7"/>
  <c r="C217" i="7"/>
  <c r="C387" i="7"/>
  <c r="C356" i="7"/>
  <c r="C488" i="7"/>
  <c r="C549" i="7"/>
  <c r="C26" i="7"/>
  <c r="C73" i="7"/>
  <c r="C655" i="7"/>
  <c r="C542" i="7"/>
  <c r="C262" i="7"/>
  <c r="C632" i="7"/>
  <c r="C142" i="7"/>
  <c r="C362" i="7"/>
  <c r="K107" i="29" s="1"/>
  <c r="G251" i="30"/>
  <c r="C425" i="7"/>
  <c r="C164" i="7"/>
  <c r="C598" i="7"/>
  <c r="C586" i="7"/>
  <c r="G519" i="30"/>
  <c r="C110" i="7"/>
  <c r="C287" i="7"/>
  <c r="G510" i="30"/>
  <c r="C191" i="7"/>
  <c r="E59" i="29" s="1"/>
  <c r="G287" i="32"/>
  <c r="C524" i="7"/>
  <c r="E84" i="29" s="1"/>
  <c r="C435" i="7"/>
  <c r="C371" i="7"/>
  <c r="C205" i="7"/>
  <c r="G30" i="31"/>
  <c r="C269" i="7"/>
  <c r="C525" i="7"/>
  <c r="C241" i="7"/>
  <c r="C495" i="7"/>
  <c r="C343" i="7"/>
  <c r="C292" i="7"/>
  <c r="G187" i="30"/>
  <c r="G228" i="30"/>
  <c r="G410" i="30"/>
  <c r="C213" i="7"/>
  <c r="C350" i="7"/>
  <c r="G207" i="30"/>
  <c r="G283" i="31"/>
  <c r="G181" i="30"/>
  <c r="C416" i="7"/>
  <c r="C117" i="7"/>
  <c r="C144" i="7"/>
  <c r="C299" i="7"/>
  <c r="E78" i="29" s="1"/>
  <c r="C230" i="7"/>
  <c r="E126" i="29" s="1"/>
  <c r="C584" i="7"/>
  <c r="C656" i="7"/>
  <c r="C509" i="7"/>
  <c r="C41" i="7"/>
  <c r="C569" i="7"/>
  <c r="C251" i="7"/>
  <c r="C226" i="7"/>
  <c r="E56" i="29" s="1"/>
  <c r="C126" i="7"/>
  <c r="G35" i="30"/>
  <c r="C158" i="7"/>
  <c r="C104" i="7"/>
  <c r="C280" i="7"/>
  <c r="E130" i="29" s="1"/>
  <c r="C471" i="7"/>
  <c r="G200" i="32"/>
  <c r="C336" i="7"/>
  <c r="C629" i="7"/>
  <c r="C494" i="7"/>
  <c r="E7" i="29" s="1"/>
  <c r="C516" i="7"/>
  <c r="C536" i="7"/>
  <c r="C484" i="7"/>
  <c r="C25" i="7"/>
  <c r="C192" i="7"/>
  <c r="C407" i="7"/>
  <c r="C377" i="7"/>
  <c r="C608" i="7"/>
  <c r="C243" i="7"/>
  <c r="C227" i="7"/>
  <c r="K77" i="29" s="1"/>
  <c r="C612" i="7"/>
  <c r="C231" i="7"/>
  <c r="K103" i="29" s="1"/>
  <c r="C502" i="7"/>
  <c r="C47" i="7"/>
  <c r="C383" i="7"/>
  <c r="C172" i="7"/>
  <c r="G386" i="30"/>
  <c r="C123" i="7"/>
  <c r="C469" i="7"/>
  <c r="C653" i="7"/>
  <c r="C204" i="7"/>
  <c r="C507" i="7"/>
  <c r="C666" i="7"/>
  <c r="C592" i="7"/>
  <c r="C638" i="7"/>
  <c r="C446" i="7"/>
  <c r="C537" i="7"/>
  <c r="C311" i="7"/>
  <c r="C519" i="7"/>
  <c r="C214" i="7"/>
  <c r="C78" i="7"/>
  <c r="C560" i="7"/>
  <c r="C464" i="7"/>
  <c r="C257" i="7"/>
  <c r="C411" i="7"/>
  <c r="G22" i="31"/>
  <c r="C247" i="7"/>
  <c r="C249" i="7"/>
  <c r="C562" i="7"/>
  <c r="E31" i="29" s="1"/>
  <c r="C128" i="7"/>
  <c r="K78" i="29" s="1"/>
  <c r="G464" i="30"/>
  <c r="G196" i="30"/>
  <c r="C567" i="7"/>
  <c r="C353" i="7"/>
  <c r="C42" i="7"/>
  <c r="E33" i="29" s="1"/>
  <c r="C405" i="7"/>
  <c r="C130" i="7"/>
  <c r="C420" i="7"/>
  <c r="C614" i="7"/>
  <c r="C620" i="7"/>
  <c r="C370" i="7"/>
  <c r="C340" i="7"/>
  <c r="C466" i="7"/>
  <c r="C663" i="7"/>
  <c r="C185" i="7"/>
  <c r="C546" i="7"/>
  <c r="C431" i="7"/>
  <c r="G158" i="30"/>
  <c r="C68" i="7"/>
  <c r="C306" i="7"/>
  <c r="C651" i="7"/>
  <c r="K54" i="29" s="1"/>
  <c r="C505" i="7"/>
  <c r="G160" i="32"/>
  <c r="C590" i="7"/>
  <c r="C86" i="7"/>
  <c r="C63" i="7"/>
  <c r="G454" i="30"/>
  <c r="C81" i="7"/>
  <c r="C112" i="7"/>
  <c r="C365" i="7"/>
  <c r="C589" i="7"/>
  <c r="C127" i="7"/>
  <c r="C374" i="7"/>
  <c r="C616" i="7"/>
  <c r="C487" i="7"/>
  <c r="C318" i="7"/>
  <c r="C182" i="7"/>
  <c r="C668" i="7"/>
  <c r="C24" i="7"/>
  <c r="E8" i="29" s="1"/>
  <c r="C675" i="7"/>
  <c r="K79" i="29"/>
  <c r="C220" i="7"/>
  <c r="C396" i="7"/>
  <c r="G165" i="32"/>
  <c r="C594" i="7"/>
  <c r="C310" i="7"/>
  <c r="C67" i="7"/>
  <c r="C210" i="7"/>
  <c r="C532" i="7"/>
  <c r="C184" i="7"/>
  <c r="C369" i="7"/>
  <c r="G179" i="30"/>
  <c r="C384" i="7"/>
  <c r="C606" i="7"/>
  <c r="C458" i="7"/>
  <c r="C235" i="7"/>
  <c r="C364" i="7"/>
  <c r="C31" i="7"/>
  <c r="C583" i="7"/>
  <c r="C657" i="7"/>
  <c r="C174" i="7"/>
  <c r="C440" i="7"/>
  <c r="C30" i="7"/>
  <c r="G223" i="30"/>
  <c r="C409" i="7"/>
  <c r="C472" i="7"/>
  <c r="C376" i="7"/>
  <c r="C295" i="7"/>
  <c r="C442" i="7"/>
  <c r="C141" i="7"/>
  <c r="C643" i="7"/>
  <c r="C13" i="7"/>
  <c r="E32" i="29" s="1"/>
  <c r="C51" i="7"/>
  <c r="K32" i="29" s="1"/>
  <c r="C156" i="7"/>
  <c r="E133" i="29" s="1"/>
  <c r="C215" i="7"/>
  <c r="C107" i="7"/>
  <c r="C60" i="7"/>
  <c r="C285" i="7"/>
  <c r="C38" i="7"/>
  <c r="C194" i="7"/>
  <c r="C481" i="7"/>
  <c r="G2" i="30"/>
  <c r="F2" i="30"/>
  <c r="C114" i="7"/>
  <c r="C35" i="7"/>
  <c r="C373" i="7"/>
  <c r="C115" i="7"/>
  <c r="C137" i="7"/>
  <c r="C120" i="7"/>
  <c r="C146" i="7"/>
  <c r="C125" i="7"/>
  <c r="C229" i="7"/>
  <c r="K101" i="29" s="1"/>
  <c r="C91" i="7"/>
  <c r="C176" i="7"/>
  <c r="C513" i="7"/>
  <c r="G211" i="32"/>
  <c r="C161" i="7"/>
  <c r="C482" i="7"/>
  <c r="C504" i="7"/>
  <c r="C49" i="7"/>
  <c r="C21" i="7"/>
  <c r="C456" i="7"/>
  <c r="C485" i="7"/>
  <c r="C55" i="7"/>
  <c r="C382" i="7"/>
  <c r="E3" i="29" s="1"/>
  <c r="C333" i="7"/>
  <c r="G460" i="30"/>
  <c r="C188" i="7"/>
  <c r="E125" i="29" s="1"/>
  <c r="C58" i="7"/>
  <c r="C261" i="7"/>
  <c r="C177" i="7"/>
  <c r="C360" i="7"/>
  <c r="E134" i="29" s="1"/>
  <c r="C662" i="7"/>
  <c r="C193" i="7"/>
  <c r="C170" i="7"/>
  <c r="C604" i="7"/>
  <c r="C334" i="7"/>
  <c r="C111" i="7"/>
  <c r="C337" i="7"/>
  <c r="C135" i="7"/>
  <c r="C394" i="7"/>
  <c r="C173" i="7"/>
  <c r="C578" i="7"/>
  <c r="C496" i="7"/>
  <c r="C69" i="7"/>
  <c r="C313" i="7"/>
  <c r="C131" i="7"/>
  <c r="C190" i="7"/>
  <c r="C596" i="7"/>
  <c r="C168" i="7"/>
  <c r="C197" i="7"/>
  <c r="C478" i="7"/>
  <c r="C254" i="7"/>
  <c r="C275" i="7"/>
  <c r="C277" i="7"/>
  <c r="C607" i="7"/>
  <c r="C514" i="7"/>
  <c r="C623" i="7"/>
  <c r="C379" i="7"/>
  <c r="C183" i="7"/>
  <c r="C358" i="7"/>
  <c r="C644" i="7"/>
  <c r="G524" i="30"/>
  <c r="G116" i="32"/>
  <c r="C150" i="7"/>
  <c r="C385" i="7"/>
  <c r="C48" i="7"/>
  <c r="C378" i="7"/>
  <c r="C444" i="7"/>
  <c r="C281" i="7"/>
  <c r="C36" i="7"/>
  <c r="C520" i="7"/>
  <c r="C438" i="7"/>
  <c r="C154" i="7"/>
  <c r="C252" i="7"/>
  <c r="C426" i="7"/>
  <c r="C196" i="7"/>
  <c r="C329" i="7"/>
  <c r="C34" i="7"/>
  <c r="K81" i="29" s="1"/>
  <c r="C129" i="7"/>
  <c r="C658" i="7"/>
  <c r="C228" i="7"/>
  <c r="C554" i="7"/>
  <c r="C62" i="7"/>
  <c r="C400" i="7"/>
  <c r="C322" i="7"/>
  <c r="C461" i="7"/>
  <c r="C445" i="7"/>
  <c r="C236" i="7"/>
  <c r="K102" i="29" s="1"/>
  <c r="C40" i="7"/>
  <c r="C457" i="7"/>
  <c r="C50" i="7"/>
  <c r="C106" i="7"/>
  <c r="C64" i="7"/>
  <c r="C232" i="7"/>
  <c r="E101" i="29" s="1"/>
  <c r="C541" i="7"/>
  <c r="C550" i="7"/>
  <c r="E5" i="29" s="1"/>
  <c r="C331" i="7"/>
  <c r="C203" i="7"/>
  <c r="G88" i="30"/>
  <c r="G494" i="7"/>
  <c r="C7" i="29" s="1"/>
  <c r="G94" i="7"/>
  <c r="G27" i="7"/>
  <c r="C35" i="29" s="1"/>
  <c r="G226" i="7"/>
  <c r="C56" i="29" s="1"/>
  <c r="G237" i="7"/>
  <c r="C102" i="29" s="1"/>
  <c r="G223" i="7"/>
  <c r="I53" i="29" s="1"/>
  <c r="G651" i="7"/>
  <c r="I54" i="29" s="1"/>
  <c r="G154" i="7"/>
  <c r="I106" i="29" s="1"/>
  <c r="G159" i="7"/>
  <c r="C80" i="29" s="1"/>
  <c r="G625" i="7"/>
  <c r="I55" i="29" s="1"/>
  <c r="G28" i="7"/>
  <c r="I33" i="29" s="1"/>
  <c r="G59" i="7"/>
  <c r="C10" i="29" s="1"/>
  <c r="G186" i="7"/>
  <c r="I82" i="29" s="1"/>
  <c r="G128" i="7"/>
  <c r="I78" i="29" s="1"/>
  <c r="G108" i="7"/>
  <c r="I57" i="29" s="1"/>
  <c r="G221" i="7"/>
  <c r="C54" i="29" s="1"/>
  <c r="G232" i="7"/>
  <c r="C101" i="29" s="1"/>
  <c r="G15" i="7"/>
  <c r="I105" i="29" s="1"/>
  <c r="G382" i="7"/>
  <c r="C3" i="29" s="1"/>
  <c r="B2" i="7"/>
  <c r="G229" i="7"/>
  <c r="I101" i="29" s="1"/>
  <c r="G255" i="7"/>
  <c r="C128" i="29" s="1"/>
  <c r="G397" i="7"/>
  <c r="C58" i="29" s="1"/>
  <c r="G360" i="7"/>
  <c r="C134" i="29" s="1"/>
  <c r="G342" i="7"/>
  <c r="C82" i="29" s="1"/>
  <c r="G53" i="7"/>
  <c r="C9" i="29" s="1"/>
  <c r="G97" i="7"/>
  <c r="I80" i="29" s="1"/>
  <c r="G669" i="7"/>
  <c r="C55" i="29" s="1"/>
  <c r="G299" i="7"/>
  <c r="C78" i="29" s="1"/>
  <c r="G23" i="7"/>
  <c r="C79" i="29" s="1"/>
  <c r="G362" i="7"/>
  <c r="I107" i="29" s="1"/>
  <c r="G156" i="7"/>
  <c r="C133" i="29" s="1"/>
  <c r="G341" i="7"/>
  <c r="I56" i="29" s="1"/>
  <c r="G169" i="7"/>
  <c r="C105" i="29" s="1"/>
  <c r="B8" i="7"/>
  <c r="G42" i="7"/>
  <c r="C33" i="29" s="1"/>
  <c r="G227" i="7"/>
  <c r="I77" i="29" s="1"/>
  <c r="G46" i="7"/>
  <c r="C83" i="29" s="1"/>
  <c r="G57" i="7"/>
  <c r="C132" i="29" s="1"/>
  <c r="G355" i="7"/>
  <c r="C29" i="29" s="1"/>
  <c r="G363" i="7"/>
  <c r="C103" i="29" s="1"/>
  <c r="G524" i="7"/>
  <c r="C84" i="29" s="1"/>
  <c r="G230" i="7"/>
  <c r="C126" i="29" s="1"/>
  <c r="G681" i="7"/>
  <c r="C53" i="29" s="1"/>
  <c r="G134" i="7"/>
  <c r="C30" i="29" s="1"/>
  <c r="G24" i="7"/>
  <c r="C8" i="29" s="1"/>
  <c r="G260" i="7"/>
  <c r="C57" i="29" s="1"/>
  <c r="G245" i="7"/>
  <c r="C4" i="29" s="1"/>
  <c r="G280" i="7"/>
  <c r="C130" i="29" s="1"/>
  <c r="G236" i="7"/>
  <c r="I102" i="29" s="1"/>
  <c r="G18" i="7"/>
  <c r="I104" i="29" s="1"/>
  <c r="G16" i="7"/>
  <c r="C81" i="29" s="1"/>
  <c r="G354" i="7"/>
  <c r="G521" i="7"/>
  <c r="G171" i="7"/>
  <c r="I34" i="29" s="1"/>
  <c r="G95" i="7"/>
  <c r="C104" i="29" s="1"/>
  <c r="G14" i="7"/>
  <c r="C6" i="29" s="1"/>
  <c r="G34" i="7"/>
  <c r="I81" i="29" s="1"/>
  <c r="G19" i="7"/>
  <c r="C129" i="29" s="1"/>
  <c r="G234" i="7"/>
  <c r="I30" i="29" s="1"/>
  <c r="G552" i="7"/>
  <c r="C36" i="29" s="1"/>
  <c r="B6" i="7"/>
  <c r="G188" i="7"/>
  <c r="C125" i="29" s="1"/>
  <c r="G222" i="7"/>
  <c r="I29" i="29" s="1"/>
  <c r="B4" i="7"/>
  <c r="G13" i="7"/>
  <c r="C32" i="29" s="1"/>
  <c r="C77" i="29"/>
  <c r="I83" i="29"/>
  <c r="I84" i="29"/>
  <c r="Y6" i="29"/>
  <c r="Z6" i="29" s="1"/>
  <c r="H522" i="30"/>
  <c r="H363" i="30"/>
  <c r="F87" i="31" l="1"/>
  <c r="F113" i="31"/>
  <c r="F69" i="31"/>
  <c r="F52" i="31"/>
  <c r="F81" i="31"/>
  <c r="F95" i="31"/>
  <c r="F70" i="31"/>
  <c r="F90" i="31"/>
  <c r="F55" i="31"/>
  <c r="F94" i="31"/>
  <c r="F77" i="31"/>
  <c r="F263" i="31"/>
  <c r="F257" i="31"/>
  <c r="F159" i="31"/>
  <c r="F268" i="31"/>
  <c r="F344" i="31"/>
  <c r="F347" i="31"/>
  <c r="F169" i="31"/>
  <c r="F334" i="31"/>
  <c r="F285" i="31"/>
  <c r="F143" i="31"/>
  <c r="F325" i="31"/>
  <c r="F210" i="31"/>
  <c r="F134" i="31"/>
  <c r="F266" i="31"/>
  <c r="F145" i="31"/>
  <c r="F192" i="31"/>
  <c r="F220" i="31"/>
  <c r="F335" i="31"/>
  <c r="F221" i="31"/>
  <c r="F132" i="31"/>
  <c r="F265" i="31"/>
  <c r="F115" i="31"/>
  <c r="F188" i="31"/>
  <c r="F193" i="31"/>
  <c r="F163" i="31"/>
  <c r="F253" i="31"/>
  <c r="F177" i="31"/>
  <c r="F129" i="31"/>
  <c r="G363" i="30"/>
  <c r="G522" i="30"/>
  <c r="F243" i="32"/>
  <c r="F207" i="32"/>
  <c r="F514" i="32"/>
  <c r="F185" i="32"/>
  <c r="F580" i="32"/>
  <c r="F502" i="32"/>
  <c r="F59" i="32"/>
  <c r="F379" i="32"/>
  <c r="F477" i="32"/>
  <c r="F418" i="32"/>
  <c r="F52" i="32"/>
  <c r="F356" i="32"/>
  <c r="F446" i="32"/>
  <c r="F190" i="32"/>
  <c r="F126" i="32"/>
  <c r="F135" i="32"/>
  <c r="F17" i="32"/>
  <c r="F382" i="32"/>
  <c r="F238" i="32"/>
  <c r="F598" i="32"/>
  <c r="F213" i="32"/>
  <c r="F283" i="32"/>
  <c r="F467" i="32"/>
  <c r="F145" i="32"/>
  <c r="F253" i="32"/>
  <c r="F465" i="32"/>
  <c r="F425" i="32"/>
  <c r="F331" i="32"/>
  <c r="F600" i="32"/>
  <c r="F292" i="32"/>
  <c r="F557" i="32"/>
  <c r="F262" i="32"/>
  <c r="F294" i="32"/>
  <c r="F255" i="32"/>
  <c r="F403" i="32"/>
  <c r="F20" i="32"/>
  <c r="F406" i="32"/>
  <c r="F495" i="32"/>
  <c r="F545" i="32"/>
  <c r="F550" i="32"/>
  <c r="F308" i="32"/>
  <c r="F198" i="32"/>
  <c r="F106" i="32"/>
  <c r="F612" i="32"/>
  <c r="F216" i="32"/>
  <c r="F273" i="32"/>
  <c r="F341" i="32"/>
  <c r="F204" i="32"/>
  <c r="F352" i="32"/>
  <c r="F490" i="32"/>
  <c r="F166" i="32"/>
  <c r="F170" i="32"/>
  <c r="F248" i="32"/>
  <c r="F301" i="32"/>
  <c r="F164" i="32"/>
  <c r="F494" i="32"/>
  <c r="F154" i="32"/>
  <c r="F312" i="32"/>
  <c r="F553" i="32"/>
  <c r="F531" i="32"/>
  <c r="F519" i="32"/>
  <c r="F174" i="32"/>
  <c r="F142" i="32"/>
  <c r="F125" i="32"/>
  <c r="F480" i="32"/>
  <c r="F199" i="32"/>
  <c r="F363" i="31"/>
  <c r="F499" i="32"/>
  <c r="F525" i="32"/>
  <c r="F219" i="31"/>
  <c r="F143" i="32"/>
  <c r="F558" i="32"/>
  <c r="F283" i="31"/>
  <c r="F72" i="31"/>
  <c r="F304" i="31"/>
  <c r="F53" i="32"/>
  <c r="F383" i="31"/>
  <c r="F399" i="31"/>
  <c r="F164" i="31"/>
  <c r="F337" i="31"/>
  <c r="F211" i="32"/>
  <c r="F452" i="32"/>
  <c r="F200" i="32"/>
  <c r="F420" i="32"/>
  <c r="F287" i="32"/>
  <c r="F8" i="32"/>
  <c r="F233" i="32"/>
  <c r="F50" i="32"/>
  <c r="F175" i="32"/>
  <c r="F83" i="32"/>
  <c r="F165" i="32"/>
  <c r="F601" i="32"/>
  <c r="F116" i="32"/>
  <c r="F290" i="32"/>
  <c r="F178" i="32"/>
  <c r="F586" i="32"/>
  <c r="F23" i="30"/>
  <c r="F46" i="30"/>
  <c r="F62" i="30"/>
  <c r="F27" i="30"/>
  <c r="F5" i="30"/>
  <c r="F41" i="30"/>
  <c r="F16" i="30"/>
  <c r="F84" i="30"/>
  <c r="F10" i="30"/>
  <c r="F4" i="30"/>
  <c r="F21" i="30"/>
  <c r="F44" i="30"/>
  <c r="F20" i="30"/>
  <c r="F36" i="30"/>
  <c r="F280" i="30"/>
  <c r="F81" i="30"/>
  <c r="F40" i="30"/>
  <c r="F19" i="30"/>
  <c r="F160" i="32"/>
  <c r="F60" i="31"/>
  <c r="F58" i="31"/>
  <c r="F210" i="32"/>
  <c r="F366" i="31"/>
  <c r="F179" i="31"/>
  <c r="F267" i="30"/>
  <c r="F521" i="32"/>
  <c r="F117" i="31"/>
  <c r="F265" i="32"/>
  <c r="F118" i="31"/>
  <c r="F271" i="32"/>
  <c r="F244" i="31"/>
  <c r="F39" i="31"/>
  <c r="F92" i="31"/>
  <c r="F184" i="32"/>
  <c r="F554" i="32"/>
  <c r="F371" i="32"/>
  <c r="F230" i="31"/>
  <c r="F47" i="30"/>
  <c r="F470" i="32"/>
  <c r="F213" i="31"/>
  <c r="F6" i="30"/>
  <c r="F60" i="32"/>
  <c r="F432" i="32"/>
  <c r="F29" i="30"/>
  <c r="F604" i="32"/>
  <c r="F217" i="32"/>
  <c r="F353" i="31"/>
  <c r="F44" i="31"/>
  <c r="F28" i="30"/>
  <c r="F574" i="32"/>
  <c r="F86" i="32"/>
  <c r="F321" i="32"/>
  <c r="F12" i="32"/>
  <c r="F179" i="32"/>
  <c r="F47" i="31"/>
  <c r="F114" i="32"/>
  <c r="F303" i="31"/>
  <c r="F286" i="31"/>
  <c r="F345" i="31"/>
  <c r="F156" i="32"/>
  <c r="F435" i="32"/>
  <c r="F497" i="32"/>
  <c r="F362" i="31"/>
  <c r="F56" i="31"/>
  <c r="F487" i="32"/>
  <c r="F390" i="32"/>
  <c r="F274" i="31"/>
  <c r="F2" i="32"/>
  <c r="F359" i="32"/>
  <c r="F156" i="31"/>
  <c r="F66" i="31"/>
  <c r="F232" i="31"/>
  <c r="F381" i="31"/>
  <c r="F324" i="31"/>
  <c r="F368" i="32"/>
  <c r="F15" i="30"/>
  <c r="F169" i="32"/>
  <c r="F448" i="32"/>
  <c r="F231" i="31"/>
  <c r="F65" i="32"/>
  <c r="F319" i="32"/>
  <c r="F327" i="32"/>
  <c r="F343" i="32"/>
  <c r="F54" i="31"/>
  <c r="F133" i="32"/>
  <c r="F250" i="31"/>
  <c r="F55" i="30"/>
  <c r="F299" i="30"/>
  <c r="F346" i="32"/>
  <c r="F462" i="32"/>
  <c r="F205" i="32"/>
  <c r="F400" i="31"/>
  <c r="F297" i="31"/>
  <c r="F279" i="32"/>
  <c r="F196" i="31"/>
  <c r="F555" i="32"/>
  <c r="F71" i="32"/>
  <c r="F373" i="31"/>
  <c r="F57" i="32"/>
  <c r="F324" i="32"/>
  <c r="F543" i="32"/>
  <c r="F282" i="32"/>
  <c r="F63" i="32"/>
  <c r="F478" i="32"/>
  <c r="F260" i="31"/>
  <c r="F230" i="32"/>
  <c r="F107" i="32"/>
  <c r="F305" i="31"/>
  <c r="F297" i="32"/>
  <c r="F98" i="31"/>
  <c r="F9" i="32"/>
  <c r="F233" i="31"/>
  <c r="F332" i="32"/>
  <c r="F123" i="31"/>
  <c r="F267" i="32"/>
  <c r="F389" i="32"/>
  <c r="F243" i="31"/>
  <c r="F21" i="32"/>
  <c r="F535" i="32"/>
  <c r="F296" i="32"/>
  <c r="F348" i="31"/>
  <c r="F235" i="32"/>
  <c r="F563" i="32"/>
  <c r="F149" i="31"/>
  <c r="F277" i="32"/>
  <c r="F159" i="32"/>
  <c r="F337" i="32"/>
  <c r="F88" i="31"/>
  <c r="F307" i="32"/>
  <c r="F300" i="32"/>
  <c r="F358" i="32"/>
  <c r="F393" i="31"/>
  <c r="F301" i="31"/>
  <c r="F395" i="32"/>
  <c r="F606" i="32"/>
  <c r="F402" i="30"/>
  <c r="F197" i="31"/>
  <c r="F10" i="32"/>
  <c r="F51" i="30"/>
  <c r="F152" i="31"/>
  <c r="F93" i="31"/>
  <c r="F393" i="32"/>
  <c r="F221" i="32"/>
  <c r="F243" i="30"/>
  <c r="F238" i="31"/>
  <c r="F57" i="31"/>
  <c r="F548" i="32"/>
  <c r="F56" i="32"/>
  <c r="F581" i="32"/>
  <c r="F26" i="30"/>
  <c r="F19" i="31"/>
  <c r="F17" i="30"/>
  <c r="F247" i="32"/>
  <c r="F415" i="32"/>
  <c r="F123" i="30"/>
  <c r="F330" i="32"/>
  <c r="F351" i="32"/>
  <c r="F22" i="31"/>
  <c r="F35" i="30"/>
  <c r="F30" i="31"/>
  <c r="F519" i="30"/>
  <c r="F577" i="32"/>
  <c r="F111" i="31"/>
  <c r="F212" i="31"/>
  <c r="F474" i="32"/>
  <c r="F381" i="32"/>
  <c r="F249" i="30"/>
  <c r="F138" i="32"/>
  <c r="F32" i="30"/>
  <c r="F572" i="32"/>
  <c r="F106" i="31"/>
  <c r="F549" i="32"/>
  <c r="F61" i="30"/>
  <c r="F520" i="32"/>
  <c r="F161" i="32"/>
  <c r="F391" i="31"/>
  <c r="F562" i="32"/>
  <c r="F378" i="32"/>
  <c r="F342" i="32"/>
  <c r="F120" i="32"/>
  <c r="F364" i="32"/>
  <c r="F139" i="32"/>
  <c r="F90" i="32"/>
  <c r="F39" i="32"/>
  <c r="F376" i="32"/>
  <c r="F570" i="32"/>
  <c r="F413" i="32"/>
  <c r="F155" i="30"/>
  <c r="F236" i="31"/>
  <c r="F50" i="30"/>
  <c r="F290" i="30"/>
  <c r="F27" i="32"/>
  <c r="F364" i="31"/>
  <c r="F33" i="30"/>
  <c r="F388" i="32"/>
  <c r="F42" i="31"/>
  <c r="F28" i="32"/>
  <c r="F34" i="31"/>
  <c r="F80" i="31"/>
  <c r="F229" i="31"/>
  <c r="F22" i="30"/>
  <c r="F368" i="31"/>
  <c r="F341" i="31"/>
  <c r="F615" i="32"/>
  <c r="F187" i="32"/>
  <c r="F19" i="32"/>
  <c r="F46" i="32"/>
  <c r="F248" i="31"/>
  <c r="F122" i="32"/>
  <c r="F52" i="30"/>
  <c r="F208" i="32"/>
  <c r="F556" i="32"/>
  <c r="F529" i="30"/>
  <c r="F242" i="32"/>
  <c r="F18" i="30"/>
  <c r="F81" i="32"/>
  <c r="F439" i="30"/>
  <c r="F53" i="31"/>
  <c r="F228" i="31"/>
  <c r="F250" i="32"/>
  <c r="F382" i="31"/>
  <c r="F254" i="31"/>
  <c r="F479" i="32"/>
  <c r="F330" i="30"/>
  <c r="F266" i="32"/>
  <c r="F96" i="32"/>
  <c r="F369" i="32"/>
  <c r="F65" i="30"/>
  <c r="F32" i="32"/>
  <c r="F214" i="31"/>
  <c r="F436" i="32"/>
  <c r="F140" i="30"/>
  <c r="F374" i="31"/>
  <c r="F176" i="32"/>
  <c r="F232" i="32"/>
  <c r="F575" i="32"/>
  <c r="F43" i="32"/>
  <c r="F589" i="32"/>
  <c r="F446" i="30"/>
  <c r="F95" i="32"/>
  <c r="F68" i="31"/>
  <c r="F112" i="32"/>
  <c r="F138" i="31"/>
  <c r="F17" i="31"/>
  <c r="F466" i="30"/>
  <c r="F192" i="32"/>
  <c r="F378" i="31"/>
  <c r="F453" i="32"/>
  <c r="F293" i="30"/>
  <c r="F416" i="32"/>
  <c r="F375" i="31"/>
  <c r="F62" i="32"/>
  <c r="F466" i="32"/>
  <c r="F347" i="30"/>
  <c r="F518" i="32"/>
  <c r="F346" i="31"/>
  <c r="F223" i="31"/>
  <c r="F254" i="32"/>
  <c r="F185" i="31"/>
  <c r="F339" i="31"/>
  <c r="F274" i="30"/>
  <c r="F172" i="32"/>
  <c r="F582" i="32"/>
  <c r="F340" i="30"/>
  <c r="F322" i="32"/>
  <c r="F526" i="32"/>
  <c r="F306" i="31"/>
  <c r="F105" i="32"/>
  <c r="F265" i="30"/>
  <c r="F362" i="32"/>
  <c r="F489" i="32"/>
  <c r="F89" i="30"/>
  <c r="F86" i="31"/>
  <c r="F114" i="31"/>
  <c r="F173" i="32"/>
  <c r="F177" i="30"/>
  <c r="F165" i="31"/>
  <c r="F168" i="32"/>
  <c r="F135" i="30"/>
  <c r="F74" i="30"/>
  <c r="F373" i="32"/>
  <c r="F365" i="30"/>
  <c r="F278" i="30"/>
  <c r="F524" i="32"/>
  <c r="F51" i="31"/>
  <c r="F387" i="30"/>
  <c r="F67" i="30"/>
  <c r="F172" i="30"/>
  <c r="F317" i="30"/>
  <c r="F65" i="31"/>
  <c r="F434" i="32"/>
  <c r="F459" i="32"/>
  <c r="F247" i="30"/>
  <c r="F195" i="32"/>
  <c r="F124" i="31"/>
  <c r="F245" i="32"/>
  <c r="F551" i="32"/>
  <c r="F336" i="32"/>
  <c r="F455" i="30"/>
  <c r="F241" i="31"/>
  <c r="F134" i="32"/>
  <c r="F4" i="31"/>
  <c r="F38" i="31"/>
  <c r="F475" i="32"/>
  <c r="F533" i="32"/>
  <c r="F564" i="32"/>
  <c r="F56" i="30"/>
  <c r="F356" i="31"/>
  <c r="F333" i="32"/>
  <c r="F68" i="30"/>
  <c r="F163" i="32"/>
  <c r="F89" i="31"/>
  <c r="F338" i="32"/>
  <c r="F93" i="32"/>
  <c r="F89" i="32"/>
  <c r="F167" i="31"/>
  <c r="F267" i="31"/>
  <c r="F132" i="30"/>
  <c r="F99" i="32"/>
  <c r="F262" i="31"/>
  <c r="F268" i="32"/>
  <c r="F547" i="32"/>
  <c r="F222" i="30"/>
  <c r="F252" i="31"/>
  <c r="F395" i="31"/>
  <c r="F22" i="32"/>
  <c r="F72" i="30"/>
  <c r="F338" i="31"/>
  <c r="F189" i="30"/>
  <c r="F186" i="31"/>
  <c r="F117" i="32"/>
  <c r="F280" i="31"/>
  <c r="F43" i="30"/>
  <c r="F323" i="31"/>
  <c r="F246" i="31"/>
  <c r="F510" i="32"/>
  <c r="F355" i="32"/>
  <c r="F119" i="31"/>
  <c r="F11" i="32"/>
  <c r="F170" i="31"/>
  <c r="F485" i="32"/>
  <c r="F289" i="30"/>
  <c r="F183" i="30"/>
  <c r="F365" i="31"/>
  <c r="F69" i="32"/>
  <c r="F205" i="31"/>
  <c r="F174" i="31"/>
  <c r="F448" i="30"/>
  <c r="F8" i="31"/>
  <c r="F247" i="31"/>
  <c r="F307" i="31"/>
  <c r="F377" i="32"/>
  <c r="F172" i="31"/>
  <c r="F270" i="30"/>
  <c r="F110" i="32"/>
  <c r="F352" i="30"/>
  <c r="F324" i="30"/>
  <c r="F471" i="32"/>
  <c r="F513" i="30"/>
  <c r="F31" i="32"/>
  <c r="F202" i="30"/>
  <c r="F94" i="30"/>
  <c r="F26" i="32"/>
  <c r="F465" i="30"/>
  <c r="F109" i="30"/>
  <c r="F217" i="31"/>
  <c r="F599" i="32"/>
  <c r="F191" i="30"/>
  <c r="F27" i="31"/>
  <c r="F306" i="32"/>
  <c r="F146" i="31"/>
  <c r="F388" i="31"/>
  <c r="F91" i="31"/>
  <c r="F176" i="30"/>
  <c r="F219" i="32"/>
  <c r="F310" i="31"/>
  <c r="F221" i="30"/>
  <c r="F151" i="31"/>
  <c r="F311" i="32"/>
  <c r="F354" i="32"/>
  <c r="F424" i="30"/>
  <c r="F233" i="30"/>
  <c r="F585" i="32"/>
  <c r="F367" i="32"/>
  <c r="F119" i="32"/>
  <c r="F252" i="30"/>
  <c r="F211" i="31"/>
  <c r="F375" i="32"/>
  <c r="F460" i="32"/>
  <c r="F76" i="31"/>
  <c r="F14" i="32"/>
  <c r="F94" i="32"/>
  <c r="F417" i="32"/>
  <c r="F328" i="32"/>
  <c r="F8" i="30"/>
  <c r="F226" i="31"/>
  <c r="F204" i="31"/>
  <c r="F82" i="32"/>
  <c r="F149" i="32"/>
  <c r="F522" i="32"/>
  <c r="F321" i="30"/>
  <c r="F403" i="30"/>
  <c r="F73" i="31"/>
  <c r="F61" i="32"/>
  <c r="F191" i="32"/>
  <c r="F63" i="31"/>
  <c r="F194" i="32"/>
  <c r="F104" i="31"/>
  <c r="F146" i="30"/>
  <c r="F452" i="30"/>
  <c r="F85" i="30"/>
  <c r="F249" i="32"/>
  <c r="F113" i="30"/>
  <c r="F561" i="32"/>
  <c r="F367" i="31"/>
  <c r="F278" i="31"/>
  <c r="F92" i="30"/>
  <c r="F185" i="30"/>
  <c r="F325" i="32"/>
  <c r="F232" i="30"/>
  <c r="F283" i="30"/>
  <c r="F67" i="31"/>
  <c r="F12" i="30"/>
  <c r="F3" i="32"/>
  <c r="F373" i="30"/>
  <c r="F385" i="32"/>
  <c r="F458" i="32"/>
  <c r="F340" i="32"/>
  <c r="F350" i="31"/>
  <c r="F469" i="30"/>
  <c r="F119" i="30"/>
  <c r="F127" i="30"/>
  <c r="F194" i="31"/>
  <c r="F348" i="32"/>
  <c r="F422" i="32"/>
  <c r="F14" i="30"/>
  <c r="F529" i="32"/>
  <c r="F296" i="31"/>
  <c r="F196" i="32"/>
  <c r="F260" i="30"/>
  <c r="F423" i="30"/>
  <c r="F10" i="31"/>
  <c r="F66" i="32"/>
  <c r="F101" i="32"/>
  <c r="F343" i="31"/>
  <c r="F239" i="30"/>
  <c r="F71" i="31"/>
  <c r="F5" i="32"/>
  <c r="F327" i="30"/>
  <c r="F5" i="31"/>
  <c r="F260" i="32"/>
  <c r="F121" i="31"/>
  <c r="F287" i="31"/>
  <c r="F271" i="30"/>
  <c r="F527" i="32"/>
  <c r="F48" i="32"/>
  <c r="F245" i="31"/>
  <c r="F4" i="32"/>
  <c r="F237" i="30"/>
  <c r="F461" i="32"/>
  <c r="F229" i="32"/>
  <c r="F64" i="31"/>
  <c r="F516" i="30"/>
  <c r="F227" i="32"/>
  <c r="F46" i="31"/>
  <c r="F393" i="30"/>
  <c r="F75" i="32"/>
  <c r="F371" i="30"/>
  <c r="F422" i="30"/>
  <c r="F137" i="30"/>
  <c r="F407" i="30"/>
  <c r="F371" i="31"/>
  <c r="F377" i="30"/>
  <c r="F244" i="30"/>
  <c r="F78" i="31"/>
  <c r="F523" i="30"/>
  <c r="F430" i="32"/>
  <c r="F109" i="32"/>
  <c r="F41" i="31"/>
  <c r="F419" i="32"/>
  <c r="F314" i="30"/>
  <c r="F286" i="32"/>
  <c r="F277" i="30"/>
  <c r="F155" i="32"/>
  <c r="F559" i="32"/>
  <c r="F511" i="32"/>
  <c r="F141" i="30"/>
  <c r="F339" i="30"/>
  <c r="F236" i="32"/>
  <c r="F31" i="30"/>
  <c r="F602" i="32"/>
  <c r="F546" i="32"/>
  <c r="F237" i="32"/>
  <c r="F152" i="30"/>
  <c r="F334" i="32"/>
  <c r="F45" i="30"/>
  <c r="F252" i="32"/>
  <c r="F507" i="30"/>
  <c r="F427" i="30"/>
  <c r="F522" i="30"/>
  <c r="F394" i="30"/>
  <c r="F240" i="32"/>
  <c r="F357" i="31"/>
  <c r="F178" i="31"/>
  <c r="F116" i="31"/>
  <c r="F240" i="30"/>
  <c r="F218" i="30"/>
  <c r="F480" i="30"/>
  <c r="F498" i="32"/>
  <c r="F131" i="32"/>
  <c r="F246" i="32"/>
  <c r="F87" i="30"/>
  <c r="F484" i="30"/>
  <c r="F320" i="31"/>
  <c r="F392" i="30"/>
  <c r="F353" i="30"/>
  <c r="F501" i="32"/>
  <c r="F498" i="30"/>
  <c r="F508" i="30"/>
  <c r="F495" i="30"/>
  <c r="F255" i="30"/>
  <c r="F344" i="32"/>
  <c r="F207" i="31"/>
  <c r="F350" i="30"/>
  <c r="F321" i="31"/>
  <c r="F399" i="30"/>
  <c r="F202" i="32"/>
  <c r="F7" i="30"/>
  <c r="F70" i="32"/>
  <c r="F481" i="30"/>
  <c r="F314" i="31"/>
  <c r="F102" i="31"/>
  <c r="F389" i="30"/>
  <c r="F121" i="32"/>
  <c r="F305" i="32"/>
  <c r="F347" i="32"/>
  <c r="F162" i="32"/>
  <c r="F423" i="32"/>
  <c r="F346" i="30"/>
  <c r="F38" i="30"/>
  <c r="F200" i="30"/>
  <c r="F234" i="30"/>
  <c r="F209" i="32"/>
  <c r="F224" i="30"/>
  <c r="F407" i="32"/>
  <c r="F18" i="32"/>
  <c r="F304" i="32"/>
  <c r="F150" i="31"/>
  <c r="F74" i="31"/>
  <c r="F175" i="31"/>
  <c r="F294" i="31"/>
  <c r="F355" i="31"/>
  <c r="F276" i="31"/>
  <c r="F336" i="31"/>
  <c r="F308" i="31"/>
  <c r="F342" i="31"/>
  <c r="F387" i="31"/>
  <c r="F275" i="31"/>
  <c r="F59" i="31"/>
  <c r="F158" i="31"/>
  <c r="F173" i="31"/>
  <c r="F298" i="31"/>
  <c r="F168" i="31"/>
  <c r="F385" i="31"/>
  <c r="F340" i="31"/>
  <c r="F99" i="31"/>
  <c r="F394" i="31"/>
  <c r="F15" i="31"/>
  <c r="F109" i="31"/>
  <c r="F292" i="30"/>
  <c r="F254" i="30"/>
  <c r="F482" i="32"/>
  <c r="F415" i="30"/>
  <c r="F293" i="31"/>
  <c r="F481" i="32"/>
  <c r="F398" i="31"/>
  <c r="F200" i="31"/>
  <c r="F303" i="30"/>
  <c r="F469" i="32"/>
  <c r="F443" i="32"/>
  <c r="F128" i="30"/>
  <c r="F178" i="30"/>
  <c r="F537" i="32"/>
  <c r="F144" i="32"/>
  <c r="F183" i="31"/>
  <c r="F42" i="30"/>
  <c r="F264" i="32"/>
  <c r="F222" i="31"/>
  <c r="F335" i="32"/>
  <c r="F50" i="31"/>
  <c r="F309" i="31"/>
  <c r="F222" i="32"/>
  <c r="F197" i="32"/>
  <c r="F402" i="31"/>
  <c r="F42" i="32"/>
  <c r="F286" i="30"/>
  <c r="F47" i="32"/>
  <c r="F523" i="32"/>
  <c r="F567" i="32"/>
  <c r="F293" i="32"/>
  <c r="F153" i="32"/>
  <c r="F41" i="32"/>
  <c r="F299" i="31"/>
  <c r="F130" i="32"/>
  <c r="F54" i="30"/>
  <c r="F212" i="32"/>
  <c r="F611" i="32"/>
  <c r="F310" i="32"/>
  <c r="F215" i="31"/>
  <c r="F433" i="30"/>
  <c r="F291" i="31"/>
  <c r="F92" i="32"/>
  <c r="F63" i="30"/>
  <c r="F538" i="32"/>
  <c r="F447" i="30"/>
  <c r="F302" i="32"/>
  <c r="F603" i="32"/>
  <c r="F404" i="30"/>
  <c r="F128" i="32"/>
  <c r="F322" i="31"/>
  <c r="F412" i="32"/>
  <c r="F282" i="31"/>
  <c r="F118" i="30"/>
  <c r="F309" i="30"/>
  <c r="F148" i="32"/>
  <c r="F181" i="32"/>
  <c r="F507" i="32"/>
  <c r="F372" i="31"/>
  <c r="F199" i="30"/>
  <c r="F257" i="32"/>
  <c r="F428" i="30"/>
  <c r="F208" i="31"/>
  <c r="F315" i="31"/>
  <c r="F129" i="32"/>
  <c r="F605" i="32"/>
  <c r="F169" i="30"/>
  <c r="F85" i="31"/>
  <c r="F493" i="32"/>
  <c r="F285" i="30"/>
  <c r="F289" i="31"/>
  <c r="F108" i="31"/>
  <c r="F133" i="30"/>
  <c r="F264" i="31"/>
  <c r="F471" i="30"/>
  <c r="F154" i="31"/>
  <c r="F255" i="31"/>
  <c r="F62" i="31"/>
  <c r="F67" i="32"/>
  <c r="F610" i="32"/>
  <c r="F565" i="32"/>
  <c r="F167" i="32"/>
  <c r="F288" i="32"/>
  <c r="F397" i="30"/>
  <c r="F213" i="30"/>
  <c r="F488" i="32"/>
  <c r="F96" i="31"/>
  <c r="F354" i="30"/>
  <c r="F150" i="32"/>
  <c r="F490" i="30"/>
  <c r="F14" i="31"/>
  <c r="F613" i="32"/>
  <c r="F117" i="30"/>
  <c r="F408" i="30"/>
  <c r="F100" i="31"/>
  <c r="F132" i="32"/>
  <c r="F544" i="32"/>
  <c r="F9" i="30"/>
  <c r="F48" i="31"/>
  <c r="F20" i="31"/>
  <c r="F136" i="31"/>
  <c r="F158" i="32"/>
  <c r="F75" i="30"/>
  <c r="F331" i="30"/>
  <c r="F134" i="30"/>
  <c r="F303" i="32"/>
  <c r="F329" i="30"/>
  <c r="F49" i="30"/>
  <c r="F95" i="30"/>
  <c r="F515" i="32"/>
  <c r="F349" i="31"/>
  <c r="F215" i="32"/>
  <c r="F141" i="32"/>
  <c r="F55" i="32"/>
  <c r="F372" i="32"/>
  <c r="F33" i="31"/>
  <c r="F467" i="30"/>
  <c r="F110" i="31"/>
  <c r="F455" i="32"/>
  <c r="F341" i="30"/>
  <c r="F313" i="30"/>
  <c r="F530" i="32"/>
  <c r="F112" i="30"/>
  <c r="F300" i="30"/>
  <c r="F141" i="31"/>
  <c r="F491" i="32"/>
  <c r="F331" i="31"/>
  <c r="F241" i="32"/>
  <c r="F429" i="30"/>
  <c r="F34" i="32"/>
  <c r="F494" i="30"/>
  <c r="F363" i="32"/>
  <c r="F49" i="31"/>
  <c r="F360" i="32"/>
  <c r="F87" i="32"/>
  <c r="F12" i="31"/>
  <c r="F282" i="30"/>
  <c r="F83" i="31"/>
  <c r="F108" i="30"/>
  <c r="F380" i="31"/>
  <c r="F269" i="32"/>
  <c r="F363" i="30"/>
  <c r="F58" i="32"/>
  <c r="F224" i="32"/>
  <c r="F596" i="32"/>
  <c r="F463" i="32"/>
  <c r="F607" i="32"/>
  <c r="F329" i="32"/>
  <c r="F315" i="32"/>
  <c r="F614" i="32"/>
  <c r="F450" i="32"/>
  <c r="F447" i="32"/>
  <c r="F276" i="32"/>
  <c r="F391" i="32"/>
  <c r="F136" i="32"/>
  <c r="F223" i="32"/>
  <c r="F275" i="32"/>
  <c r="F187" i="31"/>
  <c r="F124" i="32"/>
  <c r="F125" i="31"/>
  <c r="F224" i="31"/>
  <c r="F285" i="32"/>
  <c r="F171" i="32"/>
  <c r="F113" i="32"/>
  <c r="F44" i="32"/>
  <c r="F316" i="31"/>
  <c r="F534" i="32"/>
  <c r="F299" i="32"/>
  <c r="F162" i="31"/>
  <c r="F397" i="32"/>
  <c r="F206" i="31"/>
  <c r="F137" i="31"/>
  <c r="F332" i="31"/>
  <c r="F16" i="32"/>
  <c r="F15" i="32"/>
  <c r="F291" i="32"/>
  <c r="F214" i="32"/>
  <c r="F239" i="31"/>
  <c r="F278" i="32"/>
  <c r="F151" i="32"/>
  <c r="F468" i="32"/>
  <c r="F98" i="32"/>
  <c r="F409" i="32"/>
  <c r="F171" i="31"/>
  <c r="F107" i="31"/>
  <c r="F235" i="31"/>
  <c r="F386" i="31"/>
  <c r="F397" i="31"/>
  <c r="F309" i="32"/>
  <c r="F476" i="32"/>
  <c r="F122" i="31"/>
  <c r="F203" i="31"/>
  <c r="F402" i="32"/>
  <c r="F140" i="31"/>
  <c r="F105" i="31"/>
  <c r="F74" i="32"/>
  <c r="F6" i="32"/>
  <c r="F234" i="31"/>
  <c r="F528" i="32"/>
  <c r="F590" i="32"/>
  <c r="F147" i="31"/>
  <c r="F259" i="31"/>
  <c r="F85" i="32"/>
  <c r="F189" i="31"/>
  <c r="F449" i="32"/>
  <c r="F279" i="31"/>
  <c r="F160" i="31"/>
  <c r="F377" i="31"/>
  <c r="F225" i="32"/>
  <c r="F609" i="32"/>
  <c r="F370" i="31"/>
  <c r="F131" i="31"/>
  <c r="F108" i="32"/>
  <c r="F78" i="32"/>
  <c r="F357" i="32"/>
  <c r="F261" i="31"/>
  <c r="F353" i="32"/>
  <c r="F128" i="31"/>
  <c r="F84" i="32"/>
  <c r="F199" i="31"/>
  <c r="F206" i="32"/>
  <c r="F328" i="31"/>
  <c r="F237" i="31"/>
  <c r="F504" i="32"/>
  <c r="F380" i="32"/>
  <c r="F330" i="31"/>
  <c r="F137" i="32"/>
  <c r="F35" i="32"/>
  <c r="F509" i="32"/>
  <c r="F269" i="31"/>
  <c r="F500" i="32"/>
  <c r="F270" i="32"/>
  <c r="F180" i="32"/>
  <c r="F226" i="32"/>
  <c r="F190" i="31"/>
  <c r="F486" i="32"/>
  <c r="F198" i="31"/>
  <c r="F503" i="32"/>
  <c r="F292" i="31"/>
  <c r="F147" i="32"/>
  <c r="F157" i="32"/>
  <c r="F176" i="31"/>
  <c r="F195" i="31"/>
  <c r="F256" i="31"/>
  <c r="F115" i="32"/>
  <c r="F288" i="31"/>
  <c r="F142" i="31"/>
  <c r="F103" i="32"/>
  <c r="F392" i="32"/>
  <c r="F51" i="32"/>
  <c r="F571" i="32"/>
  <c r="F358" i="31"/>
  <c r="F258" i="31"/>
  <c r="F270" i="31"/>
  <c r="F289" i="32"/>
  <c r="F177" i="32"/>
  <c r="F120" i="31"/>
  <c r="F111" i="32"/>
  <c r="F239" i="32"/>
  <c r="F295" i="32"/>
  <c r="F387" i="32"/>
  <c r="F33" i="32"/>
  <c r="F439" i="32"/>
  <c r="F16" i="31"/>
  <c r="F437" i="32"/>
  <c r="F274" i="32"/>
  <c r="F88" i="32"/>
  <c r="F484" i="32"/>
  <c r="F431" i="32"/>
  <c r="F399" i="32"/>
  <c r="F126" i="31"/>
  <c r="F186" i="32"/>
  <c r="F182" i="32"/>
  <c r="F398" i="32"/>
  <c r="F317" i="32"/>
  <c r="F326" i="31"/>
  <c r="F318" i="31"/>
  <c r="F451" i="32"/>
  <c r="F456" i="32"/>
  <c r="F29" i="32"/>
  <c r="F152" i="32"/>
  <c r="F457" i="32"/>
  <c r="F234" i="32"/>
  <c r="F394" i="32"/>
  <c r="F80" i="32"/>
  <c r="F444" i="32"/>
  <c r="F374" i="32"/>
  <c r="F440" i="32"/>
  <c r="F560" i="32"/>
  <c r="F390" i="31"/>
  <c r="F365" i="32"/>
  <c r="F112" i="31"/>
  <c r="F218" i="32"/>
  <c r="F587" i="32"/>
  <c r="F578" i="32"/>
  <c r="F354" i="31"/>
  <c r="F180" i="31"/>
  <c r="F103" i="31"/>
  <c r="F251" i="32"/>
  <c r="F302" i="31"/>
  <c r="F588" i="32"/>
  <c r="F244" i="32"/>
  <c r="F616" i="32"/>
  <c r="F540" i="32"/>
  <c r="F400" i="32"/>
  <c r="F26" i="31"/>
  <c r="F28" i="31"/>
  <c r="F284" i="31"/>
  <c r="F508" i="32"/>
  <c r="F312" i="31"/>
  <c r="F13" i="32"/>
  <c r="F155" i="31"/>
  <c r="F410" i="32"/>
  <c r="F298" i="32"/>
  <c r="F100" i="32"/>
  <c r="F383" i="32"/>
  <c r="F313" i="32"/>
  <c r="F228" i="32"/>
  <c r="F327" i="31"/>
  <c r="F597" i="32"/>
  <c r="F608" i="32"/>
  <c r="F76" i="32"/>
  <c r="F396" i="32"/>
  <c r="F445" i="32"/>
  <c r="F542" i="32"/>
  <c r="F263" i="32"/>
  <c r="F579" i="32"/>
  <c r="F594" i="32"/>
  <c r="F464" i="32"/>
  <c r="F231" i="32"/>
  <c r="F568" i="32"/>
  <c r="F140" i="32"/>
  <c r="F366" i="32"/>
  <c r="F127" i="32"/>
  <c r="F428" i="32"/>
  <c r="F350" i="32"/>
  <c r="F97" i="32"/>
  <c r="F454" i="32"/>
  <c r="F79" i="32"/>
  <c r="F73" i="32"/>
  <c r="F23" i="32"/>
  <c r="F256" i="32"/>
  <c r="F25" i="31"/>
  <c r="F9" i="31"/>
  <c r="F75" i="31"/>
  <c r="F595" i="32"/>
  <c r="F438" i="32"/>
  <c r="F68" i="32"/>
  <c r="F45" i="31"/>
  <c r="F421" i="32"/>
  <c r="F573" i="32"/>
  <c r="F40" i="31"/>
  <c r="F7" i="31"/>
  <c r="F349" i="32"/>
  <c r="F339" i="32"/>
  <c r="F345" i="32"/>
  <c r="F473" i="32"/>
  <c r="F118" i="32"/>
  <c r="F21" i="31"/>
  <c r="F183" i="32"/>
  <c r="F82" i="31"/>
  <c r="F539" i="32"/>
  <c r="F517" i="32"/>
  <c r="F249" i="31"/>
  <c r="F351" i="31"/>
  <c r="F433" i="32"/>
  <c r="F36" i="32"/>
  <c r="F424" i="32"/>
  <c r="F329" i="31"/>
  <c r="F313" i="31"/>
  <c r="F404" i="32"/>
  <c r="F319" i="31"/>
  <c r="F203" i="32"/>
  <c r="F317" i="31"/>
  <c r="F379" i="31"/>
  <c r="F64" i="32"/>
  <c r="F584" i="32"/>
  <c r="F38" i="32"/>
  <c r="F272" i="32"/>
  <c r="F361" i="32"/>
  <c r="F281" i="32"/>
  <c r="F429" i="32"/>
  <c r="F295" i="31"/>
  <c r="F216" i="31"/>
  <c r="F516" i="32"/>
  <c r="F281" i="31"/>
  <c r="F209" i="31"/>
  <c r="F591" i="32"/>
  <c r="F84" i="31"/>
  <c r="F61" i="31"/>
  <c r="F261" i="32"/>
  <c r="F148" i="31"/>
  <c r="F127" i="31"/>
  <c r="F272" i="31"/>
  <c r="F442" i="32"/>
  <c r="F389" i="31"/>
  <c r="F492" i="32"/>
  <c r="F569" i="32"/>
  <c r="F201" i="32"/>
  <c r="F505" i="32"/>
  <c r="F182" i="31"/>
  <c r="F184" i="31"/>
  <c r="F405" i="32"/>
  <c r="F370" i="32"/>
  <c r="F79" i="31"/>
  <c r="F411" i="32"/>
  <c r="F225" i="31"/>
  <c r="F181" i="31"/>
  <c r="F49" i="32"/>
  <c r="F273" i="31"/>
  <c r="F36" i="31"/>
  <c r="F202" i="31"/>
  <c r="F513" i="32"/>
  <c r="F54" i="32"/>
  <c r="F139" i="31"/>
  <c r="F360" i="31"/>
  <c r="F251" i="31"/>
  <c r="F427" i="32"/>
  <c r="F386" i="32"/>
  <c r="F593" i="32"/>
  <c r="F77" i="32"/>
  <c r="F426" i="32"/>
  <c r="F97" i="31"/>
  <c r="F201" i="31"/>
  <c r="F242" i="31"/>
  <c r="F31" i="31"/>
  <c r="F396" i="31"/>
  <c r="F220" i="32"/>
  <c r="F240" i="31"/>
  <c r="F25" i="32"/>
  <c r="F369" i="31"/>
  <c r="F316" i="32"/>
  <c r="F7" i="32"/>
  <c r="F483" i="32"/>
  <c r="F384" i="32"/>
  <c r="F323" i="32"/>
  <c r="F583" i="32"/>
  <c r="F104" i="32"/>
  <c r="F320" i="32"/>
  <c r="F72" i="32"/>
  <c r="F101" i="31"/>
  <c r="F314" i="32"/>
  <c r="F32" i="31"/>
  <c r="F384" i="31"/>
  <c r="F284" i="32"/>
  <c r="F536" i="32"/>
  <c r="F311" i="31"/>
  <c r="F576" i="32"/>
  <c r="F300" i="31"/>
  <c r="F333" i="31"/>
  <c r="F401" i="31"/>
  <c r="F193" i="32"/>
  <c r="F166" i="31"/>
  <c r="F280" i="32"/>
  <c r="F352" i="31"/>
  <c r="F401" i="32"/>
  <c r="F123" i="32"/>
  <c r="F153" i="31"/>
  <c r="F43" i="31"/>
  <c r="F144" i="31"/>
  <c r="F259" i="32"/>
  <c r="F392" i="31"/>
  <c r="F290" i="31"/>
  <c r="F359" i="31"/>
  <c r="F258" i="32"/>
  <c r="F361" i="31"/>
  <c r="F133" i="31"/>
  <c r="F130" i="31"/>
  <c r="F318" i="32"/>
  <c r="F37" i="32"/>
  <c r="F532" i="32"/>
  <c r="F512" i="32"/>
  <c r="F496" i="32"/>
  <c r="F376" i="31"/>
  <c r="F161" i="31"/>
  <c r="F271" i="31"/>
  <c r="F506" i="32"/>
  <c r="F552" i="32"/>
  <c r="F189" i="32"/>
  <c r="F188" i="32"/>
  <c r="F414" i="32"/>
  <c r="F45" i="32"/>
  <c r="F6" i="31"/>
  <c r="F592" i="32"/>
  <c r="F102" i="32"/>
  <c r="F40" i="32"/>
  <c r="F30" i="32"/>
  <c r="F135" i="31"/>
  <c r="F218" i="31"/>
  <c r="F18" i="31"/>
  <c r="F227" i="31"/>
  <c r="F24" i="32"/>
  <c r="F441" i="32"/>
  <c r="F326" i="32"/>
  <c r="F91" i="32"/>
  <c r="F146" i="32"/>
  <c r="F277" i="31"/>
  <c r="F157" i="31"/>
  <c r="F566" i="32"/>
  <c r="F541" i="32"/>
  <c r="F191" i="31"/>
  <c r="F472" i="32"/>
  <c r="F408" i="32"/>
  <c r="C97" i="29"/>
  <c r="D129" i="29"/>
  <c r="J83" i="29"/>
  <c r="D32" i="29"/>
  <c r="J34" i="29"/>
  <c r="J104" i="29"/>
  <c r="D30" i="29"/>
  <c r="D33" i="29"/>
  <c r="J29" i="29"/>
  <c r="C73" i="29"/>
  <c r="I97" i="29"/>
  <c r="C121" i="29"/>
  <c r="C145" i="29"/>
  <c r="D125" i="29"/>
  <c r="Y3" i="29"/>
  <c r="D4" i="29"/>
  <c r="D133" i="29"/>
  <c r="D79" i="29"/>
  <c r="D55" i="29"/>
  <c r="D58" i="29"/>
  <c r="I49" i="29"/>
  <c r="J30" i="29"/>
  <c r="Y5" i="29"/>
  <c r="Z5" i="29" s="1"/>
  <c r="D6" i="29"/>
  <c r="D104" i="29"/>
  <c r="D126" i="29"/>
  <c r="D84" i="29"/>
  <c r="D103" i="29"/>
  <c r="D83" i="29"/>
  <c r="J105" i="29"/>
  <c r="J33" i="29"/>
  <c r="D56" i="29"/>
  <c r="D81" i="29"/>
  <c r="D29" i="29"/>
  <c r="C49" i="29"/>
  <c r="D132" i="29"/>
  <c r="J56" i="29"/>
  <c r="J80" i="29"/>
  <c r="D82" i="29"/>
  <c r="D128" i="29"/>
  <c r="I121" i="29"/>
  <c r="D3" i="29"/>
  <c r="A4" i="7"/>
  <c r="A8" i="7" s="1"/>
  <c r="C23" i="29"/>
  <c r="Y4" i="29"/>
  <c r="Z4" i="29" s="1"/>
  <c r="J78" i="29"/>
  <c r="D80" i="29"/>
  <c r="I73" i="29"/>
  <c r="F58" i="30" l="1"/>
  <c r="F483" i="30"/>
  <c r="F48" i="30"/>
  <c r="F235" i="30"/>
  <c r="F499" i="30"/>
  <c r="F459" i="30"/>
  <c r="F328" i="30"/>
  <c r="F80" i="30"/>
  <c r="F165" i="30"/>
  <c r="F107" i="30"/>
  <c r="F413" i="30"/>
  <c r="F207" i="30"/>
  <c r="F196" i="30"/>
  <c r="F180" i="30"/>
  <c r="F106" i="30"/>
  <c r="F273" i="30"/>
  <c r="F204" i="30"/>
  <c r="F272" i="30"/>
  <c r="F138" i="30"/>
  <c r="F367" i="30"/>
  <c r="F302" i="30"/>
  <c r="F73" i="30"/>
  <c r="F517" i="30"/>
  <c r="F332" i="30"/>
  <c r="F335" i="30"/>
  <c r="F349" i="30"/>
  <c r="F242" i="30"/>
  <c r="F356" i="30"/>
  <c r="F181" i="30"/>
  <c r="F380" i="30"/>
  <c r="F396" i="30"/>
  <c r="F136" i="30"/>
  <c r="F432" i="30"/>
  <c r="F144" i="30"/>
  <c r="F344" i="30"/>
  <c r="F477" i="30"/>
  <c r="F101" i="30"/>
  <c r="F366" i="30"/>
  <c r="F167" i="30"/>
  <c r="F478" i="30"/>
  <c r="F488" i="30"/>
  <c r="F90" i="30"/>
  <c r="F211" i="30"/>
  <c r="F245" i="30"/>
  <c r="F229" i="30"/>
  <c r="F375" i="30"/>
  <c r="F336" i="30"/>
  <c r="F130" i="30"/>
  <c r="F201" i="30"/>
  <c r="F149" i="30"/>
  <c r="F160" i="30"/>
  <c r="F209" i="30"/>
  <c r="F53" i="30"/>
  <c r="F510" i="30"/>
  <c r="F70" i="30"/>
  <c r="F348" i="30"/>
  <c r="F164" i="30"/>
  <c r="F125" i="30"/>
  <c r="F359" i="30"/>
  <c r="F216" i="30"/>
  <c r="F449" i="30"/>
  <c r="F463" i="30"/>
  <c r="F297" i="30"/>
  <c r="F421" i="30"/>
  <c r="F360" i="30"/>
  <c r="F190" i="30"/>
  <c r="F351" i="30"/>
  <c r="F114" i="30"/>
  <c r="F159" i="30"/>
  <c r="F307" i="30"/>
  <c r="F153" i="30"/>
  <c r="F279" i="30"/>
  <c r="F420" i="30"/>
  <c r="F458" i="30"/>
  <c r="F246" i="30"/>
  <c r="F256" i="30"/>
  <c r="F182" i="30"/>
  <c r="F479" i="30"/>
  <c r="F228" i="30"/>
  <c r="F64" i="30"/>
  <c r="F151" i="30"/>
  <c r="F475" i="30"/>
  <c r="F198" i="30"/>
  <c r="F443" i="30"/>
  <c r="F217" i="30"/>
  <c r="F473" i="30"/>
  <c r="F258" i="30"/>
  <c r="F139" i="30"/>
  <c r="F226" i="30"/>
  <c r="F251" i="30"/>
  <c r="F524" i="30"/>
  <c r="F381" i="30"/>
  <c r="F175" i="30"/>
  <c r="F391" i="30"/>
  <c r="F416" i="30"/>
  <c r="F491" i="30"/>
  <c r="F451" i="30"/>
  <c r="F230" i="30"/>
  <c r="F57" i="30"/>
  <c r="F409" i="30"/>
  <c r="F426" i="30"/>
  <c r="F496" i="30"/>
  <c r="F238" i="30"/>
  <c r="F231" i="30"/>
  <c r="F306" i="30"/>
  <c r="F489" i="30"/>
  <c r="F417" i="30"/>
  <c r="F518" i="30"/>
  <c r="F515" i="30"/>
  <c r="F525" i="30"/>
  <c r="F395" i="30"/>
  <c r="F301" i="30"/>
  <c r="F390" i="30"/>
  <c r="F223" i="30"/>
  <c r="F511" i="30"/>
  <c r="F124" i="30"/>
  <c r="F129" i="30"/>
  <c r="F241" i="30"/>
  <c r="F173" i="30"/>
  <c r="F376" i="30"/>
  <c r="F86" i="30"/>
  <c r="F503" i="30"/>
  <c r="F493" i="30"/>
  <c r="F411" i="30"/>
  <c r="F442" i="30"/>
  <c r="F357" i="30"/>
  <c r="F487" i="30"/>
  <c r="F319" i="30"/>
  <c r="F91" i="30"/>
  <c r="F474" i="30"/>
  <c r="F250" i="30"/>
  <c r="F316" i="30"/>
  <c r="F333" i="30"/>
  <c r="F214" i="30"/>
  <c r="F193" i="30"/>
  <c r="F501" i="30"/>
  <c r="F263" i="30"/>
  <c r="F304" i="30"/>
  <c r="F110" i="30"/>
  <c r="F156" i="30"/>
  <c r="F456" i="30"/>
  <c r="F259" i="30"/>
  <c r="F99" i="30"/>
  <c r="F434" i="30"/>
  <c r="F425" i="30"/>
  <c r="F431" i="30"/>
  <c r="F298" i="30"/>
  <c r="F312" i="30"/>
  <c r="F440" i="30"/>
  <c r="F500" i="30"/>
  <c r="F436" i="30"/>
  <c r="F287" i="30"/>
  <c r="F148" i="30"/>
  <c r="F364" i="30"/>
  <c r="F264" i="30"/>
  <c r="F414" i="30"/>
  <c r="F111" i="30"/>
  <c r="F470" i="30"/>
  <c r="F184" i="30"/>
  <c r="F526" i="30"/>
  <c r="F520" i="30"/>
  <c r="F262" i="30"/>
  <c r="F323" i="30"/>
  <c r="F430" i="30"/>
  <c r="F100" i="30"/>
  <c r="F457" i="30"/>
  <c r="F96" i="30"/>
  <c r="F386" i="30"/>
  <c r="F410" i="30"/>
  <c r="F412" i="30"/>
  <c r="F308" i="30"/>
  <c r="F275" i="30"/>
  <c r="F497" i="30"/>
  <c r="F131" i="30"/>
  <c r="F162" i="30"/>
  <c r="F145" i="30"/>
  <c r="F163" i="30"/>
  <c r="F291" i="30"/>
  <c r="F120" i="30"/>
  <c r="F98" i="30"/>
  <c r="F236" i="30"/>
  <c r="F194" i="30"/>
  <c r="F379" i="30"/>
  <c r="F401" i="30"/>
  <c r="F79" i="30"/>
  <c r="F464" i="30"/>
  <c r="F454" i="30"/>
  <c r="F460" i="30"/>
  <c r="F281" i="30"/>
  <c r="F311" i="30"/>
  <c r="F83" i="30"/>
  <c r="F168" i="30"/>
  <c r="F294" i="30"/>
  <c r="F383" i="30"/>
  <c r="F71" i="30"/>
  <c r="F97" i="30"/>
  <c r="F266" i="30"/>
  <c r="F528" i="30"/>
  <c r="F385" i="30"/>
  <c r="F161" i="30"/>
  <c r="F186" i="30"/>
  <c r="F384" i="30"/>
  <c r="F142" i="30"/>
  <c r="F342" i="30"/>
  <c r="F219" i="30"/>
  <c r="F504" i="30"/>
  <c r="F203" i="30"/>
  <c r="F210" i="30"/>
  <c r="F372" i="30"/>
  <c r="F435" i="30"/>
  <c r="F361" i="30"/>
  <c r="F322" i="30"/>
  <c r="F400" i="30"/>
  <c r="F482" i="30"/>
  <c r="F521" i="30"/>
  <c r="F253" i="30"/>
  <c r="F276" i="30"/>
  <c r="F461" i="30"/>
  <c r="F143" i="30"/>
  <c r="F514" i="30"/>
  <c r="F288" i="30"/>
  <c r="F438" i="30"/>
  <c r="F295" i="30"/>
  <c r="F103" i="30"/>
  <c r="F405" i="30"/>
  <c r="F338" i="30"/>
  <c r="F174" i="30"/>
  <c r="F476" i="30"/>
  <c r="F320" i="30"/>
  <c r="F215" i="30"/>
  <c r="F382" i="30"/>
  <c r="F188" i="30"/>
  <c r="F66" i="30"/>
  <c r="F406" i="30"/>
  <c r="F337" i="30"/>
  <c r="F334" i="30"/>
  <c r="F227" i="30"/>
  <c r="F69" i="30"/>
  <c r="F472" i="30"/>
  <c r="F305" i="30"/>
  <c r="F310" i="30"/>
  <c r="F445" i="30"/>
  <c r="F370" i="30"/>
  <c r="F418" i="30"/>
  <c r="F147" i="30"/>
  <c r="F362" i="30"/>
  <c r="F76" i="30"/>
  <c r="F212" i="30"/>
  <c r="F358" i="30"/>
  <c r="F485" i="30"/>
  <c r="F398" i="30"/>
  <c r="F158" i="30"/>
  <c r="F187" i="30"/>
  <c r="F486" i="30"/>
  <c r="F355" i="30"/>
  <c r="F450" i="30"/>
  <c r="F492" i="30"/>
  <c r="F93" i="30"/>
  <c r="F462" i="30"/>
  <c r="F374" i="30"/>
  <c r="F205" i="30"/>
  <c r="F512" i="30"/>
  <c r="F195" i="30"/>
  <c r="F115" i="30"/>
  <c r="F419" i="30"/>
  <c r="F441" i="30"/>
  <c r="F122" i="30"/>
  <c r="F502" i="30"/>
  <c r="F206" i="30"/>
  <c r="F369" i="30"/>
  <c r="F88" i="30"/>
  <c r="F150" i="30"/>
  <c r="F82" i="30"/>
  <c r="F121" i="30"/>
  <c r="F77" i="30"/>
  <c r="F60" i="30"/>
  <c r="F105" i="30"/>
  <c r="F104" i="30"/>
  <c r="F116" i="30"/>
  <c r="F59" i="30"/>
  <c r="F102" i="30"/>
  <c r="F527" i="30"/>
  <c r="F34" i="30"/>
  <c r="F257" i="30"/>
  <c r="F225" i="30"/>
  <c r="F326" i="30"/>
  <c r="F154" i="30"/>
  <c r="F220" i="30"/>
  <c r="F192" i="30"/>
  <c r="F78" i="30"/>
  <c r="F157" i="30"/>
  <c r="F126" i="30"/>
  <c r="F248" i="30"/>
  <c r="F378" i="30"/>
  <c r="F437" i="30"/>
  <c r="F261" i="30"/>
  <c r="F315" i="30"/>
  <c r="F453" i="30"/>
  <c r="F268" i="30"/>
  <c r="F269" i="30"/>
  <c r="F208" i="30"/>
  <c r="F444" i="30"/>
  <c r="F468" i="30"/>
  <c r="F325" i="30"/>
  <c r="F343" i="30"/>
  <c r="F318" i="30"/>
  <c r="F170" i="30"/>
  <c r="F179" i="30"/>
  <c r="F388" i="30"/>
  <c r="F506" i="30"/>
  <c r="F197" i="30"/>
  <c r="F345" i="30"/>
  <c r="F368" i="30"/>
  <c r="F166" i="30"/>
  <c r="F509" i="30"/>
  <c r="F284" i="30"/>
  <c r="F505" i="30"/>
  <c r="F296" i="30"/>
  <c r="F171" i="30"/>
  <c r="D102" i="29"/>
  <c r="J101" i="29"/>
  <c r="D130" i="29"/>
  <c r="J102" i="29"/>
  <c r="D54" i="29"/>
  <c r="J54" i="29"/>
  <c r="J106" i="29"/>
  <c r="J82" i="29"/>
  <c r="J57" i="29"/>
  <c r="J84" i="29"/>
  <c r="Z3" i="29"/>
  <c r="Z9" i="29" s="1"/>
  <c r="Y9" i="29"/>
  <c r="J32" i="29"/>
  <c r="D34" i="29"/>
  <c r="D31" i="29"/>
  <c r="D131" i="29"/>
  <c r="D35" i="29"/>
  <c r="D134" i="29"/>
  <c r="D78" i="29"/>
  <c r="D36" i="29"/>
  <c r="J53" i="29"/>
  <c r="J85" i="29"/>
  <c r="J107" i="29"/>
  <c r="D53" i="29"/>
  <c r="J81" i="29"/>
  <c r="J31" i="29"/>
  <c r="D127" i="29"/>
  <c r="D59" i="29"/>
  <c r="D77" i="29"/>
  <c r="D105" i="29"/>
  <c r="D101" i="29"/>
  <c r="J77" i="29"/>
  <c r="D8" i="29"/>
  <c r="J55" i="29"/>
  <c r="D10" i="29"/>
  <c r="J79" i="29"/>
  <c r="D5" i="29"/>
  <c r="J103" i="29"/>
  <c r="D7" i="29"/>
  <c r="D9" i="29"/>
  <c r="D57" i="29"/>
  <c r="B13" i="1" l="1"/>
  <c r="Q87" i="5" s="1"/>
  <c r="B15" i="1"/>
  <c r="Q69" i="2" s="1"/>
  <c r="B14" i="1"/>
  <c r="Q130" i="4" s="1"/>
  <c r="B16" i="1"/>
  <c r="Q17" i="3" s="1"/>
  <c r="J121" i="29"/>
  <c r="D97" i="29"/>
  <c r="J49" i="29"/>
  <c r="D145" i="29"/>
  <c r="D121" i="29"/>
  <c r="D23" i="29"/>
  <c r="D49" i="29"/>
  <c r="D73" i="29"/>
  <c r="J73" i="29"/>
  <c r="J97" i="29"/>
  <c r="Q60" i="2" l="1"/>
  <c r="Q58" i="2"/>
  <c r="Q46" i="2"/>
  <c r="Q8" i="2"/>
  <c r="Q40" i="2"/>
  <c r="Q37" i="2"/>
  <c r="Q38" i="2"/>
  <c r="Q64" i="2"/>
  <c r="Q75" i="2"/>
  <c r="Q52" i="2"/>
  <c r="Q67" i="2"/>
  <c r="Q13" i="2"/>
  <c r="Q47" i="2"/>
  <c r="Q63" i="2"/>
  <c r="Q31" i="2"/>
  <c r="Q71" i="2"/>
  <c r="Q11" i="2"/>
  <c r="Q43" i="2"/>
  <c r="Q76" i="2"/>
  <c r="Q28" i="2"/>
  <c r="Q56" i="2"/>
  <c r="Q68" i="2"/>
  <c r="Q55" i="2"/>
  <c r="Q33" i="2"/>
  <c r="Q28" i="3"/>
  <c r="Q6" i="3"/>
  <c r="Q167" i="5"/>
  <c r="Q154" i="5"/>
  <c r="Q72" i="3"/>
  <c r="Q3" i="3"/>
  <c r="Q112" i="3"/>
  <c r="Q173" i="5"/>
  <c r="Q41" i="3"/>
  <c r="Q116" i="5"/>
  <c r="Q5" i="3"/>
  <c r="P11" i="3"/>
  <c r="Q53" i="5"/>
  <c r="Q14" i="5"/>
  <c r="Q16" i="3"/>
  <c r="Q65" i="3"/>
  <c r="Q114" i="3"/>
  <c r="Q65" i="5"/>
  <c r="Q164" i="5"/>
  <c r="Q44" i="3"/>
  <c r="Q83" i="5"/>
  <c r="Q92" i="5"/>
  <c r="Q54" i="5"/>
  <c r="Q21" i="5"/>
  <c r="P11" i="5"/>
  <c r="P20" i="5"/>
  <c r="Q95" i="5"/>
  <c r="Q171" i="5"/>
  <c r="Q170" i="5"/>
  <c r="Q68" i="5"/>
  <c r="Q80" i="5"/>
  <c r="Q59" i="5"/>
  <c r="Q36" i="5"/>
  <c r="Q56" i="5"/>
  <c r="Q106" i="3"/>
  <c r="Q61" i="3"/>
  <c r="Q97" i="3"/>
  <c r="Q161" i="5"/>
  <c r="Q37" i="5"/>
  <c r="Q147" i="5"/>
  <c r="P9" i="5"/>
  <c r="Q48" i="5"/>
  <c r="Q46" i="5"/>
  <c r="Q11" i="5"/>
  <c r="Q48" i="3"/>
  <c r="Q105" i="3"/>
  <c r="Q42" i="3"/>
  <c r="Q86" i="5"/>
  <c r="P10" i="5"/>
  <c r="P7" i="5"/>
  <c r="Q26" i="5"/>
  <c r="Q112" i="5"/>
  <c r="Q102" i="5"/>
  <c r="Q98" i="5"/>
  <c r="Q47" i="5"/>
  <c r="Q10" i="5"/>
  <c r="Q62" i="5"/>
  <c r="Q16" i="5"/>
  <c r="Q104" i="5"/>
  <c r="Q131" i="5"/>
  <c r="Q107" i="3"/>
  <c r="Q74" i="3"/>
  <c r="Q102" i="3"/>
  <c r="Q55" i="3"/>
  <c r="Q9" i="3"/>
  <c r="Q124" i="3"/>
  <c r="Q104" i="3"/>
  <c r="Q32" i="5"/>
  <c r="Q105" i="5"/>
  <c r="Q119" i="5"/>
  <c r="P16" i="5"/>
  <c r="Q33" i="5"/>
  <c r="P3" i="5"/>
  <c r="P6" i="5"/>
  <c r="Q17" i="5"/>
  <c r="Q113" i="3"/>
  <c r="Q108" i="5"/>
  <c r="Q148" i="5"/>
  <c r="P19" i="5"/>
  <c r="Q74" i="5"/>
  <c r="Q81" i="5"/>
  <c r="P12" i="5"/>
  <c r="Q169" i="5"/>
  <c r="Q23" i="5"/>
  <c r="Q151" i="5"/>
  <c r="Q12" i="5"/>
  <c r="Q29" i="5"/>
  <c r="Q76" i="5"/>
  <c r="Q149" i="5"/>
  <c r="Q145" i="5"/>
  <c r="Q54" i="3"/>
  <c r="Q83" i="3"/>
  <c r="Q94" i="3"/>
  <c r="Q60" i="3"/>
  <c r="P5" i="3"/>
  <c r="Q111" i="3"/>
  <c r="Q93" i="5"/>
  <c r="Q166" i="5"/>
  <c r="Q160" i="5"/>
  <c r="Q120" i="5"/>
  <c r="Q60" i="5"/>
  <c r="Q44" i="5"/>
  <c r="Q111" i="5"/>
  <c r="Q52" i="5"/>
  <c r="Q25" i="3"/>
  <c r="Q140" i="5"/>
  <c r="Q7" i="5"/>
  <c r="Q25" i="5"/>
  <c r="Q89" i="5"/>
  <c r="Q121" i="5"/>
  <c r="P21" i="5"/>
  <c r="Q82" i="5"/>
  <c r="Q61" i="5"/>
  <c r="Q6" i="5"/>
  <c r="Q63" i="5"/>
  <c r="Q73" i="5"/>
  <c r="Q99" i="5"/>
  <c r="Q42" i="5"/>
  <c r="Q137" i="5"/>
  <c r="Q19" i="5"/>
  <c r="Q117" i="5"/>
  <c r="Q146" i="5"/>
  <c r="Q69" i="5"/>
  <c r="Q5" i="5"/>
  <c r="Q31" i="5"/>
  <c r="Q106" i="5"/>
  <c r="Q155" i="5"/>
  <c r="Q79" i="5"/>
  <c r="Q138" i="5"/>
  <c r="Q28" i="5"/>
  <c r="Q129" i="5"/>
  <c r="P15" i="5"/>
  <c r="Q3" i="5"/>
  <c r="Q9" i="5"/>
  <c r="Q133" i="5"/>
  <c r="P4" i="5"/>
  <c r="Q97" i="5"/>
  <c r="Q113" i="5"/>
  <c r="Q67" i="5"/>
  <c r="Q72" i="5"/>
  <c r="Q135" i="5"/>
  <c r="Q134" i="5"/>
  <c r="Q162" i="5"/>
  <c r="Q88" i="5"/>
  <c r="Q110" i="5"/>
  <c r="Q39" i="5"/>
  <c r="Q40" i="5"/>
  <c r="Q139" i="5"/>
  <c r="Q96" i="5"/>
  <c r="Q144" i="5"/>
  <c r="P8" i="5"/>
  <c r="Q172" i="5"/>
  <c r="Q107" i="5"/>
  <c r="Q125" i="5"/>
  <c r="Q13" i="5"/>
  <c r="Q118" i="5"/>
  <c r="Q30" i="5"/>
  <c r="Q8" i="5"/>
  <c r="P18" i="5"/>
  <c r="P13" i="5"/>
  <c r="Q78" i="5"/>
  <c r="Q70" i="5"/>
  <c r="Q174" i="5"/>
  <c r="Q122" i="5"/>
  <c r="Q153" i="5"/>
  <c r="Q75" i="5"/>
  <c r="Q85" i="5"/>
  <c r="Q127" i="5"/>
  <c r="Q126" i="5"/>
  <c r="Q163" i="5"/>
  <c r="Q124" i="5"/>
  <c r="Q132" i="5"/>
  <c r="Q94" i="5"/>
  <c r="P12" i="3"/>
  <c r="Q50" i="4"/>
  <c r="Q106" i="4"/>
  <c r="P13" i="4"/>
  <c r="Q126" i="4"/>
  <c r="Q192" i="4"/>
  <c r="Q148" i="4"/>
  <c r="Q23" i="4"/>
  <c r="Q231" i="4"/>
  <c r="Q139" i="4"/>
  <c r="Q205" i="4"/>
  <c r="Q60" i="4"/>
  <c r="Q116" i="4"/>
  <c r="Q160" i="4"/>
  <c r="Q162" i="4"/>
  <c r="P21" i="4"/>
  <c r="Q75" i="4"/>
  <c r="Q156" i="4"/>
  <c r="Q80" i="4"/>
  <c r="Q217" i="4"/>
  <c r="B17" i="1"/>
  <c r="B22" i="1" s="1"/>
  <c r="P75" i="2" s="1"/>
  <c r="Q47" i="4"/>
  <c r="Q124" i="4"/>
  <c r="P10" i="4"/>
  <c r="Q115" i="4"/>
  <c r="Q199" i="4"/>
  <c r="Q214" i="4"/>
  <c r="Q22" i="4"/>
  <c r="Q131" i="4"/>
  <c r="Q154" i="4"/>
  <c r="Q187" i="4"/>
  <c r="Q42" i="4"/>
  <c r="Q25" i="4"/>
  <c r="Q16" i="4"/>
  <c r="Q108" i="4"/>
  <c r="Q34" i="4"/>
  <c r="Q218" i="4"/>
  <c r="Q56" i="4"/>
  <c r="Q77" i="4"/>
  <c r="Q168" i="4"/>
  <c r="Q207" i="4"/>
  <c r="Q112" i="4"/>
  <c r="Q134" i="4"/>
  <c r="Q34" i="5"/>
  <c r="Q22" i="5"/>
  <c r="Q130" i="5"/>
  <c r="Q84" i="3"/>
  <c r="P8" i="4"/>
  <c r="P7" i="4"/>
  <c r="Q10" i="4"/>
  <c r="Q43" i="4"/>
  <c r="Q185" i="4"/>
  <c r="Q161" i="4"/>
  <c r="P3" i="3"/>
  <c r="Q101" i="3"/>
  <c r="Q33" i="3"/>
  <c r="Q100" i="3"/>
  <c r="Q57" i="3"/>
  <c r="Q37" i="3"/>
  <c r="P17" i="4"/>
  <c r="P9" i="4"/>
  <c r="Q40" i="4"/>
  <c r="Q71" i="4"/>
  <c r="Q219" i="4"/>
  <c r="Q153" i="4"/>
  <c r="Q211" i="4"/>
  <c r="Q36" i="3"/>
  <c r="Q7" i="3"/>
  <c r="Q43" i="5"/>
  <c r="Q90" i="5"/>
  <c r="Q41" i="5"/>
  <c r="Q143" i="5"/>
  <c r="Q114" i="5"/>
  <c r="Q57" i="5"/>
  <c r="Q45" i="5"/>
  <c r="Q157" i="5"/>
  <c r="Q24" i="5"/>
  <c r="Q91" i="5"/>
  <c r="Q69" i="3"/>
  <c r="Q14" i="3"/>
  <c r="Q156" i="5"/>
  <c r="Q101" i="5"/>
  <c r="Q58" i="5"/>
  <c r="Q4" i="5"/>
  <c r="Q100" i="5"/>
  <c r="Q142" i="5"/>
  <c r="Q64" i="5"/>
  <c r="Q38" i="5"/>
  <c r="Q141" i="5"/>
  <c r="Q51" i="5"/>
  <c r="Q66" i="5"/>
  <c r="Q168" i="5"/>
  <c r="Q123" i="5"/>
  <c r="Q55" i="5"/>
  <c r="Q49" i="5"/>
  <c r="Q158" i="5"/>
  <c r="Q152" i="5"/>
  <c r="Q136" i="5"/>
  <c r="P5" i="5"/>
  <c r="Q150" i="5"/>
  <c r="Q95" i="3"/>
  <c r="Q203" i="4"/>
  <c r="P19" i="4"/>
  <c r="Q12" i="3"/>
  <c r="Q109" i="5"/>
  <c r="Q50" i="5"/>
  <c r="Q18" i="5"/>
  <c r="Q84" i="5"/>
  <c r="Q103" i="5"/>
  <c r="Q77" i="5"/>
  <c r="Q128" i="5"/>
  <c r="Q20" i="5"/>
  <c r="Q165" i="5"/>
  <c r="Q71" i="5"/>
  <c r="Q115" i="5"/>
  <c r="P17" i="5"/>
  <c r="Q35" i="5"/>
  <c r="P14" i="5"/>
  <c r="Q15" i="5"/>
  <c r="Q159" i="5"/>
  <c r="Q27" i="5"/>
  <c r="Q151" i="4"/>
  <c r="Q114" i="4"/>
  <c r="Q59" i="4"/>
  <c r="Q172" i="4"/>
  <c r="Q226" i="4"/>
  <c r="Q225" i="4"/>
  <c r="Q13" i="4"/>
  <c r="Q14" i="2"/>
  <c r="Q62" i="2"/>
  <c r="Q73" i="3"/>
  <c r="Q39" i="2"/>
  <c r="Q35" i="2"/>
  <c r="Q10" i="3"/>
  <c r="Q35" i="3"/>
  <c r="Q25" i="2"/>
  <c r="Q62" i="3"/>
  <c r="Q191" i="4"/>
  <c r="Q21" i="4"/>
  <c r="Q4" i="4"/>
  <c r="Q136" i="4"/>
  <c r="Q66" i="4"/>
  <c r="Q103" i="3"/>
  <c r="Q67" i="3"/>
  <c r="Q81" i="4"/>
  <c r="Q8" i="4"/>
  <c r="Q63" i="4"/>
  <c r="Q99" i="4"/>
  <c r="Q93" i="4"/>
  <c r="Q76" i="4"/>
  <c r="Q89" i="4"/>
  <c r="Q55" i="4"/>
  <c r="Q163" i="4"/>
  <c r="Q92" i="4"/>
  <c r="Q67" i="4"/>
  <c r="Q149" i="4"/>
  <c r="Q18" i="4"/>
  <c r="Q127" i="3"/>
  <c r="Q85" i="3"/>
  <c r="P4" i="3"/>
  <c r="Q78" i="3"/>
  <c r="Q26" i="3"/>
  <c r="P8" i="3"/>
  <c r="Q70" i="3"/>
  <c r="Q86" i="3"/>
  <c r="Q121" i="3"/>
  <c r="Q61" i="2"/>
  <c r="Q7" i="2"/>
  <c r="Q66" i="2"/>
  <c r="Q61" i="4"/>
  <c r="P4" i="4"/>
  <c r="Q46" i="4"/>
  <c r="Q85" i="4"/>
  <c r="P12" i="4"/>
  <c r="Q19" i="4"/>
  <c r="Q30" i="4"/>
  <c r="P16" i="4"/>
  <c r="Q4" i="2"/>
  <c r="Q49" i="2"/>
  <c r="Q118" i="3"/>
  <c r="Q91" i="3"/>
  <c r="Q19" i="3"/>
  <c r="Q77" i="2"/>
  <c r="Q10" i="2"/>
  <c r="Q20" i="3"/>
  <c r="Q108" i="3"/>
  <c r="Q45" i="2"/>
  <c r="Q53" i="2"/>
  <c r="P9" i="3"/>
  <c r="Q24" i="3"/>
  <c r="Q36" i="2"/>
  <c r="Q176" i="4"/>
  <c r="Q181" i="4"/>
  <c r="Q117" i="4"/>
  <c r="Q68" i="4"/>
  <c r="Q224" i="4"/>
  <c r="Q34" i="3"/>
  <c r="Q96" i="3"/>
  <c r="Q22" i="3"/>
  <c r="Q165" i="4"/>
  <c r="P11" i="4"/>
  <c r="Q201" i="4"/>
  <c r="Q175" i="4"/>
  <c r="Q127" i="4"/>
  <c r="Q57" i="4"/>
  <c r="Q147" i="4"/>
  <c r="Q145" i="4"/>
  <c r="P3" i="4"/>
  <c r="Q91" i="4"/>
  <c r="Q32" i="4"/>
  <c r="Q44" i="4"/>
  <c r="Q35" i="4"/>
  <c r="P23" i="4"/>
  <c r="Q111" i="4"/>
  <c r="Q88" i="4"/>
  <c r="Q102" i="4"/>
  <c r="Q12" i="4"/>
  <c r="Q133" i="4"/>
  <c r="Q62" i="4"/>
  <c r="Q128" i="4"/>
  <c r="P6" i="3"/>
  <c r="Q93" i="3"/>
  <c r="Q4" i="3"/>
  <c r="Q92" i="3"/>
  <c r="Q110" i="3"/>
  <c r="Q99" i="3"/>
  <c r="Q15" i="3"/>
  <c r="Q47" i="3"/>
  <c r="Q63" i="3"/>
  <c r="Q125" i="3"/>
  <c r="Q23" i="3"/>
  <c r="Q41" i="2"/>
  <c r="Q20" i="2"/>
  <c r="Q74" i="2"/>
  <c r="Q70" i="2"/>
  <c r="P10" i="2"/>
  <c r="Q189" i="4"/>
  <c r="P5" i="4"/>
  <c r="Q209" i="4"/>
  <c r="Q74" i="4"/>
  <c r="Q53" i="4"/>
  <c r="P28" i="4"/>
  <c r="Q194" i="4"/>
  <c r="Q132" i="4"/>
  <c r="P27" i="4"/>
  <c r="Q167" i="4"/>
  <c r="Q159" i="4"/>
  <c r="Q17" i="2"/>
  <c r="P4" i="2"/>
  <c r="Q64" i="3"/>
  <c r="Q129" i="3"/>
  <c r="Q87" i="3"/>
  <c r="Q32" i="3"/>
  <c r="Q5" i="2"/>
  <c r="P7" i="2"/>
  <c r="Q26" i="2"/>
  <c r="Q50" i="3"/>
  <c r="Q49" i="3"/>
  <c r="Q21" i="2"/>
  <c r="Q50" i="2"/>
  <c r="Q6" i="2"/>
  <c r="Q52" i="3"/>
  <c r="Q13" i="3"/>
  <c r="Q9" i="2"/>
  <c r="Q66" i="3"/>
  <c r="Q56" i="3"/>
  <c r="Q29" i="3"/>
  <c r="P18" i="4"/>
  <c r="Q182" i="4"/>
  <c r="Q58" i="4"/>
  <c r="Q142" i="4"/>
  <c r="Q193" i="4"/>
  <c r="Q143" i="4"/>
  <c r="Q40" i="3"/>
  <c r="Q38" i="3"/>
  <c r="Q126" i="3"/>
  <c r="Q37" i="4"/>
  <c r="Q9" i="4"/>
  <c r="Q48" i="4"/>
  <c r="Q36" i="4"/>
  <c r="Q33" i="4"/>
  <c r="Q125" i="4"/>
  <c r="P22" i="4"/>
  <c r="Q100" i="4"/>
  <c r="Q213" i="4"/>
  <c r="Q39" i="4"/>
  <c r="Q129" i="4"/>
  <c r="Q195" i="4"/>
  <c r="P14" i="4"/>
  <c r="Q96" i="4"/>
  <c r="Q222" i="4"/>
  <c r="Q140" i="4"/>
  <c r="Q141" i="4"/>
  <c r="Q45" i="4"/>
  <c r="Q206" i="4"/>
  <c r="Q155" i="4"/>
  <c r="Q70" i="4"/>
  <c r="P5" i="2"/>
  <c r="Q34" i="2"/>
  <c r="Q12" i="2"/>
  <c r="Q82" i="4"/>
  <c r="Q83" i="4"/>
  <c r="Q184" i="4"/>
  <c r="Q227" i="4"/>
  <c r="Q229" i="4"/>
  <c r="Q94" i="4"/>
  <c r="Q105" i="4"/>
  <c r="Q174" i="4"/>
  <c r="Q104" i="4"/>
  <c r="Q212" i="4"/>
  <c r="Q38" i="4"/>
  <c r="Q73" i="4"/>
  <c r="Q210" i="4"/>
  <c r="Q190" i="4"/>
  <c r="Q223" i="4"/>
  <c r="Q15" i="2"/>
  <c r="Q24" i="2"/>
  <c r="P3" i="2"/>
  <c r="P8" i="2"/>
  <c r="Q43" i="3"/>
  <c r="Q45" i="3"/>
  <c r="Q27" i="3"/>
  <c r="Q115" i="3"/>
  <c r="Q65" i="2"/>
  <c r="Q32" i="2"/>
  <c r="Q3" i="2"/>
  <c r="Q42" i="2"/>
  <c r="P9" i="2"/>
  <c r="Q117" i="3"/>
  <c r="Q89" i="3"/>
  <c r="Q98" i="3"/>
  <c r="Q57" i="2"/>
  <c r="Q73" i="2"/>
  <c r="Q22" i="2"/>
  <c r="Q21" i="3"/>
  <c r="Q53" i="3"/>
  <c r="Q116" i="3"/>
  <c r="P6" i="2"/>
  <c r="Q72" i="2"/>
  <c r="Q31" i="3"/>
  <c r="Q122" i="3"/>
  <c r="Q179" i="4"/>
  <c r="Q198" i="4"/>
  <c r="Q171" i="4"/>
  <c r="Q90" i="4"/>
  <c r="Q84" i="4"/>
  <c r="Q98" i="4"/>
  <c r="Q79" i="4"/>
  <c r="Q64" i="4"/>
  <c r="Q188" i="4"/>
  <c r="Q86" i="4"/>
  <c r="Q119" i="3"/>
  <c r="Q123" i="3"/>
  <c r="Q58" i="3"/>
  <c r="Q28" i="4"/>
  <c r="Q220" i="4"/>
  <c r="Q20" i="4"/>
  <c r="Q177" i="4"/>
  <c r="Q137" i="4"/>
  <c r="Q208" i="4"/>
  <c r="P25" i="4"/>
  <c r="Q15" i="4"/>
  <c r="Q204" i="4"/>
  <c r="P30" i="4"/>
  <c r="Q144" i="4"/>
  <c r="Q29" i="4"/>
  <c r="Q186" i="4"/>
  <c r="Q95" i="4"/>
  <c r="Q221" i="4"/>
  <c r="Q26" i="4"/>
  <c r="Q107" i="4"/>
  <c r="Q166" i="4"/>
  <c r="Q65" i="4"/>
  <c r="Q164" i="4"/>
  <c r="Q109" i="4"/>
  <c r="Q17" i="4"/>
  <c r="Q97" i="4"/>
  <c r="Q119" i="4"/>
  <c r="Q78" i="4"/>
  <c r="Q41" i="4"/>
  <c r="Q14" i="4"/>
  <c r="Q103" i="4"/>
  <c r="Q71" i="3"/>
  <c r="Q88" i="3"/>
  <c r="Q80" i="3"/>
  <c r="P7" i="3"/>
  <c r="Q51" i="3"/>
  <c r="Q68" i="3"/>
  <c r="Q27" i="2"/>
  <c r="Q59" i="2"/>
  <c r="Q30" i="2"/>
  <c r="Q23" i="2"/>
  <c r="Q16" i="2"/>
  <c r="Q44" i="2"/>
  <c r="P10" i="3"/>
  <c r="Q128" i="3"/>
  <c r="Q82" i="3"/>
  <c r="Q76" i="3"/>
  <c r="Q79" i="3"/>
  <c r="Q48" i="2"/>
  <c r="Q51" i="2"/>
  <c r="Q29" i="2"/>
  <c r="Q18" i="2"/>
  <c r="Q109" i="3"/>
  <c r="Q120" i="3"/>
  <c r="Q30" i="3"/>
  <c r="Q81" i="3"/>
  <c r="Q54" i="2"/>
  <c r="Q19" i="2"/>
  <c r="Q18" i="3"/>
  <c r="Q8" i="3"/>
  <c r="Q11" i="3"/>
  <c r="Q46" i="3"/>
  <c r="Q158" i="4"/>
  <c r="Q169" i="4"/>
  <c r="Q3" i="4"/>
  <c r="Q7" i="4"/>
  <c r="Q202" i="4"/>
  <c r="Q173" i="4"/>
  <c r="Q49" i="4"/>
  <c r="Q216" i="4"/>
  <c r="Q150" i="4"/>
  <c r="Q118" i="4"/>
  <c r="Q122" i="4"/>
  <c r="Q121" i="4"/>
  <c r="Q39" i="3"/>
  <c r="Q77" i="3"/>
  <c r="Q90" i="3"/>
  <c r="Q59" i="3"/>
  <c r="Q75" i="3"/>
  <c r="Q200" i="4"/>
  <c r="Q157" i="4"/>
  <c r="Q197" i="4"/>
  <c r="Q135" i="4"/>
  <c r="Q230" i="4"/>
  <c r="Q120" i="4"/>
  <c r="P24" i="4"/>
  <c r="P20" i="4"/>
  <c r="Q54" i="4"/>
  <c r="Q228" i="4"/>
  <c r="Q24" i="4"/>
  <c r="P26" i="4"/>
  <c r="Q215" i="4"/>
  <c r="Q178" i="4"/>
  <c r="Q170" i="4"/>
  <c r="Q110" i="4"/>
  <c r="Q123" i="4"/>
  <c r="Q113" i="4"/>
  <c r="Q87" i="4"/>
  <c r="Q51" i="4"/>
  <c r="Q146" i="4"/>
  <c r="Q69" i="4"/>
  <c r="Q196" i="4"/>
  <c r="Q27" i="4"/>
  <c r="Q52" i="4"/>
  <c r="P6" i="4"/>
  <c r="Q31" i="4"/>
  <c r="Q5" i="4"/>
  <c r="Q11" i="4"/>
  <c r="Q183" i="4"/>
  <c r="Q138" i="4"/>
  <c r="Q6" i="4"/>
  <c r="P15" i="4"/>
  <c r="Q180" i="4"/>
  <c r="Q72" i="4"/>
  <c r="Q101" i="4"/>
  <c r="Q152" i="4"/>
  <c r="P11" i="2"/>
  <c r="P13" i="2"/>
  <c r="B21" i="1"/>
  <c r="P32" i="4" s="1"/>
  <c r="B23" i="1"/>
  <c r="P18" i="3" s="1"/>
  <c r="B20" i="1"/>
  <c r="P135" i="5" s="1"/>
  <c r="P49" i="2"/>
  <c r="P43" i="2"/>
  <c r="P64" i="2"/>
  <c r="P20" i="2"/>
  <c r="P51" i="2"/>
  <c r="P71" i="2"/>
  <c r="P60" i="2"/>
  <c r="P76" i="2"/>
  <c r="P34" i="2"/>
  <c r="P29" i="2"/>
  <c r="P15" i="2"/>
  <c r="P48" i="2"/>
  <c r="P35" i="2"/>
  <c r="P55" i="2"/>
  <c r="P63" i="2"/>
  <c r="P33" i="2"/>
  <c r="P18" i="2"/>
  <c r="B5" i="1"/>
  <c r="R10" i="2" s="1"/>
  <c r="P70" i="2"/>
  <c r="P22" i="2"/>
  <c r="P17" i="2"/>
  <c r="P40" i="2"/>
  <c r="P52" i="2"/>
  <c r="P47" i="2"/>
  <c r="P16" i="2"/>
  <c r="P73" i="2"/>
  <c r="P54" i="2"/>
  <c r="P46" i="2"/>
  <c r="P30" i="2"/>
  <c r="P31" i="2"/>
  <c r="P65" i="2"/>
  <c r="P45" i="2"/>
  <c r="P74" i="2"/>
  <c r="P24" i="2"/>
  <c r="P26" i="2"/>
  <c r="P32" i="2"/>
  <c r="P12" i="2"/>
  <c r="P28" i="2"/>
  <c r="P38" i="2"/>
  <c r="P42" i="2"/>
  <c r="P56" i="2"/>
  <c r="P69" i="2"/>
  <c r="P67" i="2"/>
  <c r="P21" i="2"/>
  <c r="P53" i="2"/>
  <c r="P27" i="2"/>
  <c r="P59" i="2"/>
  <c r="P57" i="2"/>
  <c r="P50" i="2"/>
  <c r="P36" i="2"/>
  <c r="P14" i="2"/>
  <c r="P44" i="2"/>
  <c r="P25" i="2"/>
  <c r="P37" i="2"/>
  <c r="P66" i="2"/>
  <c r="P41" i="2"/>
  <c r="P58" i="2"/>
  <c r="P19" i="2"/>
  <c r="P23" i="2"/>
  <c r="P68" i="2"/>
  <c r="P62" i="2"/>
  <c r="P77" i="2"/>
  <c r="P72" i="2"/>
  <c r="P39" i="2"/>
  <c r="P61" i="2"/>
  <c r="P31" i="4" l="1"/>
  <c r="P29" i="4"/>
  <c r="P151" i="5"/>
  <c r="D12" i="1"/>
  <c r="P120" i="5"/>
  <c r="P169" i="5"/>
  <c r="P133" i="5"/>
  <c r="P157" i="5"/>
  <c r="P67" i="3"/>
  <c r="P104" i="3"/>
  <c r="P105" i="5"/>
  <c r="P153" i="5"/>
  <c r="P93" i="5"/>
  <c r="P64" i="5"/>
  <c r="P83" i="3"/>
  <c r="P41" i="3"/>
  <c r="P50" i="3"/>
  <c r="P129" i="3"/>
  <c r="P109" i="3"/>
  <c r="P53" i="3"/>
  <c r="P31" i="3"/>
  <c r="R31" i="2"/>
  <c r="Y31" i="2" s="1"/>
  <c r="P114" i="3"/>
  <c r="P59" i="3"/>
  <c r="P126" i="3"/>
  <c r="P39" i="3"/>
  <c r="P100" i="3"/>
  <c r="P56" i="3"/>
  <c r="R54" i="2"/>
  <c r="Y54" i="2" s="1"/>
  <c r="P66" i="3"/>
  <c r="P27" i="3"/>
  <c r="P74" i="3"/>
  <c r="P73" i="3"/>
  <c r="P102" i="3"/>
  <c r="P123" i="3"/>
  <c r="P121" i="3"/>
  <c r="P21" i="3"/>
  <c r="P40" i="3"/>
  <c r="P16" i="3"/>
  <c r="R50" i="2"/>
  <c r="P29" i="3"/>
  <c r="P120" i="3"/>
  <c r="P110" i="3"/>
  <c r="P76" i="3"/>
  <c r="P89" i="3"/>
  <c r="P103" i="3"/>
  <c r="P112" i="3"/>
  <c r="P122" i="3"/>
  <c r="P15" i="3"/>
  <c r="P52" i="3"/>
  <c r="P32" i="3"/>
  <c r="P117" i="3"/>
  <c r="P84" i="3"/>
  <c r="R71" i="2"/>
  <c r="Y71" i="2" s="1"/>
  <c r="P86" i="3"/>
  <c r="R39" i="2"/>
  <c r="Y39" i="2" s="1"/>
  <c r="R77" i="2"/>
  <c r="Y77" i="2" s="1"/>
  <c r="P37" i="3"/>
  <c r="P91" i="3"/>
  <c r="R14" i="2"/>
  <c r="R66" i="2"/>
  <c r="P128" i="3"/>
  <c r="P75" i="3"/>
  <c r="P81" i="3"/>
  <c r="P85" i="3"/>
  <c r="P115" i="3"/>
  <c r="P124" i="3"/>
  <c r="B6" i="1"/>
  <c r="R10" i="3" s="1"/>
  <c r="P116" i="3"/>
  <c r="P95" i="3"/>
  <c r="P64" i="3"/>
  <c r="P36" i="3"/>
  <c r="P43" i="3"/>
  <c r="P125" i="3"/>
  <c r="P42" i="3"/>
  <c r="R65" i="2"/>
  <c r="Y66" i="2" s="1"/>
  <c r="R40" i="2"/>
  <c r="Y40" i="2" s="1"/>
  <c r="R19" i="2"/>
  <c r="R51" i="2"/>
  <c r="R75" i="2"/>
  <c r="Y75" i="2" s="1"/>
  <c r="P14" i="3"/>
  <c r="P48" i="3"/>
  <c r="R8" i="2"/>
  <c r="R22" i="2"/>
  <c r="R43" i="2"/>
  <c r="R27" i="2"/>
  <c r="Y27" i="2" s="1"/>
  <c r="R56" i="2"/>
  <c r="P143" i="5"/>
  <c r="P46" i="5"/>
  <c r="P132" i="5"/>
  <c r="P60" i="5"/>
  <c r="P128" i="5"/>
  <c r="P154" i="5"/>
  <c r="P115" i="5"/>
  <c r="P36" i="5"/>
  <c r="P26" i="3"/>
  <c r="R52" i="2"/>
  <c r="R12" i="2"/>
  <c r="R29" i="2"/>
  <c r="R60" i="2"/>
  <c r="Y60" i="2" s="1"/>
  <c r="R30" i="2"/>
  <c r="R76" i="2"/>
  <c r="Y76" i="2" s="1"/>
  <c r="R23" i="2"/>
  <c r="Y23" i="2" s="1"/>
  <c r="R26" i="2"/>
  <c r="Y26" i="2" s="1"/>
  <c r="R69" i="2"/>
  <c r="R24" i="2"/>
  <c r="Y24" i="2" s="1"/>
  <c r="P33" i="3"/>
  <c r="R70" i="2"/>
  <c r="Y69" i="2" s="1"/>
  <c r="R58" i="2"/>
  <c r="R68" i="2"/>
  <c r="Y68" i="2" s="1"/>
  <c r="R53" i="2"/>
  <c r="Y52" i="2" s="1"/>
  <c r="R73" i="2"/>
  <c r="R13" i="2"/>
  <c r="R47" i="2"/>
  <c r="R7" i="2"/>
  <c r="Y7" i="2" s="1"/>
  <c r="R55" i="2"/>
  <c r="P71" i="5"/>
  <c r="P22" i="5"/>
  <c r="P84" i="5"/>
  <c r="P140" i="5"/>
  <c r="P50" i="5"/>
  <c r="P171" i="5"/>
  <c r="P116" i="5"/>
  <c r="P81" i="5"/>
  <c r="P134" i="5"/>
  <c r="P103" i="5"/>
  <c r="P142" i="5"/>
  <c r="P73" i="5"/>
  <c r="P94" i="5"/>
  <c r="P42" i="5"/>
  <c r="P174" i="5"/>
  <c r="P130" i="5"/>
  <c r="P51" i="5"/>
  <c r="P66" i="5"/>
  <c r="P104" i="5"/>
  <c r="P173" i="5"/>
  <c r="P23" i="5"/>
  <c r="P30" i="5"/>
  <c r="P27" i="5"/>
  <c r="P29" i="5"/>
  <c r="P24" i="5"/>
  <c r="P25" i="5"/>
  <c r="P26" i="5"/>
  <c r="P31" i="5"/>
  <c r="P28" i="5"/>
  <c r="P162" i="5"/>
  <c r="P44" i="5"/>
  <c r="P131" i="5"/>
  <c r="P53" i="5"/>
  <c r="P40" i="5"/>
  <c r="P82" i="5"/>
  <c r="P78" i="5"/>
  <c r="P65" i="5"/>
  <c r="P52" i="5"/>
  <c r="P118" i="5"/>
  <c r="P58" i="5"/>
  <c r="P129" i="5"/>
  <c r="P95" i="5"/>
  <c r="P167" i="5"/>
  <c r="P164" i="5"/>
  <c r="P34" i="5"/>
  <c r="P149" i="5"/>
  <c r="P72" i="5"/>
  <c r="P63" i="5"/>
  <c r="P92" i="5"/>
  <c r="P100" i="5"/>
  <c r="P86" i="5"/>
  <c r="P101" i="5"/>
  <c r="P141" i="5"/>
  <c r="P62" i="5"/>
  <c r="P99" i="5"/>
  <c r="P87" i="5"/>
  <c r="P156" i="5"/>
  <c r="P55" i="5"/>
  <c r="P61" i="5"/>
  <c r="P96" i="5"/>
  <c r="P59" i="5"/>
  <c r="P107" i="5"/>
  <c r="P90" i="5"/>
  <c r="P80" i="5"/>
  <c r="P43" i="5"/>
  <c r="P195" i="4"/>
  <c r="P37" i="4"/>
  <c r="P38" i="4"/>
  <c r="P42" i="4"/>
  <c r="P40" i="4"/>
  <c r="P33" i="4"/>
  <c r="P36" i="4"/>
  <c r="P34" i="4"/>
  <c r="P39" i="4"/>
  <c r="P43" i="4"/>
  <c r="P41" i="4"/>
  <c r="P35" i="4"/>
  <c r="P54" i="3"/>
  <c r="P72" i="3"/>
  <c r="P68" i="3"/>
  <c r="P127" i="3"/>
  <c r="P87" i="3"/>
  <c r="P96" i="3"/>
  <c r="P23" i="3"/>
  <c r="P13" i="3"/>
  <c r="P113" i="3"/>
  <c r="P17" i="3"/>
  <c r="P19" i="3"/>
  <c r="P25" i="3"/>
  <c r="P45" i="3"/>
  <c r="P97" i="3"/>
  <c r="P60" i="3"/>
  <c r="P90" i="3"/>
  <c r="P101" i="3"/>
  <c r="P55" i="3"/>
  <c r="P80" i="3"/>
  <c r="P70" i="3"/>
  <c r="P71" i="3"/>
  <c r="P106" i="3"/>
  <c r="P105" i="3"/>
  <c r="P65" i="3"/>
  <c r="P62" i="3"/>
  <c r="P30" i="3"/>
  <c r="P99" i="3"/>
  <c r="P88" i="3"/>
  <c r="P94" i="3"/>
  <c r="R63" i="2"/>
  <c r="R57" i="2"/>
  <c r="Y58" i="2" s="1"/>
  <c r="R33" i="2"/>
  <c r="R38" i="2"/>
  <c r="Y38" i="2" s="1"/>
  <c r="R6" i="2"/>
  <c r="Y6" i="2" s="1"/>
  <c r="R18" i="2"/>
  <c r="Y18" i="2" s="1"/>
  <c r="R49" i="2"/>
  <c r="R9" i="2"/>
  <c r="R72" i="2"/>
  <c r="R44" i="2"/>
  <c r="Y44" i="2" s="1"/>
  <c r="R21" i="2"/>
  <c r="R62" i="2"/>
  <c r="Y62" i="2" s="1"/>
  <c r="R28" i="2"/>
  <c r="Y29" i="2" s="1"/>
  <c r="R45" i="2"/>
  <c r="Y45" i="2" s="1"/>
  <c r="R20" i="2"/>
  <c r="R4" i="2"/>
  <c r="Y4" i="2" s="1"/>
  <c r="R42" i="2"/>
  <c r="Y42" i="2" s="1"/>
  <c r="R35" i="2"/>
  <c r="Y35" i="2" s="1"/>
  <c r="R17" i="2"/>
  <c r="P111" i="3"/>
  <c r="P46" i="3"/>
  <c r="P58" i="3"/>
  <c r="P63" i="3"/>
  <c r="P92" i="3"/>
  <c r="P24" i="3"/>
  <c r="P119" i="3"/>
  <c r="P93" i="3"/>
  <c r="P49" i="3"/>
  <c r="P107" i="3"/>
  <c r="P77" i="3"/>
  <c r="P82" i="3"/>
  <c r="P44" i="3"/>
  <c r="P38" i="3"/>
  <c r="P22" i="3"/>
  <c r="P35" i="3"/>
  <c r="P78" i="3"/>
  <c r="P47" i="3"/>
  <c r="P108" i="3"/>
  <c r="P118" i="3"/>
  <c r="P20" i="3"/>
  <c r="P79" i="3"/>
  <c r="P69" i="3"/>
  <c r="P61" i="3"/>
  <c r="P34" i="3"/>
  <c r="P28" i="3"/>
  <c r="P98" i="3"/>
  <c r="P51" i="3"/>
  <c r="P57" i="3"/>
  <c r="R36" i="2"/>
  <c r="Y36" i="2" s="1"/>
  <c r="R34" i="2"/>
  <c r="Y34" i="2" s="1"/>
  <c r="R67" i="2"/>
  <c r="Y67" i="2" s="1"/>
  <c r="R46" i="2"/>
  <c r="Y47" i="2" s="1"/>
  <c r="R15" i="2"/>
  <c r="Y13" i="2" s="1"/>
  <c r="R61" i="2"/>
  <c r="R48" i="2"/>
  <c r="Y49" i="2" s="1"/>
  <c r="R32" i="2"/>
  <c r="Y32" i="2" s="1"/>
  <c r="R11" i="2"/>
  <c r="Y15" i="2" s="1"/>
  <c r="R41" i="2"/>
  <c r="Y41" i="2" s="1"/>
  <c r="R74" i="2"/>
  <c r="Y74" i="2" s="1"/>
  <c r="R37" i="2"/>
  <c r="Y37" i="2" s="1"/>
  <c r="R16" i="2"/>
  <c r="R25" i="2"/>
  <c r="Y25" i="2" s="1"/>
  <c r="R59" i="2"/>
  <c r="R3" i="2"/>
  <c r="Y3" i="2" s="1"/>
  <c r="R5" i="2"/>
  <c r="Y5" i="2" s="1"/>
  <c r="R64" i="2"/>
  <c r="Y64" i="2" s="1"/>
  <c r="P52" i="4"/>
  <c r="P213" i="4"/>
  <c r="P136" i="4"/>
  <c r="P155" i="4"/>
  <c r="P149" i="4"/>
  <c r="P62" i="4"/>
  <c r="P108" i="4"/>
  <c r="P160" i="4"/>
  <c r="P144" i="4"/>
  <c r="P162" i="4"/>
  <c r="P151" i="4"/>
  <c r="P97" i="4"/>
  <c r="P200" i="4"/>
  <c r="P168" i="4"/>
  <c r="P57" i="4"/>
  <c r="P112" i="4"/>
  <c r="P77" i="4"/>
  <c r="P95" i="4"/>
  <c r="P90" i="4"/>
  <c r="P69" i="4"/>
  <c r="P187" i="4"/>
  <c r="P101" i="4"/>
  <c r="P166" i="4"/>
  <c r="P60" i="4"/>
  <c r="P96" i="4"/>
  <c r="P176" i="4"/>
  <c r="P173" i="4"/>
  <c r="P207" i="4"/>
  <c r="P197" i="4"/>
  <c r="B4" i="1"/>
  <c r="R96" i="4" s="1"/>
  <c r="P78" i="4"/>
  <c r="P227" i="4"/>
  <c r="P65" i="4"/>
  <c r="P148" i="4"/>
  <c r="P61" i="4"/>
  <c r="P75" i="4"/>
  <c r="P142" i="4"/>
  <c r="P192" i="4"/>
  <c r="P210" i="4"/>
  <c r="P140" i="4"/>
  <c r="P113" i="4"/>
  <c r="P153" i="4"/>
  <c r="P170" i="4"/>
  <c r="P115" i="4"/>
  <c r="P50" i="4"/>
  <c r="P206" i="4"/>
  <c r="P215" i="4"/>
  <c r="P51" i="4"/>
  <c r="P183" i="4"/>
  <c r="P71" i="4"/>
  <c r="P189" i="4"/>
  <c r="P208" i="4"/>
  <c r="P147" i="4"/>
  <c r="P182" i="4"/>
  <c r="P82" i="4"/>
  <c r="P202" i="4"/>
  <c r="B24" i="1"/>
  <c r="P205" i="4"/>
  <c r="P198" i="4"/>
  <c r="P229" i="4"/>
  <c r="P196" i="4"/>
  <c r="P55" i="4"/>
  <c r="P218" i="4"/>
  <c r="P64" i="4"/>
  <c r="P181" i="4"/>
  <c r="P48" i="4"/>
  <c r="P107" i="4"/>
  <c r="P204" i="4"/>
  <c r="P141" i="4"/>
  <c r="P103" i="4"/>
  <c r="P226" i="4"/>
  <c r="P132" i="4"/>
  <c r="P120" i="4"/>
  <c r="P109" i="4"/>
  <c r="P129" i="4"/>
  <c r="P93" i="4"/>
  <c r="P216" i="4"/>
  <c r="P167" i="4"/>
  <c r="P121" i="4"/>
  <c r="P76" i="4"/>
  <c r="P171" i="4"/>
  <c r="P224" i="4"/>
  <c r="P217" i="4"/>
  <c r="P159" i="4"/>
  <c r="P156" i="4"/>
  <c r="P134" i="4"/>
  <c r="P131" i="4"/>
  <c r="P219" i="4"/>
  <c r="P74" i="4"/>
  <c r="P194" i="4"/>
  <c r="P85" i="4"/>
  <c r="P92" i="4"/>
  <c r="P127" i="4"/>
  <c r="P172" i="4"/>
  <c r="P175" i="4"/>
  <c r="P88" i="4"/>
  <c r="P137" i="4"/>
  <c r="P100" i="4"/>
  <c r="P70" i="4"/>
  <c r="P125" i="4"/>
  <c r="P177" i="4"/>
  <c r="P220" i="4"/>
  <c r="P63" i="4"/>
  <c r="P45" i="4"/>
  <c r="P221" i="4"/>
  <c r="P158" i="4"/>
  <c r="P126" i="4"/>
  <c r="P145" i="4"/>
  <c r="P73" i="4"/>
  <c r="P89" i="4"/>
  <c r="P87" i="4"/>
  <c r="P68" i="4"/>
  <c r="P150" i="4"/>
  <c r="P138" i="4"/>
  <c r="P119" i="4"/>
  <c r="P209" i="4"/>
  <c r="P165" i="4"/>
  <c r="P191" i="4"/>
  <c r="P222" i="4"/>
  <c r="P67" i="4"/>
  <c r="P178" i="4"/>
  <c r="P223" i="4"/>
  <c r="P47" i="4"/>
  <c r="P230" i="4"/>
  <c r="P188" i="4"/>
  <c r="P190" i="4"/>
  <c r="P66" i="4"/>
  <c r="P72" i="4"/>
  <c r="P228" i="4"/>
  <c r="P152" i="4"/>
  <c r="P199" i="4"/>
  <c r="P157" i="4"/>
  <c r="P184" i="4"/>
  <c r="P186" i="4"/>
  <c r="P161" i="4"/>
  <c r="P44" i="4"/>
  <c r="P84" i="4"/>
  <c r="P46" i="4"/>
  <c r="P124" i="4"/>
  <c r="P133" i="4"/>
  <c r="P116" i="4"/>
  <c r="P154" i="4"/>
  <c r="P81" i="4"/>
  <c r="P104" i="4"/>
  <c r="P164" i="4"/>
  <c r="P118" i="4"/>
  <c r="P98" i="4"/>
  <c r="P117" i="4"/>
  <c r="P212" i="4"/>
  <c r="P80" i="4"/>
  <c r="P106" i="4"/>
  <c r="P203" i="4"/>
  <c r="P123" i="4"/>
  <c r="P91" i="4"/>
  <c r="P102" i="4"/>
  <c r="P56" i="4"/>
  <c r="P114" i="4"/>
  <c r="P146" i="4"/>
  <c r="P111" i="4"/>
  <c r="P214" i="4"/>
  <c r="P163" i="4"/>
  <c r="P231" i="4"/>
  <c r="P110" i="4"/>
  <c r="P83" i="4"/>
  <c r="P143" i="4"/>
  <c r="P53" i="4"/>
  <c r="P193" i="4"/>
  <c r="P99" i="4"/>
  <c r="P58" i="4"/>
  <c r="P122" i="4"/>
  <c r="P59" i="4"/>
  <c r="P79" i="4"/>
  <c r="P185" i="4"/>
  <c r="P86" i="4"/>
  <c r="P105" i="4"/>
  <c r="P179" i="4"/>
  <c r="P169" i="4"/>
  <c r="P201" i="4"/>
  <c r="P211" i="4"/>
  <c r="P130" i="4"/>
  <c r="P94" i="4"/>
  <c r="P139" i="4"/>
  <c r="P225" i="4"/>
  <c r="P180" i="4"/>
  <c r="P49" i="4"/>
  <c r="P128" i="4"/>
  <c r="P174" i="4"/>
  <c r="P135" i="4"/>
  <c r="P54" i="4"/>
  <c r="P83" i="5"/>
  <c r="P114" i="5"/>
  <c r="P67" i="5"/>
  <c r="P172" i="5"/>
  <c r="P76" i="5"/>
  <c r="P145" i="5"/>
  <c r="P32" i="5"/>
  <c r="P38" i="5"/>
  <c r="P108" i="5"/>
  <c r="P98" i="5"/>
  <c r="P39" i="5"/>
  <c r="P160" i="5"/>
  <c r="P111" i="5"/>
  <c r="P138" i="5"/>
  <c r="P112" i="5"/>
  <c r="P68" i="5"/>
  <c r="P119" i="5"/>
  <c r="P75" i="5"/>
  <c r="P166" i="5"/>
  <c r="P165" i="5"/>
  <c r="P106" i="5"/>
  <c r="P91" i="5"/>
  <c r="P170" i="5"/>
  <c r="P85" i="5"/>
  <c r="P137" i="5"/>
  <c r="P88" i="5"/>
  <c r="P35" i="5"/>
  <c r="P163" i="5"/>
  <c r="P102" i="5"/>
  <c r="P155" i="5"/>
  <c r="P139" i="5"/>
  <c r="P150" i="5"/>
  <c r="P56" i="5"/>
  <c r="P136" i="5"/>
  <c r="P121" i="5"/>
  <c r="P110" i="5"/>
  <c r="P126" i="5"/>
  <c r="P123" i="5"/>
  <c r="P57" i="5"/>
  <c r="P49" i="5"/>
  <c r="P79" i="5"/>
  <c r="P89" i="5"/>
  <c r="P117" i="5"/>
  <c r="P159" i="5"/>
  <c r="P122" i="5"/>
  <c r="P168" i="5"/>
  <c r="P33" i="5"/>
  <c r="P97" i="5"/>
  <c r="P152" i="5"/>
  <c r="P70" i="5"/>
  <c r="P48" i="5"/>
  <c r="P146" i="5"/>
  <c r="P109" i="5"/>
  <c r="P161" i="5"/>
  <c r="P47" i="5"/>
  <c r="P147" i="5"/>
  <c r="P41" i="5"/>
  <c r="P54" i="5"/>
  <c r="P148" i="5"/>
  <c r="B3" i="1"/>
  <c r="P45" i="5"/>
  <c r="P144" i="5"/>
  <c r="P125" i="5"/>
  <c r="P127" i="5"/>
  <c r="P69" i="5"/>
  <c r="P113" i="5"/>
  <c r="P74" i="5"/>
  <c r="P37" i="5"/>
  <c r="P158" i="5"/>
  <c r="P77" i="5"/>
  <c r="P124" i="5"/>
  <c r="Y14" i="2"/>
  <c r="Y43" i="2"/>
  <c r="Y65" i="2"/>
  <c r="R32" i="3"/>
  <c r="R64" i="3"/>
  <c r="R116" i="3"/>
  <c r="Y33" i="2"/>
  <c r="Y20" i="2"/>
  <c r="Y17" i="2"/>
  <c r="Y59" i="2"/>
  <c r="Y10" i="2"/>
  <c r="Y53" i="2"/>
  <c r="Y30" i="2"/>
  <c r="Y70" i="2"/>
  <c r="N173" i="7"/>
  <c r="N199" i="7"/>
  <c r="N225" i="7"/>
  <c r="N209" i="7"/>
  <c r="N210" i="7"/>
  <c r="N208" i="7"/>
  <c r="N198" i="7"/>
  <c r="N206" i="7"/>
  <c r="N205" i="7"/>
  <c r="N428" i="7"/>
  <c r="N174" i="7"/>
  <c r="N196" i="7"/>
  <c r="N202" i="7"/>
  <c r="N184" i="7"/>
  <c r="N194" i="7"/>
  <c r="N203" i="7"/>
  <c r="N180" i="7"/>
  <c r="N200" i="7"/>
  <c r="N228" i="7"/>
  <c r="N211" i="7"/>
  <c r="N212" i="7"/>
  <c r="N637" i="7"/>
  <c r="N207" i="7"/>
  <c r="N179" i="7"/>
  <c r="N176" i="7"/>
  <c r="N235" i="7"/>
  <c r="N178" i="7"/>
  <c r="N195" i="7"/>
  <c r="N238" i="7"/>
  <c r="N197" i="7"/>
  <c r="N201" i="7"/>
  <c r="N193" i="7"/>
  <c r="N204" i="7"/>
  <c r="N233" i="7"/>
  <c r="N183" i="7"/>
  <c r="N177" i="7"/>
  <c r="N175" i="7"/>
  <c r="N181" i="7"/>
  <c r="N182" i="7"/>
  <c r="N224" i="7"/>
  <c r="Y57" i="2" l="1"/>
  <c r="Y22" i="2"/>
  <c r="Y73" i="2"/>
  <c r="Y12" i="2"/>
  <c r="Y19" i="2"/>
  <c r="Y63" i="2"/>
  <c r="Y56" i="2"/>
  <c r="Y28" i="2"/>
  <c r="Y8" i="2"/>
  <c r="Y50" i="2"/>
  <c r="Y72" i="2"/>
  <c r="Y21" i="2"/>
  <c r="Y51" i="2"/>
  <c r="Y61" i="2"/>
  <c r="Y55" i="2"/>
  <c r="Y9" i="2"/>
  <c r="Y46" i="2"/>
  <c r="Y11" i="2"/>
  <c r="Y16" i="2"/>
  <c r="Y48" i="2"/>
  <c r="R130" i="4"/>
  <c r="E26" i="31"/>
  <c r="R162" i="4"/>
  <c r="R27" i="3"/>
  <c r="R19" i="3"/>
  <c r="R92" i="3"/>
  <c r="R5" i="3"/>
  <c r="R52" i="3"/>
  <c r="R24" i="3"/>
  <c r="R84" i="3"/>
  <c r="R109" i="3"/>
  <c r="R43" i="3"/>
  <c r="R41" i="3"/>
  <c r="R34" i="3"/>
  <c r="R63" i="3"/>
  <c r="R13" i="3"/>
  <c r="R124" i="3"/>
  <c r="R76" i="3"/>
  <c r="R115" i="3"/>
  <c r="R44" i="3"/>
  <c r="R85" i="3"/>
  <c r="R87" i="3"/>
  <c r="R81" i="3"/>
  <c r="R73" i="3"/>
  <c r="R15" i="3"/>
  <c r="R59" i="3"/>
  <c r="R14" i="3"/>
  <c r="R33" i="3"/>
  <c r="R56" i="3"/>
  <c r="R17" i="3"/>
  <c r="R75" i="3"/>
  <c r="R20" i="3"/>
  <c r="R100" i="3"/>
  <c r="R8" i="3"/>
  <c r="R107" i="3"/>
  <c r="R30" i="3"/>
  <c r="R117" i="3"/>
  <c r="R79" i="3"/>
  <c r="R45" i="3"/>
  <c r="R98" i="3"/>
  <c r="R48" i="3"/>
  <c r="R118" i="3"/>
  <c r="R125" i="3"/>
  <c r="R97" i="3"/>
  <c r="R62" i="3"/>
  <c r="R110" i="3"/>
  <c r="R129" i="3"/>
  <c r="R50" i="3"/>
  <c r="R114" i="3"/>
  <c r="R65" i="3"/>
  <c r="R103" i="3"/>
  <c r="R49" i="3"/>
  <c r="R35" i="3"/>
  <c r="R55" i="3"/>
  <c r="R74" i="3"/>
  <c r="R53" i="3"/>
  <c r="R94" i="3"/>
  <c r="R60" i="3"/>
  <c r="R68" i="3"/>
  <c r="R119" i="3"/>
  <c r="R67" i="3"/>
  <c r="R18" i="3"/>
  <c r="R83" i="3"/>
  <c r="R105" i="3"/>
  <c r="R4" i="3"/>
  <c r="R126" i="3"/>
  <c r="R69" i="3"/>
  <c r="R61" i="3"/>
  <c r="R22" i="3"/>
  <c r="R70" i="3"/>
  <c r="R23" i="3"/>
  <c r="R86" i="3"/>
  <c r="R108" i="3"/>
  <c r="R104" i="3"/>
  <c r="R36" i="3"/>
  <c r="R113" i="3"/>
  <c r="R120" i="3"/>
  <c r="R99" i="3"/>
  <c r="R54" i="3"/>
  <c r="R42" i="3"/>
  <c r="R25" i="3"/>
  <c r="R96" i="3"/>
  <c r="R7" i="3"/>
  <c r="R40" i="3"/>
  <c r="R101" i="3"/>
  <c r="R82" i="3"/>
  <c r="R77" i="3"/>
  <c r="R26" i="3"/>
  <c r="R91" i="3"/>
  <c r="R95" i="3"/>
  <c r="R89" i="3"/>
  <c r="R106" i="3"/>
  <c r="R38" i="3"/>
  <c r="E446" i="30"/>
  <c r="E175" i="32"/>
  <c r="R123" i="3"/>
  <c r="R39" i="3"/>
  <c r="E423" i="32"/>
  <c r="E523" i="32"/>
  <c r="R116" i="4"/>
  <c r="R68" i="4"/>
  <c r="E605" i="32"/>
  <c r="E291" i="31"/>
  <c r="R58" i="3"/>
  <c r="R37" i="3"/>
  <c r="R66" i="3"/>
  <c r="R29" i="3"/>
  <c r="R46" i="3"/>
  <c r="R78" i="3"/>
  <c r="R57" i="3"/>
  <c r="R51" i="3"/>
  <c r="R122" i="3"/>
  <c r="R127" i="3"/>
  <c r="R21" i="3"/>
  <c r="R88" i="3"/>
  <c r="R9" i="3"/>
  <c r="R80" i="3"/>
  <c r="R11" i="3"/>
  <c r="R71" i="3"/>
  <c r="R31" i="3"/>
  <c r="R90" i="3"/>
  <c r="R47" i="3"/>
  <c r="R72" i="3"/>
  <c r="R121" i="3"/>
  <c r="R128" i="3"/>
  <c r="R3" i="3"/>
  <c r="R28" i="3"/>
  <c r="R112" i="3"/>
  <c r="R16" i="3"/>
  <c r="R111" i="3"/>
  <c r="R102" i="3"/>
  <c r="R6" i="3"/>
  <c r="R12" i="3"/>
  <c r="R93" i="3"/>
  <c r="E275" i="30"/>
  <c r="R196" i="4"/>
  <c r="E182" i="31"/>
  <c r="E397" i="31"/>
  <c r="E268" i="32"/>
  <c r="R112" i="4"/>
  <c r="R131" i="4"/>
  <c r="R160" i="4"/>
  <c r="E525" i="30"/>
  <c r="E19" i="32"/>
  <c r="E93" i="30"/>
  <c r="E327" i="30"/>
  <c r="R111" i="4"/>
  <c r="R80" i="4"/>
  <c r="E211" i="30"/>
  <c r="E367" i="30"/>
  <c r="E246" i="32"/>
  <c r="E345" i="30"/>
  <c r="E544" i="32"/>
  <c r="E422" i="32"/>
  <c r="E192" i="30"/>
  <c r="R182" i="4"/>
  <c r="R138" i="4"/>
  <c r="R70" i="4"/>
  <c r="R192" i="4"/>
  <c r="R84" i="4"/>
  <c r="E313" i="30"/>
  <c r="E403" i="30"/>
  <c r="E391" i="32"/>
  <c r="E157" i="30"/>
  <c r="E254" i="30"/>
  <c r="E426" i="32"/>
  <c r="E179" i="30"/>
  <c r="R203" i="4"/>
  <c r="R62" i="4"/>
  <c r="R125" i="4"/>
  <c r="R3" i="4"/>
  <c r="R28" i="4"/>
  <c r="E479" i="32"/>
  <c r="E255" i="32"/>
  <c r="E481" i="30"/>
  <c r="E206" i="31"/>
  <c r="E347" i="31"/>
  <c r="E365" i="31"/>
  <c r="E189" i="30"/>
  <c r="E11" i="30"/>
  <c r="E350" i="32"/>
  <c r="E186" i="32"/>
  <c r="E31" i="31"/>
  <c r="E339" i="32"/>
  <c r="E159" i="31"/>
  <c r="E511" i="30"/>
  <c r="E376" i="32"/>
  <c r="R220" i="4"/>
  <c r="R45" i="4"/>
  <c r="R204" i="4"/>
  <c r="R20" i="4"/>
  <c r="R207" i="4"/>
  <c r="R137" i="4"/>
  <c r="R15" i="4"/>
  <c r="R208" i="4"/>
  <c r="R74" i="4"/>
  <c r="R61" i="4"/>
  <c r="E375" i="31"/>
  <c r="E597" i="32"/>
  <c r="E122" i="32"/>
  <c r="E364" i="31"/>
  <c r="E494" i="30"/>
  <c r="E309" i="32"/>
  <c r="E52" i="30"/>
  <c r="E222" i="31"/>
  <c r="E569" i="32"/>
  <c r="E540" i="32"/>
  <c r="E34" i="32"/>
  <c r="E27" i="31"/>
  <c r="E389" i="32"/>
  <c r="E270" i="32"/>
  <c r="E105" i="30"/>
  <c r="E133" i="30"/>
  <c r="R184" i="4"/>
  <c r="R94" i="4"/>
  <c r="R98" i="4"/>
  <c r="R85" i="4"/>
  <c r="R8" i="4"/>
  <c r="R229" i="4"/>
  <c r="R78" i="4"/>
  <c r="R126" i="4"/>
  <c r="R82" i="4"/>
  <c r="E359" i="32"/>
  <c r="E141" i="31"/>
  <c r="E395" i="30"/>
  <c r="E269" i="32"/>
  <c r="R127" i="4"/>
  <c r="R167" i="4"/>
  <c r="R165" i="4"/>
  <c r="R35" i="4"/>
  <c r="R73" i="4"/>
  <c r="R89" i="4"/>
  <c r="R47" i="4"/>
  <c r="R58" i="4"/>
  <c r="R128" i="4"/>
  <c r="R27" i="4"/>
  <c r="R166" i="4"/>
  <c r="R171" i="4"/>
  <c r="R170" i="4"/>
  <c r="R119" i="4"/>
  <c r="R156" i="4"/>
  <c r="R19" i="4"/>
  <c r="R14" i="4"/>
  <c r="R120" i="4"/>
  <c r="R152" i="4"/>
  <c r="R5" i="4"/>
  <c r="E295" i="31"/>
  <c r="E165" i="30"/>
  <c r="E356" i="31"/>
  <c r="E257" i="32"/>
  <c r="E89" i="30"/>
  <c r="R42" i="4"/>
  <c r="R56" i="4"/>
  <c r="R214" i="4"/>
  <c r="R164" i="4"/>
  <c r="R227" i="4"/>
  <c r="R149" i="4"/>
  <c r="R161" i="4"/>
  <c r="R143" i="4"/>
  <c r="R188" i="4"/>
  <c r="R103" i="4"/>
  <c r="Y103" i="4" s="1"/>
  <c r="R199" i="4"/>
  <c r="R142" i="4"/>
  <c r="R9" i="4"/>
  <c r="R31" i="4"/>
  <c r="Y31" i="4" s="1"/>
  <c r="R133" i="4"/>
  <c r="R172" i="4"/>
  <c r="R75" i="4"/>
  <c r="R53" i="4"/>
  <c r="R13" i="4"/>
  <c r="R157" i="4"/>
  <c r="R134" i="4"/>
  <c r="R223" i="4"/>
  <c r="R41" i="4"/>
  <c r="R21" i="4"/>
  <c r="R193" i="4"/>
  <c r="R36" i="4"/>
  <c r="R158" i="4"/>
  <c r="R44" i="4"/>
  <c r="R177" i="4"/>
  <c r="R217" i="4"/>
  <c r="R181" i="4"/>
  <c r="R50" i="4"/>
  <c r="R101" i="4"/>
  <c r="R55" i="4"/>
  <c r="R231" i="4"/>
  <c r="R86" i="4"/>
  <c r="R175" i="4"/>
  <c r="R4" i="4"/>
  <c r="R67" i="4"/>
  <c r="R79" i="4"/>
  <c r="R7" i="4"/>
  <c r="R88" i="4"/>
  <c r="R201" i="4"/>
  <c r="R195" i="4"/>
  <c r="R230" i="4"/>
  <c r="R43" i="4"/>
  <c r="R176" i="4"/>
  <c r="R46" i="4"/>
  <c r="R92" i="4"/>
  <c r="R197" i="4"/>
  <c r="Y197" i="4" s="1"/>
  <c r="R83" i="4"/>
  <c r="R114" i="4"/>
  <c r="R211" i="4"/>
  <c r="R225" i="4"/>
  <c r="A1" i="28"/>
  <c r="R210" i="4"/>
  <c r="R65" i="4"/>
  <c r="R183" i="4"/>
  <c r="R33" i="4"/>
  <c r="R148" i="4"/>
  <c r="R151" i="4"/>
  <c r="R90" i="4"/>
  <c r="Y90" i="4" s="1"/>
  <c r="R219" i="4"/>
  <c r="R224" i="4"/>
  <c r="R48" i="4"/>
  <c r="R30" i="4"/>
  <c r="Y30" i="4" s="1"/>
  <c r="R124" i="4"/>
  <c r="R202" i="4"/>
  <c r="R228" i="4"/>
  <c r="R40" i="4"/>
  <c r="Y40" i="4" s="1"/>
  <c r="R144" i="4"/>
  <c r="R136" i="4"/>
  <c r="R123" i="4"/>
  <c r="R178" i="4"/>
  <c r="Y175" i="4" s="1"/>
  <c r="R194" i="4"/>
  <c r="R108" i="4"/>
  <c r="R205" i="4"/>
  <c r="R51" i="4"/>
  <c r="R71" i="4"/>
  <c r="R87" i="4"/>
  <c r="R222" i="4"/>
  <c r="R206" i="4"/>
  <c r="Y207" i="4" s="1"/>
  <c r="R6" i="4"/>
  <c r="R159" i="4"/>
  <c r="R163" i="4"/>
  <c r="R102" i="4"/>
  <c r="R38" i="4"/>
  <c r="R174" i="4"/>
  <c r="R22" i="4"/>
  <c r="R154" i="4"/>
  <c r="R60" i="4"/>
  <c r="R69" i="4"/>
  <c r="R213" i="4"/>
  <c r="R34" i="4"/>
  <c r="R215" i="4"/>
  <c r="R169" i="4"/>
  <c r="R52" i="4"/>
  <c r="R39" i="4"/>
  <c r="R100" i="4"/>
  <c r="R145" i="4"/>
  <c r="R189" i="4"/>
  <c r="R54" i="4"/>
  <c r="Y54" i="4" s="1"/>
  <c r="R198" i="4"/>
  <c r="R135" i="4"/>
  <c r="R187" i="4"/>
  <c r="R155" i="4"/>
  <c r="R25" i="4"/>
  <c r="R191" i="4"/>
  <c r="R190" i="4"/>
  <c r="R17" i="4"/>
  <c r="Y17" i="4" s="1"/>
  <c r="R200" i="4"/>
  <c r="R186" i="4"/>
  <c r="E205" i="32"/>
  <c r="E185" i="32"/>
  <c r="E282" i="30"/>
  <c r="E170" i="31"/>
  <c r="E149" i="32"/>
  <c r="E82" i="32"/>
  <c r="E180" i="31"/>
  <c r="E73" i="31"/>
  <c r="E208" i="32"/>
  <c r="E89" i="32"/>
  <c r="E236" i="31"/>
  <c r="E105" i="32"/>
  <c r="E553" i="32"/>
  <c r="E607" i="32"/>
  <c r="E271" i="30"/>
  <c r="E240" i="31"/>
  <c r="E261" i="30"/>
  <c r="E381" i="31"/>
  <c r="E278" i="32"/>
  <c r="E398" i="30"/>
  <c r="E346" i="32"/>
  <c r="E438" i="32"/>
  <c r="E79" i="32"/>
  <c r="R23" i="4"/>
  <c r="R81" i="4"/>
  <c r="R185" i="4"/>
  <c r="Y188" i="4" s="1"/>
  <c r="R117" i="4"/>
  <c r="R57" i="4"/>
  <c r="R110" i="4"/>
  <c r="R180" i="4"/>
  <c r="R105" i="4"/>
  <c r="R150" i="4"/>
  <c r="R97" i="4"/>
  <c r="R132" i="4"/>
  <c r="Y132" i="4" s="1"/>
  <c r="R179" i="4"/>
  <c r="R49" i="4"/>
  <c r="R153" i="4"/>
  <c r="R147" i="4"/>
  <c r="Y147" i="4" s="1"/>
  <c r="R95" i="4"/>
  <c r="R226" i="4"/>
  <c r="R93" i="4"/>
  <c r="R77" i="4"/>
  <c r="Y78" i="4" s="1"/>
  <c r="R76" i="4"/>
  <c r="R212" i="4"/>
  <c r="R168" i="4"/>
  <c r="R24" i="4"/>
  <c r="Y24" i="4" s="1"/>
  <c r="R18" i="4"/>
  <c r="R216" i="4"/>
  <c r="R32" i="4"/>
  <c r="R109" i="4"/>
  <c r="R129" i="4"/>
  <c r="R139" i="4"/>
  <c r="R140" i="4"/>
  <c r="R218" i="4"/>
  <c r="Y218" i="4" s="1"/>
  <c r="R107" i="4"/>
  <c r="R122" i="4"/>
  <c r="R104" i="4"/>
  <c r="R209" i="4"/>
  <c r="Y210" i="4" s="1"/>
  <c r="R59" i="4"/>
  <c r="R72" i="4"/>
  <c r="R66" i="4"/>
  <c r="R115" i="4"/>
  <c r="Y115" i="4" s="1"/>
  <c r="R16" i="4"/>
  <c r="R99" i="4"/>
  <c r="R146" i="4"/>
  <c r="R173" i="4"/>
  <c r="Y171" i="4" s="1"/>
  <c r="R91" i="4"/>
  <c r="R26" i="4"/>
  <c r="R63" i="4"/>
  <c r="R12" i="4"/>
  <c r="Y12" i="4" s="1"/>
  <c r="R11" i="4"/>
  <c r="R64" i="4"/>
  <c r="R121" i="4"/>
  <c r="R118" i="4"/>
  <c r="Y118" i="4" s="1"/>
  <c r="R141" i="4"/>
  <c r="R106" i="4"/>
  <c r="R113" i="4"/>
  <c r="R37" i="4"/>
  <c r="Y37" i="4" s="1"/>
  <c r="R10" i="4"/>
  <c r="R221" i="4"/>
  <c r="R29" i="4"/>
  <c r="E183" i="30"/>
  <c r="E289" i="31"/>
  <c r="E299" i="30"/>
  <c r="E170" i="32"/>
  <c r="E115" i="30"/>
  <c r="E289" i="32"/>
  <c r="E195" i="32"/>
  <c r="E210" i="32"/>
  <c r="E336" i="31"/>
  <c r="E59" i="31"/>
  <c r="E148" i="30"/>
  <c r="E165" i="31"/>
  <c r="E211" i="32"/>
  <c r="E371" i="30"/>
  <c r="E338" i="31"/>
  <c r="E259" i="31"/>
  <c r="E201" i="30"/>
  <c r="E159" i="30"/>
  <c r="E204" i="32"/>
  <c r="E210" i="30"/>
  <c r="E613" i="32"/>
  <c r="E292" i="32"/>
  <c r="E182" i="32"/>
  <c r="E155" i="30"/>
  <c r="E193" i="30"/>
  <c r="E17" i="30"/>
  <c r="E585" i="32"/>
  <c r="E212" i="30"/>
  <c r="E356" i="32"/>
  <c r="E128" i="31"/>
  <c r="E264" i="31"/>
  <c r="E446" i="32"/>
  <c r="E285" i="31"/>
  <c r="E442" i="30"/>
  <c r="E194" i="31"/>
  <c r="E374" i="31"/>
  <c r="E167" i="32"/>
  <c r="E573" i="32"/>
  <c r="E557" i="32"/>
  <c r="E568" i="32"/>
  <c r="E113" i="31"/>
  <c r="E174" i="32"/>
  <c r="E75" i="31"/>
  <c r="E71" i="31"/>
  <c r="E37" i="32"/>
  <c r="E125" i="30"/>
  <c r="E218" i="30"/>
  <c r="E54" i="30"/>
  <c r="E74" i="30"/>
  <c r="E37" i="31"/>
  <c r="E216" i="30"/>
  <c r="E277" i="31"/>
  <c r="E263" i="31"/>
  <c r="E387" i="31"/>
  <c r="E396" i="30"/>
  <c r="E179" i="31"/>
  <c r="E209" i="30"/>
  <c r="E161" i="32"/>
  <c r="E333" i="31"/>
  <c r="E320" i="30"/>
  <c r="E114" i="31"/>
  <c r="E215" i="30"/>
  <c r="E345" i="32"/>
  <c r="E443" i="30"/>
  <c r="E479" i="30"/>
  <c r="E64" i="30"/>
  <c r="E213" i="31"/>
  <c r="E200" i="31"/>
  <c r="E151" i="31"/>
  <c r="E27" i="32"/>
  <c r="E372" i="32"/>
  <c r="E16" i="30"/>
  <c r="E305" i="30"/>
  <c r="E20" i="32"/>
  <c r="E469" i="30"/>
  <c r="E92" i="32"/>
  <c r="E67" i="30"/>
  <c r="E191" i="31"/>
  <c r="E321" i="32"/>
  <c r="E218" i="32"/>
  <c r="E367" i="32"/>
  <c r="E250" i="32"/>
  <c r="E452" i="32"/>
  <c r="E461" i="32"/>
  <c r="E406" i="30"/>
  <c r="E524" i="32"/>
  <c r="E465" i="32"/>
  <c r="E522" i="30"/>
  <c r="E390" i="31"/>
  <c r="E24" i="30"/>
  <c r="E455" i="30"/>
  <c r="E519" i="30"/>
  <c r="E208" i="31"/>
  <c r="E171" i="31"/>
  <c r="E31" i="30"/>
  <c r="E8" i="32"/>
  <c r="E63" i="32"/>
  <c r="E250" i="31"/>
  <c r="E142" i="32"/>
  <c r="E146" i="32"/>
  <c r="E386" i="30"/>
  <c r="E68" i="31"/>
  <c r="E10" i="31"/>
  <c r="E358" i="30"/>
  <c r="E118" i="30"/>
  <c r="E432" i="32"/>
  <c r="E441" i="30"/>
  <c r="E42" i="30"/>
  <c r="E146" i="30"/>
  <c r="E134" i="30"/>
  <c r="E456" i="30"/>
  <c r="E81" i="31"/>
  <c r="E35" i="31"/>
  <c r="E497" i="30"/>
  <c r="E49" i="31"/>
  <c r="E86" i="32"/>
  <c r="E519" i="32"/>
  <c r="E213" i="30"/>
  <c r="E245" i="32"/>
  <c r="E254" i="32"/>
  <c r="E65" i="32"/>
  <c r="E7" i="32"/>
  <c r="E565" i="32"/>
  <c r="E27" i="30"/>
  <c r="E331" i="32"/>
  <c r="E13" i="32"/>
  <c r="E486" i="32"/>
  <c r="E330" i="32"/>
  <c r="E97" i="32"/>
  <c r="E36" i="31"/>
  <c r="E60" i="31"/>
  <c r="E62" i="32"/>
  <c r="E264" i="32"/>
  <c r="E361" i="32"/>
  <c r="E169" i="30"/>
  <c r="E100" i="30"/>
  <c r="E177" i="32"/>
  <c r="R128" i="5"/>
  <c r="R23" i="5"/>
  <c r="Y23" i="5" s="1"/>
  <c r="R16" i="5"/>
  <c r="R146" i="5"/>
  <c r="R168" i="5"/>
  <c r="R88" i="5"/>
  <c r="R117" i="5"/>
  <c r="R28" i="5"/>
  <c r="Y28" i="5" s="1"/>
  <c r="R57" i="5"/>
  <c r="R46" i="5"/>
  <c r="Y46" i="5" s="1"/>
  <c r="R139" i="5"/>
  <c r="R134" i="5"/>
  <c r="R62" i="5"/>
  <c r="R158" i="5"/>
  <c r="R54" i="5"/>
  <c r="R102" i="5"/>
  <c r="R43" i="5"/>
  <c r="R109" i="5"/>
  <c r="R89" i="5"/>
  <c r="R3" i="5"/>
  <c r="Y3" i="5" s="1"/>
  <c r="R108" i="5"/>
  <c r="R48" i="5"/>
  <c r="R167" i="5"/>
  <c r="R148" i="5"/>
  <c r="R69" i="5"/>
  <c r="R152" i="5"/>
  <c r="R45" i="5"/>
  <c r="R171" i="5"/>
  <c r="R34" i="5"/>
  <c r="R32" i="5"/>
  <c r="R5" i="5"/>
  <c r="Y5" i="5" s="1"/>
  <c r="R101" i="5"/>
  <c r="R56" i="5"/>
  <c r="R165" i="5"/>
  <c r="R51" i="5"/>
  <c r="R164" i="5"/>
  <c r="R42" i="5"/>
  <c r="R116" i="5"/>
  <c r="R156" i="5"/>
  <c r="R140" i="5"/>
  <c r="R78" i="5"/>
  <c r="R137" i="5"/>
  <c r="R21" i="5"/>
  <c r="E592" i="32"/>
  <c r="E10" i="30"/>
  <c r="E243" i="32"/>
  <c r="E44" i="30"/>
  <c r="E207" i="32"/>
  <c r="E473" i="30"/>
  <c r="E390" i="32"/>
  <c r="E313" i="31"/>
  <c r="E357" i="30"/>
  <c r="E200" i="30"/>
  <c r="E462" i="30"/>
  <c r="E329" i="31"/>
  <c r="E280" i="32"/>
  <c r="E431" i="32"/>
  <c r="E145" i="31"/>
  <c r="E304" i="31"/>
  <c r="E458" i="32"/>
  <c r="E310" i="30"/>
  <c r="E302" i="32"/>
  <c r="E322" i="31"/>
  <c r="E48" i="31"/>
  <c r="E394" i="31"/>
  <c r="E324" i="31"/>
  <c r="E214" i="32"/>
  <c r="E409" i="30"/>
  <c r="E427" i="32"/>
  <c r="E47" i="31"/>
  <c r="E214" i="30"/>
  <c r="E515" i="32"/>
  <c r="E348" i="31"/>
  <c r="E261" i="32"/>
  <c r="E231" i="32"/>
  <c r="E416" i="30"/>
  <c r="E464" i="32"/>
  <c r="E235" i="31"/>
  <c r="E402" i="31"/>
  <c r="E130" i="31"/>
  <c r="E335" i="32"/>
  <c r="E113" i="32"/>
  <c r="E296" i="32"/>
  <c r="E216" i="31"/>
  <c r="E252" i="30"/>
  <c r="R169" i="5"/>
  <c r="R95" i="5"/>
  <c r="R44" i="5"/>
  <c r="R163" i="5"/>
  <c r="R159" i="5"/>
  <c r="R125" i="5"/>
  <c r="R143" i="5"/>
  <c r="R60" i="5"/>
  <c r="R121" i="5"/>
  <c r="R47" i="5"/>
  <c r="R114" i="5"/>
  <c r="R129" i="5"/>
  <c r="R91" i="5"/>
  <c r="Y88" i="5" s="1"/>
  <c r="R170" i="5"/>
  <c r="R93" i="5"/>
  <c r="R87" i="5"/>
  <c r="R82" i="5"/>
  <c r="R76" i="5"/>
  <c r="R72" i="5"/>
  <c r="R80" i="5"/>
  <c r="R154" i="5"/>
  <c r="R64" i="5"/>
  <c r="R35" i="5"/>
  <c r="R74" i="5"/>
  <c r="R173" i="5"/>
  <c r="R123" i="5"/>
  <c r="R133" i="5"/>
  <c r="R29" i="5"/>
  <c r="Y29" i="5" s="1"/>
  <c r="R25" i="5"/>
  <c r="Y25" i="5" s="1"/>
  <c r="R9" i="5"/>
  <c r="Y9" i="5" s="1"/>
  <c r="R96" i="5"/>
  <c r="R130" i="5"/>
  <c r="R38" i="5"/>
  <c r="R70" i="5"/>
  <c r="R67" i="5"/>
  <c r="R103" i="5"/>
  <c r="R10" i="5"/>
  <c r="Y10" i="5" s="1"/>
  <c r="R22" i="5"/>
  <c r="Y22" i="5" s="1"/>
  <c r="R59" i="5"/>
  <c r="R66" i="5"/>
  <c r="R19" i="5"/>
  <c r="R41" i="5"/>
  <c r="R15" i="5"/>
  <c r="Y15" i="5" s="1"/>
  <c r="E6" i="30"/>
  <c r="E242" i="32"/>
  <c r="E77" i="30"/>
  <c r="E598" i="32"/>
  <c r="E70" i="30"/>
  <c r="E50" i="32"/>
  <c r="E58" i="31"/>
  <c r="E304" i="32"/>
  <c r="E285" i="32"/>
  <c r="E12" i="32"/>
  <c r="E505" i="32"/>
  <c r="E45" i="30"/>
  <c r="E370" i="31"/>
  <c r="E135" i="32"/>
  <c r="E288" i="30"/>
  <c r="E265" i="30"/>
  <c r="E108" i="32"/>
  <c r="E437" i="30"/>
  <c r="E480" i="32"/>
  <c r="R37" i="5"/>
  <c r="Y37" i="5" s="1"/>
  <c r="R86" i="5"/>
  <c r="R115" i="5"/>
  <c r="R39" i="5"/>
  <c r="R110" i="5"/>
  <c r="R122" i="5"/>
  <c r="R118" i="5"/>
  <c r="R120" i="5"/>
  <c r="R174" i="5"/>
  <c r="R77" i="5"/>
  <c r="R132" i="5"/>
  <c r="R112" i="5"/>
  <c r="R31" i="5"/>
  <c r="Y31" i="5" s="1"/>
  <c r="N33" i="28" s="1"/>
  <c r="R90" i="5"/>
  <c r="R73" i="5"/>
  <c r="R24" i="5"/>
  <c r="R53" i="5"/>
  <c r="R138" i="5"/>
  <c r="R150" i="5"/>
  <c r="R83" i="5"/>
  <c r="R124" i="5"/>
  <c r="R13" i="5"/>
  <c r="Y13" i="5" s="1"/>
  <c r="N15" i="28" s="1"/>
  <c r="R85" i="5"/>
  <c r="R14" i="5"/>
  <c r="Y14" i="5" s="1"/>
  <c r="R63" i="5"/>
  <c r="R100" i="5"/>
  <c r="R111" i="5"/>
  <c r="Y110" i="5" s="1"/>
  <c r="R162" i="5"/>
  <c r="R151" i="5"/>
  <c r="R166" i="5"/>
  <c r="R153" i="5"/>
  <c r="R84" i="5"/>
  <c r="R18" i="5"/>
  <c r="R136" i="5"/>
  <c r="R12" i="5"/>
  <c r="Y12" i="5" s="1"/>
  <c r="R55" i="5"/>
  <c r="R8" i="5"/>
  <c r="R155" i="5"/>
  <c r="R135" i="5"/>
  <c r="R52" i="5"/>
  <c r="R126" i="5"/>
  <c r="R94" i="5"/>
  <c r="R36" i="5"/>
  <c r="R75" i="5"/>
  <c r="R17" i="5"/>
  <c r="R50" i="5"/>
  <c r="R119" i="5"/>
  <c r="R144" i="5"/>
  <c r="R147" i="5"/>
  <c r="Y137" i="5" s="1"/>
  <c r="R26" i="5"/>
  <c r="Y26" i="5" s="1"/>
  <c r="N28" i="28" s="1"/>
  <c r="R4" i="5"/>
  <c r="Y4" i="5" s="1"/>
  <c r="N6" i="28" s="1"/>
  <c r="R6" i="5"/>
  <c r="Y6" i="5" s="1"/>
  <c r="R97" i="5"/>
  <c r="R27" i="5"/>
  <c r="Y27" i="5" s="1"/>
  <c r="N29" i="28" s="1"/>
  <c r="E122" i="31"/>
  <c r="E218" i="31"/>
  <c r="E48" i="32"/>
  <c r="E511" i="32"/>
  <c r="E15" i="31"/>
  <c r="E382" i="32"/>
  <c r="E194" i="32"/>
  <c r="E509" i="32"/>
  <c r="E297" i="31"/>
  <c r="E209" i="32"/>
  <c r="E14" i="30"/>
  <c r="E250" i="30"/>
  <c r="E198" i="31"/>
  <c r="E483" i="30"/>
  <c r="E19" i="31"/>
  <c r="E508" i="32"/>
  <c r="E239" i="32"/>
  <c r="E318" i="30"/>
  <c r="E427" i="30"/>
  <c r="B9" i="1"/>
  <c r="E115" i="32"/>
  <c r="E328" i="32"/>
  <c r="E337" i="30"/>
  <c r="E155" i="32"/>
  <c r="E413" i="32"/>
  <c r="E347" i="32"/>
  <c r="E23" i="32"/>
  <c r="E13" i="31"/>
  <c r="E181" i="30"/>
  <c r="E307" i="31"/>
  <c r="E154" i="30"/>
  <c r="E223" i="32"/>
  <c r="E64" i="32"/>
  <c r="E135" i="30"/>
  <c r="E118" i="32"/>
  <c r="E430" i="30"/>
  <c r="E154" i="31"/>
  <c r="E33" i="31"/>
  <c r="E102" i="32"/>
  <c r="E220" i="30"/>
  <c r="E276" i="30"/>
  <c r="E247" i="32"/>
  <c r="E499" i="32"/>
  <c r="E189" i="32"/>
  <c r="E194" i="30"/>
  <c r="E408" i="32"/>
  <c r="E166" i="30"/>
  <c r="E4" i="31"/>
  <c r="E125" i="32"/>
  <c r="E385" i="32"/>
  <c r="E93" i="32"/>
  <c r="E23" i="31"/>
  <c r="E101" i="32"/>
  <c r="E34" i="30"/>
  <c r="E486" i="30"/>
  <c r="E49" i="30"/>
  <c r="E15" i="30"/>
  <c r="E454" i="32"/>
  <c r="E325" i="30"/>
  <c r="E2" i="31"/>
  <c r="E459" i="30"/>
  <c r="E241" i="31"/>
  <c r="E366" i="32"/>
  <c r="E217" i="31"/>
  <c r="E463" i="32"/>
  <c r="E158" i="31"/>
  <c r="E207" i="30"/>
  <c r="E175" i="30"/>
  <c r="E279" i="32"/>
  <c r="E40" i="32"/>
  <c r="E32" i="31"/>
  <c r="E112" i="31"/>
  <c r="E384" i="30"/>
  <c r="E7" i="31"/>
  <c r="E157" i="31"/>
  <c r="E575" i="32"/>
  <c r="E224" i="30"/>
  <c r="E363" i="32"/>
  <c r="E343" i="30"/>
  <c r="E76" i="30"/>
  <c r="E244" i="32"/>
  <c r="E510" i="32"/>
  <c r="E294" i="32"/>
  <c r="E491" i="30"/>
  <c r="E29" i="32"/>
  <c r="E220" i="31"/>
  <c r="E4" i="32"/>
  <c r="E376" i="30"/>
  <c r="E292" i="31"/>
  <c r="E271" i="32"/>
  <c r="E90" i="30"/>
  <c r="E84" i="30"/>
  <c r="E399" i="30"/>
  <c r="E225" i="30"/>
  <c r="E500" i="32"/>
  <c r="E378" i="32"/>
  <c r="E505" i="30"/>
  <c r="E281" i="32"/>
  <c r="E196" i="32"/>
  <c r="E531" i="32"/>
  <c r="E281" i="30"/>
  <c r="E290" i="31"/>
  <c r="E30" i="30"/>
  <c r="E28" i="30"/>
  <c r="E466" i="30"/>
  <c r="E570" i="32"/>
  <c r="E340" i="32"/>
  <c r="E364" i="32"/>
  <c r="E157" i="32"/>
  <c r="E368" i="32"/>
  <c r="E20" i="31"/>
  <c r="E283" i="32"/>
  <c r="E61" i="30"/>
  <c r="E45" i="31"/>
  <c r="E503" i="30"/>
  <c r="E286" i="31"/>
  <c r="E444" i="30"/>
  <c r="E133" i="31"/>
  <c r="E145" i="30"/>
  <c r="E395" i="32"/>
  <c r="E274" i="32"/>
  <c r="E206" i="30"/>
  <c r="E447" i="32"/>
  <c r="E577" i="32"/>
  <c r="E273" i="32"/>
  <c r="E73" i="32"/>
  <c r="E98" i="31"/>
  <c r="E191" i="32"/>
  <c r="E240" i="30"/>
  <c r="E16" i="32"/>
  <c r="E351" i="32"/>
  <c r="E388" i="32"/>
  <c r="E163" i="32"/>
  <c r="E404" i="32"/>
  <c r="E468" i="32"/>
  <c r="E321" i="31"/>
  <c r="E111" i="31"/>
  <c r="E377" i="31"/>
  <c r="E393" i="30"/>
  <c r="E67" i="31"/>
  <c r="E286" i="32"/>
  <c r="E496" i="30"/>
  <c r="E106" i="30"/>
  <c r="E490" i="32"/>
  <c r="E249" i="31"/>
  <c r="E460" i="30"/>
  <c r="E316" i="32"/>
  <c r="E203" i="32"/>
  <c r="E107" i="30"/>
  <c r="E51" i="30"/>
  <c r="E503" i="32"/>
  <c r="E132" i="30"/>
  <c r="E82" i="30"/>
  <c r="E238" i="32"/>
  <c r="E449" i="32"/>
  <c r="E56" i="31"/>
  <c r="E263" i="30"/>
  <c r="E310" i="31"/>
  <c r="R172" i="5"/>
  <c r="R113" i="5"/>
  <c r="Y112" i="5" s="1"/>
  <c r="R7" i="5"/>
  <c r="R99" i="5"/>
  <c r="R33" i="5"/>
  <c r="R142" i="5"/>
  <c r="R65" i="5"/>
  <c r="R20" i="5"/>
  <c r="R40" i="5"/>
  <c r="R105" i="5"/>
  <c r="R106" i="5"/>
  <c r="R161" i="5"/>
  <c r="Y151" i="5" s="1"/>
  <c r="R127" i="5"/>
  <c r="R71" i="5"/>
  <c r="R68" i="5"/>
  <c r="R81" i="5"/>
  <c r="Y80" i="5" s="1"/>
  <c r="R98" i="5"/>
  <c r="R49" i="5"/>
  <c r="R141" i="5"/>
  <c r="Y132" i="5" s="1"/>
  <c r="R157" i="5"/>
  <c r="R92" i="5"/>
  <c r="R61" i="5"/>
  <c r="R79" i="5"/>
  <c r="R131" i="5"/>
  <c r="Y128" i="5" s="1"/>
  <c r="R30" i="5"/>
  <c r="R145" i="5"/>
  <c r="R104" i="5"/>
  <c r="R11" i="5"/>
  <c r="Y11" i="5" s="1"/>
  <c r="R58" i="5"/>
  <c r="R107" i="5"/>
  <c r="E253" i="30"/>
  <c r="E609" i="32"/>
  <c r="E66" i="31"/>
  <c r="E449" i="30"/>
  <c r="E166" i="31"/>
  <c r="E162" i="31"/>
  <c r="E254" i="31"/>
  <c r="E140" i="30"/>
  <c r="E306" i="30"/>
  <c r="E105" i="31"/>
  <c r="E153" i="30"/>
  <c r="E325" i="31"/>
  <c r="E158" i="30"/>
  <c r="E140" i="32"/>
  <c r="E493" i="32"/>
  <c r="E41" i="31"/>
  <c r="E68" i="30"/>
  <c r="E591" i="32"/>
  <c r="E147" i="32"/>
  <c r="E181" i="31"/>
  <c r="E425" i="32"/>
  <c r="E480" i="30"/>
  <c r="E138" i="32"/>
  <c r="E196" i="30"/>
  <c r="E448" i="32"/>
  <c r="E180" i="30"/>
  <c r="E467" i="32"/>
  <c r="E32" i="32"/>
  <c r="E81" i="30"/>
  <c r="E46" i="30"/>
  <c r="E515" i="30"/>
  <c r="E333" i="32"/>
  <c r="E81" i="32"/>
  <c r="E78" i="30"/>
  <c r="E256" i="32"/>
  <c r="E220" i="32"/>
  <c r="E92" i="30"/>
  <c r="E115" i="31"/>
  <c r="E83" i="30"/>
  <c r="E501" i="30"/>
  <c r="E407" i="32"/>
  <c r="E292" i="30"/>
  <c r="E106" i="31"/>
  <c r="E587" i="32"/>
  <c r="E402" i="30"/>
  <c r="E513" i="30"/>
  <c r="E130" i="32"/>
  <c r="E190" i="32"/>
  <c r="E293" i="31"/>
  <c r="E243" i="30"/>
  <c r="E176" i="30"/>
  <c r="E251" i="30"/>
  <c r="E239" i="31"/>
  <c r="E198" i="32"/>
  <c r="E332" i="30"/>
  <c r="E391" i="30"/>
  <c r="E353" i="32"/>
  <c r="E340" i="31"/>
  <c r="E164" i="31"/>
  <c r="E147" i="31"/>
  <c r="E15" i="32"/>
  <c r="E342" i="32"/>
  <c r="E326" i="31"/>
  <c r="E380" i="31"/>
  <c r="E164" i="30"/>
  <c r="E461" i="30"/>
  <c r="E205" i="31"/>
  <c r="E116" i="31"/>
  <c r="E403" i="32"/>
  <c r="E394" i="32"/>
  <c r="E96" i="30"/>
  <c r="E173" i="31"/>
  <c r="E225" i="31"/>
  <c r="E190" i="31"/>
  <c r="E70" i="32"/>
  <c r="E276" i="31"/>
  <c r="E253" i="31"/>
  <c r="E144" i="32"/>
  <c r="E226" i="30"/>
  <c r="E339" i="31"/>
  <c r="E600" i="32"/>
  <c r="E252" i="31"/>
  <c r="R160" i="5"/>
  <c r="Y148" i="5" s="1"/>
  <c r="R149" i="5"/>
  <c r="E94" i="32"/>
  <c r="E374" i="32"/>
  <c r="E460" i="32"/>
  <c r="E187" i="32"/>
  <c r="E67" i="32"/>
  <c r="E411" i="32"/>
  <c r="E150" i="32"/>
  <c r="E465" i="30"/>
  <c r="E179" i="32"/>
  <c r="E541" i="32"/>
  <c r="E85" i="31"/>
  <c r="E435" i="32"/>
  <c r="E603" i="32"/>
  <c r="E14" i="31"/>
  <c r="E335" i="30"/>
  <c r="E424" i="32"/>
  <c r="E17" i="32"/>
  <c r="E387" i="32"/>
  <c r="E270" i="30"/>
  <c r="E195" i="31"/>
  <c r="E35" i="32"/>
  <c r="E534" i="32"/>
  <c r="E98" i="32"/>
  <c r="E361" i="31"/>
  <c r="E312" i="31"/>
  <c r="E352" i="30"/>
  <c r="E451" i="30"/>
  <c r="E171" i="32"/>
  <c r="E233" i="30"/>
  <c r="E121" i="31"/>
  <c r="E153" i="32"/>
  <c r="E80" i="32"/>
  <c r="E310" i="32"/>
  <c r="E589" i="32"/>
  <c r="E476" i="30"/>
  <c r="E107" i="31"/>
  <c r="E350" i="30"/>
  <c r="E189" i="31"/>
  <c r="E128" i="32"/>
  <c r="E268" i="31"/>
  <c r="E109" i="30"/>
  <c r="E211" i="31"/>
  <c r="E56" i="32"/>
  <c r="E344" i="32"/>
  <c r="E315" i="32"/>
  <c r="E47" i="32"/>
  <c r="E122" i="30"/>
  <c r="E12" i="30"/>
  <c r="E201" i="31"/>
  <c r="E400" i="32"/>
  <c r="E227" i="32"/>
  <c r="E545" i="32"/>
  <c r="E231" i="31"/>
  <c r="E608" i="32"/>
  <c r="E382" i="31"/>
  <c r="E435" i="30"/>
  <c r="E109" i="32"/>
  <c r="E374" i="30"/>
  <c r="E48" i="30"/>
  <c r="E230" i="30"/>
  <c r="E127" i="30"/>
  <c r="E351" i="31"/>
  <c r="E506" i="30"/>
  <c r="E323" i="32"/>
  <c r="E87" i="30"/>
  <c r="E138" i="30"/>
  <c r="E21" i="30"/>
  <c r="E226" i="32"/>
  <c r="E357" i="31"/>
  <c r="E338" i="32"/>
  <c r="E52" i="31"/>
  <c r="E124" i="31"/>
  <c r="E38" i="31"/>
  <c r="E303" i="31"/>
  <c r="E123" i="32"/>
  <c r="E25" i="32"/>
  <c r="E224" i="32"/>
  <c r="E234" i="30"/>
  <c r="E30" i="32"/>
  <c r="E394" i="30"/>
  <c r="E156" i="32"/>
  <c r="E17" i="31"/>
  <c r="E120" i="32"/>
  <c r="E471" i="30"/>
  <c r="E311" i="31"/>
  <c r="E320" i="32"/>
  <c r="E472" i="32"/>
  <c r="E33" i="32"/>
  <c r="E528" i="30"/>
  <c r="E244" i="31"/>
  <c r="E183" i="32"/>
  <c r="E237" i="31"/>
  <c r="E169" i="32"/>
  <c r="E507" i="32"/>
  <c r="E308" i="30"/>
  <c r="E516" i="30"/>
  <c r="E238" i="30"/>
  <c r="E229" i="30"/>
  <c r="E295" i="32"/>
  <c r="E386" i="32"/>
  <c r="E293" i="30"/>
  <c r="E436" i="30"/>
  <c r="E437" i="32"/>
  <c r="E60" i="30"/>
  <c r="E385" i="30"/>
  <c r="E62" i="31"/>
  <c r="E521" i="32"/>
  <c r="E359" i="30"/>
  <c r="E185" i="31"/>
  <c r="E133" i="32"/>
  <c r="E169" i="31"/>
  <c r="E259" i="30"/>
  <c r="E226" i="31"/>
  <c r="E504" i="32"/>
  <c r="E426" i="30"/>
  <c r="E288" i="31"/>
  <c r="E83" i="32"/>
  <c r="E32" i="30"/>
  <c r="E300" i="32"/>
  <c r="E75" i="32"/>
  <c r="E314" i="32"/>
  <c r="E145" i="32"/>
  <c r="E53" i="30"/>
  <c r="E18" i="30"/>
  <c r="E399" i="31"/>
  <c r="E62" i="30"/>
  <c r="E352" i="31"/>
  <c r="E450" i="32"/>
  <c r="E197" i="30"/>
  <c r="E512" i="30"/>
  <c r="E106" i="32"/>
  <c r="E237" i="32"/>
  <c r="E54" i="31"/>
  <c r="E502" i="30"/>
  <c r="E86" i="30"/>
  <c r="E278" i="30"/>
  <c r="E421" i="32"/>
  <c r="E276" i="32"/>
  <c r="E251" i="31"/>
  <c r="E278" i="31"/>
  <c r="E25" i="30"/>
  <c r="E195" i="30"/>
  <c r="E152" i="30"/>
  <c r="E132" i="31"/>
  <c r="E372" i="30"/>
  <c r="E478" i="32"/>
  <c r="E262" i="31"/>
  <c r="E440" i="32"/>
  <c r="E368" i="30"/>
  <c r="E287" i="30"/>
  <c r="E22" i="30"/>
  <c r="E525" i="32"/>
  <c r="E84" i="32"/>
  <c r="E548" i="32"/>
  <c r="E537" i="32"/>
  <c r="E522" i="32"/>
  <c r="E118" i="31"/>
  <c r="E504" i="30"/>
  <c r="E552" i="32"/>
  <c r="E439" i="30"/>
  <c r="E92" i="31"/>
  <c r="E308" i="31"/>
  <c r="E28" i="32"/>
  <c r="E563" i="32"/>
  <c r="E550" i="32"/>
  <c r="E58" i="32"/>
  <c r="E136" i="31"/>
  <c r="E488" i="32"/>
  <c r="E322" i="30"/>
  <c r="E336" i="32"/>
  <c r="E232" i="31"/>
  <c r="E224" i="31"/>
  <c r="E172" i="31"/>
  <c r="E266" i="31"/>
  <c r="E415" i="30"/>
  <c r="E583" i="32"/>
  <c r="E46" i="32"/>
  <c r="E95" i="32"/>
  <c r="E535" i="32"/>
  <c r="E454" i="30"/>
  <c r="E72" i="32"/>
  <c r="E258" i="30"/>
  <c r="E246" i="31"/>
  <c r="E221" i="30"/>
  <c r="E116" i="30"/>
  <c r="E501" i="32"/>
  <c r="E610" i="32"/>
  <c r="E150" i="31"/>
  <c r="E86" i="31"/>
  <c r="E324" i="30"/>
  <c r="E181" i="32"/>
  <c r="E61" i="32"/>
  <c r="E342" i="31"/>
  <c r="E399" i="32"/>
  <c r="E267" i="31"/>
  <c r="E260" i="30"/>
  <c r="E514" i="30"/>
  <c r="E466" i="32"/>
  <c r="E75" i="30"/>
  <c r="E49" i="32"/>
  <c r="E120" i="30"/>
  <c r="E187" i="30"/>
  <c r="E443" i="32"/>
  <c r="E384" i="32"/>
  <c r="E197" i="31"/>
  <c r="E21" i="32"/>
  <c r="E84" i="31"/>
  <c r="E164" i="32"/>
  <c r="E428" i="32"/>
  <c r="E151" i="32"/>
  <c r="E55" i="31"/>
  <c r="E25" i="31"/>
  <c r="E69" i="32"/>
  <c r="E395" i="31"/>
  <c r="E82" i="31"/>
  <c r="E401" i="31"/>
  <c r="E379" i="31"/>
  <c r="E370" i="30"/>
  <c r="E328" i="31"/>
  <c r="E68" i="32"/>
  <c r="E40" i="31"/>
  <c r="E297" i="30"/>
  <c r="E101" i="30"/>
  <c r="E221" i="31"/>
  <c r="E228" i="32"/>
  <c r="E77" i="31"/>
  <c r="E420" i="32"/>
  <c r="E114" i="30"/>
  <c r="E330" i="31"/>
  <c r="E373" i="32"/>
  <c r="E22" i="32"/>
  <c r="E79" i="31"/>
  <c r="E300" i="31"/>
  <c r="E167" i="30"/>
  <c r="E61" i="31"/>
  <c r="E528" i="32"/>
  <c r="E606" i="32"/>
  <c r="E301" i="32"/>
  <c r="E464" i="30"/>
  <c r="E396" i="32"/>
  <c r="E187" i="31"/>
  <c r="E136" i="32"/>
  <c r="E111" i="30"/>
  <c r="E309" i="31"/>
  <c r="E53" i="31"/>
  <c r="E476" i="32"/>
  <c r="E477" i="32"/>
  <c r="E590" i="32"/>
  <c r="E149" i="30"/>
  <c r="E36" i="32"/>
  <c r="E414" i="32"/>
  <c r="E593" i="32"/>
  <c r="E286" i="30"/>
  <c r="E571" i="32"/>
  <c r="E398" i="31"/>
  <c r="E271" i="31"/>
  <c r="E485" i="30"/>
  <c r="E170" i="30"/>
  <c r="E397" i="32"/>
  <c r="E168" i="32"/>
  <c r="E262" i="30"/>
  <c r="E176" i="32"/>
  <c r="E527" i="32"/>
  <c r="E71" i="30"/>
  <c r="E143" i="30"/>
  <c r="E216" i="32"/>
  <c r="E80" i="31"/>
  <c r="E334" i="30"/>
  <c r="E517" i="32"/>
  <c r="E412" i="30"/>
  <c r="E307" i="30"/>
  <c r="E172" i="32"/>
  <c r="E240" i="32"/>
  <c r="E353" i="31"/>
  <c r="E388" i="30"/>
  <c r="E359" i="31"/>
  <c r="E217" i="30"/>
  <c r="E439" i="32"/>
  <c r="E396" i="31"/>
  <c r="E120" i="31"/>
  <c r="E364" i="30"/>
  <c r="E337" i="31"/>
  <c r="E66" i="30"/>
  <c r="E138" i="31"/>
  <c r="E142" i="31"/>
  <c r="E484" i="30"/>
  <c r="E269" i="30"/>
  <c r="E110" i="32"/>
  <c r="E74" i="32"/>
  <c r="E340" i="30"/>
  <c r="E134" i="32"/>
  <c r="E281" i="31"/>
  <c r="E119" i="30"/>
  <c r="E71" i="32"/>
  <c r="E436" i="32"/>
  <c r="E495" i="32"/>
  <c r="E188" i="30"/>
  <c r="E348" i="30"/>
  <c r="E373" i="30"/>
  <c r="E303" i="32"/>
  <c r="E440" i="30"/>
  <c r="E433" i="32"/>
  <c r="E509" i="30"/>
  <c r="E19" i="30"/>
  <c r="E363" i="31"/>
  <c r="E580" i="32"/>
  <c r="E46" i="31"/>
  <c r="E462" i="32"/>
  <c r="E489" i="32"/>
  <c r="E294" i="30"/>
  <c r="E291" i="32"/>
  <c r="E87" i="32"/>
  <c r="E43" i="32"/>
  <c r="E355" i="30"/>
  <c r="E171" i="30"/>
  <c r="E538" i="32"/>
  <c r="E264" i="30"/>
  <c r="E94" i="31"/>
  <c r="E43" i="30"/>
  <c r="E393" i="31"/>
  <c r="E143" i="31"/>
  <c r="E182" i="30"/>
  <c r="E35" i="30"/>
  <c r="E79" i="30"/>
  <c r="E158" i="32"/>
  <c r="E175" i="31"/>
  <c r="E578" i="32"/>
  <c r="E127" i="31"/>
  <c r="E487" i="30"/>
  <c r="E77" i="32"/>
  <c r="E246" i="30"/>
  <c r="E230" i="31"/>
  <c r="E611" i="32"/>
  <c r="E159" i="32"/>
  <c r="E137" i="31"/>
  <c r="E463" i="30"/>
  <c r="E90" i="31"/>
  <c r="E484" i="32"/>
  <c r="E391" i="31"/>
  <c r="E139" i="32"/>
  <c r="E126" i="32"/>
  <c r="E186" i="30"/>
  <c r="E215" i="31"/>
  <c r="E516" i="32"/>
  <c r="E248" i="31"/>
  <c r="E325" i="32"/>
  <c r="E419" i="32"/>
  <c r="E9" i="30"/>
  <c r="E219" i="31"/>
  <c r="E599" i="32"/>
  <c r="E320" i="31"/>
  <c r="E123" i="31"/>
  <c r="E9" i="31"/>
  <c r="E268" i="30"/>
  <c r="E45" i="32"/>
  <c r="E456" i="32"/>
  <c r="E255" i="31"/>
  <c r="E59" i="32"/>
  <c r="E149" i="31"/>
  <c r="E141" i="30"/>
  <c r="E335" i="31"/>
  <c r="E197" i="32"/>
  <c r="E425" i="30"/>
  <c r="E63" i="30"/>
  <c r="E475" i="32"/>
  <c r="E199" i="32"/>
  <c r="E94" i="30"/>
  <c r="E73" i="30"/>
  <c r="E387" i="30"/>
  <c r="E508" i="30"/>
  <c r="E468" i="30"/>
  <c r="E584" i="32"/>
  <c r="E311" i="30"/>
  <c r="E245" i="30"/>
  <c r="E251" i="32"/>
  <c r="E104" i="31"/>
  <c r="E582" i="32"/>
  <c r="E83" i="31"/>
  <c r="E104" i="30"/>
  <c r="E225" i="32"/>
  <c r="E372" i="31"/>
  <c r="E76" i="31"/>
  <c r="E377" i="32"/>
  <c r="E530" i="32"/>
  <c r="E263" i="32"/>
  <c r="E63" i="31"/>
  <c r="E382" i="30"/>
  <c r="E526" i="30"/>
  <c r="E88" i="32"/>
  <c r="E38" i="32"/>
  <c r="E305" i="31"/>
  <c r="E244" i="30"/>
  <c r="E329" i="32"/>
  <c r="E8" i="30"/>
  <c r="E156" i="31"/>
  <c r="E107" i="32"/>
  <c r="E418" i="32"/>
  <c r="E173" i="32"/>
  <c r="E441" i="32"/>
  <c r="E312" i="30"/>
  <c r="E361" i="30"/>
  <c r="E368" i="31"/>
  <c r="E242" i="31"/>
  <c r="E258" i="31"/>
  <c r="E322" i="32"/>
  <c r="E383" i="32"/>
  <c r="E163" i="31"/>
  <c r="E304" i="30"/>
  <c r="E277" i="32"/>
  <c r="E313" i="32"/>
  <c r="E22" i="31"/>
  <c r="E262" i="32"/>
  <c r="E418" i="30"/>
  <c r="E397" i="30"/>
  <c r="E284" i="31"/>
  <c r="E579" i="32"/>
  <c r="E130" i="30"/>
  <c r="E445" i="32"/>
  <c r="E323" i="31"/>
  <c r="E448" i="30"/>
  <c r="E200" i="32"/>
  <c r="E532" i="32"/>
  <c r="E103" i="32"/>
  <c r="E6" i="31"/>
  <c r="E298" i="30"/>
  <c r="E533" i="32"/>
  <c r="E143" i="32"/>
  <c r="E402" i="32"/>
  <c r="E349" i="30"/>
  <c r="E125" i="31"/>
  <c r="E243" i="31"/>
  <c r="E280" i="30"/>
  <c r="E112" i="30"/>
  <c r="E327" i="32"/>
  <c r="E2" i="32"/>
  <c r="E235" i="30"/>
  <c r="E88" i="31"/>
  <c r="E357" i="32"/>
  <c r="E283" i="30"/>
  <c r="E123" i="30"/>
  <c r="E209" i="31"/>
  <c r="E59" i="30"/>
  <c r="E249" i="30"/>
  <c r="E51" i="32"/>
  <c r="E312" i="32"/>
  <c r="E283" i="31"/>
  <c r="E161" i="30"/>
  <c r="E100" i="32"/>
  <c r="E495" i="30"/>
  <c r="E267" i="32"/>
  <c r="E277" i="30"/>
  <c r="E336" i="30"/>
  <c r="E202" i="30"/>
  <c r="E371" i="31"/>
  <c r="E529" i="30"/>
  <c r="E10" i="32"/>
  <c r="E370" i="32"/>
  <c r="E237" i="30"/>
  <c r="E99" i="31"/>
  <c r="E119" i="32"/>
  <c r="E234" i="31"/>
  <c r="E248" i="30"/>
  <c r="E99" i="30"/>
  <c r="E381" i="32"/>
  <c r="E367" i="31"/>
  <c r="E297" i="32"/>
  <c r="E302" i="30"/>
  <c r="E546" i="32"/>
  <c r="E174" i="31"/>
  <c r="E375" i="32"/>
  <c r="E78" i="31"/>
  <c r="E51" i="31"/>
  <c r="E407" i="30"/>
  <c r="E347" i="30"/>
  <c r="E176" i="31"/>
  <c r="E564" i="32"/>
  <c r="E42" i="31"/>
  <c r="E419" i="30"/>
  <c r="E400" i="31"/>
  <c r="E317" i="30"/>
  <c r="E233" i="32"/>
  <c r="E190" i="30"/>
  <c r="E178" i="31"/>
  <c r="E348" i="32"/>
  <c r="E266" i="32"/>
  <c r="E349" i="32"/>
  <c r="E110" i="30"/>
  <c r="E526" i="32"/>
  <c r="E199" i="30"/>
  <c r="E272" i="31"/>
  <c r="E560" i="32"/>
  <c r="E498" i="32"/>
  <c r="E205" i="30"/>
  <c r="E88" i="30"/>
  <c r="E129" i="30"/>
  <c r="E380" i="30"/>
  <c r="E369" i="30"/>
  <c r="E96" i="31"/>
  <c r="E473" i="32"/>
  <c r="E57" i="30"/>
  <c r="E137" i="30"/>
  <c r="E91" i="30"/>
  <c r="E192" i="32"/>
  <c r="E30" i="31"/>
  <c r="E334" i="31"/>
  <c r="E601" i="32"/>
  <c r="E160" i="30"/>
  <c r="E291" i="30"/>
  <c r="E567" i="32"/>
  <c r="E586" i="32"/>
  <c r="E136" i="30"/>
  <c r="E180" i="32"/>
  <c r="E269" i="31"/>
  <c r="E404" i="30"/>
  <c r="E362" i="30"/>
  <c r="E450" i="30"/>
  <c r="E518" i="32"/>
  <c r="E299" i="32"/>
  <c r="E330" i="30"/>
  <c r="E389" i="30"/>
  <c r="E551" i="32"/>
  <c r="E29" i="30"/>
  <c r="E342" i="30"/>
  <c r="E103" i="31"/>
  <c r="E549" i="32"/>
  <c r="E429" i="30"/>
  <c r="E366" i="31"/>
  <c r="E302" i="31"/>
  <c r="E34" i="31"/>
  <c r="E543" i="32"/>
  <c r="E558" i="32"/>
  <c r="E208" i="30"/>
  <c r="E192" i="31"/>
  <c r="E317" i="32"/>
  <c r="E398" i="32"/>
  <c r="E151" i="30"/>
  <c r="E581" i="32"/>
  <c r="E26" i="30"/>
  <c r="E405" i="32"/>
  <c r="E261" i="31"/>
  <c r="E11" i="32"/>
  <c r="E124" i="32"/>
  <c r="E438" i="30"/>
  <c r="E360" i="31"/>
  <c r="E428" i="30"/>
  <c r="E137" i="32"/>
  <c r="E383" i="31"/>
  <c r="E267" i="30"/>
  <c r="E487" i="32"/>
  <c r="E152" i="32"/>
  <c r="E280" i="31"/>
  <c r="E470" i="32"/>
  <c r="E150" i="30"/>
  <c r="E523" i="30"/>
  <c r="E318" i="32"/>
  <c r="E64" i="31"/>
  <c r="E100" i="31"/>
  <c r="E346" i="31"/>
  <c r="E307" i="32"/>
  <c r="E214" i="31"/>
  <c r="E210" i="31"/>
  <c r="E56" i="30"/>
  <c r="E356" i="30"/>
  <c r="E298" i="31"/>
  <c r="E491" i="32"/>
  <c r="E31" i="32"/>
  <c r="E242" i="30"/>
  <c r="E222" i="32"/>
  <c r="E376" i="31"/>
  <c r="E594" i="32"/>
  <c r="E12" i="31"/>
  <c r="E257" i="31"/>
  <c r="E349" i="31"/>
  <c r="E282" i="32"/>
  <c r="E119" i="31"/>
  <c r="E358" i="32"/>
  <c r="E497" i="32"/>
  <c r="E285" i="30"/>
  <c r="E154" i="32"/>
  <c r="E117" i="31"/>
  <c r="E358" i="31"/>
  <c r="E13" i="30"/>
  <c r="E308" i="32"/>
  <c r="E290" i="32"/>
  <c r="E381" i="30"/>
  <c r="E78" i="32"/>
  <c r="E400" i="30"/>
  <c r="E228" i="31"/>
  <c r="E458" i="30"/>
  <c r="E327" i="31"/>
  <c r="E247" i="30"/>
  <c r="E337" i="32"/>
  <c r="E386" i="31"/>
  <c r="E434" i="30"/>
  <c r="E279" i="31"/>
  <c r="E341" i="30"/>
  <c r="E148" i="31"/>
  <c r="E408" i="30"/>
  <c r="E273" i="30"/>
  <c r="E512" i="32"/>
  <c r="E272" i="30"/>
  <c r="E162" i="30"/>
  <c r="E324" i="32"/>
  <c r="E142" i="30"/>
  <c r="E3" i="30"/>
  <c r="E506" i="32"/>
  <c r="E193" i="32"/>
  <c r="E38" i="30"/>
  <c r="E355" i="31"/>
  <c r="E124" i="30"/>
  <c r="E612" i="32"/>
  <c r="E206" i="32"/>
  <c r="E121" i="30"/>
  <c r="E514" i="32"/>
  <c r="E265" i="32"/>
  <c r="E385" i="31"/>
  <c r="E90" i="32"/>
  <c r="E474" i="32"/>
  <c r="E472" i="30"/>
  <c r="E343" i="31"/>
  <c r="E70" i="31"/>
  <c r="E141" i="32"/>
  <c r="E135" i="31"/>
  <c r="E5" i="32"/>
  <c r="E275" i="31"/>
  <c r="E378" i="30"/>
  <c r="E128" i="30"/>
  <c r="E152" i="31"/>
  <c r="E202" i="32"/>
  <c r="E588" i="32"/>
  <c r="E255" i="30"/>
  <c r="E160" i="31"/>
  <c r="E85" i="32"/>
  <c r="E494" i="32"/>
  <c r="E354" i="30"/>
  <c r="E215" i="32"/>
  <c r="E272" i="32"/>
  <c r="E561" i="32"/>
  <c r="E492" i="30"/>
  <c r="E288" i="32"/>
  <c r="E615" i="32"/>
  <c r="E379" i="32"/>
  <c r="E168" i="30"/>
  <c r="E47" i="30"/>
  <c r="E433" i="30"/>
  <c r="E326" i="32"/>
  <c r="E57" i="31"/>
  <c r="E9" i="32"/>
  <c r="E247" i="31"/>
  <c r="E126" i="31"/>
  <c r="E529" i="32"/>
  <c r="E126" i="30"/>
  <c r="E321" i="30"/>
  <c r="E6" i="32"/>
  <c r="E393" i="32"/>
  <c r="E284" i="30"/>
  <c r="E471" i="32"/>
  <c r="E331" i="30"/>
  <c r="E134" i="31"/>
  <c r="E332" i="31"/>
  <c r="E193" i="31"/>
  <c r="E388" i="31"/>
  <c r="E507" i="30"/>
  <c r="E282" i="31"/>
  <c r="E350" i="31"/>
  <c r="E52" i="32"/>
  <c r="E139" i="30"/>
  <c r="E198" i="30"/>
  <c r="E172" i="30"/>
  <c r="E341" i="32"/>
  <c r="E331" i="31"/>
  <c r="E50" i="31"/>
  <c r="E287" i="32"/>
  <c r="E556" i="32"/>
  <c r="E241" i="30"/>
  <c r="E39" i="32"/>
  <c r="E8" i="31"/>
  <c r="E72" i="31"/>
  <c r="E453" i="30"/>
  <c r="E91" i="32"/>
  <c r="E131" i="30"/>
  <c r="E562" i="32"/>
  <c r="E217" i="32"/>
  <c r="E378" i="31"/>
  <c r="E129" i="32"/>
  <c r="E248" i="32"/>
  <c r="E475" i="30"/>
  <c r="E365" i="32"/>
  <c r="E346" i="30"/>
  <c r="E572" i="32"/>
  <c r="E345" i="31"/>
  <c r="E434" i="32"/>
  <c r="E101" i="31"/>
  <c r="E129" i="31"/>
  <c r="E223" i="30"/>
  <c r="E177" i="31"/>
  <c r="E102" i="30"/>
  <c r="E207" i="31"/>
  <c r="E108" i="30"/>
  <c r="E174" i="30"/>
  <c r="E163" i="30"/>
  <c r="E452" i="30"/>
  <c r="E296" i="31"/>
  <c r="E36" i="30"/>
  <c r="E113" i="30"/>
  <c r="E95" i="31"/>
  <c r="E233" i="31"/>
  <c r="E20" i="30"/>
  <c r="E229" i="32"/>
  <c r="E431" i="30"/>
  <c r="E314" i="30"/>
  <c r="E377" i="30"/>
  <c r="E380" i="32"/>
  <c r="E131" i="32"/>
  <c r="E616" i="32"/>
  <c r="E362" i="31"/>
  <c r="E333" i="30"/>
  <c r="E5" i="31"/>
  <c r="E369" i="32"/>
  <c r="E315" i="31"/>
  <c r="E421" i="30"/>
  <c r="E316" i="30"/>
  <c r="E239" i="30"/>
  <c r="E442" i="32"/>
  <c r="E300" i="30"/>
  <c r="E5" i="30"/>
  <c r="E306" i="31"/>
  <c r="E221" i="32"/>
  <c r="E299" i="31"/>
  <c r="E213" i="32"/>
  <c r="E596" i="32"/>
  <c r="E362" i="32"/>
  <c r="E230" i="32"/>
  <c r="E499" i="30"/>
  <c r="E80" i="30"/>
  <c r="E301" i="30"/>
  <c r="E343" i="32"/>
  <c r="E60" i="32"/>
  <c r="E55" i="32"/>
  <c r="E602" i="32"/>
  <c r="E202" i="31"/>
  <c r="E144" i="30"/>
  <c r="E559" i="32"/>
  <c r="E2" i="30"/>
  <c r="E319" i="31"/>
  <c r="E521" i="30"/>
  <c r="E520" i="32"/>
  <c r="E204" i="30"/>
  <c r="E527" i="30"/>
  <c r="E614" i="32"/>
  <c r="E14" i="32"/>
  <c r="E50" i="30"/>
  <c r="E301" i="31"/>
  <c r="E66" i="32"/>
  <c r="E477" i="30"/>
  <c r="E289" i="30"/>
  <c r="E405" i="30"/>
  <c r="E406" i="32"/>
  <c r="E319" i="32"/>
  <c r="E430" i="32"/>
  <c r="E265" i="31"/>
  <c r="E298" i="32"/>
  <c r="E40" i="30"/>
  <c r="E183" i="31"/>
  <c r="E416" i="32"/>
  <c r="E165" i="32"/>
  <c r="E360" i="32"/>
  <c r="E153" i="31"/>
  <c r="E401" i="32"/>
  <c r="E467" i="30"/>
  <c r="E326" i="30"/>
  <c r="E54" i="32"/>
  <c r="E21" i="31"/>
  <c r="E317" i="31"/>
  <c r="E401" i="30"/>
  <c r="E76" i="32"/>
  <c r="E316" i="31"/>
  <c r="E24" i="32"/>
  <c r="E417" i="30"/>
  <c r="E354" i="31"/>
  <c r="E260" i="32"/>
  <c r="E338" i="30"/>
  <c r="E228" i="30"/>
  <c r="E24" i="31"/>
  <c r="E496" i="32"/>
  <c r="E492" i="32"/>
  <c r="E369" i="31"/>
  <c r="E127" i="32"/>
  <c r="E28" i="31"/>
  <c r="E314" i="31"/>
  <c r="E392" i="31"/>
  <c r="E363" i="30"/>
  <c r="E132" i="32"/>
  <c r="E41" i="30"/>
  <c r="E485" i="32"/>
  <c r="E392" i="30"/>
  <c r="E58" i="30"/>
  <c r="E536" i="32"/>
  <c r="E411" i="30"/>
  <c r="E498" i="30"/>
  <c r="E229" i="31"/>
  <c r="E384" i="31"/>
  <c r="E513" i="32"/>
  <c r="E188" i="31"/>
  <c r="E520" i="30"/>
  <c r="E4" i="30"/>
  <c r="E306" i="32"/>
  <c r="E253" i="32"/>
  <c r="E109" i="31"/>
  <c r="E488" i="30"/>
  <c r="E97" i="31"/>
  <c r="E121" i="32"/>
  <c r="E490" i="30"/>
  <c r="E140" i="31"/>
  <c r="E311" i="32"/>
  <c r="E203" i="31"/>
  <c r="E323" i="30"/>
  <c r="E256" i="31"/>
  <c r="E178" i="30"/>
  <c r="E160" i="32"/>
  <c r="E102" i="31"/>
  <c r="E178" i="32"/>
  <c r="E196" i="31"/>
  <c r="E595" i="32"/>
  <c r="E232" i="32"/>
  <c r="E482" i="32"/>
  <c r="E87" i="31"/>
  <c r="E270" i="31"/>
  <c r="E168" i="31"/>
  <c r="E26" i="32"/>
  <c r="E3" i="32"/>
  <c r="E257" i="30"/>
  <c r="E69" i="30"/>
  <c r="E524" i="30"/>
  <c r="E328" i="30"/>
  <c r="E85" i="30"/>
  <c r="E238" i="31"/>
  <c r="E429" i="32"/>
  <c r="E69" i="31"/>
  <c r="E474" i="30"/>
  <c r="E417" i="32"/>
  <c r="E110" i="31"/>
  <c r="E222" i="30"/>
  <c r="E366" i="30"/>
  <c r="E360" i="30"/>
  <c r="E241" i="32"/>
  <c r="E252" i="32"/>
  <c r="E53" i="32"/>
  <c r="E3" i="31"/>
  <c r="E379" i="30"/>
  <c r="E447" i="30"/>
  <c r="E351" i="30"/>
  <c r="E355" i="32"/>
  <c r="E423" i="30"/>
  <c r="E415" i="32"/>
  <c r="E293" i="32"/>
  <c r="E131" i="31"/>
  <c r="E231" i="30"/>
  <c r="E410" i="30"/>
  <c r="E518" i="30"/>
  <c r="E451" i="32"/>
  <c r="E114" i="32"/>
  <c r="E7" i="30"/>
  <c r="E139" i="31"/>
  <c r="E555" i="32"/>
  <c r="E258" i="32"/>
  <c r="E294" i="31"/>
  <c r="E43" i="31"/>
  <c r="E566" i="32"/>
  <c r="E117" i="30"/>
  <c r="E284" i="32"/>
  <c r="E72" i="30"/>
  <c r="E329" i="30"/>
  <c r="E191" i="30"/>
  <c r="E274" i="30"/>
  <c r="E204" i="31"/>
  <c r="E144" i="31"/>
  <c r="E275" i="32"/>
  <c r="E260" i="31"/>
  <c r="E44" i="31"/>
  <c r="E11" i="31"/>
  <c r="E236" i="30"/>
  <c r="E186" i="31"/>
  <c r="E227" i="30"/>
  <c r="E279" i="30"/>
  <c r="E344" i="31"/>
  <c r="E469" i="32"/>
  <c r="E457" i="30"/>
  <c r="E542" i="32"/>
  <c r="E232" i="30"/>
  <c r="E44" i="32"/>
  <c r="E517" i="30"/>
  <c r="E444" i="32"/>
  <c r="E481" i="32"/>
  <c r="E424" i="30"/>
  <c r="E117" i="32"/>
  <c r="E478" i="30"/>
  <c r="E318" i="31"/>
  <c r="E188" i="32"/>
  <c r="E42" i="32"/>
  <c r="E353" i="30"/>
  <c r="E296" i="30"/>
  <c r="E96" i="32"/>
  <c r="E184" i="32"/>
  <c r="E201" i="32"/>
  <c r="E483" i="32"/>
  <c r="E422" i="30"/>
  <c r="E103" i="30"/>
  <c r="E184" i="30"/>
  <c r="E161" i="31"/>
  <c r="E148" i="32"/>
  <c r="E256" i="30"/>
  <c r="E37" i="30"/>
  <c r="E510" i="30"/>
  <c r="E445" i="30"/>
  <c r="E146" i="31"/>
  <c r="E39" i="30"/>
  <c r="E99" i="32"/>
  <c r="E93" i="31"/>
  <c r="E173" i="30"/>
  <c r="E409" i="32"/>
  <c r="E212" i="31"/>
  <c r="E41" i="32"/>
  <c r="E203" i="30"/>
  <c r="E383" i="30"/>
  <c r="E57" i="32"/>
  <c r="E334" i="32"/>
  <c r="E234" i="32"/>
  <c r="E295" i="30"/>
  <c r="E227" i="31"/>
  <c r="E489" i="30"/>
  <c r="E219" i="32"/>
  <c r="E309" i="30"/>
  <c r="E212" i="32"/>
  <c r="E18" i="32"/>
  <c r="E199" i="31"/>
  <c r="E33" i="30"/>
  <c r="E373" i="31"/>
  <c r="E339" i="30"/>
  <c r="E459" i="32"/>
  <c r="E91" i="31"/>
  <c r="E539" i="32"/>
  <c r="E453" i="32"/>
  <c r="E344" i="30"/>
  <c r="E274" i="31"/>
  <c r="E432" i="30"/>
  <c r="E500" i="30"/>
  <c r="E457" i="32"/>
  <c r="E104" i="32"/>
  <c r="E97" i="30"/>
  <c r="E273" i="31"/>
  <c r="E502" i="32"/>
  <c r="E18" i="31"/>
  <c r="E392" i="32"/>
  <c r="E166" i="32"/>
  <c r="E16" i="31"/>
  <c r="E112" i="32"/>
  <c r="E371" i="32"/>
  <c r="E236" i="32"/>
  <c r="E55" i="30"/>
  <c r="E315" i="30"/>
  <c r="E249" i="32"/>
  <c r="E390" i="30"/>
  <c r="E319" i="30"/>
  <c r="E554" i="32"/>
  <c r="E39" i="31"/>
  <c r="E290" i="30"/>
  <c r="E156" i="30"/>
  <c r="E235" i="32"/>
  <c r="E177" i="30"/>
  <c r="E576" i="32"/>
  <c r="E95" i="30"/>
  <c r="E412" i="32"/>
  <c r="E185" i="30"/>
  <c r="E116" i="32"/>
  <c r="E167" i="31"/>
  <c r="E223" i="31"/>
  <c r="E65" i="30"/>
  <c r="E354" i="32"/>
  <c r="E604" i="32"/>
  <c r="E341" i="31"/>
  <c r="E108" i="31"/>
  <c r="E389" i="31"/>
  <c r="E470" i="30"/>
  <c r="E303" i="30"/>
  <c r="E259" i="32"/>
  <c r="E155" i="31"/>
  <c r="E65" i="31"/>
  <c r="E29" i="31"/>
  <c r="E89" i="31"/>
  <c r="E493" i="30"/>
  <c r="E184" i="31"/>
  <c r="E245" i="31"/>
  <c r="E332" i="32"/>
  <c r="E219" i="30"/>
  <c r="E266" i="30"/>
  <c r="E305" i="32"/>
  <c r="E74" i="31"/>
  <c r="E162" i="32"/>
  <c r="E420" i="30"/>
  <c r="E547" i="32"/>
  <c r="E352" i="32"/>
  <c r="E413" i="30"/>
  <c r="E98" i="30"/>
  <c r="E410" i="32"/>
  <c r="E23" i="30"/>
  <c r="E414" i="30"/>
  <c r="E375" i="30"/>
  <c r="E574" i="32"/>
  <c r="E455" i="32"/>
  <c r="E147" i="30"/>
  <c r="E482" i="30"/>
  <c r="E365" i="30"/>
  <c r="E111" i="32"/>
  <c r="E287" i="31"/>
  <c r="N13" i="28"/>
  <c r="N8" i="28"/>
  <c r="N14" i="28"/>
  <c r="N16" i="28"/>
  <c r="N17" i="28"/>
  <c r="N12" i="28"/>
  <c r="N11" i="28"/>
  <c r="N27" i="28"/>
  <c r="N31" i="28"/>
  <c r="N7" i="28"/>
  <c r="N5" i="28"/>
  <c r="N48" i="28"/>
  <c r="N25" i="28"/>
  <c r="E6" i="28"/>
  <c r="Z4" i="2"/>
  <c r="E21" i="28"/>
  <c r="Z19" i="2"/>
  <c r="Y77" i="3"/>
  <c r="Y118" i="3"/>
  <c r="Y41" i="3"/>
  <c r="Y25" i="3"/>
  <c r="Y84" i="3"/>
  <c r="Y78" i="3"/>
  <c r="Y16" i="3"/>
  <c r="Y6" i="3"/>
  <c r="Z75" i="2"/>
  <c r="Z71" i="2"/>
  <c r="Z51" i="2"/>
  <c r="Z50" i="2"/>
  <c r="E20" i="28"/>
  <c r="Z18" i="2"/>
  <c r="Z53" i="2"/>
  <c r="Z40" i="2"/>
  <c r="E33" i="28"/>
  <c r="Z31" i="2"/>
  <c r="Z66" i="2"/>
  <c r="E27" i="28"/>
  <c r="Z25" i="2"/>
  <c r="Z37" i="2"/>
  <c r="Z41" i="2"/>
  <c r="E34" i="28"/>
  <c r="Z32" i="2"/>
  <c r="Z63" i="2"/>
  <c r="Z46" i="2"/>
  <c r="Z34" i="2"/>
  <c r="Y60" i="3"/>
  <c r="Y74" i="3"/>
  <c r="Y24" i="3"/>
  <c r="Y109" i="3"/>
  <c r="Y50" i="3"/>
  <c r="Y14" i="3"/>
  <c r="Y115" i="3"/>
  <c r="Y112" i="3"/>
  <c r="Y114" i="3"/>
  <c r="Y17" i="3"/>
  <c r="Y64" i="3"/>
  <c r="Y54" i="3"/>
  <c r="Y83" i="3"/>
  <c r="Y97" i="3"/>
  <c r="Y36" i="3"/>
  <c r="Y96" i="3"/>
  <c r="Y49" i="3"/>
  <c r="Y30" i="3"/>
  <c r="Y92" i="3"/>
  <c r="Y103" i="3"/>
  <c r="Y126" i="3"/>
  <c r="Y45" i="3"/>
  <c r="Y85" i="3"/>
  <c r="Y26" i="3"/>
  <c r="Y47" i="3"/>
  <c r="Y13" i="3"/>
  <c r="Y99" i="3"/>
  <c r="Y22" i="3"/>
  <c r="Y100" i="3"/>
  <c r="Y5" i="3"/>
  <c r="Y38" i="3"/>
  <c r="Y108" i="3"/>
  <c r="Y187" i="4"/>
  <c r="Y201" i="4"/>
  <c r="Y186" i="4"/>
  <c r="Y189" i="4"/>
  <c r="Y25" i="4"/>
  <c r="Y182" i="4"/>
  <c r="Y134" i="4"/>
  <c r="Y199" i="4"/>
  <c r="Y194" i="4"/>
  <c r="Y145" i="4"/>
  <c r="Y100" i="4"/>
  <c r="Y52" i="4"/>
  <c r="Y170" i="4"/>
  <c r="Y215" i="4"/>
  <c r="Y213" i="4"/>
  <c r="Y69" i="4"/>
  <c r="Y60" i="4"/>
  <c r="Y22" i="4"/>
  <c r="Y176" i="4"/>
  <c r="Y38" i="4"/>
  <c r="Y164" i="4"/>
  <c r="Y159" i="4"/>
  <c r="Y6" i="4"/>
  <c r="Y225" i="4"/>
  <c r="Y87" i="4"/>
  <c r="Y71" i="4"/>
  <c r="Y208" i="4"/>
  <c r="Y108" i="4"/>
  <c r="Y191" i="4"/>
  <c r="Y123" i="4"/>
  <c r="Y137" i="4"/>
  <c r="Y143" i="4"/>
  <c r="Y228" i="4"/>
  <c r="Y198" i="4"/>
  <c r="Y124" i="4"/>
  <c r="Y48" i="4"/>
  <c r="Y224" i="4"/>
  <c r="Y220" i="4"/>
  <c r="Y151" i="4"/>
  <c r="Y148" i="4"/>
  <c r="Y33" i="4"/>
  <c r="Y65" i="4"/>
  <c r="Y209" i="4"/>
  <c r="Z55" i="2"/>
  <c r="Z65" i="2"/>
  <c r="E29" i="28"/>
  <c r="Z27" i="2"/>
  <c r="Z77" i="2"/>
  <c r="Z43" i="2"/>
  <c r="E16" i="28"/>
  <c r="Z14" i="2"/>
  <c r="E24" i="28"/>
  <c r="Z22" i="2"/>
  <c r="Z39" i="2"/>
  <c r="E10" i="28"/>
  <c r="Z8" i="2"/>
  <c r="Z64" i="2"/>
  <c r="X36" i="2"/>
  <c r="X73" i="2"/>
  <c r="X12" i="2"/>
  <c r="X25" i="2"/>
  <c r="X51" i="2"/>
  <c r="X38" i="2"/>
  <c r="X14" i="2"/>
  <c r="X20" i="2"/>
  <c r="X56" i="2"/>
  <c r="X44" i="2"/>
  <c r="X17" i="2"/>
  <c r="X15" i="2"/>
  <c r="E5" i="28"/>
  <c r="X77" i="2"/>
  <c r="X24" i="2"/>
  <c r="X23" i="2"/>
  <c r="X5" i="2"/>
  <c r="X70" i="2"/>
  <c r="X71" i="2"/>
  <c r="X41" i="2"/>
  <c r="X69" i="2"/>
  <c r="X58" i="2"/>
  <c r="X53" i="2"/>
  <c r="X60" i="2"/>
  <c r="X49" i="2"/>
  <c r="X54" i="2"/>
  <c r="X26" i="2"/>
  <c r="X34" i="2"/>
  <c r="X55" i="2"/>
  <c r="X39" i="2"/>
  <c r="X35" i="2"/>
  <c r="X33" i="2"/>
  <c r="X61" i="2"/>
  <c r="X27" i="2"/>
  <c r="X43" i="2"/>
  <c r="X21" i="2"/>
  <c r="X19" i="2"/>
  <c r="X59" i="2"/>
  <c r="X28" i="2"/>
  <c r="X8" i="2"/>
  <c r="X37" i="2"/>
  <c r="X63" i="2"/>
  <c r="X18" i="2"/>
  <c r="X45" i="2"/>
  <c r="X3" i="2"/>
  <c r="A3" i="28" s="1"/>
  <c r="X7" i="2"/>
  <c r="X13" i="2"/>
  <c r="X74" i="2"/>
  <c r="X11" i="2"/>
  <c r="X22" i="2"/>
  <c r="X57" i="2"/>
  <c r="X68" i="2"/>
  <c r="X10" i="2"/>
  <c r="X65" i="2"/>
  <c r="X50" i="2"/>
  <c r="X48" i="2"/>
  <c r="X9" i="2"/>
  <c r="X6" i="2"/>
  <c r="X32" i="2"/>
  <c r="X4" i="2"/>
  <c r="Z3" i="2"/>
  <c r="X76" i="2"/>
  <c r="X72" i="2"/>
  <c r="X47" i="2"/>
  <c r="X75" i="2"/>
  <c r="X62" i="2"/>
  <c r="X64" i="2"/>
  <c r="X67" i="2"/>
  <c r="X46" i="2"/>
  <c r="X42" i="2"/>
  <c r="X40" i="2"/>
  <c r="X30" i="2"/>
  <c r="X16" i="2"/>
  <c r="X31" i="2"/>
  <c r="X52" i="2"/>
  <c r="X66" i="2"/>
  <c r="X29" i="2"/>
  <c r="Z45" i="2"/>
  <c r="E11" i="28"/>
  <c r="Z9" i="2"/>
  <c r="Y59" i="3"/>
  <c r="Y66" i="3"/>
  <c r="Y65" i="3"/>
  <c r="Y105" i="3"/>
  <c r="Y34" i="3"/>
  <c r="Y70" i="3"/>
  <c r="Y101" i="3"/>
  <c r="Y10" i="3"/>
  <c r="E12" i="28"/>
  <c r="Z10" i="2"/>
  <c r="E7" i="28"/>
  <c r="Z5" i="2"/>
  <c r="Z42" i="2"/>
  <c r="E31" i="28"/>
  <c r="Z29" i="2"/>
  <c r="Z73" i="2"/>
  <c r="Y129" i="3"/>
  <c r="Y44" i="3"/>
  <c r="Y104" i="3"/>
  <c r="Y33" i="3"/>
  <c r="Y121" i="3"/>
  <c r="Y75" i="3"/>
  <c r="Y42" i="3"/>
  <c r="Y102" i="3"/>
  <c r="Y8" i="3"/>
  <c r="Y27" i="3"/>
  <c r="Y7" i="3"/>
  <c r="Y4" i="3"/>
  <c r="Y120" i="3"/>
  <c r="Y63" i="3"/>
  <c r="Y82" i="3"/>
  <c r="Y56" i="3"/>
  <c r="Y95" i="3"/>
  <c r="Y106" i="3"/>
  <c r="Y73" i="3"/>
  <c r="Y117" i="3"/>
  <c r="Y32" i="3"/>
  <c r="Y90" i="3"/>
  <c r="Y53" i="3"/>
  <c r="Y62" i="3"/>
  <c r="Y123" i="3"/>
  <c r="Y39" i="3"/>
  <c r="Y127" i="4"/>
  <c r="Y42" i="4"/>
  <c r="Y167" i="4"/>
  <c r="Y166" i="4"/>
  <c r="Y214" i="4"/>
  <c r="Y35" i="4"/>
  <c r="Y163" i="4"/>
  <c r="Y73" i="4"/>
  <c r="Y226" i="4"/>
  <c r="Y89" i="4"/>
  <c r="Y47" i="4"/>
  <c r="Y160" i="4"/>
  <c r="Y57" i="4"/>
  <c r="Y144" i="4"/>
  <c r="Y128" i="4"/>
  <c r="Y183" i="4"/>
  <c r="Y27" i="4"/>
  <c r="Y165" i="4"/>
  <c r="Y193" i="4"/>
  <c r="Y68" i="4"/>
  <c r="Y229" i="4"/>
  <c r="Y3" i="4"/>
  <c r="Y119" i="4"/>
  <c r="Y13" i="4"/>
  <c r="Y158" i="4"/>
  <c r="Y192" i="4"/>
  <c r="Y135" i="4"/>
  <c r="Y205" i="4"/>
  <c r="Y222" i="4"/>
  <c r="Y19" i="4"/>
  <c r="Y195" i="4"/>
  <c r="Y174" i="4"/>
  <c r="Y41" i="4"/>
  <c r="Y126" i="4"/>
  <c r="Y14" i="4"/>
  <c r="Y28" i="4"/>
  <c r="Y21" i="4"/>
  <c r="Y75" i="4"/>
  <c r="Y74" i="4"/>
  <c r="Y120" i="4"/>
  <c r="Y196" i="4"/>
  <c r="Y161" i="4"/>
  <c r="Y53" i="4"/>
  <c r="Y82" i="4"/>
  <c r="Y36" i="4"/>
  <c r="Y152" i="4"/>
  <c r="Y85" i="4"/>
  <c r="Y97" i="4"/>
  <c r="Y157" i="4"/>
  <c r="Y61" i="4"/>
  <c r="Y5" i="4"/>
  <c r="Y162" i="4"/>
  <c r="Z60" i="2"/>
  <c r="Z44" i="2"/>
  <c r="Z58" i="2"/>
  <c r="Y68" i="3"/>
  <c r="Y55" i="3"/>
  <c r="Y20" i="3"/>
  <c r="Y107" i="3"/>
  <c r="Y80" i="3"/>
  <c r="Y111" i="3"/>
  <c r="Y93" i="3"/>
  <c r="E18" i="28"/>
  <c r="Z16" i="2"/>
  <c r="E22" i="28"/>
  <c r="Z20" i="2"/>
  <c r="E23" i="28"/>
  <c r="Z21" i="2"/>
  <c r="Z49" i="2"/>
  <c r="E8" i="28"/>
  <c r="Z6" i="2"/>
  <c r="Z33" i="2"/>
  <c r="Z62" i="2"/>
  <c r="Y23" i="3"/>
  <c r="Y15" i="3"/>
  <c r="Y116" i="3"/>
  <c r="Y19" i="3"/>
  <c r="Y18" i="3"/>
  <c r="Y43" i="3"/>
  <c r="E26" i="28"/>
  <c r="Z24" i="2"/>
  <c r="Z70" i="2"/>
  <c r="E28" i="28"/>
  <c r="Z26" i="2"/>
  <c r="E25" i="28"/>
  <c r="Z23" i="2"/>
  <c r="Z76" i="2"/>
  <c r="E32" i="28"/>
  <c r="Z30" i="2"/>
  <c r="Z61" i="2"/>
  <c r="E30" i="28"/>
  <c r="Z28" i="2"/>
  <c r="E15" i="28"/>
  <c r="Z13" i="2"/>
  <c r="Z54" i="2"/>
  <c r="Z59" i="2"/>
  <c r="E19" i="28"/>
  <c r="Z17" i="2"/>
  <c r="Z74" i="2"/>
  <c r="E14" i="28"/>
  <c r="Z12" i="2"/>
  <c r="Z48" i="2"/>
  <c r="E17" i="28"/>
  <c r="Z15" i="2"/>
  <c r="Z68" i="2"/>
  <c r="Z36" i="2"/>
  <c r="Y58" i="3"/>
  <c r="Y37" i="3"/>
  <c r="Y67" i="3"/>
  <c r="Y29" i="3"/>
  <c r="Y46" i="3"/>
  <c r="Y76" i="3"/>
  <c r="Y57" i="3"/>
  <c r="Y51" i="3"/>
  <c r="Y119" i="3"/>
  <c r="Y127" i="3"/>
  <c r="Y21" i="3"/>
  <c r="Y87" i="3"/>
  <c r="Y9" i="3"/>
  <c r="Y79" i="3"/>
  <c r="Y11" i="3"/>
  <c r="Y69" i="3"/>
  <c r="Y31" i="3"/>
  <c r="Y89" i="3"/>
  <c r="Y48" i="3"/>
  <c r="Y72" i="3"/>
  <c r="Y122" i="3"/>
  <c r="Y128" i="3"/>
  <c r="Y3" i="3"/>
  <c r="Y28" i="3"/>
  <c r="Y91" i="3"/>
  <c r="Y61" i="3"/>
  <c r="Y125" i="3"/>
  <c r="Y81" i="3"/>
  <c r="Y110" i="3"/>
  <c r="Y71" i="3"/>
  <c r="Y124" i="3"/>
  <c r="Y98" i="3"/>
  <c r="Y204" i="4"/>
  <c r="Y219" i="4"/>
  <c r="Y112" i="4"/>
  <c r="Y190" i="4"/>
  <c r="Y185" i="4"/>
  <c r="Y45" i="4"/>
  <c r="Y130" i="4"/>
  <c r="Y95" i="4"/>
  <c r="Y62" i="4"/>
  <c r="Y206" i="4"/>
  <c r="Y111" i="4"/>
  <c r="Y99" i="4"/>
  <c r="Y138" i="4"/>
  <c r="Y20" i="4"/>
  <c r="Y116" i="4"/>
  <c r="Y84" i="4"/>
  <c r="Y125" i="4"/>
  <c r="Y203" i="4"/>
  <c r="Y131" i="4"/>
  <c r="Y8" i="4"/>
  <c r="Y70" i="4"/>
  <c r="Y136" i="4"/>
  <c r="Y172" i="4"/>
  <c r="Y141" i="4"/>
  <c r="Y169" i="4"/>
  <c r="Y9" i="4"/>
  <c r="Y15" i="4"/>
  <c r="Y80" i="4"/>
  <c r="Y77" i="4"/>
  <c r="Y156" i="4"/>
  <c r="Y133" i="4"/>
  <c r="Y212" i="4"/>
  <c r="Y114" i="4"/>
  <c r="Y83" i="4"/>
  <c r="Y92" i="4"/>
  <c r="Y46" i="4"/>
  <c r="Y173" i="4"/>
  <c r="Y43" i="4"/>
  <c r="Y230" i="4"/>
  <c r="Y200" i="4"/>
  <c r="Y202" i="4"/>
  <c r="Y88" i="4"/>
  <c r="Y7" i="4"/>
  <c r="Y79" i="4"/>
  <c r="Y67" i="4"/>
  <c r="Y4" i="4"/>
  <c r="Y177" i="4"/>
  <c r="Y86" i="4"/>
  <c r="Y231" i="4"/>
  <c r="Y56" i="4"/>
  <c r="Y102" i="4"/>
  <c r="Y51" i="4"/>
  <c r="Y181" i="4"/>
  <c r="Y216" i="4"/>
  <c r="Y178" i="4"/>
  <c r="Y44" i="4"/>
  <c r="Z56" i="2"/>
  <c r="E9" i="28"/>
  <c r="Z7" i="2"/>
  <c r="Z47" i="2"/>
  <c r="E13" i="28"/>
  <c r="Z11" i="2"/>
  <c r="Z72" i="2"/>
  <c r="Z52" i="2"/>
  <c r="Z67" i="2"/>
  <c r="Z57" i="2"/>
  <c r="Z69" i="2"/>
  <c r="Z35" i="2"/>
  <c r="Z38" i="2"/>
  <c r="Y88" i="3"/>
  <c r="Y35" i="3"/>
  <c r="Y94" i="3"/>
  <c r="Y86" i="3"/>
  <c r="Y40" i="3"/>
  <c r="Y52" i="3"/>
  <c r="Y113" i="3"/>
  <c r="Y12" i="3"/>
  <c r="Y29" i="4"/>
  <c r="Y221" i="4"/>
  <c r="Y10" i="4"/>
  <c r="Y113" i="4"/>
  <c r="Y106" i="4"/>
  <c r="Y142" i="4"/>
  <c r="Y121" i="4"/>
  <c r="Y64" i="4"/>
  <c r="Y11" i="4"/>
  <c r="Y63" i="4"/>
  <c r="Y26" i="4"/>
  <c r="Y91" i="4"/>
  <c r="Y146" i="4"/>
  <c r="Y98" i="4"/>
  <c r="Y16" i="4"/>
  <c r="Y66" i="4"/>
  <c r="Y72" i="4"/>
  <c r="Y59" i="4"/>
  <c r="Y104" i="4"/>
  <c r="Y122" i="4"/>
  <c r="Y107" i="4"/>
  <c r="Y140" i="4"/>
  <c r="Y139" i="4"/>
  <c r="Y129" i="4"/>
  <c r="Y32" i="4"/>
  <c r="Y217" i="4"/>
  <c r="Y18" i="4"/>
  <c r="Y168" i="4"/>
  <c r="Y211" i="4"/>
  <c r="Y76" i="4"/>
  <c r="Y93" i="4"/>
  <c r="Y227" i="4"/>
  <c r="Y94" i="4"/>
  <c r="Y154" i="4"/>
  <c r="Y49" i="4"/>
  <c r="Y180" i="4"/>
  <c r="Y96" i="4"/>
  <c r="Y150" i="4"/>
  <c r="Y105" i="4"/>
  <c r="Y110" i="4"/>
  <c r="Y58" i="4"/>
  <c r="Y117" i="4"/>
  <c r="Y81" i="4"/>
  <c r="Y23" i="4"/>
  <c r="N652" i="7"/>
  <c r="N157" i="7"/>
  <c r="N64" i="7"/>
  <c r="N83" i="7"/>
  <c r="N49" i="7"/>
  <c r="N311" i="7"/>
  <c r="N81" i="7"/>
  <c r="N567" i="7"/>
  <c r="N471" i="7"/>
  <c r="N572" i="7"/>
  <c r="N25" i="7"/>
  <c r="N82" i="7"/>
  <c r="N31" i="7"/>
  <c r="N35" i="7"/>
  <c r="N30" i="7"/>
  <c r="N52" i="7"/>
  <c r="N347" i="7"/>
  <c r="N74" i="7"/>
  <c r="N39" i="7"/>
  <c r="N22" i="7"/>
  <c r="N96" i="7"/>
  <c r="N248" i="7"/>
  <c r="N68" i="7"/>
  <c r="N80" i="7"/>
  <c r="N60" i="7"/>
  <c r="N85" i="7"/>
  <c r="N21" i="7"/>
  <c r="N345" i="7"/>
  <c r="N40" i="7"/>
  <c r="N86" i="7"/>
  <c r="N63" i="7"/>
  <c r="N66" i="7"/>
  <c r="N144" i="7"/>
  <c r="N506" i="7"/>
  <c r="N328" i="7"/>
  <c r="N512" i="7"/>
  <c r="Y153" i="4" l="1"/>
  <c r="Y55" i="4"/>
  <c r="Y101" i="5"/>
  <c r="Y145" i="5"/>
  <c r="Y98" i="5"/>
  <c r="Y94" i="5"/>
  <c r="Y92" i="5"/>
  <c r="Y107" i="5"/>
  <c r="N30" i="28"/>
  <c r="Y179" i="4"/>
  <c r="Y39" i="4"/>
  <c r="Y109" i="4"/>
  <c r="Y50" i="4"/>
  <c r="Y34" i="4"/>
  <c r="Y155" i="4"/>
  <c r="Y101" i="4"/>
  <c r="Y184" i="4"/>
  <c r="Y223" i="4"/>
  <c r="Y149" i="4"/>
  <c r="Y63" i="5"/>
  <c r="Y161" i="5"/>
  <c r="Y61" i="5"/>
  <c r="Y116" i="5"/>
  <c r="Y114" i="5"/>
  <c r="Y142" i="5"/>
  <c r="Y104" i="5"/>
  <c r="Y93" i="5"/>
  <c r="Y40" i="5"/>
  <c r="Y76" i="5"/>
  <c r="Y170" i="5"/>
  <c r="D13" i="1"/>
  <c r="D17" i="1" s="1"/>
  <c r="Y159" i="5"/>
  <c r="Y99" i="5"/>
  <c r="Y136" i="5"/>
  <c r="Y122" i="5"/>
  <c r="Y50" i="5"/>
  <c r="Y17" i="5"/>
  <c r="Y53" i="5"/>
  <c r="Y67" i="5"/>
  <c r="Y42" i="5"/>
  <c r="Y106" i="5"/>
  <c r="Y49" i="5"/>
  <c r="Y36" i="5"/>
  <c r="Y129" i="5"/>
  <c r="Y20" i="5"/>
  <c r="Y96" i="5"/>
  <c r="Y166" i="5"/>
  <c r="Y18" i="5"/>
  <c r="Y169" i="5"/>
  <c r="Y121" i="5"/>
  <c r="Y125" i="5"/>
  <c r="Y158" i="5"/>
  <c r="Y164" i="5"/>
  <c r="Y78" i="5"/>
  <c r="Y95" i="5"/>
  <c r="Y58" i="5"/>
  <c r="Y30" i="5"/>
  <c r="Y131" i="5"/>
  <c r="Y168" i="5"/>
  <c r="Y156" i="5"/>
  <c r="Y103" i="5"/>
  <c r="Y167" i="5"/>
  <c r="Y74" i="5"/>
  <c r="Y150" i="5"/>
  <c r="Y24" i="5"/>
  <c r="N26" i="28" s="1"/>
  <c r="Y39" i="5"/>
  <c r="Y171" i="5"/>
  <c r="Y174" i="5"/>
  <c r="Y7" i="5"/>
  <c r="Y59" i="5"/>
  <c r="Y66" i="5"/>
  <c r="Y84" i="5"/>
  <c r="Y72" i="5"/>
  <c r="Y69" i="5"/>
  <c r="Y119" i="5"/>
  <c r="Y130" i="5"/>
  <c r="Y70" i="5"/>
  <c r="Y115" i="5"/>
  <c r="Y41" i="5"/>
  <c r="Y47" i="5"/>
  <c r="Y97" i="5"/>
  <c r="Y143" i="5"/>
  <c r="Y90" i="5"/>
  <c r="Y144" i="5"/>
  <c r="Y81" i="5"/>
  <c r="Y147" i="5"/>
  <c r="Y73" i="5"/>
  <c r="Y52" i="5"/>
  <c r="Y55" i="5"/>
  <c r="Y82" i="5"/>
  <c r="Y83" i="5"/>
  <c r="Y113" i="5"/>
  <c r="Y117" i="5"/>
  <c r="Y35" i="5"/>
  <c r="N37" i="28" s="1"/>
  <c r="Y71" i="5"/>
  <c r="Y91" i="5"/>
  <c r="Y163" i="5"/>
  <c r="Y135" i="5"/>
  <c r="Y44" i="5"/>
  <c r="Y173" i="5"/>
  <c r="Y100" i="5"/>
  <c r="Y157" i="5"/>
  <c r="Y138" i="5"/>
  <c r="Y127" i="5"/>
  <c r="Y172" i="5"/>
  <c r="Y105" i="5"/>
  <c r="Y134" i="5"/>
  <c r="Y139" i="5"/>
  <c r="Y141" i="5"/>
  <c r="Y126" i="5"/>
  <c r="Y64" i="5"/>
  <c r="Y75" i="5"/>
  <c r="Y21" i="5"/>
  <c r="Y149" i="5"/>
  <c r="Y51" i="5"/>
  <c r="Y45" i="5"/>
  <c r="Y154" i="5"/>
  <c r="Y89" i="5"/>
  <c r="Y54" i="5"/>
  <c r="N57" i="28" s="1"/>
  <c r="Y133" i="5"/>
  <c r="Y162" i="5"/>
  <c r="Y16" i="5"/>
  <c r="N18" i="28" s="1"/>
  <c r="Y32" i="5"/>
  <c r="N34" i="28" s="1"/>
  <c r="Y165" i="5"/>
  <c r="Y120" i="5"/>
  <c r="Y85" i="5"/>
  <c r="Y19" i="5"/>
  <c r="N21" i="28" s="1"/>
  <c r="Y38" i="5"/>
  <c r="Y160" i="5"/>
  <c r="Y118" i="5"/>
  <c r="Y111" i="5"/>
  <c r="Y153" i="5"/>
  <c r="Y33" i="5"/>
  <c r="Y140" i="5"/>
  <c r="Y48" i="5"/>
  <c r="N51" i="28" s="1"/>
  <c r="Y108" i="5"/>
  <c r="Y146" i="5"/>
  <c r="Y87" i="5"/>
  <c r="Y8" i="5"/>
  <c r="Y109" i="5"/>
  <c r="Y65" i="5"/>
  <c r="Y102" i="5"/>
  <c r="Y79" i="5"/>
  <c r="Y86" i="5"/>
  <c r="Y124" i="5"/>
  <c r="Y60" i="5"/>
  <c r="Y152" i="5"/>
  <c r="Y77" i="5"/>
  <c r="Y56" i="5"/>
  <c r="Y34" i="5"/>
  <c r="N36" i="28" s="1"/>
  <c r="Y68" i="5"/>
  <c r="Y43" i="5"/>
  <c r="N44" i="28" s="1"/>
  <c r="Y62" i="5"/>
  <c r="Y57" i="5"/>
  <c r="Y155" i="5"/>
  <c r="Y123" i="5"/>
  <c r="A172" i="32"/>
  <c r="A182" i="32"/>
  <c r="A296" i="32"/>
  <c r="A452" i="30"/>
  <c r="A433" i="32"/>
  <c r="A3" i="31"/>
  <c r="A214" i="32"/>
  <c r="A73" i="31"/>
  <c r="A233" i="30"/>
  <c r="A36" i="31"/>
  <c r="A304" i="31"/>
  <c r="A269" i="31"/>
  <c r="A300" i="32"/>
  <c r="A362" i="30"/>
  <c r="A122" i="30"/>
  <c r="A436" i="32"/>
  <c r="A370" i="31"/>
  <c r="A446" i="32"/>
  <c r="A243" i="32"/>
  <c r="A195" i="31"/>
  <c r="A308" i="31"/>
  <c r="A344" i="30"/>
  <c r="A574" i="32"/>
  <c r="A345" i="31"/>
  <c r="A451" i="32"/>
  <c r="A85" i="32"/>
  <c r="A245" i="31"/>
  <c r="A252" i="31"/>
  <c r="A180" i="30"/>
  <c r="A303" i="31"/>
  <c r="A22" i="30"/>
  <c r="A47" i="31"/>
  <c r="A334" i="30"/>
  <c r="A26" i="31"/>
  <c r="A38" i="31"/>
  <c r="A512" i="30"/>
  <c r="A305" i="30"/>
  <c r="A287" i="31"/>
  <c r="A313" i="31"/>
  <c r="A391" i="31"/>
  <c r="A189" i="31"/>
  <c r="A507" i="32"/>
  <c r="A336" i="31"/>
  <c r="A205" i="31"/>
  <c r="A19" i="30"/>
  <c r="A394" i="31"/>
  <c r="A72" i="32"/>
  <c r="A312" i="31"/>
  <c r="A217" i="32"/>
  <c r="A420" i="32"/>
  <c r="A25" i="30"/>
  <c r="A264" i="31"/>
  <c r="A143" i="32"/>
  <c r="A596" i="32"/>
  <c r="A302" i="32"/>
  <c r="A353" i="31"/>
  <c r="A519" i="32"/>
  <c r="A487" i="32"/>
  <c r="A329" i="31"/>
  <c r="A348" i="31"/>
  <c r="A61" i="32"/>
  <c r="A164" i="32"/>
  <c r="A255" i="31"/>
  <c r="A293" i="30"/>
  <c r="A431" i="32"/>
  <c r="A324" i="31"/>
  <c r="A235" i="31"/>
  <c r="A8" i="31"/>
  <c r="A215" i="31"/>
  <c r="A359" i="31"/>
  <c r="A138" i="31"/>
  <c r="A435" i="30"/>
  <c r="A117" i="32"/>
  <c r="A185" i="31"/>
  <c r="A195" i="32"/>
  <c r="A105" i="32"/>
  <c r="A91" i="32"/>
  <c r="A233" i="32"/>
  <c r="A410" i="32"/>
  <c r="A333" i="31"/>
  <c r="A155" i="31"/>
  <c r="A21" i="31"/>
  <c r="A301" i="31"/>
  <c r="A299" i="31"/>
  <c r="A5" i="31"/>
  <c r="A32" i="31"/>
  <c r="A2" i="31"/>
  <c r="A198" i="31"/>
  <c r="A331" i="31"/>
  <c r="A71" i="31"/>
  <c r="A18" i="31"/>
  <c r="A134" i="31"/>
  <c r="A135" i="31"/>
  <c r="A279" i="31"/>
  <c r="A64" i="31"/>
  <c r="A83" i="31"/>
  <c r="A221" i="31"/>
  <c r="A375" i="31"/>
  <c r="A250" i="31"/>
  <c r="A354" i="31"/>
  <c r="A183" i="31"/>
  <c r="A376" i="31"/>
  <c r="A100" i="31"/>
  <c r="A56" i="31"/>
  <c r="A45" i="31"/>
  <c r="A290" i="31"/>
  <c r="A13" i="31"/>
  <c r="A325" i="31"/>
  <c r="A172" i="31"/>
  <c r="A199" i="31"/>
  <c r="A247" i="31"/>
  <c r="A200" i="31"/>
  <c r="A170" i="31"/>
  <c r="A266" i="31"/>
  <c r="A91" i="31"/>
  <c r="A350" i="31"/>
  <c r="A126" i="31"/>
  <c r="A148" i="31"/>
  <c r="A117" i="31"/>
  <c r="A360" i="31"/>
  <c r="A127" i="31"/>
  <c r="A143" i="31"/>
  <c r="A302" i="31"/>
  <c r="A328" i="31"/>
  <c r="A339" i="31"/>
  <c r="A190" i="31"/>
  <c r="A164" i="31"/>
  <c r="A268" i="31"/>
  <c r="A90" i="31"/>
  <c r="A398" i="31"/>
  <c r="A285" i="31"/>
  <c r="A347" i="31"/>
  <c r="A240" i="31"/>
  <c r="A400" i="31"/>
  <c r="A51" i="31"/>
  <c r="A283" i="31"/>
  <c r="A298" i="31"/>
  <c r="A63" i="31"/>
  <c r="A237" i="31"/>
  <c r="A77" i="31"/>
  <c r="A55" i="31"/>
  <c r="A337" i="31"/>
  <c r="A317" i="31"/>
  <c r="A112" i="31"/>
  <c r="A162" i="31"/>
  <c r="A39" i="31"/>
  <c r="A10" i="31"/>
  <c r="A153" i="31"/>
  <c r="A202" i="31"/>
  <c r="A133" i="31"/>
  <c r="A113" i="31"/>
  <c r="A70" i="31"/>
  <c r="A368" i="31"/>
  <c r="A372" i="31"/>
  <c r="A300" i="31"/>
  <c r="A219" i="31"/>
  <c r="A150" i="31"/>
  <c r="A80" i="31"/>
  <c r="A19" i="31"/>
  <c r="A206" i="31"/>
  <c r="A178" i="31"/>
  <c r="A174" i="31"/>
  <c r="A210" i="31"/>
  <c r="A95" i="31"/>
  <c r="A327" i="31"/>
  <c r="A338" i="31"/>
  <c r="A42" i="31"/>
  <c r="A230" i="31"/>
  <c r="A57" i="31"/>
  <c r="A318" i="31"/>
  <c r="A342" i="31"/>
  <c r="A381" i="31"/>
  <c r="A234" i="31"/>
  <c r="A61" i="31"/>
  <c r="A335" i="31"/>
  <c r="A101" i="31"/>
  <c r="A225" i="31"/>
  <c r="A340" i="31"/>
  <c r="A115" i="31"/>
  <c r="A213" i="31"/>
  <c r="A191" i="31"/>
  <c r="A165" i="31"/>
  <c r="A131" i="31"/>
  <c r="A236" i="31"/>
  <c r="A59" i="31"/>
  <c r="A49" i="31"/>
  <c r="A141" i="31"/>
  <c r="A54" i="31"/>
  <c r="A352" i="31"/>
  <c r="A169" i="31"/>
  <c r="A62" i="31"/>
  <c r="A67" i="31"/>
  <c r="A82" i="31"/>
  <c r="A116" i="31"/>
  <c r="A222" i="31"/>
  <c r="A78" i="31"/>
  <c r="A243" i="31"/>
  <c r="A349" i="31"/>
  <c r="A363" i="31"/>
  <c r="A379" i="31"/>
  <c r="A41" i="31"/>
  <c r="A58" i="31"/>
  <c r="A37" i="31"/>
  <c r="A291" i="31"/>
  <c r="A295" i="31"/>
  <c r="A180" i="31"/>
  <c r="A262" i="31"/>
  <c r="A177" i="31"/>
  <c r="A89" i="31"/>
  <c r="A236" i="32"/>
  <c r="A41" i="32"/>
  <c r="A502" i="32"/>
  <c r="A6" i="32"/>
  <c r="A193" i="32"/>
  <c r="A282" i="32"/>
  <c r="A329" i="32"/>
  <c r="A131" i="32"/>
  <c r="A136" i="32"/>
  <c r="A71" i="32"/>
  <c r="A129" i="32"/>
  <c r="A190" i="32"/>
  <c r="A81" i="32"/>
  <c r="A23" i="32"/>
  <c r="A94" i="32"/>
  <c r="A174" i="32"/>
  <c r="A278" i="32"/>
  <c r="A498" i="32"/>
  <c r="A381" i="32"/>
  <c r="A357" i="32"/>
  <c r="A103" i="32"/>
  <c r="A154" i="32"/>
  <c r="A225" i="32"/>
  <c r="A343" i="32"/>
  <c r="A38" i="32"/>
  <c r="A124" i="32"/>
  <c r="A543" i="32"/>
  <c r="A59" i="32"/>
  <c r="A534" i="32"/>
  <c r="A155" i="32"/>
  <c r="A67" i="32"/>
  <c r="A34" i="32"/>
  <c r="A526" i="32"/>
  <c r="A327" i="32"/>
  <c r="A358" i="32"/>
  <c r="A173" i="32"/>
  <c r="A318" i="32"/>
  <c r="A582" i="32"/>
  <c r="A581" i="32"/>
  <c r="A21" i="32"/>
  <c r="A387" i="32"/>
  <c r="A603" i="32"/>
  <c r="A239" i="32"/>
  <c r="A285" i="32"/>
  <c r="A461" i="32"/>
  <c r="A211" i="32"/>
  <c r="A555" i="32"/>
  <c r="A208" i="32"/>
  <c r="A210" i="32"/>
  <c r="A359" i="32"/>
  <c r="A332" i="32"/>
  <c r="A550" i="32"/>
  <c r="A552" i="32"/>
  <c r="A548" i="32"/>
  <c r="A276" i="32"/>
  <c r="A145" i="32"/>
  <c r="A83" i="32"/>
  <c r="A474" i="32"/>
  <c r="A222" i="32"/>
  <c r="A590" i="32"/>
  <c r="A606" i="32"/>
  <c r="A197" i="32"/>
  <c r="A181" i="32"/>
  <c r="A467" i="32"/>
  <c r="A140" i="32"/>
  <c r="A597" i="32"/>
  <c r="A309" i="32"/>
  <c r="A473" i="32"/>
  <c r="A348" i="32"/>
  <c r="A370" i="32"/>
  <c r="A170" i="32"/>
  <c r="A470" i="32"/>
  <c r="A229" i="32"/>
  <c r="A572" i="32"/>
  <c r="A608" i="32"/>
  <c r="A562" i="32"/>
  <c r="A39" i="32"/>
  <c r="A372" i="32"/>
  <c r="A321" i="32"/>
  <c r="A53" i="32"/>
  <c r="A415" i="32"/>
  <c r="A268" i="32"/>
  <c r="A389" i="32"/>
  <c r="A284" i="32"/>
  <c r="A82" i="32"/>
  <c r="A28" i="32"/>
  <c r="A84" i="32"/>
  <c r="A421" i="32"/>
  <c r="A106" i="32"/>
  <c r="A314" i="32"/>
  <c r="A133" i="32"/>
  <c r="A295" i="32"/>
  <c r="A396" i="32"/>
  <c r="A183" i="32"/>
  <c r="A199" i="32"/>
  <c r="A22" i="32"/>
  <c r="A30" i="32"/>
  <c r="A44" i="30"/>
  <c r="A200" i="30"/>
  <c r="A145" i="31"/>
  <c r="A322" i="31"/>
  <c r="A427" i="32"/>
  <c r="A261" i="32"/>
  <c r="A402" i="31"/>
  <c r="A252" i="30"/>
  <c r="A89" i="30"/>
  <c r="A111" i="32"/>
  <c r="A361" i="31"/>
  <c r="A307" i="30"/>
  <c r="A240" i="32"/>
  <c r="A310" i="32"/>
  <c r="A267" i="31"/>
  <c r="A514" i="30"/>
  <c r="A211" i="31"/>
  <c r="A599" i="32"/>
  <c r="A320" i="31"/>
  <c r="A227" i="32"/>
  <c r="A389" i="30"/>
  <c r="A551" i="32"/>
  <c r="A230" i="30"/>
  <c r="A370" i="30"/>
  <c r="A338" i="32"/>
  <c r="A580" i="32"/>
  <c r="A207" i="31"/>
  <c r="A311" i="31"/>
  <c r="A528" i="32"/>
  <c r="A151" i="30"/>
  <c r="A436" i="30"/>
  <c r="A226" i="31"/>
  <c r="A53" i="30"/>
  <c r="A502" i="30"/>
  <c r="A372" i="30"/>
  <c r="A537" i="32"/>
  <c r="A58" i="32"/>
  <c r="A86" i="32"/>
  <c r="A184" i="31"/>
  <c r="A179" i="30"/>
  <c r="A270" i="32"/>
  <c r="A159" i="31"/>
  <c r="A410" i="30"/>
  <c r="A355" i="32"/>
  <c r="A452" i="32"/>
  <c r="A345" i="32"/>
  <c r="A135" i="32"/>
  <c r="A95" i="32"/>
  <c r="A216" i="32"/>
  <c r="A248" i="31"/>
  <c r="A332" i="30"/>
  <c r="A9" i="31"/>
  <c r="A351" i="31"/>
  <c r="A224" i="32"/>
  <c r="A464" i="30"/>
  <c r="A352" i="32"/>
  <c r="A209" i="31"/>
  <c r="A129" i="30"/>
  <c r="A367" i="30"/>
  <c r="A286" i="30"/>
  <c r="A176" i="30"/>
  <c r="A481" i="32"/>
  <c r="A22" i="31"/>
  <c r="A193" i="31"/>
  <c r="A508" i="32"/>
  <c r="A335" i="32"/>
  <c r="A139" i="32"/>
  <c r="A586" i="32"/>
  <c r="A136" i="30"/>
  <c r="A439" i="32"/>
  <c r="A466" i="32"/>
  <c r="A49" i="32"/>
  <c r="A187" i="30"/>
  <c r="A248" i="32"/>
  <c r="A475" i="30"/>
  <c r="A365" i="32"/>
  <c r="A264" i="32"/>
  <c r="A269" i="32"/>
  <c r="A21" i="30"/>
  <c r="A297" i="30"/>
  <c r="A25" i="32"/>
  <c r="A291" i="32"/>
  <c r="A171" i="30"/>
  <c r="A73" i="30"/>
  <c r="A238" i="30"/>
  <c r="A437" i="32"/>
  <c r="A504" i="32"/>
  <c r="A399" i="31"/>
  <c r="A86" i="30"/>
  <c r="A478" i="32"/>
  <c r="A118" i="31"/>
  <c r="A136" i="31"/>
  <c r="A289" i="32"/>
  <c r="A35" i="31"/>
  <c r="A29" i="31"/>
  <c r="A566" i="32"/>
  <c r="A89" i="32"/>
  <c r="A148" i="30"/>
  <c r="A27" i="31"/>
  <c r="A218" i="32"/>
  <c r="A320" i="30"/>
  <c r="A242" i="32"/>
  <c r="A14" i="30"/>
  <c r="A176" i="32"/>
  <c r="A333" i="32"/>
  <c r="A130" i="32"/>
  <c r="A15" i="32"/>
  <c r="A119" i="30"/>
  <c r="A226" i="32"/>
  <c r="A558" i="32"/>
  <c r="A257" i="32"/>
  <c r="A258" i="31"/>
  <c r="A202" i="30"/>
  <c r="A259" i="31"/>
  <c r="A30" i="31"/>
  <c r="A201" i="31"/>
  <c r="A584" i="32"/>
  <c r="A434" i="30"/>
  <c r="A161" i="32"/>
  <c r="A364" i="32"/>
  <c r="A328" i="30"/>
  <c r="A185" i="30"/>
  <c r="A2" i="30"/>
  <c r="A487" i="30"/>
  <c r="A145" i="30"/>
  <c r="A194" i="30"/>
  <c r="A39" i="30"/>
  <c r="A383" i="30"/>
  <c r="A55" i="30"/>
  <c r="A321" i="30"/>
  <c r="A433" i="30"/>
  <c r="A255" i="30"/>
  <c r="A124" i="30"/>
  <c r="A162" i="30"/>
  <c r="A458" i="30"/>
  <c r="A527" i="30"/>
  <c r="A246" i="30"/>
  <c r="A387" i="30"/>
  <c r="A94" i="30"/>
  <c r="A114" i="30"/>
  <c r="A147" i="30"/>
  <c r="A478" i="30"/>
  <c r="A330" i="30"/>
  <c r="A391" i="30"/>
  <c r="A9" i="30"/>
  <c r="A291" i="30"/>
  <c r="A250" i="30"/>
  <c r="A411" i="30"/>
  <c r="A474" i="30"/>
  <c r="A24" i="30"/>
  <c r="A118" i="30"/>
  <c r="A327" i="30"/>
  <c r="A428" i="30"/>
  <c r="A84" i="30"/>
  <c r="A207" i="30"/>
  <c r="A486" i="30"/>
  <c r="A220" i="30"/>
  <c r="A296" i="30"/>
  <c r="A422" i="30"/>
  <c r="A445" i="30"/>
  <c r="A319" i="30"/>
  <c r="A507" i="30"/>
  <c r="A85" i="30"/>
  <c r="A213" i="30"/>
  <c r="A414" i="30"/>
  <c r="A224" i="30"/>
  <c r="A49" i="30"/>
  <c r="A181" i="30"/>
  <c r="A256" i="30"/>
  <c r="A378" i="30"/>
  <c r="A300" i="30"/>
  <c r="A163" i="30"/>
  <c r="A402" i="30"/>
  <c r="A83" i="30"/>
  <c r="A196" i="30"/>
  <c r="A137" i="30"/>
  <c r="A481" i="30"/>
  <c r="A57" i="30"/>
  <c r="A205" i="30"/>
  <c r="A110" i="30"/>
  <c r="A237" i="30"/>
  <c r="A283" i="30"/>
  <c r="A280" i="30"/>
  <c r="A381" i="30"/>
  <c r="A418" i="30"/>
  <c r="A279" i="30"/>
  <c r="A244" i="30"/>
  <c r="A438" i="30"/>
  <c r="A508" i="30"/>
  <c r="A87" i="30"/>
  <c r="A342" i="30"/>
  <c r="A243" i="30"/>
  <c r="A324" i="30"/>
  <c r="A100" i="30"/>
  <c r="A221" i="30"/>
  <c r="A483" i="30"/>
  <c r="A437" i="30"/>
  <c r="A77" i="30"/>
  <c r="A520" i="30"/>
  <c r="A285" i="30"/>
  <c r="A523" i="30"/>
  <c r="A299" i="30"/>
  <c r="A460" i="30"/>
  <c r="A173" i="30"/>
  <c r="A309" i="30"/>
  <c r="A331" i="30"/>
  <c r="A168" i="30"/>
  <c r="A272" i="30"/>
  <c r="A247" i="30"/>
  <c r="A130" i="30"/>
  <c r="A56" i="30"/>
  <c r="A382" i="30"/>
  <c r="A113" i="30"/>
  <c r="A102" i="30"/>
  <c r="A141" i="30"/>
  <c r="A374" i="30"/>
  <c r="A260" i="30"/>
  <c r="A131" i="30"/>
  <c r="A155" i="30"/>
  <c r="A216" i="30"/>
  <c r="A313" i="30"/>
  <c r="A210" i="30"/>
  <c r="A271" i="30"/>
  <c r="A369" i="30"/>
  <c r="A199" i="30"/>
  <c r="A248" i="30"/>
  <c r="A495" i="30"/>
  <c r="A59" i="30"/>
  <c r="A235" i="30"/>
  <c r="A242" i="30"/>
  <c r="A192" i="30"/>
  <c r="A375" i="30"/>
  <c r="A528" i="30"/>
  <c r="A128" i="30"/>
  <c r="A108" i="30"/>
  <c r="A509" i="30"/>
  <c r="A306" i="30"/>
  <c r="A403" i="30"/>
  <c r="A52" i="30"/>
  <c r="A277" i="30"/>
  <c r="A361" i="30"/>
  <c r="A457" i="30"/>
  <c r="A519" i="30"/>
  <c r="A489" i="30"/>
  <c r="A3" i="30"/>
  <c r="A50" i="30"/>
  <c r="A96" i="30"/>
  <c r="A494" i="30"/>
  <c r="A189" i="30"/>
  <c r="A407" i="30"/>
  <c r="A161" i="30"/>
  <c r="A448" i="30"/>
  <c r="A394" i="30"/>
  <c r="A226" i="30"/>
  <c r="A183" i="30"/>
  <c r="A217" i="30"/>
  <c r="A186" i="30"/>
  <c r="A125" i="30"/>
  <c r="A456" i="30"/>
  <c r="A493" i="30"/>
  <c r="A165" i="30"/>
  <c r="A368" i="30"/>
  <c r="A152" i="30"/>
  <c r="A42" i="30"/>
  <c r="A184" i="30"/>
  <c r="A33" i="30"/>
  <c r="A172" i="30"/>
  <c r="A492" i="30"/>
  <c r="A273" i="30"/>
  <c r="A397" i="30"/>
  <c r="A150" i="30"/>
  <c r="A365" i="30"/>
  <c r="A91" i="30"/>
  <c r="A201" i="30"/>
  <c r="A249" i="30"/>
  <c r="A266" i="30"/>
  <c r="A182" i="30"/>
  <c r="A174" i="30"/>
  <c r="A425" i="30"/>
  <c r="A269" i="30"/>
  <c r="A120" i="30"/>
  <c r="A451" i="30"/>
  <c r="A116" i="30"/>
  <c r="A465" i="30"/>
  <c r="A288" i="30"/>
  <c r="A212" i="30"/>
  <c r="A351" i="30"/>
  <c r="A7" i="30"/>
  <c r="A134" i="30"/>
  <c r="A497" i="30"/>
  <c r="A322" i="30"/>
  <c r="A504" i="30"/>
  <c r="A195" i="30"/>
  <c r="A62" i="30"/>
  <c r="A426" i="30"/>
  <c r="A385" i="30"/>
  <c r="A473" i="30"/>
  <c r="A462" i="30"/>
  <c r="A231" i="32"/>
  <c r="A567" i="32"/>
  <c r="A10" i="30"/>
  <c r="A390" i="32"/>
  <c r="A310" i="30"/>
  <c r="A214" i="30"/>
  <c r="A464" i="32"/>
  <c r="A113" i="32"/>
  <c r="A424" i="32"/>
  <c r="A205" i="32"/>
  <c r="A589" i="32"/>
  <c r="A396" i="31"/>
  <c r="A364" i="30"/>
  <c r="A56" i="32"/>
  <c r="A443" i="32"/>
  <c r="A197" i="31"/>
  <c r="A545" i="32"/>
  <c r="A268" i="30"/>
  <c r="A45" i="32"/>
  <c r="A323" i="32"/>
  <c r="A149" i="31"/>
  <c r="A366" i="31"/>
  <c r="A34" i="31"/>
  <c r="A17" i="31"/>
  <c r="A33" i="32"/>
  <c r="A393" i="31"/>
  <c r="A229" i="30"/>
  <c r="A521" i="32"/>
  <c r="A32" i="30"/>
  <c r="A197" i="30"/>
  <c r="A251" i="31"/>
  <c r="A287" i="30"/>
  <c r="A92" i="31"/>
  <c r="A219" i="30"/>
  <c r="A511" i="30"/>
  <c r="A81" i="31"/>
  <c r="A65" i="31"/>
  <c r="A294" i="31"/>
  <c r="A422" i="32"/>
  <c r="A339" i="32"/>
  <c r="A379" i="30"/>
  <c r="A469" i="30"/>
  <c r="A75" i="31"/>
  <c r="A70" i="30"/>
  <c r="A271" i="31"/>
  <c r="A181" i="31"/>
  <c r="A256" i="32"/>
  <c r="A107" i="31"/>
  <c r="A361" i="32"/>
  <c r="A25" i="31"/>
  <c r="A40" i="31"/>
  <c r="A355" i="30"/>
  <c r="A261" i="31"/>
  <c r="A236" i="30"/>
  <c r="A546" i="32"/>
  <c r="A398" i="30"/>
  <c r="A71" i="30"/>
  <c r="A495" i="32"/>
  <c r="A333" i="30"/>
  <c r="A121" i="30"/>
  <c r="A146" i="31"/>
  <c r="A298" i="32"/>
  <c r="A390" i="30"/>
  <c r="A311" i="32"/>
  <c r="A252" i="32"/>
  <c r="A503" i="32"/>
  <c r="A468" i="32"/>
  <c r="A340" i="32"/>
  <c r="A29" i="32"/>
  <c r="A223" i="32"/>
  <c r="A535" i="32"/>
  <c r="A184" i="32"/>
  <c r="A148" i="32"/>
  <c r="A219" i="32"/>
  <c r="A52" i="32"/>
  <c r="A561" i="32"/>
  <c r="A90" i="32"/>
  <c r="A497" i="32"/>
  <c r="A322" i="32"/>
  <c r="A441" i="32"/>
  <c r="A221" i="32"/>
  <c r="A152" i="32"/>
  <c r="A158" i="32"/>
  <c r="A43" i="32"/>
  <c r="A62" i="32"/>
  <c r="A69" i="32"/>
  <c r="A342" i="32"/>
  <c r="A153" i="32"/>
  <c r="A220" i="32"/>
  <c r="A501" i="32"/>
  <c r="A177" i="32"/>
  <c r="A168" i="32"/>
  <c r="A179" i="32"/>
  <c r="A509" i="32"/>
  <c r="A511" i="32"/>
  <c r="A167" i="32"/>
  <c r="A122" i="32"/>
  <c r="A595" i="32"/>
  <c r="A490" i="32"/>
  <c r="A16" i="32"/>
  <c r="A575" i="32"/>
  <c r="A573" i="32"/>
  <c r="A409" i="32"/>
  <c r="A234" i="32"/>
  <c r="A104" i="32"/>
  <c r="A112" i="32"/>
  <c r="A393" i="32"/>
  <c r="A379" i="32"/>
  <c r="A494" i="32"/>
  <c r="A63" i="32"/>
  <c r="A496" i="32"/>
  <c r="A404" i="32"/>
  <c r="A570" i="32"/>
  <c r="A334" i="32"/>
  <c r="A166" i="32"/>
  <c r="A272" i="32"/>
  <c r="A265" i="32"/>
  <c r="A506" i="32"/>
  <c r="A78" i="32"/>
  <c r="A602" i="32"/>
  <c r="A491" i="32"/>
  <c r="A87" i="32"/>
  <c r="A74" i="32"/>
  <c r="A517" i="32"/>
  <c r="A591" i="32"/>
  <c r="A382" i="32"/>
  <c r="A479" i="32"/>
  <c r="A79" i="32"/>
  <c r="A613" i="32"/>
  <c r="A204" i="32"/>
  <c r="A350" i="32"/>
  <c r="A297" i="32"/>
  <c r="A533" i="32"/>
  <c r="A149" i="32"/>
  <c r="A477" i="32"/>
  <c r="A320" i="32"/>
  <c r="A373" i="32"/>
  <c r="A185" i="32"/>
  <c r="A394" i="32"/>
  <c r="A110" i="32"/>
  <c r="A315" i="32"/>
  <c r="A587" i="32"/>
  <c r="A138" i="32"/>
  <c r="A601" i="32"/>
  <c r="A541" i="32"/>
  <c r="A12" i="32"/>
  <c r="A241" i="32"/>
  <c r="A146" i="32"/>
  <c r="A449" i="32"/>
  <c r="A577" i="32"/>
  <c r="A531" i="32"/>
  <c r="A93" i="32"/>
  <c r="A413" i="32"/>
  <c r="A160" i="32"/>
  <c r="A378" i="32"/>
  <c r="A279" i="32"/>
  <c r="A499" i="32"/>
  <c r="A556" i="32"/>
  <c r="A460" i="32"/>
  <c r="A201" i="32"/>
  <c r="A457" i="32"/>
  <c r="A202" i="32"/>
  <c r="A612" i="32"/>
  <c r="A559" i="32"/>
  <c r="A330" i="32"/>
  <c r="A376" i="32"/>
  <c r="A434" i="32"/>
  <c r="A134" i="32"/>
  <c r="A299" i="32"/>
  <c r="A425" i="32"/>
  <c r="A115" i="32"/>
  <c r="A609" i="32"/>
  <c r="A391" i="32"/>
  <c r="A438" i="32"/>
  <c r="A569" i="32"/>
  <c r="A540" i="32"/>
  <c r="A564" i="32"/>
  <c r="A10" i="32"/>
  <c r="A402" i="32"/>
  <c r="A532" i="32"/>
  <c r="A579" i="32"/>
  <c r="A313" i="32"/>
  <c r="A162" i="32"/>
  <c r="A88" i="32"/>
  <c r="A44" i="32"/>
  <c r="A36" i="32"/>
  <c r="A64" i="32"/>
  <c r="A141" i="32"/>
  <c r="A463" i="32"/>
  <c r="A336" i="32"/>
  <c r="A4" i="32"/>
  <c r="A31" i="32"/>
  <c r="A482" i="32"/>
  <c r="A500" i="30"/>
  <c r="A453" i="32"/>
  <c r="A339" i="30"/>
  <c r="A314" i="31"/>
  <c r="A31" i="30"/>
  <c r="A26" i="32"/>
  <c r="A3" i="32"/>
  <c r="A374" i="31"/>
  <c r="A341" i="32"/>
  <c r="A449" i="30"/>
  <c r="A192" i="32"/>
  <c r="A102" i="32"/>
  <c r="A125" i="32"/>
  <c r="A294" i="32"/>
  <c r="A399" i="30"/>
  <c r="A191" i="32"/>
  <c r="A393" i="30"/>
  <c r="A203" i="32"/>
  <c r="A26" i="30"/>
  <c r="A431" i="30"/>
  <c r="A315" i="31"/>
  <c r="A356" i="31"/>
  <c r="A358" i="31"/>
  <c r="A406" i="32"/>
  <c r="A401" i="32"/>
  <c r="A24" i="31"/>
  <c r="A432" i="32"/>
  <c r="A604" i="32"/>
  <c r="A390" i="31"/>
  <c r="A110" i="31"/>
  <c r="A203" i="31"/>
  <c r="A305" i="32"/>
  <c r="A263" i="31"/>
  <c r="A482" i="30"/>
  <c r="A64" i="30"/>
  <c r="A420" i="30"/>
  <c r="A277" i="31"/>
  <c r="A303" i="30"/>
  <c r="A65" i="30"/>
  <c r="A193" i="30"/>
  <c r="A177" i="30"/>
  <c r="A249" i="32"/>
  <c r="A37" i="32"/>
  <c r="A275" i="32"/>
  <c r="A191" i="30"/>
  <c r="A117" i="30"/>
  <c r="A258" i="32"/>
  <c r="A255" i="32"/>
  <c r="A231" i="30"/>
  <c r="A423" i="30"/>
  <c r="A524" i="30"/>
  <c r="A178" i="30"/>
  <c r="A513" i="32"/>
  <c r="A127" i="32"/>
  <c r="A76" i="32"/>
  <c r="A485" i="30"/>
  <c r="A427" i="30"/>
  <c r="A353" i="30"/>
  <c r="A335" i="30"/>
  <c r="A154" i="31"/>
  <c r="A4" i="31"/>
  <c r="A325" i="30"/>
  <c r="A217" i="31"/>
  <c r="A157" i="31"/>
  <c r="A76" i="30"/>
  <c r="A90" i="30"/>
  <c r="A20" i="31"/>
  <c r="A286" i="31"/>
  <c r="A206" i="30"/>
  <c r="A98" i="31"/>
  <c r="A377" i="31"/>
  <c r="A106" i="30"/>
  <c r="A238" i="32"/>
  <c r="A35" i="30"/>
  <c r="A476" i="32"/>
  <c r="A11" i="32"/>
  <c r="A377" i="30"/>
  <c r="A267" i="30"/>
  <c r="A542" i="32"/>
  <c r="A239" i="30"/>
  <c r="A214" i="31"/>
  <c r="A344" i="31"/>
  <c r="A80" i="30"/>
  <c r="A257" i="31"/>
  <c r="A186" i="31"/>
  <c r="A520" i="32"/>
  <c r="A290" i="32"/>
  <c r="A289" i="30"/>
  <c r="A265" i="31"/>
  <c r="A165" i="32"/>
  <c r="A54" i="32"/>
  <c r="A316" i="31"/>
  <c r="A338" i="30"/>
  <c r="A146" i="30"/>
  <c r="A358" i="30"/>
  <c r="A386" i="30"/>
  <c r="A8" i="32"/>
  <c r="A208" i="31"/>
  <c r="A522" i="30"/>
  <c r="A406" i="30"/>
  <c r="A222" i="30"/>
  <c r="A429" i="32"/>
  <c r="A257" i="30"/>
  <c r="A87" i="31"/>
  <c r="A178" i="32"/>
  <c r="A323" i="30"/>
  <c r="A121" i="32"/>
  <c r="A306" i="32"/>
  <c r="A229" i="31"/>
  <c r="A392" i="30"/>
  <c r="A363" i="30"/>
  <c r="A27" i="32"/>
  <c r="A114" i="31"/>
  <c r="A547" i="32"/>
  <c r="A259" i="32"/>
  <c r="A108" i="31"/>
  <c r="A354" i="32"/>
  <c r="A116" i="32"/>
  <c r="A576" i="32"/>
  <c r="A290" i="30"/>
  <c r="A585" i="32"/>
  <c r="A568" i="32"/>
  <c r="A20" i="32"/>
  <c r="A485" i="32"/>
  <c r="A536" i="32"/>
  <c r="A232" i="32"/>
  <c r="A417" i="32"/>
  <c r="A554" i="32"/>
  <c r="A235" i="32"/>
  <c r="A360" i="32"/>
  <c r="A319" i="32"/>
  <c r="A445" i="32"/>
  <c r="A262" i="32"/>
  <c r="A277" i="32"/>
  <c r="A383" i="32"/>
  <c r="A418" i="32"/>
  <c r="A263" i="32"/>
  <c r="A286" i="32"/>
  <c r="A163" i="32"/>
  <c r="A273" i="32"/>
  <c r="A274" i="32"/>
  <c r="A157" i="32"/>
  <c r="A281" i="32"/>
  <c r="A271" i="32"/>
  <c r="A510" i="32"/>
  <c r="A363" i="32"/>
  <c r="A40" i="32"/>
  <c r="A454" i="32"/>
  <c r="A385" i="32"/>
  <c r="A408" i="32"/>
  <c r="A247" i="32"/>
  <c r="A593" i="32"/>
  <c r="A414" i="32"/>
  <c r="A9" i="32"/>
  <c r="A288" i="32"/>
  <c r="A215" i="32"/>
  <c r="A5" i="32"/>
  <c r="A206" i="32"/>
  <c r="A512" i="32"/>
  <c r="A337" i="32"/>
  <c r="A245" i="32"/>
  <c r="A7" i="32"/>
  <c r="A469" i="32"/>
  <c r="A486" i="32"/>
  <c r="A405" i="32"/>
  <c r="A97" i="32"/>
  <c r="A169" i="32"/>
  <c r="A472" i="32"/>
  <c r="A156" i="32"/>
  <c r="A123" i="32"/>
  <c r="A109" i="32"/>
  <c r="A518" i="32"/>
  <c r="A128" i="32"/>
  <c r="A419" i="32"/>
  <c r="A399" i="32"/>
  <c r="A42" i="32"/>
  <c r="A35" i="32"/>
  <c r="A147" i="32"/>
  <c r="A484" i="32"/>
  <c r="A583" i="32"/>
  <c r="A411" i="32"/>
  <c r="A194" i="32"/>
  <c r="A48" i="32"/>
  <c r="A356" i="32"/>
  <c r="A175" i="32"/>
  <c r="A423" i="32"/>
  <c r="A605" i="32"/>
  <c r="A19" i="32"/>
  <c r="A544" i="32"/>
  <c r="A349" i="32"/>
  <c r="A375" i="32"/>
  <c r="A100" i="32"/>
  <c r="A51" i="32"/>
  <c r="A200" i="32"/>
  <c r="A14" i="32"/>
  <c r="A55" i="32"/>
  <c r="A230" i="32"/>
  <c r="A213" i="32"/>
  <c r="A442" i="32"/>
  <c r="A369" i="32"/>
  <c r="A380" i="32"/>
  <c r="A611" i="32"/>
  <c r="A77" i="32"/>
  <c r="A578" i="32"/>
  <c r="A398" i="32"/>
  <c r="A475" i="32"/>
  <c r="A489" i="32"/>
  <c r="A228" i="32"/>
  <c r="A303" i="32"/>
  <c r="A428" i="32"/>
  <c r="A400" i="32"/>
  <c r="A384" i="32"/>
  <c r="A325" i="32"/>
  <c r="A80" i="32"/>
  <c r="A180" i="32"/>
  <c r="A610" i="32"/>
  <c r="A98" i="32"/>
  <c r="A126" i="32"/>
  <c r="A527" i="32"/>
  <c r="A347" i="32"/>
  <c r="A46" i="32"/>
  <c r="A287" i="32"/>
  <c r="A150" i="32"/>
  <c r="A480" i="32"/>
  <c r="A304" i="32"/>
  <c r="A598" i="32"/>
  <c r="A557" i="32"/>
  <c r="A367" i="32"/>
  <c r="A607" i="32"/>
  <c r="A523" i="32"/>
  <c r="A553" i="32"/>
  <c r="A426" i="32"/>
  <c r="A98" i="30"/>
  <c r="A371" i="32"/>
  <c r="A392" i="32"/>
  <c r="A97" i="30"/>
  <c r="A432" i="30"/>
  <c r="A539" i="32"/>
  <c r="A373" i="31"/>
  <c r="A212" i="32"/>
  <c r="A227" i="31"/>
  <c r="A57" i="32"/>
  <c r="A212" i="31"/>
  <c r="A99" i="32"/>
  <c r="A510" i="30"/>
  <c r="A161" i="31"/>
  <c r="A483" i="32"/>
  <c r="A198" i="30"/>
  <c r="A284" i="30"/>
  <c r="A126" i="30"/>
  <c r="A47" i="30"/>
  <c r="A38" i="30"/>
  <c r="A142" i="30"/>
  <c r="A341" i="30"/>
  <c r="A115" i="30"/>
  <c r="A227" i="30"/>
  <c r="A105" i="30"/>
  <c r="A27" i="30"/>
  <c r="A395" i="30"/>
  <c r="A282" i="30"/>
  <c r="A517" i="30"/>
  <c r="A516" i="30"/>
  <c r="A471" i="30"/>
  <c r="A234" i="30"/>
  <c r="A138" i="30"/>
  <c r="A506" i="30"/>
  <c r="A188" i="30"/>
  <c r="A29" i="30"/>
  <c r="A12" i="30"/>
  <c r="A75" i="30"/>
  <c r="A388" i="30"/>
  <c r="A412" i="30"/>
  <c r="A143" i="30"/>
  <c r="A160" i="30"/>
  <c r="A209" i="30"/>
  <c r="A525" i="30"/>
  <c r="A275" i="30"/>
  <c r="A157" i="30"/>
  <c r="A345" i="30"/>
  <c r="A446" i="30"/>
  <c r="A254" i="30"/>
  <c r="A93" i="30"/>
  <c r="A88" i="30"/>
  <c r="A190" i="30"/>
  <c r="A419" i="30"/>
  <c r="A347" i="30"/>
  <c r="A302" i="30"/>
  <c r="A99" i="30"/>
  <c r="A529" i="30"/>
  <c r="A336" i="30"/>
  <c r="A112" i="30"/>
  <c r="A349" i="30"/>
  <c r="A298" i="30"/>
  <c r="A204" i="30"/>
  <c r="A144" i="30"/>
  <c r="A301" i="30"/>
  <c r="A421" i="30"/>
  <c r="A79" i="30"/>
  <c r="A36" i="30"/>
  <c r="A167" i="30"/>
  <c r="A223" i="30"/>
  <c r="A429" i="30"/>
  <c r="A48" i="30"/>
  <c r="A346" i="30"/>
  <c r="A340" i="30"/>
  <c r="A450" i="30"/>
  <c r="A109" i="30"/>
  <c r="A169" i="30"/>
  <c r="A453" i="30"/>
  <c r="A258" i="30"/>
  <c r="A337" i="30"/>
  <c r="A265" i="30"/>
  <c r="A45" i="30"/>
  <c r="A479" i="30"/>
  <c r="A16" i="30"/>
  <c r="A67" i="30"/>
  <c r="A232" i="30"/>
  <c r="A392" i="31"/>
  <c r="A384" i="31"/>
  <c r="A140" i="31"/>
  <c r="A256" i="31"/>
  <c r="A102" i="31"/>
  <c r="A168" i="31"/>
  <c r="A238" i="31"/>
  <c r="A369" i="31"/>
  <c r="A284" i="31"/>
  <c r="A242" i="31"/>
  <c r="A305" i="31"/>
  <c r="A76" i="31"/>
  <c r="A104" i="31"/>
  <c r="A233" i="31"/>
  <c r="A249" i="31"/>
  <c r="A111" i="31"/>
  <c r="A220" i="31"/>
  <c r="A7" i="31"/>
  <c r="A158" i="31"/>
  <c r="A241" i="31"/>
  <c r="A33" i="31"/>
  <c r="A307" i="31"/>
  <c r="A334" i="31"/>
  <c r="A137" i="31"/>
  <c r="A224" i="31"/>
  <c r="A232" i="31"/>
  <c r="A282" i="31"/>
  <c r="A332" i="31"/>
  <c r="A160" i="31"/>
  <c r="A152" i="31"/>
  <c r="A343" i="31"/>
  <c r="A385" i="31"/>
  <c r="A228" i="31"/>
  <c r="A11" i="31"/>
  <c r="A74" i="31"/>
  <c r="A244" i="31"/>
  <c r="A124" i="31"/>
  <c r="A357" i="31"/>
  <c r="A281" i="31"/>
  <c r="A123" i="31"/>
  <c r="A378" i="31"/>
  <c r="A121" i="31"/>
  <c r="A86" i="31"/>
  <c r="A85" i="31"/>
  <c r="A105" i="31"/>
  <c r="A297" i="31"/>
  <c r="A15" i="31"/>
  <c r="A122" i="31"/>
  <c r="A182" i="31"/>
  <c r="A397" i="31"/>
  <c r="A96" i="31"/>
  <c r="A272" i="31"/>
  <c r="A99" i="31"/>
  <c r="A88" i="31"/>
  <c r="A319" i="31"/>
  <c r="A306" i="31"/>
  <c r="A362" i="31"/>
  <c r="A94" i="31"/>
  <c r="A289" i="31"/>
  <c r="A401" i="31"/>
  <c r="A395" i="31"/>
  <c r="A142" i="31"/>
  <c r="A120" i="31"/>
  <c r="A387" i="31"/>
  <c r="A396" i="30"/>
  <c r="A470" i="30"/>
  <c r="A341" i="31"/>
  <c r="A223" i="31"/>
  <c r="A412" i="32"/>
  <c r="A109" i="31"/>
  <c r="A188" i="31"/>
  <c r="A41" i="30"/>
  <c r="A28" i="31"/>
  <c r="A592" i="32"/>
  <c r="A207" i="32"/>
  <c r="A357" i="30"/>
  <c r="A280" i="32"/>
  <c r="A458" i="32"/>
  <c r="A48" i="31"/>
  <c r="A409" i="30"/>
  <c r="A515" i="32"/>
  <c r="A416" i="30"/>
  <c r="A130" i="31"/>
  <c r="A216" i="31"/>
  <c r="A480" i="30"/>
  <c r="A448" i="32"/>
  <c r="A32" i="32"/>
  <c r="A515" i="30"/>
  <c r="A78" i="30"/>
  <c r="A92" i="30"/>
  <c r="A501" i="30"/>
  <c r="A106" i="31"/>
  <c r="A513" i="30"/>
  <c r="A293" i="31"/>
  <c r="A251" i="30"/>
  <c r="A353" i="32"/>
  <c r="A147" i="31"/>
  <c r="A326" i="31"/>
  <c r="A461" i="30"/>
  <c r="A403" i="32"/>
  <c r="A173" i="31"/>
  <c r="A70" i="32"/>
  <c r="A144" i="32"/>
  <c r="A600" i="32"/>
  <c r="A348" i="30"/>
  <c r="A549" i="32"/>
  <c r="A129" i="31"/>
  <c r="A101" i="30"/>
  <c r="A46" i="31"/>
  <c r="A60" i="31"/>
  <c r="A63" i="30"/>
  <c r="A79" i="31"/>
  <c r="A538" i="32"/>
  <c r="A317" i="32"/>
  <c r="A296" i="31"/>
  <c r="A187" i="31"/>
  <c r="A386" i="32"/>
  <c r="A60" i="30"/>
  <c r="A359" i="30"/>
  <c r="A259" i="30"/>
  <c r="A288" i="31"/>
  <c r="A75" i="32"/>
  <c r="A18" i="30"/>
  <c r="A450" i="32"/>
  <c r="A237" i="32"/>
  <c r="A278" i="30"/>
  <c r="A278" i="31"/>
  <c r="A132" i="31"/>
  <c r="A440" i="32"/>
  <c r="A525" i="32"/>
  <c r="A522" i="32"/>
  <c r="A439" i="30"/>
  <c r="A563" i="32"/>
  <c r="A488" i="32"/>
  <c r="A44" i="31"/>
  <c r="A260" i="31"/>
  <c r="A144" i="31"/>
  <c r="A204" i="31"/>
  <c r="A274" i="30"/>
  <c r="A329" i="30"/>
  <c r="A72" i="30"/>
  <c r="A43" i="31"/>
  <c r="A139" i="31"/>
  <c r="A114" i="32"/>
  <c r="A518" i="30"/>
  <c r="A293" i="32"/>
  <c r="A447" i="30"/>
  <c r="A31" i="31"/>
  <c r="A250" i="32"/>
  <c r="A92" i="32"/>
  <c r="A151" i="31"/>
  <c r="A179" i="31"/>
  <c r="A194" i="31"/>
  <c r="A6" i="30"/>
  <c r="A50" i="32"/>
  <c r="A505" i="32"/>
  <c r="A108" i="32"/>
  <c r="A50" i="31"/>
  <c r="A153" i="30"/>
  <c r="A493" i="32"/>
  <c r="A262" i="30"/>
  <c r="A270" i="30"/>
  <c r="A81" i="30"/>
  <c r="A72" i="31"/>
  <c r="A171" i="32"/>
  <c r="A407" i="32"/>
  <c r="A188" i="32"/>
  <c r="A350" i="30"/>
  <c r="A239" i="31"/>
  <c r="A66" i="30"/>
  <c r="A47" i="32"/>
  <c r="A380" i="31"/>
  <c r="A84" i="31"/>
  <c r="A382" i="31"/>
  <c r="A276" i="31"/>
  <c r="A456" i="32"/>
  <c r="A103" i="31"/>
  <c r="A440" i="30"/>
  <c r="A52" i="31"/>
  <c r="A424" i="30"/>
  <c r="A294" i="30"/>
  <c r="A120" i="32"/>
  <c r="A192" i="31"/>
  <c r="A43" i="30"/>
  <c r="A308" i="30"/>
  <c r="A309" i="31"/>
  <c r="A311" i="30"/>
  <c r="A251" i="32"/>
  <c r="A137" i="32"/>
  <c r="A377" i="32"/>
  <c r="A331" i="32"/>
  <c r="A346" i="31"/>
  <c r="A156" i="31"/>
  <c r="A565" i="32"/>
  <c r="A594" i="32"/>
  <c r="A163" i="31"/>
  <c r="A254" i="32"/>
  <c r="A13" i="30"/>
  <c r="A323" i="31"/>
  <c r="A6" i="31"/>
  <c r="A125" i="31"/>
  <c r="A2" i="32"/>
  <c r="A123" i="30"/>
  <c r="A312" i="32"/>
  <c r="A267" i="32"/>
  <c r="A371" i="31"/>
  <c r="A119" i="32"/>
  <c r="A367" i="31"/>
  <c r="A176" i="31"/>
  <c r="A317" i="30"/>
  <c r="A266" i="32"/>
  <c r="A560" i="32"/>
  <c r="A380" i="30"/>
  <c r="A371" i="30"/>
  <c r="A186" i="32"/>
  <c r="A261" i="30"/>
  <c r="A159" i="30"/>
  <c r="A11" i="30"/>
  <c r="A346" i="32"/>
  <c r="A292" i="32"/>
  <c r="A365" i="31"/>
  <c r="A246" i="32"/>
  <c r="A364" i="31"/>
  <c r="A211" i="30"/>
  <c r="A218" i="30"/>
  <c r="A218" i="31"/>
  <c r="A159" i="32"/>
  <c r="A166" i="31"/>
  <c r="A209" i="32"/>
  <c r="A133" i="30"/>
  <c r="A318" i="30"/>
  <c r="A435" i="32"/>
  <c r="A14" i="31"/>
  <c r="A17" i="32"/>
  <c r="A246" i="31"/>
  <c r="A46" i="30"/>
  <c r="A352" i="30"/>
  <c r="A516" i="32"/>
  <c r="A292" i="30"/>
  <c r="A476" i="30"/>
  <c r="A404" i="30"/>
  <c r="A198" i="32"/>
  <c r="A344" i="32"/>
  <c r="A484" i="30"/>
  <c r="A164" i="30"/>
  <c r="A231" i="31"/>
  <c r="A151" i="32"/>
  <c r="A253" i="31"/>
  <c r="A127" i="30"/>
  <c r="A373" i="30"/>
  <c r="A68" i="32"/>
  <c r="A455" i="32"/>
  <c r="A462" i="32"/>
  <c r="A330" i="31"/>
  <c r="A208" i="30"/>
  <c r="A264" i="30"/>
  <c r="A301" i="32"/>
  <c r="A444" i="32"/>
  <c r="A53" i="31"/>
  <c r="A20" i="30"/>
  <c r="A314" i="30"/>
  <c r="A383" i="31"/>
  <c r="A530" i="32"/>
  <c r="A316" i="30"/>
  <c r="A307" i="32"/>
  <c r="A107" i="32"/>
  <c r="A499" i="30"/>
  <c r="A12" i="31"/>
  <c r="A304" i="30"/>
  <c r="A521" i="30"/>
  <c r="A308" i="32"/>
  <c r="A400" i="30"/>
  <c r="A386" i="31"/>
  <c r="A408" i="30"/>
  <c r="A324" i="32"/>
  <c r="A355" i="31"/>
  <c r="A514" i="32"/>
  <c r="A472" i="30"/>
  <c r="A275" i="31"/>
  <c r="A588" i="32"/>
  <c r="A354" i="30"/>
  <c r="A615" i="32"/>
  <c r="A326" i="32"/>
  <c r="A529" i="32"/>
  <c r="A471" i="32"/>
  <c r="A388" i="31"/>
  <c r="A139" i="30"/>
  <c r="A315" i="30"/>
  <c r="A16" i="31"/>
  <c r="A273" i="31"/>
  <c r="A274" i="31"/>
  <c r="A459" i="32"/>
  <c r="A18" i="32"/>
  <c r="A295" i="30"/>
  <c r="A203" i="30"/>
  <c r="A93" i="31"/>
  <c r="A37" i="30"/>
  <c r="A103" i="30"/>
  <c r="A96" i="32"/>
  <c r="A17" i="30"/>
  <c r="A253" i="30"/>
  <c r="A66" i="31"/>
  <c r="A187" i="32"/>
  <c r="A254" i="31"/>
  <c r="A463" i="30"/>
  <c r="A158" i="30"/>
  <c r="A328" i="32"/>
  <c r="A241" i="30"/>
  <c r="A154" i="30"/>
  <c r="A430" i="30"/>
  <c r="A276" i="30"/>
  <c r="A166" i="30"/>
  <c r="A23" i="31"/>
  <c r="A15" i="30"/>
  <c r="A366" i="32"/>
  <c r="A175" i="30"/>
  <c r="A384" i="30"/>
  <c r="A343" i="30"/>
  <c r="A491" i="30"/>
  <c r="A292" i="31"/>
  <c r="A500" i="32"/>
  <c r="A196" i="32"/>
  <c r="A28" i="30"/>
  <c r="A368" i="32"/>
  <c r="A503" i="30"/>
  <c r="A395" i="32"/>
  <c r="A73" i="32"/>
  <c r="A351" i="32"/>
  <c r="A321" i="31"/>
  <c r="A496" i="30"/>
  <c r="A316" i="32"/>
  <c r="A132" i="30"/>
  <c r="A310" i="31"/>
  <c r="A175" i="31"/>
  <c r="A149" i="30"/>
  <c r="A23" i="30"/>
  <c r="A616" i="32"/>
  <c r="A280" i="31"/>
  <c r="A413" i="30"/>
  <c r="A5" i="30"/>
  <c r="A356" i="30"/>
  <c r="A60" i="32"/>
  <c r="A119" i="31"/>
  <c r="A614" i="32"/>
  <c r="A66" i="32"/>
  <c r="A430" i="32"/>
  <c r="A416" i="32"/>
  <c r="A467" i="30"/>
  <c r="A260" i="32"/>
  <c r="A492" i="32"/>
  <c r="A441" i="30"/>
  <c r="A389" i="31"/>
  <c r="A68" i="31"/>
  <c r="A142" i="32"/>
  <c r="A167" i="31"/>
  <c r="A171" i="31"/>
  <c r="A455" i="30"/>
  <c r="A156" i="30"/>
  <c r="A524" i="32"/>
  <c r="A366" i="30"/>
  <c r="A69" i="31"/>
  <c r="A270" i="31"/>
  <c r="A196" i="31"/>
  <c r="A490" i="30"/>
  <c r="A253" i="32"/>
  <c r="A58" i="30"/>
  <c r="A132" i="32"/>
  <c r="A215" i="30"/>
  <c r="A74" i="30"/>
  <c r="A128" i="31"/>
  <c r="A54" i="30"/>
  <c r="A442" i="30"/>
  <c r="A140" i="30"/>
  <c r="A415" i="30"/>
  <c r="A170" i="30"/>
  <c r="A68" i="30"/>
  <c r="A454" i="30"/>
  <c r="A135" i="30"/>
  <c r="A34" i="30"/>
  <c r="A225" i="30"/>
  <c r="A281" i="30"/>
  <c r="A466" i="30"/>
  <c r="A61" i="30"/>
  <c r="A444" i="30"/>
  <c r="A240" i="30"/>
  <c r="A107" i="30"/>
  <c r="A82" i="30"/>
  <c r="A263" i="30"/>
  <c r="A468" i="30"/>
  <c r="A245" i="30"/>
  <c r="A104" i="30"/>
  <c r="A526" i="30"/>
  <c r="A8" i="30"/>
  <c r="A312" i="30"/>
  <c r="A477" i="30"/>
  <c r="A40" i="30"/>
  <c r="A326" i="30"/>
  <c r="A401" i="30"/>
  <c r="A417" i="30"/>
  <c r="A228" i="30"/>
  <c r="A360" i="30"/>
  <c r="A69" i="30"/>
  <c r="A488" i="30"/>
  <c r="A4" i="30"/>
  <c r="A443" i="30"/>
  <c r="G13" i="28"/>
  <c r="D18" i="1"/>
  <c r="D16" i="1" s="1"/>
  <c r="S73" i="2" s="1"/>
  <c r="Z188" i="4"/>
  <c r="Z110" i="4"/>
  <c r="Z96" i="4"/>
  <c r="Z154" i="4"/>
  <c r="Z76" i="4"/>
  <c r="W20" i="28"/>
  <c r="Z18" i="4"/>
  <c r="Z129" i="4"/>
  <c r="Z140" i="4"/>
  <c r="Z107" i="4"/>
  <c r="Z59" i="4"/>
  <c r="W61" i="28"/>
  <c r="Z66" i="4"/>
  <c r="W18" i="28"/>
  <c r="Z16" i="4"/>
  <c r="Z146" i="4"/>
  <c r="Z91" i="4"/>
  <c r="Z63" i="4"/>
  <c r="Z11" i="4"/>
  <c r="W13" i="28"/>
  <c r="Z121" i="4"/>
  <c r="W12" i="28"/>
  <c r="Z10" i="4"/>
  <c r="W31" i="28"/>
  <c r="Z29" i="4"/>
  <c r="F13" i="28"/>
  <c r="Z181" i="4"/>
  <c r="Z102" i="4"/>
  <c r="Z231" i="4"/>
  <c r="Z177" i="4"/>
  <c r="Z202" i="4"/>
  <c r="Z92" i="4"/>
  <c r="Z83" i="4"/>
  <c r="Z156" i="4"/>
  <c r="Z125" i="4"/>
  <c r="Z116" i="4"/>
  <c r="Z138" i="4"/>
  <c r="Z111" i="4"/>
  <c r="W64" i="28"/>
  <c r="Z62" i="4"/>
  <c r="Z130" i="4"/>
  <c r="Z112" i="4"/>
  <c r="Z204" i="4"/>
  <c r="S81" i="3"/>
  <c r="Z72" i="3"/>
  <c r="G19" i="28"/>
  <c r="G25" i="28"/>
  <c r="G26" i="28"/>
  <c r="E52" i="28"/>
  <c r="Z18" i="3"/>
  <c r="E57" i="28"/>
  <c r="Z23" i="3"/>
  <c r="G23" i="28"/>
  <c r="Z120" i="4"/>
  <c r="Z75" i="4"/>
  <c r="Z174" i="4"/>
  <c r="Z135" i="4"/>
  <c r="Z158" i="4"/>
  <c r="Z229" i="4"/>
  <c r="Z165" i="4"/>
  <c r="W29" i="28"/>
  <c r="Z27" i="4"/>
  <c r="Z128" i="4"/>
  <c r="Z57" i="4"/>
  <c r="W59" i="28"/>
  <c r="Z166" i="4"/>
  <c r="Z104" i="3"/>
  <c r="E44" i="28"/>
  <c r="Z10" i="3"/>
  <c r="Z70" i="3"/>
  <c r="Z105" i="3"/>
  <c r="Z66" i="3"/>
  <c r="F11" i="28"/>
  <c r="G24" i="28"/>
  <c r="Z184" i="4"/>
  <c r="Z90" i="4"/>
  <c r="Z224" i="4"/>
  <c r="W42" i="28"/>
  <c r="Z40" i="4"/>
  <c r="Z175" i="4"/>
  <c r="Z108" i="4"/>
  <c r="Z50" i="4"/>
  <c r="W52" i="28"/>
  <c r="Z87" i="4"/>
  <c r="Z207" i="4"/>
  <c r="Z159" i="4"/>
  <c r="Z101" i="4"/>
  <c r="Z176" i="4"/>
  <c r="Z155" i="4"/>
  <c r="W62" i="28"/>
  <c r="Z60" i="4"/>
  <c r="Z213" i="4"/>
  <c r="Z215" i="4"/>
  <c r="Z100" i="4"/>
  <c r="Z194" i="4"/>
  <c r="S198" i="4"/>
  <c r="Z182" i="4"/>
  <c r="Z189" i="4"/>
  <c r="Z201" i="4"/>
  <c r="Z108" i="3"/>
  <c r="E56" i="28"/>
  <c r="Z22" i="3"/>
  <c r="E47" i="28"/>
  <c r="Z13" i="3"/>
  <c r="E60" i="28"/>
  <c r="Z26" i="3"/>
  <c r="Z45" i="3"/>
  <c r="Z103" i="3"/>
  <c r="E64" i="28"/>
  <c r="Z30" i="3"/>
  <c r="Z96" i="3"/>
  <c r="Z97" i="3"/>
  <c r="Z54" i="3"/>
  <c r="E51" i="28"/>
  <c r="Z17" i="3"/>
  <c r="Z112" i="3"/>
  <c r="Z109" i="3"/>
  <c r="Z74" i="3"/>
  <c r="G21" i="28"/>
  <c r="Z105" i="4"/>
  <c r="Z180" i="4"/>
  <c r="Z93" i="4"/>
  <c r="Z32" i="4"/>
  <c r="W34" i="28"/>
  <c r="Z81" i="4"/>
  <c r="Z117" i="4"/>
  <c r="Z132" i="4"/>
  <c r="Z147" i="4"/>
  <c r="S24" i="4"/>
  <c r="S12" i="4"/>
  <c r="Z106" i="4"/>
  <c r="S37" i="4"/>
  <c r="Z113" i="3"/>
  <c r="Z40" i="3"/>
  <c r="Z94" i="3"/>
  <c r="Z88" i="3"/>
  <c r="F9" i="28"/>
  <c r="S217" i="4"/>
  <c r="Z200" i="4"/>
  <c r="Z46" i="4"/>
  <c r="W48" i="28"/>
  <c r="Z114" i="4"/>
  <c r="Z80" i="4"/>
  <c r="W11" i="28"/>
  <c r="Z9" i="4"/>
  <c r="W10" i="28"/>
  <c r="Z8" i="4"/>
  <c r="Z84" i="4"/>
  <c r="Z20" i="4"/>
  <c r="W22" i="28"/>
  <c r="Z190" i="4"/>
  <c r="Z219" i="4"/>
  <c r="Z98" i="3"/>
  <c r="Z71" i="3"/>
  <c r="Z81" i="3"/>
  <c r="Z61" i="3"/>
  <c r="E62" i="28"/>
  <c r="Z28" i="3"/>
  <c r="Z128" i="3"/>
  <c r="Z89" i="3"/>
  <c r="Z69" i="3"/>
  <c r="Z79" i="3"/>
  <c r="Z87" i="3"/>
  <c r="Z127" i="3"/>
  <c r="Z51" i="3"/>
  <c r="Z76" i="3"/>
  <c r="E63" i="28"/>
  <c r="Z29" i="3"/>
  <c r="Z37" i="3"/>
  <c r="F17" i="28"/>
  <c r="F30" i="28"/>
  <c r="F18" i="28"/>
  <c r="Z93" i="3"/>
  <c r="Z107" i="3"/>
  <c r="Z55" i="3"/>
  <c r="Z162" i="4"/>
  <c r="W63" i="28"/>
  <c r="Z61" i="4"/>
  <c r="Z97" i="4"/>
  <c r="Z152" i="4"/>
  <c r="Z82" i="4"/>
  <c r="Z161" i="4"/>
  <c r="W30" i="28"/>
  <c r="Z28" i="4"/>
  <c r="Z126" i="4"/>
  <c r="W21" i="28"/>
  <c r="Z19" i="4"/>
  <c r="Z205" i="4"/>
  <c r="Z13" i="4"/>
  <c r="W15" i="28"/>
  <c r="S229" i="4"/>
  <c r="W49" i="28"/>
  <c r="Z47" i="4"/>
  <c r="Z89" i="4"/>
  <c r="Z73" i="4"/>
  <c r="W37" i="28"/>
  <c r="Z35" i="4"/>
  <c r="Z167" i="4"/>
  <c r="Z127" i="4"/>
  <c r="Z123" i="3"/>
  <c r="Z53" i="3"/>
  <c r="Z32" i="3"/>
  <c r="Z73" i="3"/>
  <c r="Z95" i="3"/>
  <c r="Z82" i="3"/>
  <c r="Z120" i="3"/>
  <c r="E41" i="28"/>
  <c r="Z7" i="3"/>
  <c r="E42" i="28"/>
  <c r="Z8" i="3"/>
  <c r="Z42" i="3"/>
  <c r="Z121" i="3"/>
  <c r="Z129" i="3"/>
  <c r="F31" i="28"/>
  <c r="F12" i="28"/>
  <c r="S35" i="3"/>
  <c r="Z59" i="3"/>
  <c r="G11" i="28"/>
  <c r="F29" i="28"/>
  <c r="Z220" i="4"/>
  <c r="S71" i="4"/>
  <c r="S169" i="4"/>
  <c r="W56" i="28"/>
  <c r="Z54" i="4"/>
  <c r="Z134" i="4"/>
  <c r="Z153" i="4"/>
  <c r="Z17" i="4"/>
  <c r="W19" i="28"/>
  <c r="S126" i="3"/>
  <c r="S50" i="3"/>
  <c r="F27" i="28"/>
  <c r="F20" i="28"/>
  <c r="E50" i="28"/>
  <c r="Z16" i="3"/>
  <c r="Z84" i="3"/>
  <c r="Z41" i="3"/>
  <c r="Z77" i="3"/>
  <c r="W25" i="28"/>
  <c r="Z23" i="4"/>
  <c r="S81" i="4"/>
  <c r="W60" i="28"/>
  <c r="Z58" i="4"/>
  <c r="Z179" i="4"/>
  <c r="Z150" i="4"/>
  <c r="Z49" i="4"/>
  <c r="W51" i="28"/>
  <c r="Z227" i="4"/>
  <c r="Z78" i="4"/>
  <c r="Z211" i="4"/>
  <c r="W26" i="28"/>
  <c r="Z24" i="4"/>
  <c r="Z217" i="4"/>
  <c r="Z109" i="4"/>
  <c r="Z139" i="4"/>
  <c r="Z218" i="4"/>
  <c r="Z122" i="4"/>
  <c r="Z210" i="4"/>
  <c r="Z72" i="4"/>
  <c r="Z115" i="4"/>
  <c r="Z98" i="4"/>
  <c r="Z171" i="4"/>
  <c r="W28" i="28"/>
  <c r="Z26" i="4"/>
  <c r="Z12" i="4"/>
  <c r="W14" i="28"/>
  <c r="Z64" i="4"/>
  <c r="Z118" i="4"/>
  <c r="W39" i="28"/>
  <c r="Z37" i="4"/>
  <c r="Z221" i="4"/>
  <c r="S84" i="3"/>
  <c r="G9" i="28"/>
  <c r="W46" i="28"/>
  <c r="Z44" i="4"/>
  <c r="Z216" i="4"/>
  <c r="W53" i="28"/>
  <c r="Z51" i="4"/>
  <c r="Z56" i="4"/>
  <c r="W58" i="28"/>
  <c r="Z86" i="4"/>
  <c r="Z4" i="4"/>
  <c r="W6" i="28"/>
  <c r="Z79" i="4"/>
  <c r="Z88" i="4"/>
  <c r="S195" i="4"/>
  <c r="Z43" i="4"/>
  <c r="W45" i="28"/>
  <c r="Z197" i="4"/>
  <c r="S114" i="4"/>
  <c r="Z223" i="4"/>
  <c r="Z133" i="4"/>
  <c r="Z77" i="4"/>
  <c r="S80" i="4"/>
  <c r="Z141" i="4"/>
  <c r="Z136" i="4"/>
  <c r="Z203" i="4"/>
  <c r="S20" i="4"/>
  <c r="Z99" i="4"/>
  <c r="Z206" i="4"/>
  <c r="Z95" i="4"/>
  <c r="Z45" i="4"/>
  <c r="W47" i="28"/>
  <c r="S184" i="4"/>
  <c r="S124" i="3"/>
  <c r="S106" i="3"/>
  <c r="S125" i="3"/>
  <c r="S3" i="3"/>
  <c r="S121" i="3"/>
  <c r="S47" i="3"/>
  <c r="S11" i="3"/>
  <c r="S9" i="3"/>
  <c r="S21" i="3"/>
  <c r="S57" i="3"/>
  <c r="S46" i="3"/>
  <c r="S66" i="3"/>
  <c r="G17" i="28"/>
  <c r="F14" i="28"/>
  <c r="F15" i="28"/>
  <c r="G30" i="28"/>
  <c r="F32" i="28"/>
  <c r="F28" i="28"/>
  <c r="Z43" i="3"/>
  <c r="E53" i="28"/>
  <c r="Z19" i="3"/>
  <c r="E49" i="28"/>
  <c r="Z15" i="3"/>
  <c r="F8" i="28"/>
  <c r="F22" i="28"/>
  <c r="G18" i="28"/>
  <c r="S111" i="3"/>
  <c r="Z80" i="3"/>
  <c r="S20" i="3"/>
  <c r="S68" i="3"/>
  <c r="W7" i="28"/>
  <c r="Z5" i="4"/>
  <c r="S158" i="4"/>
  <c r="S84" i="4"/>
  <c r="W38" i="28"/>
  <c r="Z36" i="4"/>
  <c r="W55" i="28"/>
  <c r="Z53" i="4"/>
  <c r="S193" i="4"/>
  <c r="Z74" i="4"/>
  <c r="S21" i="4"/>
  <c r="Z14" i="4"/>
  <c r="W16" i="28"/>
  <c r="S196" i="4"/>
  <c r="S223" i="4"/>
  <c r="S192" i="4"/>
  <c r="S119" i="4"/>
  <c r="S3" i="4"/>
  <c r="S68" i="4"/>
  <c r="Z103" i="4"/>
  <c r="S188" i="4"/>
  <c r="S143" i="4"/>
  <c r="Z160" i="4"/>
  <c r="S149" i="4"/>
  <c r="S227" i="4"/>
  <c r="S164" i="4"/>
  <c r="S214" i="4"/>
  <c r="W57" i="28"/>
  <c r="Z55" i="4"/>
  <c r="S42" i="4"/>
  <c r="S39" i="3"/>
  <c r="S62" i="3"/>
  <c r="S89" i="3"/>
  <c r="S118" i="3"/>
  <c r="S109" i="3"/>
  <c r="Z56" i="3"/>
  <c r="S63" i="3"/>
  <c r="S4" i="3"/>
  <c r="S27" i="3"/>
  <c r="S103" i="3"/>
  <c r="S75" i="3"/>
  <c r="S33" i="3"/>
  <c r="S43" i="3"/>
  <c r="G31" i="28"/>
  <c r="F7" i="28"/>
  <c r="G12" i="28"/>
  <c r="Z101" i="3"/>
  <c r="Z34" i="3"/>
  <c r="Z65" i="3"/>
  <c r="S59" i="3"/>
  <c r="F5" i="28"/>
  <c r="G5" i="28"/>
  <c r="F10" i="28"/>
  <c r="F16" i="28"/>
  <c r="G29" i="28"/>
  <c r="Z65" i="4"/>
  <c r="Z33" i="4"/>
  <c r="W35" i="28"/>
  <c r="Z151" i="4"/>
  <c r="S219" i="4"/>
  <c r="Z48" i="4"/>
  <c r="W50" i="28"/>
  <c r="Z124" i="4"/>
  <c r="Z228" i="4"/>
  <c r="Z143" i="4"/>
  <c r="Z123" i="4"/>
  <c r="Z191" i="4"/>
  <c r="Z208" i="4"/>
  <c r="Z71" i="4"/>
  <c r="Z225" i="4"/>
  <c r="W8" i="28"/>
  <c r="Z6" i="4"/>
  <c r="Z164" i="4"/>
  <c r="W40" i="28"/>
  <c r="Z38" i="4"/>
  <c r="Z22" i="4"/>
  <c r="W24" i="28"/>
  <c r="Z69" i="4"/>
  <c r="Z34" i="4"/>
  <c r="W36" i="28"/>
  <c r="Z170" i="4"/>
  <c r="Z39" i="4"/>
  <c r="W41" i="28"/>
  <c r="Z145" i="4"/>
  <c r="S54" i="4"/>
  <c r="S135" i="4"/>
  <c r="S155" i="4"/>
  <c r="W27" i="28"/>
  <c r="Z25" i="4"/>
  <c r="S17" i="4"/>
  <c r="Z187" i="4"/>
  <c r="Z38" i="3"/>
  <c r="Z100" i="3"/>
  <c r="Z99" i="3"/>
  <c r="Z47" i="3"/>
  <c r="Z85" i="3"/>
  <c r="Z126" i="3"/>
  <c r="Z92" i="3"/>
  <c r="Z49" i="3"/>
  <c r="Z36" i="3"/>
  <c r="Z83" i="3"/>
  <c r="Z64" i="3"/>
  <c r="Z114" i="3"/>
  <c r="Z115" i="3"/>
  <c r="Z50" i="3"/>
  <c r="E58" i="28"/>
  <c r="Z24" i="3"/>
  <c r="Z60" i="3"/>
  <c r="F34" i="28"/>
  <c r="G27" i="28"/>
  <c r="F33" i="28"/>
  <c r="G20" i="28"/>
  <c r="S6" i="3"/>
  <c r="S77" i="3"/>
  <c r="S25" i="3"/>
  <c r="Z118" i="3"/>
  <c r="F6" i="28"/>
  <c r="Z94" i="4"/>
  <c r="S185" i="4"/>
  <c r="S110" i="4"/>
  <c r="S105" i="4"/>
  <c r="S97" i="4"/>
  <c r="S179" i="4"/>
  <c r="S153" i="4"/>
  <c r="S95" i="4"/>
  <c r="S93" i="4"/>
  <c r="S76" i="4"/>
  <c r="Z168" i="4"/>
  <c r="S18" i="4"/>
  <c r="S32" i="4"/>
  <c r="S129" i="4"/>
  <c r="S140" i="4"/>
  <c r="S107" i="4"/>
  <c r="Z104" i="4"/>
  <c r="S59" i="4"/>
  <c r="S66" i="4"/>
  <c r="S16" i="4"/>
  <c r="S146" i="4"/>
  <c r="S91" i="4"/>
  <c r="S63" i="4"/>
  <c r="S11" i="4"/>
  <c r="S121" i="4"/>
  <c r="Z142" i="4"/>
  <c r="Z113" i="4"/>
  <c r="S10" i="4"/>
  <c r="S29" i="4"/>
  <c r="E46" i="28"/>
  <c r="Z12" i="3"/>
  <c r="Z52" i="3"/>
  <c r="Z86" i="3"/>
  <c r="Z35" i="3"/>
  <c r="Z178" i="4"/>
  <c r="S181" i="4"/>
  <c r="S101" i="4"/>
  <c r="S231" i="4"/>
  <c r="S175" i="4"/>
  <c r="Z67" i="4"/>
  <c r="W9" i="28"/>
  <c r="Z7" i="4"/>
  <c r="S201" i="4"/>
  <c r="Z230" i="4"/>
  <c r="Z173" i="4"/>
  <c r="S92" i="4"/>
  <c r="S83" i="4"/>
  <c r="Z212" i="4"/>
  <c r="S156" i="4"/>
  <c r="W17" i="28"/>
  <c r="Z15" i="4"/>
  <c r="Z169" i="4"/>
  <c r="Z172" i="4"/>
  <c r="Z70" i="4"/>
  <c r="Z131" i="4"/>
  <c r="S125" i="4"/>
  <c r="S116" i="4"/>
  <c r="S138" i="4"/>
  <c r="S111" i="4"/>
  <c r="S62" i="4"/>
  <c r="S130" i="4"/>
  <c r="Z185" i="4"/>
  <c r="S112" i="4"/>
  <c r="S203" i="4"/>
  <c r="Z124" i="3"/>
  <c r="Z110" i="3"/>
  <c r="Z125" i="3"/>
  <c r="Z91" i="3"/>
  <c r="E37" i="28"/>
  <c r="X70" i="3"/>
  <c r="X45" i="3"/>
  <c r="X17" i="3"/>
  <c r="Z3" i="3"/>
  <c r="X38" i="3"/>
  <c r="X89" i="3"/>
  <c r="X42" i="3"/>
  <c r="X85" i="3"/>
  <c r="X34" i="3"/>
  <c r="X57" i="3"/>
  <c r="X60" i="3"/>
  <c r="X66" i="3"/>
  <c r="X32" i="3"/>
  <c r="X120" i="3"/>
  <c r="X122" i="3"/>
  <c r="X105" i="3"/>
  <c r="X52" i="3"/>
  <c r="X101" i="3"/>
  <c r="X9" i="3"/>
  <c r="X68" i="3"/>
  <c r="X21" i="3"/>
  <c r="X35" i="3"/>
  <c r="X33" i="3"/>
  <c r="X125" i="3"/>
  <c r="X62" i="3"/>
  <c r="X128" i="3"/>
  <c r="X84" i="3"/>
  <c r="X94" i="3"/>
  <c r="X40" i="3"/>
  <c r="X99" i="3"/>
  <c r="X6" i="3"/>
  <c r="X102" i="3"/>
  <c r="X51" i="3"/>
  <c r="X124" i="3"/>
  <c r="X13" i="3"/>
  <c r="X24" i="3"/>
  <c r="X117" i="3"/>
  <c r="X69" i="3"/>
  <c r="X61" i="3"/>
  <c r="X25" i="3"/>
  <c r="X119" i="3"/>
  <c r="X53" i="3"/>
  <c r="X56" i="3"/>
  <c r="X114" i="3"/>
  <c r="X37" i="3"/>
  <c r="X79" i="3"/>
  <c r="X118" i="3"/>
  <c r="X18" i="3"/>
  <c r="X82" i="3"/>
  <c r="X91" i="3"/>
  <c r="X127" i="3"/>
  <c r="X67" i="3"/>
  <c r="X46" i="3"/>
  <c r="X47" i="3"/>
  <c r="X111" i="3"/>
  <c r="X104" i="3"/>
  <c r="X43" i="3"/>
  <c r="X98" i="3"/>
  <c r="X48" i="3"/>
  <c r="X95" i="3"/>
  <c r="X41" i="3"/>
  <c r="X108" i="3"/>
  <c r="X92" i="3"/>
  <c r="X80" i="3"/>
  <c r="X19" i="3"/>
  <c r="X93" i="3"/>
  <c r="X4" i="3"/>
  <c r="X100" i="3"/>
  <c r="X36" i="3"/>
  <c r="X65" i="3"/>
  <c r="X103" i="3"/>
  <c r="X30" i="3"/>
  <c r="X7" i="3"/>
  <c r="X10" i="3"/>
  <c r="X20" i="3"/>
  <c r="X112" i="3"/>
  <c r="X109" i="3"/>
  <c r="X55" i="3"/>
  <c r="X59" i="3"/>
  <c r="X113" i="3"/>
  <c r="X28" i="3"/>
  <c r="X72" i="3"/>
  <c r="X5" i="3"/>
  <c r="X23" i="3"/>
  <c r="X126" i="3"/>
  <c r="X78" i="3"/>
  <c r="X97" i="3"/>
  <c r="X106" i="3"/>
  <c r="X58" i="3"/>
  <c r="X87" i="3"/>
  <c r="X74" i="3"/>
  <c r="X54" i="3"/>
  <c r="X16" i="3"/>
  <c r="X83" i="3"/>
  <c r="X86" i="3"/>
  <c r="X107" i="3"/>
  <c r="X27" i="3"/>
  <c r="X15" i="3"/>
  <c r="X63" i="3"/>
  <c r="X115" i="3"/>
  <c r="X50" i="3"/>
  <c r="X64" i="3"/>
  <c r="X96" i="3"/>
  <c r="X123" i="3"/>
  <c r="X3" i="3"/>
  <c r="A35" i="28" s="1"/>
  <c r="X77" i="3"/>
  <c r="X71" i="3"/>
  <c r="X8" i="3"/>
  <c r="X12" i="3"/>
  <c r="X73" i="3"/>
  <c r="X31" i="3"/>
  <c r="X49" i="3"/>
  <c r="X26" i="3"/>
  <c r="X121" i="3"/>
  <c r="X129" i="3"/>
  <c r="X14" i="3"/>
  <c r="X22" i="3"/>
  <c r="X81" i="3"/>
  <c r="X75" i="3"/>
  <c r="X44" i="3"/>
  <c r="X90" i="3"/>
  <c r="X11" i="3"/>
  <c r="X76" i="3"/>
  <c r="X39" i="3"/>
  <c r="X116" i="3"/>
  <c r="X29" i="3"/>
  <c r="X88" i="3"/>
  <c r="X110" i="3"/>
  <c r="Z122" i="3"/>
  <c r="Z48" i="3"/>
  <c r="Z31" i="3"/>
  <c r="E45" i="28"/>
  <c r="Z11" i="3"/>
  <c r="Z9" i="3"/>
  <c r="E43" i="28"/>
  <c r="E55" i="28"/>
  <c r="Z21" i="3"/>
  <c r="Z119" i="3"/>
  <c r="Z57" i="3"/>
  <c r="Z46" i="3"/>
  <c r="Z67" i="3"/>
  <c r="Z58" i="3"/>
  <c r="G14" i="28"/>
  <c r="F19" i="28"/>
  <c r="G15" i="28"/>
  <c r="G32" i="28"/>
  <c r="F25" i="28"/>
  <c r="G28" i="28"/>
  <c r="F26" i="28"/>
  <c r="S18" i="3"/>
  <c r="Z116" i="3"/>
  <c r="S23" i="3"/>
  <c r="G8" i="28"/>
  <c r="F23" i="28"/>
  <c r="G22" i="28"/>
  <c r="Z111" i="3"/>
  <c r="S79" i="3"/>
  <c r="Z20" i="3"/>
  <c r="E54" i="28"/>
  <c r="Z68" i="3"/>
  <c r="S5" i="4"/>
  <c r="Z157" i="4"/>
  <c r="Z85" i="4"/>
  <c r="S36" i="4"/>
  <c r="S53" i="4"/>
  <c r="Z196" i="4"/>
  <c r="S74" i="4"/>
  <c r="W23" i="28"/>
  <c r="Z21" i="4"/>
  <c r="S14" i="4"/>
  <c r="W43" i="28"/>
  <c r="Z41" i="4"/>
  <c r="Z195" i="4"/>
  <c r="Z222" i="4"/>
  <c r="Z192" i="4"/>
  <c r="W33" i="28"/>
  <c r="Z31" i="4"/>
  <c r="Z119" i="4"/>
  <c r="W5" i="28"/>
  <c r="X214" i="4"/>
  <c r="X4" i="4"/>
  <c r="X220" i="4"/>
  <c r="X166" i="4"/>
  <c r="X114" i="4"/>
  <c r="X162" i="4"/>
  <c r="X26" i="4"/>
  <c r="X13" i="4"/>
  <c r="X163" i="4"/>
  <c r="X164" i="4"/>
  <c r="X170" i="4"/>
  <c r="X127" i="4"/>
  <c r="X145" i="4"/>
  <c r="X39" i="4"/>
  <c r="X41" i="4"/>
  <c r="X62" i="4"/>
  <c r="X64" i="4"/>
  <c r="X155" i="4"/>
  <c r="X61" i="4"/>
  <c r="X116" i="4"/>
  <c r="X24" i="4"/>
  <c r="X93" i="4"/>
  <c r="X181" i="4"/>
  <c r="X74" i="4"/>
  <c r="X229" i="4"/>
  <c r="X210" i="4"/>
  <c r="X179" i="4"/>
  <c r="X103" i="4"/>
  <c r="X46" i="4"/>
  <c r="X21" i="4"/>
  <c r="X33" i="4"/>
  <c r="X117" i="4"/>
  <c r="X172" i="4"/>
  <c r="X83" i="4"/>
  <c r="X191" i="4"/>
  <c r="X148" i="4"/>
  <c r="X144" i="4"/>
  <c r="X19" i="4"/>
  <c r="X75" i="4"/>
  <c r="X137" i="4"/>
  <c r="X80" i="4"/>
  <c r="X187" i="4"/>
  <c r="X218" i="4"/>
  <c r="X173" i="4"/>
  <c r="X29" i="4"/>
  <c r="X121" i="4"/>
  <c r="X98" i="4"/>
  <c r="X47" i="4"/>
  <c r="X153" i="4"/>
  <c r="X40" i="4"/>
  <c r="X7" i="4"/>
  <c r="X186" i="4"/>
  <c r="X177" i="4"/>
  <c r="X69" i="4"/>
  <c r="X28" i="4"/>
  <c r="X152" i="4"/>
  <c r="X201" i="4"/>
  <c r="X81" i="4"/>
  <c r="X55" i="4"/>
  <c r="X125" i="4"/>
  <c r="X52" i="4"/>
  <c r="X134" i="4"/>
  <c r="X126" i="4"/>
  <c r="X45" i="4"/>
  <c r="X110" i="4"/>
  <c r="X195" i="4"/>
  <c r="X53" i="4"/>
  <c r="X183" i="4"/>
  <c r="X65" i="4"/>
  <c r="X146" i="4"/>
  <c r="X32" i="4"/>
  <c r="X112" i="4"/>
  <c r="X226" i="4"/>
  <c r="X123" i="4"/>
  <c r="X130" i="4"/>
  <c r="X138" i="4"/>
  <c r="X9" i="4"/>
  <c r="X8" i="4"/>
  <c r="X79" i="4"/>
  <c r="X189" i="4"/>
  <c r="X30" i="4"/>
  <c r="X182" i="4"/>
  <c r="X176" i="4"/>
  <c r="X169" i="4"/>
  <c r="X139" i="4"/>
  <c r="X194" i="4"/>
  <c r="X86" i="4"/>
  <c r="X211" i="4"/>
  <c r="X77" i="4"/>
  <c r="X73" i="4"/>
  <c r="X78" i="4"/>
  <c r="X59" i="4"/>
  <c r="X51" i="4"/>
  <c r="X31" i="4"/>
  <c r="X213" i="4"/>
  <c r="X44" i="4"/>
  <c r="X56" i="4"/>
  <c r="X206" i="4"/>
  <c r="X66" i="4"/>
  <c r="X91" i="4"/>
  <c r="X100" i="4"/>
  <c r="X119" i="4"/>
  <c r="X25" i="4"/>
  <c r="X96" i="4"/>
  <c r="X108" i="4"/>
  <c r="X3" i="4"/>
  <c r="S3" i="28" s="1"/>
  <c r="X219" i="4"/>
  <c r="X37" i="4"/>
  <c r="X17" i="4"/>
  <c r="X142" i="4"/>
  <c r="X160" i="4"/>
  <c r="X67" i="4"/>
  <c r="X14" i="4"/>
  <c r="X11" i="4"/>
  <c r="X190" i="4"/>
  <c r="X43" i="4"/>
  <c r="X147" i="4"/>
  <c r="X209" i="4"/>
  <c r="X199" i="4"/>
  <c r="X180" i="4"/>
  <c r="X204" i="4"/>
  <c r="X207" i="4"/>
  <c r="X102" i="4"/>
  <c r="X216" i="4"/>
  <c r="X157" i="4"/>
  <c r="X185" i="4"/>
  <c r="X161" i="4"/>
  <c r="X87" i="4"/>
  <c r="X82" i="4"/>
  <c r="X57" i="4"/>
  <c r="X48" i="4"/>
  <c r="X34" i="4"/>
  <c r="X202" i="4"/>
  <c r="X101" i="4"/>
  <c r="X223" i="4"/>
  <c r="X118" i="4"/>
  <c r="X95" i="4"/>
  <c r="X6" i="4"/>
  <c r="X20" i="4"/>
  <c r="X178" i="4"/>
  <c r="X35" i="4"/>
  <c r="X197" i="4"/>
  <c r="X5" i="4"/>
  <c r="X115" i="4"/>
  <c r="X22" i="4"/>
  <c r="X227" i="4"/>
  <c r="X38" i="4"/>
  <c r="X196" i="4"/>
  <c r="X212" i="4"/>
  <c r="X141" i="4"/>
  <c r="X215" i="4"/>
  <c r="X72" i="4"/>
  <c r="X97" i="4"/>
  <c r="X12" i="4"/>
  <c r="X174" i="4"/>
  <c r="X15" i="4"/>
  <c r="X113" i="4"/>
  <c r="X107" i="4"/>
  <c r="X154" i="4"/>
  <c r="X90" i="4"/>
  <c r="X167" i="4"/>
  <c r="X156" i="4"/>
  <c r="X140" i="4"/>
  <c r="X222" i="4"/>
  <c r="X221" i="4"/>
  <c r="X36" i="4"/>
  <c r="X225" i="4"/>
  <c r="X27" i="4"/>
  <c r="X159" i="4"/>
  <c r="X150" i="4"/>
  <c r="X54" i="4"/>
  <c r="X63" i="4"/>
  <c r="X58" i="4"/>
  <c r="X42" i="4"/>
  <c r="X99" i="4"/>
  <c r="X105" i="4"/>
  <c r="X205" i="4"/>
  <c r="X208" i="4"/>
  <c r="X49" i="4"/>
  <c r="X165" i="4"/>
  <c r="X184" i="4"/>
  <c r="X109" i="4"/>
  <c r="X128" i="4"/>
  <c r="X122" i="4"/>
  <c r="X50" i="4"/>
  <c r="X84" i="4"/>
  <c r="X231" i="4"/>
  <c r="Z3" i="4"/>
  <c r="X70" i="4"/>
  <c r="X198" i="4"/>
  <c r="X85" i="4"/>
  <c r="X89" i="4"/>
  <c r="X71" i="4"/>
  <c r="X76" i="4"/>
  <c r="X188" i="4"/>
  <c r="X16" i="4"/>
  <c r="X217" i="4"/>
  <c r="X143" i="4"/>
  <c r="X224" i="4"/>
  <c r="X175" i="4"/>
  <c r="X88" i="4"/>
  <c r="X133" i="4"/>
  <c r="X104" i="4"/>
  <c r="X124" i="4"/>
  <c r="X111" i="4"/>
  <c r="X131" i="4"/>
  <c r="X192" i="4"/>
  <c r="X228" i="4"/>
  <c r="X193" i="4"/>
  <c r="X168" i="4"/>
  <c r="X151" i="4"/>
  <c r="X132" i="4"/>
  <c r="X10" i="4"/>
  <c r="X120" i="4"/>
  <c r="X171" i="4"/>
  <c r="X60" i="4"/>
  <c r="X135" i="4"/>
  <c r="X136" i="4"/>
  <c r="X158" i="4"/>
  <c r="X18" i="4"/>
  <c r="X203" i="4"/>
  <c r="X149" i="4"/>
  <c r="X230" i="4"/>
  <c r="X106" i="4"/>
  <c r="X92" i="4"/>
  <c r="X200" i="4"/>
  <c r="X94" i="4"/>
  <c r="X129" i="4"/>
  <c r="X68" i="4"/>
  <c r="X23" i="4"/>
  <c r="Z68" i="4"/>
  <c r="Z193" i="4"/>
  <c r="S103" i="4"/>
  <c r="Z183" i="4"/>
  <c r="Z144" i="4"/>
  <c r="S161" i="4"/>
  <c r="Z149" i="4"/>
  <c r="Z226" i="4"/>
  <c r="Z163" i="4"/>
  <c r="Z214" i="4"/>
  <c r="S56" i="4"/>
  <c r="W44" i="28"/>
  <c r="Z42" i="4"/>
  <c r="Z39" i="3"/>
  <c r="Z62" i="3"/>
  <c r="Z90" i="3"/>
  <c r="Z117" i="3"/>
  <c r="Z106" i="3"/>
  <c r="S55" i="3"/>
  <c r="Z63" i="3"/>
  <c r="E38" i="28"/>
  <c r="Z4" i="3"/>
  <c r="E61" i="28"/>
  <c r="Z27" i="3"/>
  <c r="Z102" i="3"/>
  <c r="Z75" i="3"/>
  <c r="Z33" i="3"/>
  <c r="Z44" i="3"/>
  <c r="G7" i="28"/>
  <c r="S10" i="3"/>
  <c r="S69" i="3"/>
  <c r="S105" i="3"/>
  <c r="S67" i="3"/>
  <c r="G10" i="28"/>
  <c r="F24" i="28"/>
  <c r="G16" i="28"/>
  <c r="Z209" i="4"/>
  <c r="S183" i="4"/>
  <c r="Z148" i="4"/>
  <c r="S90" i="4"/>
  <c r="S224" i="4"/>
  <c r="W32" i="28"/>
  <c r="Z30" i="4"/>
  <c r="Z198" i="4"/>
  <c r="S40" i="4"/>
  <c r="Z137" i="4"/>
  <c r="S178" i="4"/>
  <c r="S108" i="4"/>
  <c r="S51" i="4"/>
  <c r="S87" i="4"/>
  <c r="S206" i="4"/>
  <c r="S159" i="4"/>
  <c r="S102" i="4"/>
  <c r="S174" i="4"/>
  <c r="S154" i="4"/>
  <c r="S60" i="4"/>
  <c r="S213" i="4"/>
  <c r="S215" i="4"/>
  <c r="W54" i="28"/>
  <c r="Z52" i="4"/>
  <c r="S100" i="4"/>
  <c r="S189" i="4"/>
  <c r="Z199" i="4"/>
  <c r="S187" i="4"/>
  <c r="S191" i="4"/>
  <c r="Z186" i="4"/>
  <c r="S200" i="4"/>
  <c r="S110" i="3"/>
  <c r="Z5" i="3"/>
  <c r="E39" i="28"/>
  <c r="S22" i="3"/>
  <c r="S13" i="3"/>
  <c r="S26" i="3"/>
  <c r="S45" i="3"/>
  <c r="S101" i="3"/>
  <c r="S30" i="3"/>
  <c r="S96" i="3"/>
  <c r="S100" i="3"/>
  <c r="S54" i="3"/>
  <c r="S17" i="3"/>
  <c r="S113" i="3"/>
  <c r="Z14" i="3"/>
  <c r="E48" i="28"/>
  <c r="S108" i="3"/>
  <c r="S73" i="3"/>
  <c r="G34" i="28"/>
  <c r="G33" i="28"/>
  <c r="E40" i="28"/>
  <c r="Z6" i="3"/>
  <c r="Z78" i="3"/>
  <c r="E59" i="28"/>
  <c r="Z25" i="3"/>
  <c r="S116" i="3"/>
  <c r="F21" i="28"/>
  <c r="G6" i="28"/>
  <c r="N123" i="7"/>
  <c r="N478" i="7"/>
  <c r="N401" i="7"/>
  <c r="N448" i="7"/>
  <c r="N505" i="7"/>
  <c r="N492" i="7"/>
  <c r="N140" i="7"/>
  <c r="E96" i="7"/>
  <c r="E74" i="7"/>
  <c r="E82" i="7"/>
  <c r="E83" i="7"/>
  <c r="E86" i="7"/>
  <c r="F74" i="7"/>
  <c r="E30" i="7"/>
  <c r="E81" i="7"/>
  <c r="E60" i="7"/>
  <c r="E66" i="7"/>
  <c r="E63" i="7"/>
  <c r="E52" i="7"/>
  <c r="E49" i="7"/>
  <c r="E140" i="7"/>
  <c r="E85" i="7"/>
  <c r="F66" i="7"/>
  <c r="F63" i="7"/>
  <c r="E21" i="7"/>
  <c r="F49" i="7"/>
  <c r="E35" i="7"/>
  <c r="E68" i="7"/>
  <c r="E64" i="7"/>
  <c r="E144" i="7"/>
  <c r="E25" i="7"/>
  <c r="F21" i="7"/>
  <c r="F64" i="7"/>
  <c r="F83" i="7"/>
  <c r="E39" i="7"/>
  <c r="E22" i="7"/>
  <c r="E345" i="7"/>
  <c r="F80" i="7"/>
  <c r="E31" i="7"/>
  <c r="F25" i="7"/>
  <c r="E80" i="7"/>
  <c r="N259" i="7"/>
  <c r="N477" i="7"/>
  <c r="N437" i="7"/>
  <c r="N299" i="7"/>
  <c r="N491" i="7"/>
  <c r="N117" i="7"/>
  <c r="N188" i="7"/>
  <c r="N410" i="7"/>
  <c r="N499" i="7"/>
  <c r="N496" i="7"/>
  <c r="N306" i="7"/>
  <c r="N490" i="7"/>
  <c r="N509" i="7"/>
  <c r="N414" i="7"/>
  <c r="N481" i="7"/>
  <c r="N336" i="7"/>
  <c r="N362" i="7"/>
  <c r="N419" i="7"/>
  <c r="N451" i="7"/>
  <c r="N436" i="7"/>
  <c r="N535" i="7"/>
  <c r="N455" i="7"/>
  <c r="N472" i="7"/>
  <c r="N493" i="7"/>
  <c r="N245" i="7"/>
  <c r="N514" i="7"/>
  <c r="N445" i="7"/>
  <c r="N435" i="7"/>
  <c r="N511" i="7"/>
  <c r="N539" i="7"/>
  <c r="N457" i="7"/>
  <c r="N502" i="7"/>
  <c r="N398" i="7"/>
  <c r="N538" i="7"/>
  <c r="N453" i="7"/>
  <c r="N468" i="7"/>
  <c r="N466" i="7"/>
  <c r="N452" i="7"/>
  <c r="N484" i="7"/>
  <c r="N533" i="7"/>
  <c r="N97" i="7"/>
  <c r="N18" i="7"/>
  <c r="N360" i="7"/>
  <c r="N409" i="7"/>
  <c r="N356" i="7"/>
  <c r="N537" i="7"/>
  <c r="N500" i="7"/>
  <c r="N427" i="7"/>
  <c r="N495" i="7"/>
  <c r="N422" i="7"/>
  <c r="N114" i="7"/>
  <c r="N160" i="7"/>
  <c r="N333" i="7"/>
  <c r="N476" i="7"/>
  <c r="N638" i="7"/>
  <c r="N609" i="7"/>
  <c r="N632" i="7"/>
  <c r="N231" i="7"/>
  <c r="N560" i="7"/>
  <c r="N368" i="7"/>
  <c r="N171" i="7"/>
  <c r="N606" i="7"/>
  <c r="N447" i="7"/>
  <c r="N407" i="7"/>
  <c r="N374" i="7"/>
  <c r="N128" i="7"/>
  <c r="N319" i="7"/>
  <c r="N571" i="7"/>
  <c r="N548" i="7"/>
  <c r="N470" i="7"/>
  <c r="N561" i="7"/>
  <c r="N17" i="7"/>
  <c r="N504" i="7"/>
  <c r="N297" i="7"/>
  <c r="N486" i="7"/>
  <c r="N530" i="7"/>
  <c r="N142" i="7"/>
  <c r="N639" i="7"/>
  <c r="N615" i="7"/>
  <c r="N138" i="7"/>
  <c r="N257" i="7"/>
  <c r="N294" i="7"/>
  <c r="N77" i="7"/>
  <c r="N94" i="7"/>
  <c r="N92" i="7"/>
  <c r="N487" i="7"/>
  <c r="N87" i="7"/>
  <c r="N191" i="7"/>
  <c r="N402" i="7"/>
  <c r="N89" i="7"/>
  <c r="N607" i="7"/>
  <c r="N593" i="7"/>
  <c r="N545" i="7"/>
  <c r="N113" i="7"/>
  <c r="N636" i="7"/>
  <c r="N594" i="7"/>
  <c r="N79" i="7"/>
  <c r="N255" i="7"/>
  <c r="N565" i="7"/>
  <c r="N90" i="7"/>
  <c r="N400" i="7"/>
  <c r="N611" i="7"/>
  <c r="N498" i="7"/>
  <c r="N524" i="7"/>
  <c r="N520" i="7"/>
  <c r="N126" i="7"/>
  <c r="N41" i="7"/>
  <c r="N551" i="7"/>
  <c r="N256" i="7"/>
  <c r="N229" i="7"/>
  <c r="N258" i="7"/>
  <c r="N227" i="7"/>
  <c r="N623" i="7"/>
  <c r="N325" i="7"/>
  <c r="N382" i="7"/>
  <c r="N318" i="7"/>
  <c r="N46" i="7"/>
  <c r="N458" i="7"/>
  <c r="N264" i="7"/>
  <c r="N557" i="7"/>
  <c r="N628" i="7"/>
  <c r="N443" i="7"/>
  <c r="N355" i="7"/>
  <c r="N150" i="7"/>
  <c r="N320" i="7"/>
  <c r="N65" i="7"/>
  <c r="N586" i="7"/>
  <c r="N412" i="7"/>
  <c r="N667" i="7"/>
  <c r="N673" i="7"/>
  <c r="N559" i="7"/>
  <c r="N459" i="7"/>
  <c r="N353" i="7"/>
  <c r="N552" i="7"/>
  <c r="N122" i="7"/>
  <c r="N626" i="7"/>
  <c r="N679" i="7"/>
  <c r="E311" i="7"/>
  <c r="N112" i="7"/>
  <c r="N105" i="7"/>
  <c r="N584" i="7"/>
  <c r="N215" i="7"/>
  <c r="N563" i="7"/>
  <c r="N669" i="7"/>
  <c r="N237" i="7"/>
  <c r="E212" i="7"/>
  <c r="N653" i="7"/>
  <c r="N590" i="7"/>
  <c r="E224" i="7"/>
  <c r="N137" i="7"/>
  <c r="N489" i="7"/>
  <c r="N658" i="7"/>
  <c r="N665" i="7"/>
  <c r="N515" i="7"/>
  <c r="N158" i="7"/>
  <c r="N29" i="7"/>
  <c r="N76" i="7"/>
  <c r="N344" i="7"/>
  <c r="N482" i="7"/>
  <c r="N34" i="7"/>
  <c r="N668" i="7"/>
  <c r="N26" i="7"/>
  <c r="N341" i="7"/>
  <c r="N236" i="7"/>
  <c r="E207" i="7"/>
  <c r="E572" i="7"/>
  <c r="N282" i="7"/>
  <c r="N513" i="7"/>
  <c r="N379" i="7"/>
  <c r="N223" i="7"/>
  <c r="N426" i="7"/>
  <c r="N59" i="7"/>
  <c r="N280" i="7"/>
  <c r="N331" i="7"/>
  <c r="N444" i="7"/>
  <c r="N397" i="7"/>
  <c r="N460" i="7"/>
  <c r="N267" i="7"/>
  <c r="N649" i="7"/>
  <c r="E567" i="7"/>
  <c r="N573" i="7"/>
  <c r="E180" i="7"/>
  <c r="N523" i="7"/>
  <c r="N438" i="7"/>
  <c r="N521" i="7"/>
  <c r="N343" i="7"/>
  <c r="N518" i="7"/>
  <c r="N384" i="7"/>
  <c r="N528" i="7"/>
  <c r="N462" i="7"/>
  <c r="N43" i="7"/>
  <c r="N56" i="7"/>
  <c r="N332" i="7"/>
  <c r="N635" i="7"/>
  <c r="N54" i="7"/>
  <c r="N15" i="7"/>
  <c r="N629" i="7"/>
  <c r="N450" i="7"/>
  <c r="N115" i="7"/>
  <c r="N261" i="7"/>
  <c r="N75" i="7"/>
  <c r="N20" i="7"/>
  <c r="N630" i="7"/>
  <c r="N613" i="7"/>
  <c r="N101" i="7"/>
  <c r="N133" i="7"/>
  <c r="E174" i="7"/>
  <c r="N192" i="7"/>
  <c r="N330" i="7"/>
  <c r="N485" i="7"/>
  <c r="N107" i="7"/>
  <c r="N599" i="7"/>
  <c r="N467" i="7"/>
  <c r="N260" i="7"/>
  <c r="N99" i="7"/>
  <c r="E471" i="7"/>
  <c r="N581" i="7"/>
  <c r="N292" i="7"/>
  <c r="N659" i="7"/>
  <c r="N408" i="7"/>
  <c r="N246" i="7"/>
  <c r="E184" i="7"/>
  <c r="N595" i="7"/>
  <c r="N143" i="7"/>
  <c r="E196" i="7"/>
  <c r="N587" i="7"/>
  <c r="N554" i="7"/>
  <c r="N579" i="7"/>
  <c r="N159" i="7"/>
  <c r="N32" i="7"/>
  <c r="N48" i="7"/>
  <c r="N541" i="7"/>
  <c r="N103" i="7"/>
  <c r="N69" i="7"/>
  <c r="N342" i="7"/>
  <c r="N329" i="7"/>
  <c r="N404" i="7"/>
  <c r="N568" i="7"/>
  <c r="N131" i="7"/>
  <c r="N91" i="7"/>
  <c r="N463" i="7"/>
  <c r="N269" i="7"/>
  <c r="N439" i="7"/>
  <c r="N423" i="7"/>
  <c r="N608" i="7"/>
  <c r="N569" i="7"/>
  <c r="E178" i="7"/>
  <c r="N434" i="7"/>
  <c r="E347" i="7"/>
  <c r="N570" i="7"/>
  <c r="N647" i="7"/>
  <c r="N604" i="7"/>
  <c r="N36" i="7"/>
  <c r="N230" i="7"/>
  <c r="N154" i="7"/>
  <c r="N266" i="7"/>
  <c r="E203" i="7"/>
  <c r="N660" i="7"/>
  <c r="E173" i="7"/>
  <c r="N589" i="7"/>
  <c r="N214" i="7"/>
  <c r="N469" i="7"/>
  <c r="N338" i="7"/>
  <c r="N681" i="7"/>
  <c r="N387" i="7"/>
  <c r="E238" i="7"/>
  <c r="N680" i="7"/>
  <c r="N441" i="7"/>
  <c r="N283" i="7"/>
  <c r="E235" i="7"/>
  <c r="N370" i="7"/>
  <c r="N305" i="7"/>
  <c r="N300" i="7"/>
  <c r="N324" i="7"/>
  <c r="N429" i="7"/>
  <c r="N272" i="7"/>
  <c r="N161" i="7"/>
  <c r="N67" i="7"/>
  <c r="N73" i="7"/>
  <c r="N221" i="7"/>
  <c r="N562" i="7"/>
  <c r="N232" i="7"/>
  <c r="N163" i="7"/>
  <c r="N610" i="7"/>
  <c r="N357" i="7"/>
  <c r="N474" i="7"/>
  <c r="N308" i="7"/>
  <c r="N497" i="7"/>
  <c r="N146" i="7"/>
  <c r="N51" i="7"/>
  <c r="N501" i="7"/>
  <c r="N517" i="7"/>
  <c r="N446" i="7"/>
  <c r="N465" i="7"/>
  <c r="N620" i="7"/>
  <c r="N624" i="7"/>
  <c r="N605" i="7"/>
  <c r="N574" i="7"/>
  <c r="N130" i="7"/>
  <c r="N550" i="7"/>
  <c r="N84" i="7"/>
  <c r="N243" i="7"/>
  <c r="N312" i="7"/>
  <c r="N597" i="7"/>
  <c r="N165" i="7"/>
  <c r="N656" i="7"/>
  <c r="N603" i="7"/>
  <c r="N348" i="7"/>
  <c r="N118" i="7"/>
  <c r="N162" i="7"/>
  <c r="N139" i="7"/>
  <c r="N170" i="7"/>
  <c r="N309" i="7"/>
  <c r="N488" i="7"/>
  <c r="E175" i="7"/>
  <c r="N295" i="7"/>
  <c r="E228" i="7"/>
  <c r="N682" i="7"/>
  <c r="N650" i="7"/>
  <c r="N592" i="7"/>
  <c r="N33" i="7"/>
  <c r="N411" i="7"/>
  <c r="N612" i="7"/>
  <c r="N45" i="7"/>
  <c r="N291" i="7"/>
  <c r="N645" i="7"/>
  <c r="N575" i="7"/>
  <c r="N242" i="7"/>
  <c r="N456" i="7"/>
  <c r="N120" i="7"/>
  <c r="N440" i="7"/>
  <c r="N413" i="7"/>
  <c r="N350" i="7"/>
  <c r="N141" i="7"/>
  <c r="N365" i="7"/>
  <c r="N617" i="7"/>
  <c r="N369" i="7"/>
  <c r="N57" i="7"/>
  <c r="N340" i="7"/>
  <c r="N135" i="7"/>
  <c r="N403" i="7"/>
  <c r="N536" i="7"/>
  <c r="E205" i="7"/>
  <c r="N553" i="7"/>
  <c r="N657" i="7"/>
  <c r="N321" i="7"/>
  <c r="N234" i="7"/>
  <c r="N564" i="7"/>
  <c r="N303" i="7"/>
  <c r="E211" i="7"/>
  <c r="N678" i="7"/>
  <c r="N670" i="7"/>
  <c r="N676" i="7"/>
  <c r="N349" i="7"/>
  <c r="N286" i="7"/>
  <c r="N351" i="7"/>
  <c r="E210" i="7"/>
  <c r="N671" i="7"/>
  <c r="N672" i="7"/>
  <c r="N16" i="7"/>
  <c r="N577" i="7"/>
  <c r="E233" i="7"/>
  <c r="E199" i="7"/>
  <c r="N376" i="7"/>
  <c r="N583" i="7"/>
  <c r="N622" i="7"/>
  <c r="N390" i="7"/>
  <c r="N289" i="7"/>
  <c r="N95" i="7"/>
  <c r="N148" i="7"/>
  <c r="N285" i="7"/>
  <c r="N23" i="7"/>
  <c r="N359" i="7"/>
  <c r="N127" i="7"/>
  <c r="N510" i="7"/>
  <c r="N100" i="7"/>
  <c r="N121" i="7"/>
  <c r="N555" i="7"/>
  <c r="N298" i="7"/>
  <c r="N273" i="7"/>
  <c r="N326" i="7"/>
  <c r="N62" i="7"/>
  <c r="N641" i="7"/>
  <c r="N284" i="7"/>
  <c r="N529" i="7"/>
  <c r="N42" i="7"/>
  <c r="N263" i="7"/>
  <c r="N627" i="7"/>
  <c r="N464" i="7"/>
  <c r="N366" i="7"/>
  <c r="N108" i="7"/>
  <c r="N415" i="7"/>
  <c r="N302" i="7"/>
  <c r="N361" i="7"/>
  <c r="N616" i="7"/>
  <c r="N430" i="7"/>
  <c r="N270" i="7"/>
  <c r="N527" i="7"/>
  <c r="N147" i="7"/>
  <c r="N339" i="7"/>
  <c r="N643" i="7"/>
  <c r="N380" i="7"/>
  <c r="E248" i="7"/>
  <c r="N278" i="7"/>
  <c r="N479" i="7"/>
  <c r="N304" i="7"/>
  <c r="N449" i="7"/>
  <c r="E181" i="7"/>
  <c r="N166" i="7"/>
  <c r="N169" i="7"/>
  <c r="N240" i="7"/>
  <c r="N381" i="7"/>
  <c r="N391" i="7"/>
  <c r="N239" i="7"/>
  <c r="E183" i="7"/>
  <c r="N648" i="7"/>
  <c r="N666" i="7"/>
  <c r="N58" i="7"/>
  <c r="N19" i="7"/>
  <c r="N598" i="7"/>
  <c r="N287" i="7"/>
  <c r="N383" i="7"/>
  <c r="N72" i="7"/>
  <c r="E40" i="7"/>
  <c r="E225" i="7"/>
  <c r="N396" i="7"/>
  <c r="N461" i="7"/>
  <c r="N262" i="7"/>
  <c r="N323" i="7"/>
  <c r="N416" i="7"/>
  <c r="N433" i="7"/>
  <c r="N275" i="7"/>
  <c r="N244" i="7"/>
  <c r="E652" i="7"/>
  <c r="N186" i="7"/>
  <c r="N315" i="7"/>
  <c r="N393" i="7"/>
  <c r="N13" i="7"/>
  <c r="N614" i="7"/>
  <c r="N44" i="7"/>
  <c r="E194" i="7"/>
  <c r="N217" i="7"/>
  <c r="N218" i="7"/>
  <c r="N663" i="7"/>
  <c r="N129" i="7"/>
  <c r="E197" i="7"/>
  <c r="N566" i="7"/>
  <c r="N516" i="7"/>
  <c r="N125" i="7"/>
  <c r="E208" i="7"/>
  <c r="N618" i="7"/>
  <c r="N578" i="7"/>
  <c r="N386" i="7"/>
  <c r="N424" i="7"/>
  <c r="N640" i="7"/>
  <c r="N254" i="7"/>
  <c r="E209" i="7"/>
  <c r="N274" i="7"/>
  <c r="N109" i="7"/>
  <c r="N93" i="7"/>
  <c r="N253" i="7"/>
  <c r="N124" i="7"/>
  <c r="E193" i="7"/>
  <c r="N558" i="7"/>
  <c r="N418" i="7"/>
  <c r="N155" i="7"/>
  <c r="N276" i="7"/>
  <c r="E201" i="7"/>
  <c r="N531" i="7"/>
  <c r="N602" i="7"/>
  <c r="N346" i="7"/>
  <c r="N98" i="7"/>
  <c r="N314" i="7"/>
  <c r="N454" i="7"/>
  <c r="N363" i="7"/>
  <c r="N473" i="7"/>
  <c r="N475" i="7"/>
  <c r="N281" i="7"/>
  <c r="N316" i="7"/>
  <c r="N425" i="7"/>
  <c r="N24" i="7"/>
  <c r="N634" i="7"/>
  <c r="N367" i="7"/>
  <c r="N106" i="7"/>
  <c r="N55" i="7"/>
  <c r="N442" i="7"/>
  <c r="N327" i="7"/>
  <c r="N375" i="7"/>
  <c r="N633" i="7"/>
  <c r="N37" i="7"/>
  <c r="N525" i="7"/>
  <c r="N432" i="7"/>
  <c r="N250" i="7"/>
  <c r="N431" i="7"/>
  <c r="N601" i="7"/>
  <c r="N596" i="7"/>
  <c r="N542" i="7"/>
  <c r="N241" i="7"/>
  <c r="N288" i="7"/>
  <c r="N364" i="7"/>
  <c r="E198" i="7"/>
  <c r="N378" i="7"/>
  <c r="E182" i="7"/>
  <c r="N494" i="7"/>
  <c r="N421" i="7"/>
  <c r="N392" i="7"/>
  <c r="N372" i="7"/>
  <c r="N47" i="7"/>
  <c r="N70" i="7"/>
  <c r="N677" i="7"/>
  <c r="N151" i="7"/>
  <c r="N277" i="7"/>
  <c r="N322" i="7"/>
  <c r="N164" i="7"/>
  <c r="N394" i="7"/>
  <c r="N582" i="7"/>
  <c r="N534" i="7"/>
  <c r="N153" i="7"/>
  <c r="N651" i="7"/>
  <c r="N480" i="7"/>
  <c r="E200" i="7"/>
  <c r="N88" i="7"/>
  <c r="N532" i="7"/>
  <c r="E204" i="7"/>
  <c r="N580" i="7"/>
  <c r="N156" i="7"/>
  <c r="N187" i="7"/>
  <c r="N134" i="7"/>
  <c r="N540" i="7"/>
  <c r="N420" i="7"/>
  <c r="N27" i="7"/>
  <c r="E177" i="7"/>
  <c r="E428" i="7"/>
  <c r="N219" i="7"/>
  <c r="N167" i="7"/>
  <c r="N172" i="7"/>
  <c r="N136" i="7"/>
  <c r="N546" i="7"/>
  <c r="N301" i="7"/>
  <c r="N674" i="7"/>
  <c r="N399" i="7"/>
  <c r="N655" i="7"/>
  <c r="N279" i="7"/>
  <c r="N14" i="7"/>
  <c r="N395" i="7"/>
  <c r="E202" i="7"/>
  <c r="N337" i="7"/>
  <c r="N53" i="7"/>
  <c r="N119" i="7"/>
  <c r="N389" i="7"/>
  <c r="N664" i="7"/>
  <c r="N251" i="7"/>
  <c r="N293" i="7"/>
  <c r="N317" i="7"/>
  <c r="N406" i="7"/>
  <c r="N145" i="7"/>
  <c r="N268" i="7"/>
  <c r="N271" i="7"/>
  <c r="N507" i="7"/>
  <c r="N483" i="7"/>
  <c r="N522" i="7"/>
  <c r="N307" i="7"/>
  <c r="N296" i="7"/>
  <c r="N543" i="7"/>
  <c r="N110" i="7"/>
  <c r="N503" i="7"/>
  <c r="E123" i="7"/>
  <c r="N625" i="7"/>
  <c r="N354" i="7"/>
  <c r="N588" i="7"/>
  <c r="N619" i="7"/>
  <c r="N576" i="7"/>
  <c r="N352" i="7"/>
  <c r="N216" i="7"/>
  <c r="N544" i="7"/>
  <c r="N385" i="7"/>
  <c r="N642" i="7"/>
  <c r="N662" i="7"/>
  <c r="N61" i="7"/>
  <c r="N644" i="7"/>
  <c r="N654" i="7"/>
  <c r="N675" i="7"/>
  <c r="N621" i="7"/>
  <c r="E179" i="7"/>
  <c r="E206" i="7"/>
  <c r="N152" i="7"/>
  <c r="N334" i="7"/>
  <c r="N405" i="7"/>
  <c r="N556" i="7"/>
  <c r="N417" i="7"/>
  <c r="N132" i="7"/>
  <c r="N50" i="7"/>
  <c r="N104" i="7"/>
  <c r="N71" i="7"/>
  <c r="N222" i="7"/>
  <c r="N265" i="7"/>
  <c r="N377" i="7"/>
  <c r="N313" i="7"/>
  <c r="N149" i="7"/>
  <c r="N213" i="7"/>
  <c r="N226" i="7"/>
  <c r="N547" i="7"/>
  <c r="N220" i="7"/>
  <c r="N646" i="7"/>
  <c r="N600" i="7"/>
  <c r="N661" i="7"/>
  <c r="N78" i="7"/>
  <c r="N549" i="7"/>
  <c r="N290" i="7"/>
  <c r="N683" i="7"/>
  <c r="N335" i="7"/>
  <c r="N519" i="7"/>
  <c r="N247" i="7"/>
  <c r="N371" i="7"/>
  <c r="N38" i="7"/>
  <c r="N373" i="7"/>
  <c r="N185" i="7"/>
  <c r="N388" i="7"/>
  <c r="N189" i="7"/>
  <c r="N591" i="7"/>
  <c r="N585" i="7"/>
  <c r="E176" i="7"/>
  <c r="N102" i="7"/>
  <c r="E637" i="7"/>
  <c r="N111" i="7"/>
  <c r="N190" i="7"/>
  <c r="N116" i="7"/>
  <c r="N310" i="7"/>
  <c r="N631" i="7"/>
  <c r="N358" i="7"/>
  <c r="N28" i="7"/>
  <c r="N249" i="7"/>
  <c r="E157" i="7"/>
  <c r="N526" i="7"/>
  <c r="N168" i="7"/>
  <c r="E195" i="7"/>
  <c r="N508" i="7"/>
  <c r="N252" i="7"/>
  <c r="N54" i="28" l="1"/>
  <c r="N45" i="28"/>
  <c r="N60" i="28"/>
  <c r="N43" i="28"/>
  <c r="N39" i="28"/>
  <c r="N63" i="28"/>
  <c r="N35" i="28"/>
  <c r="N22" i="28"/>
  <c r="N24" i="28"/>
  <c r="N19" i="28"/>
  <c r="N55" i="28"/>
  <c r="N20" i="28"/>
  <c r="N42" i="28"/>
  <c r="N61" i="28"/>
  <c r="N52" i="28"/>
  <c r="N62" i="28"/>
  <c r="N56" i="28"/>
  <c r="N58" i="28"/>
  <c r="N23" i="28"/>
  <c r="N38" i="28"/>
  <c r="N49" i="28"/>
  <c r="N47" i="28"/>
  <c r="N50" i="28"/>
  <c r="N46" i="28"/>
  <c r="N53" i="28"/>
  <c r="N40" i="28"/>
  <c r="S52" i="3"/>
  <c r="S97" i="3"/>
  <c r="S38" i="4"/>
  <c r="S58" i="4"/>
  <c r="S134" i="4"/>
  <c r="S172" i="4"/>
  <c r="S75" i="4"/>
  <c r="S72" i="3"/>
  <c r="S137" i="4"/>
  <c r="S4" i="4"/>
  <c r="S8" i="4"/>
  <c r="S83" i="3"/>
  <c r="S144" i="4"/>
  <c r="S204" i="4"/>
  <c r="S218" i="4"/>
  <c r="S180" i="4"/>
  <c r="S41" i="3"/>
  <c r="S43" i="4"/>
  <c r="S115" i="4"/>
  <c r="S23" i="4"/>
  <c r="S8" i="3"/>
  <c r="N9" i="28"/>
  <c r="N32" i="28"/>
  <c r="N59" i="28"/>
  <c r="N64" i="28"/>
  <c r="N41" i="28"/>
  <c r="S9" i="4"/>
  <c r="S36" i="3"/>
  <c r="S132" i="4"/>
  <c r="S60" i="3"/>
  <c r="S114" i="3"/>
  <c r="S49" i="3"/>
  <c r="S48" i="3"/>
  <c r="S186" i="4"/>
  <c r="S145" i="4"/>
  <c r="S69" i="4"/>
  <c r="S6" i="4"/>
  <c r="S194" i="4"/>
  <c r="S124" i="4"/>
  <c r="S33" i="4"/>
  <c r="S27" i="4"/>
  <c r="S19" i="3"/>
  <c r="S45" i="4"/>
  <c r="S133" i="4"/>
  <c r="S88" i="4"/>
  <c r="S55" i="4"/>
  <c r="S118" i="4"/>
  <c r="S173" i="4"/>
  <c r="S209" i="4"/>
  <c r="S109" i="4"/>
  <c r="S77" i="4"/>
  <c r="S16" i="3"/>
  <c r="S5" i="3"/>
  <c r="S147" i="4"/>
  <c r="S117" i="4"/>
  <c r="S24" i="3"/>
  <c r="S64" i="3"/>
  <c r="S92" i="3"/>
  <c r="S95" i="3"/>
  <c r="S39" i="4"/>
  <c r="S22" i="4"/>
  <c r="S222" i="4"/>
  <c r="S123" i="4"/>
  <c r="S48" i="4"/>
  <c r="S65" i="4"/>
  <c r="S65" i="3"/>
  <c r="S166" i="4"/>
  <c r="S157" i="4"/>
  <c r="S44" i="3"/>
  <c r="S94" i="4"/>
  <c r="S225" i="4"/>
  <c r="S79" i="4"/>
  <c r="S50" i="4"/>
  <c r="S221" i="4"/>
  <c r="S64" i="4"/>
  <c r="S99" i="4"/>
  <c r="S122" i="4"/>
  <c r="S216" i="4"/>
  <c r="S226" i="4"/>
  <c r="S150" i="4"/>
  <c r="S76" i="3"/>
  <c r="S52" i="4"/>
  <c r="S120" i="3"/>
  <c r="S199" i="4"/>
  <c r="S31" i="4"/>
  <c r="S41" i="4"/>
  <c r="S58" i="3"/>
  <c r="S122" i="3"/>
  <c r="S31" i="3"/>
  <c r="S91" i="3"/>
  <c r="S220" i="4"/>
  <c r="S85" i="4"/>
  <c r="S46" i="4"/>
  <c r="S12" i="3"/>
  <c r="S106" i="4"/>
  <c r="S115" i="3"/>
  <c r="S34" i="3"/>
  <c r="S87" i="3"/>
  <c r="S38" i="3"/>
  <c r="S25" i="4"/>
  <c r="S34" i="4"/>
  <c r="S163" i="4"/>
  <c r="S205" i="4"/>
  <c r="S228" i="4"/>
  <c r="S151" i="4"/>
  <c r="S102" i="3"/>
  <c r="S104" i="3"/>
  <c r="S165" i="4"/>
  <c r="S128" i="4"/>
  <c r="S120" i="4"/>
  <c r="S15" i="3"/>
  <c r="S98" i="4"/>
  <c r="S207" i="4"/>
  <c r="S142" i="4"/>
  <c r="S78" i="4"/>
  <c r="S197" i="4"/>
  <c r="S86" i="4"/>
  <c r="S44" i="4"/>
  <c r="S26" i="4"/>
  <c r="S72" i="4"/>
  <c r="S139" i="4"/>
  <c r="S212" i="4"/>
  <c r="S49" i="4"/>
  <c r="S57" i="4"/>
  <c r="S85" i="3"/>
  <c r="S14" i="3"/>
  <c r="S190" i="4"/>
  <c r="S123" i="3"/>
  <c r="S107" i="3"/>
  <c r="S32" i="3"/>
  <c r="S29" i="3"/>
  <c r="S202" i="4"/>
  <c r="S210" i="4"/>
  <c r="S129" i="3"/>
  <c r="S82" i="3"/>
  <c r="S89" i="4"/>
  <c r="S13" i="4"/>
  <c r="S88" i="3"/>
  <c r="S15" i="4"/>
  <c r="S96" i="4"/>
  <c r="H3" i="1"/>
  <c r="H5" i="1" s="1"/>
  <c r="AA88" i="5" s="1"/>
  <c r="N10" i="28"/>
  <c r="Z47" i="5"/>
  <c r="Z129" i="5"/>
  <c r="Z127" i="5"/>
  <c r="Z149" i="5"/>
  <c r="Z18" i="5"/>
  <c r="Z38" i="5"/>
  <c r="Z164" i="5"/>
  <c r="Z144" i="5"/>
  <c r="X59" i="5"/>
  <c r="X20" i="5"/>
  <c r="X154" i="5"/>
  <c r="X91" i="5"/>
  <c r="X147" i="5"/>
  <c r="X169" i="5"/>
  <c r="Z24" i="5"/>
  <c r="Z143" i="5"/>
  <c r="Z120" i="5"/>
  <c r="Z67" i="5"/>
  <c r="Z17" i="5"/>
  <c r="Z71" i="5"/>
  <c r="Z111" i="5"/>
  <c r="Z80" i="5"/>
  <c r="X55" i="5"/>
  <c r="X81" i="5"/>
  <c r="X11" i="5"/>
  <c r="X72" i="5"/>
  <c r="X74" i="5"/>
  <c r="X102" i="5"/>
  <c r="X65" i="5"/>
  <c r="Z37" i="5"/>
  <c r="Z65" i="5"/>
  <c r="Z113" i="5"/>
  <c r="Z102" i="5"/>
  <c r="Z166" i="5"/>
  <c r="Z54" i="5"/>
  <c r="Z15" i="5"/>
  <c r="Z165" i="5"/>
  <c r="Z84" i="5"/>
  <c r="Z134" i="5"/>
  <c r="Z42" i="5"/>
  <c r="Z101" i="5"/>
  <c r="Z122" i="5"/>
  <c r="Z55" i="5"/>
  <c r="X85" i="5"/>
  <c r="X123" i="5"/>
  <c r="X133" i="5"/>
  <c r="X144" i="5"/>
  <c r="X174" i="5"/>
  <c r="X111" i="5"/>
  <c r="X5" i="5"/>
  <c r="Z63" i="5"/>
  <c r="Z105" i="5"/>
  <c r="Z106" i="5"/>
  <c r="Z92" i="5"/>
  <c r="Z130" i="5"/>
  <c r="Z94" i="5"/>
  <c r="Z139" i="5"/>
  <c r="Z28" i="5"/>
  <c r="Z104" i="5"/>
  <c r="X119" i="5"/>
  <c r="X148" i="5"/>
  <c r="X173" i="5"/>
  <c r="X142" i="5"/>
  <c r="X158" i="5"/>
  <c r="X12" i="5"/>
  <c r="X83" i="5"/>
  <c r="Z116" i="5"/>
  <c r="Z146" i="5"/>
  <c r="Z140" i="5"/>
  <c r="Z53" i="5"/>
  <c r="Z35" i="5"/>
  <c r="Z74" i="5"/>
  <c r="Z123" i="5"/>
  <c r="Z153" i="5"/>
  <c r="X116" i="5"/>
  <c r="X161" i="5"/>
  <c r="X25" i="5"/>
  <c r="X32" i="5"/>
  <c r="Z3" i="5"/>
  <c r="X61" i="5"/>
  <c r="X90" i="5"/>
  <c r="Z137" i="5"/>
  <c r="Z70" i="5"/>
  <c r="Z148" i="5"/>
  <c r="Z152" i="5"/>
  <c r="Z61" i="5"/>
  <c r="Z115" i="5"/>
  <c r="Z170" i="5"/>
  <c r="X108" i="5"/>
  <c r="X170" i="5"/>
  <c r="X27" i="5"/>
  <c r="X62" i="5"/>
  <c r="X84" i="5"/>
  <c r="X166" i="5"/>
  <c r="X43" i="5"/>
  <c r="X152" i="5"/>
  <c r="X146" i="5"/>
  <c r="X155" i="5"/>
  <c r="X115" i="5"/>
  <c r="Z160" i="5"/>
  <c r="Z173" i="5"/>
  <c r="Z20" i="5"/>
  <c r="Z68" i="5"/>
  <c r="Z72" i="5"/>
  <c r="Z86" i="5"/>
  <c r="Z82" i="5"/>
  <c r="Z172" i="5"/>
  <c r="X150" i="5"/>
  <c r="X18" i="5"/>
  <c r="X104" i="5"/>
  <c r="X151" i="5"/>
  <c r="X36" i="5"/>
  <c r="X9" i="5"/>
  <c r="Z163" i="5"/>
  <c r="Z138" i="5"/>
  <c r="Z29" i="5"/>
  <c r="Z110" i="5"/>
  <c r="Z36" i="5"/>
  <c r="Z62" i="5"/>
  <c r="Z103" i="5"/>
  <c r="Z4" i="5"/>
  <c r="X17" i="5"/>
  <c r="X157" i="5"/>
  <c r="X70" i="5"/>
  <c r="X21" i="5"/>
  <c r="X48" i="5"/>
  <c r="X89" i="5"/>
  <c r="Z60" i="5"/>
  <c r="Z11" i="5"/>
  <c r="Z51" i="5"/>
  <c r="Z12" i="5"/>
  <c r="Z57" i="5"/>
  <c r="Z31" i="5"/>
  <c r="Z142" i="5"/>
  <c r="Z59" i="5"/>
  <c r="X87" i="5"/>
  <c r="X129" i="5"/>
  <c r="X92" i="5"/>
  <c r="X58" i="5"/>
  <c r="X54" i="5"/>
  <c r="X67" i="5"/>
  <c r="X49" i="5"/>
  <c r="X78" i="5"/>
  <c r="Z45" i="5"/>
  <c r="Z73" i="5"/>
  <c r="Z44" i="5"/>
  <c r="Z155" i="5"/>
  <c r="Z95" i="5"/>
  <c r="Z16" i="5"/>
  <c r="Z34" i="5"/>
  <c r="X139" i="5"/>
  <c r="X86" i="5"/>
  <c r="X171" i="5"/>
  <c r="X113" i="5"/>
  <c r="X98" i="5"/>
  <c r="X138" i="5"/>
  <c r="X38" i="5"/>
  <c r="X143" i="5"/>
  <c r="X51" i="5"/>
  <c r="X93" i="5"/>
  <c r="X159" i="5"/>
  <c r="Z21" i="5"/>
  <c r="Z85" i="5"/>
  <c r="Z131" i="5"/>
  <c r="Z27" i="5"/>
  <c r="Z121" i="5"/>
  <c r="Z83" i="5"/>
  <c r="Z8" i="5"/>
  <c r="Z5" i="5"/>
  <c r="X164" i="5"/>
  <c r="X125" i="5"/>
  <c r="X47" i="5"/>
  <c r="X41" i="5"/>
  <c r="X46" i="5"/>
  <c r="X14" i="5"/>
  <c r="Z7" i="5"/>
  <c r="Z119" i="5"/>
  <c r="X68" i="5"/>
  <c r="X165" i="5"/>
  <c r="Z33" i="5"/>
  <c r="Z58" i="5"/>
  <c r="X44" i="5"/>
  <c r="X140" i="5"/>
  <c r="X64" i="5"/>
  <c r="X16" i="5"/>
  <c r="X137" i="5"/>
  <c r="Z174" i="5"/>
  <c r="Z81" i="5"/>
  <c r="Z117" i="5"/>
  <c r="Z23" i="5"/>
  <c r="Z124" i="5"/>
  <c r="X52" i="5"/>
  <c r="X162" i="5"/>
  <c r="X110" i="5"/>
  <c r="X40" i="5"/>
  <c r="X26" i="5"/>
  <c r="X7" i="5"/>
  <c r="X105" i="5"/>
  <c r="X75" i="5"/>
  <c r="X106" i="5"/>
  <c r="Z154" i="5"/>
  <c r="Z157" i="5"/>
  <c r="X3" i="5"/>
  <c r="J3" i="28" s="1"/>
  <c r="X56" i="5"/>
  <c r="X118" i="5"/>
  <c r="Z109" i="5"/>
  <c r="Z107" i="5"/>
  <c r="Z169" i="5"/>
  <c r="Z147" i="5"/>
  <c r="X66" i="5"/>
  <c r="X136" i="5"/>
  <c r="Z43" i="5"/>
  <c r="Z79" i="5"/>
  <c r="X103" i="5"/>
  <c r="X45" i="5"/>
  <c r="Z135" i="5"/>
  <c r="Z112" i="5"/>
  <c r="Z66" i="5"/>
  <c r="Z6" i="5"/>
  <c r="Z125" i="5"/>
  <c r="X79" i="5"/>
  <c r="X60" i="5"/>
  <c r="Z30" i="5"/>
  <c r="Z118" i="5"/>
  <c r="X109" i="5"/>
  <c r="X76" i="5"/>
  <c r="X128" i="5"/>
  <c r="X30" i="5"/>
  <c r="X156" i="5"/>
  <c r="Z32" i="5"/>
  <c r="Z39" i="5"/>
  <c r="Z64" i="5"/>
  <c r="Z10" i="5"/>
  <c r="X29" i="5"/>
  <c r="X50" i="5"/>
  <c r="X69" i="5"/>
  <c r="X19" i="5"/>
  <c r="X88" i="5"/>
  <c r="X163" i="5"/>
  <c r="X82" i="5"/>
  <c r="X94" i="5"/>
  <c r="X80" i="5"/>
  <c r="X145" i="5"/>
  <c r="Z14" i="5"/>
  <c r="Z40" i="5"/>
  <c r="X135" i="5"/>
  <c r="X33" i="5"/>
  <c r="Z41" i="5"/>
  <c r="Z69" i="5"/>
  <c r="Z162" i="5"/>
  <c r="Z133" i="5"/>
  <c r="Z100" i="5"/>
  <c r="X122" i="5"/>
  <c r="X114" i="5"/>
  <c r="Z52" i="5"/>
  <c r="Z99" i="5"/>
  <c r="X6" i="5"/>
  <c r="X112" i="5"/>
  <c r="Z145" i="5"/>
  <c r="Z22" i="5"/>
  <c r="O24" i="28" s="1"/>
  <c r="Z150" i="5"/>
  <c r="Z128" i="5"/>
  <c r="Z98" i="5"/>
  <c r="X4" i="5"/>
  <c r="Z88" i="5"/>
  <c r="Z132" i="5"/>
  <c r="Z161" i="5"/>
  <c r="X31" i="5"/>
  <c r="X15" i="5"/>
  <c r="X168" i="5"/>
  <c r="X134" i="5"/>
  <c r="X117" i="5"/>
  <c r="Z46" i="5"/>
  <c r="Z75" i="5"/>
  <c r="Z136" i="5"/>
  <c r="Z141" i="5"/>
  <c r="X71" i="5"/>
  <c r="X121" i="5"/>
  <c r="X126" i="5"/>
  <c r="X130" i="5"/>
  <c r="X53" i="5"/>
  <c r="X22" i="5"/>
  <c r="X96" i="5"/>
  <c r="X35" i="5"/>
  <c r="X132" i="5"/>
  <c r="X77" i="5"/>
  <c r="Z171" i="5"/>
  <c r="Z89" i="5"/>
  <c r="X8" i="5"/>
  <c r="X97" i="5"/>
  <c r="Z48" i="5"/>
  <c r="Z96" i="5"/>
  <c r="Z49" i="5"/>
  <c r="Z108" i="5"/>
  <c r="Z25" i="5"/>
  <c r="X124" i="5"/>
  <c r="X141" i="5"/>
  <c r="Z13" i="5"/>
  <c r="Z19" i="5"/>
  <c r="X127" i="5"/>
  <c r="X42" i="5"/>
  <c r="Z77" i="5"/>
  <c r="Z56" i="5"/>
  <c r="Z167" i="5"/>
  <c r="X73" i="5"/>
  <c r="X131" i="5"/>
  <c r="Z156" i="5"/>
  <c r="Z87" i="5"/>
  <c r="X107" i="5"/>
  <c r="X10" i="5"/>
  <c r="X37" i="5"/>
  <c r="X95" i="5"/>
  <c r="X100" i="5"/>
  <c r="Z91" i="5"/>
  <c r="Z93" i="5"/>
  <c r="Z151" i="5"/>
  <c r="Z158" i="5"/>
  <c r="Z26" i="5"/>
  <c r="X172" i="5"/>
  <c r="X23" i="5"/>
  <c r="X101" i="5"/>
  <c r="X63" i="5"/>
  <c r="X167" i="5"/>
  <c r="X120" i="5"/>
  <c r="X99" i="5"/>
  <c r="X34" i="5"/>
  <c r="X57" i="5"/>
  <c r="Z90" i="5"/>
  <c r="Z78" i="5"/>
  <c r="Z76" i="5"/>
  <c r="X24" i="5"/>
  <c r="Z9" i="5"/>
  <c r="Z114" i="5"/>
  <c r="Z126" i="5"/>
  <c r="Z97" i="5"/>
  <c r="X153" i="5"/>
  <c r="X39" i="5"/>
  <c r="X13" i="5"/>
  <c r="Z50" i="5"/>
  <c r="X28" i="5"/>
  <c r="X149" i="5"/>
  <c r="X160" i="5"/>
  <c r="Z168" i="5"/>
  <c r="Z159" i="5"/>
  <c r="S182" i="4"/>
  <c r="S131" i="4"/>
  <c r="AA169" i="4"/>
  <c r="AA142" i="4"/>
  <c r="AA24" i="3"/>
  <c r="AA25" i="4"/>
  <c r="AA69" i="4"/>
  <c r="AA6" i="4"/>
  <c r="AA48" i="4"/>
  <c r="AA65" i="4"/>
  <c r="AA65" i="3"/>
  <c r="AA101" i="3"/>
  <c r="AA56" i="3"/>
  <c r="AA74" i="4"/>
  <c r="AA141" i="4"/>
  <c r="AA77" i="4"/>
  <c r="AA56" i="4"/>
  <c r="AA216" i="4"/>
  <c r="AA37" i="4"/>
  <c r="AA12" i="4"/>
  <c r="AA98" i="4"/>
  <c r="AA72" i="4"/>
  <c r="AA139" i="4"/>
  <c r="AA217" i="4"/>
  <c r="AA150" i="4"/>
  <c r="AA58" i="4"/>
  <c r="AA77" i="3"/>
  <c r="AA84" i="3"/>
  <c r="AA220" i="4"/>
  <c r="AA121" i="3"/>
  <c r="AA8" i="3"/>
  <c r="AA82" i="3"/>
  <c r="AA73" i="3"/>
  <c r="AA53" i="3"/>
  <c r="AA47" i="4"/>
  <c r="AA161" i="4"/>
  <c r="AA61" i="4"/>
  <c r="AA76" i="3"/>
  <c r="AA127" i="3"/>
  <c r="AA79" i="3"/>
  <c r="AA89" i="3"/>
  <c r="AA61" i="3"/>
  <c r="AA71" i="3"/>
  <c r="AA219" i="4"/>
  <c r="AA20" i="4"/>
  <c r="AA109" i="3"/>
  <c r="AA54" i="3"/>
  <c r="AA96" i="3"/>
  <c r="AA13" i="3"/>
  <c r="AA189" i="4"/>
  <c r="AA182" i="4"/>
  <c r="AA100" i="4"/>
  <c r="AA50" i="4"/>
  <c r="AA175" i="4"/>
  <c r="AA184" i="4"/>
  <c r="AA70" i="3"/>
  <c r="AA23" i="3"/>
  <c r="AA125" i="3"/>
  <c r="AA124" i="3"/>
  <c r="AA185" i="4"/>
  <c r="AA131" i="4"/>
  <c r="AA172" i="4"/>
  <c r="AA15" i="4"/>
  <c r="AA230" i="4"/>
  <c r="AA178" i="4"/>
  <c r="AA86" i="3"/>
  <c r="AA12" i="3"/>
  <c r="AA118" i="3"/>
  <c r="AA115" i="3"/>
  <c r="AA64" i="3"/>
  <c r="AA36" i="3"/>
  <c r="AA92" i="3"/>
  <c r="AA85" i="3"/>
  <c r="AA99" i="3"/>
  <c r="AA38" i="3"/>
  <c r="AA39" i="4"/>
  <c r="AA22" i="4"/>
  <c r="AA71" i="4"/>
  <c r="AA191" i="4"/>
  <c r="AA124" i="4"/>
  <c r="AA14" i="4"/>
  <c r="AA53" i="4"/>
  <c r="AA5" i="4"/>
  <c r="AA80" i="3"/>
  <c r="AA43" i="3"/>
  <c r="AA206" i="4"/>
  <c r="AA136" i="4"/>
  <c r="AA88" i="4"/>
  <c r="AA86" i="4"/>
  <c r="AA51" i="4"/>
  <c r="AA118" i="4"/>
  <c r="AA26" i="4"/>
  <c r="AA122" i="4"/>
  <c r="AA211" i="4"/>
  <c r="AA227" i="4"/>
  <c r="AA23" i="4"/>
  <c r="AA17" i="4"/>
  <c r="AA153" i="4"/>
  <c r="AA54" i="4"/>
  <c r="AA129" i="3"/>
  <c r="AA127" i="4"/>
  <c r="AA73" i="4"/>
  <c r="AA19" i="4"/>
  <c r="AA152" i="4"/>
  <c r="AA55" i="3"/>
  <c r="AA29" i="3"/>
  <c r="AA28" i="3"/>
  <c r="AA9" i="4"/>
  <c r="AA88" i="3"/>
  <c r="AA40" i="3"/>
  <c r="AA81" i="4"/>
  <c r="AA32" i="4"/>
  <c r="AA180" i="4"/>
  <c r="AA17" i="3"/>
  <c r="AA103" i="3"/>
  <c r="AA26" i="3"/>
  <c r="AA213" i="4"/>
  <c r="AA87" i="4"/>
  <c r="AA66" i="3"/>
  <c r="AA91" i="3"/>
  <c r="AA110" i="3"/>
  <c r="AA70" i="4"/>
  <c r="AA212" i="4"/>
  <c r="AA173" i="4"/>
  <c r="AA67" i="4"/>
  <c r="AA35" i="3"/>
  <c r="AA52" i="3"/>
  <c r="AA104" i="4"/>
  <c r="AA50" i="3"/>
  <c r="AA114" i="3"/>
  <c r="AA83" i="3"/>
  <c r="AA49" i="3"/>
  <c r="AA126" i="3"/>
  <c r="AA47" i="3"/>
  <c r="AA100" i="3"/>
  <c r="AA187" i="4"/>
  <c r="AA170" i="4"/>
  <c r="AA34" i="4"/>
  <c r="AA38" i="4"/>
  <c r="AA225" i="4"/>
  <c r="AA208" i="4"/>
  <c r="AA123" i="4"/>
  <c r="AA228" i="4"/>
  <c r="AA151" i="4"/>
  <c r="AA33" i="4"/>
  <c r="AA160" i="4"/>
  <c r="AA103" i="4"/>
  <c r="AA15" i="3"/>
  <c r="AA45" i="4"/>
  <c r="AA95" i="4"/>
  <c r="AA223" i="4"/>
  <c r="AA79" i="4"/>
  <c r="AA64" i="4"/>
  <c r="AA210" i="4"/>
  <c r="AA78" i="4"/>
  <c r="AA134" i="4"/>
  <c r="AA7" i="3"/>
  <c r="AA35" i="4"/>
  <c r="AA89" i="4"/>
  <c r="AA13" i="4"/>
  <c r="AA205" i="4"/>
  <c r="AA28" i="4"/>
  <c r="AA97" i="4"/>
  <c r="AA162" i="4"/>
  <c r="AA107" i="3"/>
  <c r="AA93" i="3"/>
  <c r="AA37" i="3"/>
  <c r="AA128" i="3"/>
  <c r="AA190" i="4"/>
  <c r="AA84" i="4"/>
  <c r="AA114" i="4"/>
  <c r="AA46" i="4"/>
  <c r="AA94" i="3"/>
  <c r="AA113" i="3"/>
  <c r="AA106" i="4"/>
  <c r="AA147" i="4"/>
  <c r="AA132" i="4"/>
  <c r="AA117" i="4"/>
  <c r="AA93" i="4"/>
  <c r="AA105" i="4"/>
  <c r="AA112" i="3"/>
  <c r="AA45" i="3"/>
  <c r="AA22" i="3"/>
  <c r="AA108" i="3"/>
  <c r="AA215" i="4"/>
  <c r="AA60" i="4"/>
  <c r="AA176" i="4"/>
  <c r="AA18" i="3"/>
  <c r="S136" i="4"/>
  <c r="S30" i="4"/>
  <c r="S148" i="4"/>
  <c r="S42" i="3"/>
  <c r="S98" i="3"/>
  <c r="S167" i="4"/>
  <c r="S47" i="4"/>
  <c r="S56" i="3"/>
  <c r="S80" i="3"/>
  <c r="S70" i="3"/>
  <c r="S170" i="4"/>
  <c r="S7" i="4"/>
  <c r="S117" i="3"/>
  <c r="S53" i="3"/>
  <c r="S35" i="4"/>
  <c r="S19" i="4"/>
  <c r="S152" i="4"/>
  <c r="S119" i="3"/>
  <c r="S78" i="3"/>
  <c r="S128" i="3"/>
  <c r="S126" i="4"/>
  <c r="S160" i="4"/>
  <c r="S61" i="4"/>
  <c r="S51" i="3"/>
  <c r="S71" i="3"/>
  <c r="S28" i="3"/>
  <c r="S94" i="3"/>
  <c r="S70" i="4"/>
  <c r="S7" i="3"/>
  <c r="S74" i="3"/>
  <c r="S127" i="4"/>
  <c r="S73" i="4"/>
  <c r="S208" i="4"/>
  <c r="S28" i="4"/>
  <c r="S82" i="4"/>
  <c r="S162" i="4"/>
  <c r="S93" i="3"/>
  <c r="S37" i="3"/>
  <c r="S127" i="3"/>
  <c r="S90" i="3"/>
  <c r="S61" i="3"/>
  <c r="S171" i="4"/>
  <c r="S230" i="4"/>
  <c r="S86" i="3"/>
  <c r="AA194" i="4"/>
  <c r="AA155" i="4"/>
  <c r="AA101" i="4"/>
  <c r="AA207" i="4"/>
  <c r="AA40" i="4"/>
  <c r="AA166" i="4"/>
  <c r="AA27" i="4"/>
  <c r="AA158" i="4"/>
  <c r="AA116" i="4"/>
  <c r="S211" i="4"/>
  <c r="S176" i="4"/>
  <c r="S67" i="4"/>
  <c r="S112" i="3"/>
  <c r="AA224" i="4"/>
  <c r="AA105" i="3"/>
  <c r="AA10" i="3"/>
  <c r="AA104" i="3"/>
  <c r="AA83" i="4"/>
  <c r="AA135" i="4"/>
  <c r="AA120" i="4"/>
  <c r="AA72" i="3"/>
  <c r="AA204" i="4"/>
  <c r="AA130" i="4"/>
  <c r="AA156" i="4"/>
  <c r="AA231" i="4"/>
  <c r="AA10" i="4"/>
  <c r="AA128" i="4"/>
  <c r="AA165" i="4"/>
  <c r="AA229" i="4"/>
  <c r="AA174" i="4"/>
  <c r="AA75" i="4"/>
  <c r="AA112" i="4"/>
  <c r="AA62" i="4"/>
  <c r="AA111" i="4"/>
  <c r="AA92" i="4"/>
  <c r="AA202" i="4"/>
  <c r="AA177" i="4"/>
  <c r="AA102" i="4"/>
  <c r="AA29" i="4"/>
  <c r="AA138" i="4"/>
  <c r="AA125" i="4"/>
  <c r="AA63" i="4"/>
  <c r="AA126" i="5"/>
  <c r="AA18" i="2"/>
  <c r="AA110" i="5"/>
  <c r="AA146" i="4"/>
  <c r="AA66" i="4"/>
  <c r="AA77" i="2"/>
  <c r="AA152" i="5"/>
  <c r="AA103" i="5"/>
  <c r="AA161" i="5"/>
  <c r="AA18" i="4"/>
  <c r="AA30" i="2"/>
  <c r="AA11" i="2"/>
  <c r="AA23" i="5"/>
  <c r="AA114" i="5"/>
  <c r="AA67" i="5"/>
  <c r="AA149" i="5"/>
  <c r="AA58" i="5"/>
  <c r="AA28" i="2"/>
  <c r="AA51" i="2"/>
  <c r="AA66" i="2"/>
  <c r="AA134" i="5"/>
  <c r="AA153" i="5"/>
  <c r="AA147" i="5"/>
  <c r="AA63" i="5"/>
  <c r="AA136" i="5"/>
  <c r="AA16" i="2"/>
  <c r="AA69" i="2"/>
  <c r="AA97" i="5"/>
  <c r="AA146" i="5"/>
  <c r="AA123" i="5"/>
  <c r="AA9" i="5"/>
  <c r="AA66" i="5"/>
  <c r="AA27" i="5"/>
  <c r="AA121" i="4"/>
  <c r="AA140" i="4"/>
  <c r="AA10" i="2"/>
  <c r="AA20" i="2"/>
  <c r="AA17" i="2"/>
  <c r="AA61" i="2"/>
  <c r="AA79" i="5"/>
  <c r="AA31" i="5"/>
  <c r="AA11" i="5"/>
  <c r="AA150" i="5"/>
  <c r="AA87" i="5"/>
  <c r="AA156" i="5"/>
  <c r="AA98" i="5"/>
  <c r="AA6" i="5"/>
  <c r="AA169" i="5"/>
  <c r="AA38" i="5"/>
  <c r="AA92" i="5"/>
  <c r="AA181" i="4"/>
  <c r="AA59" i="4"/>
  <c r="AA110" i="4"/>
  <c r="AA7" i="2"/>
  <c r="AA27" i="2"/>
  <c r="AA55" i="2"/>
  <c r="AA44" i="2"/>
  <c r="AA64" i="2"/>
  <c r="AA104" i="5"/>
  <c r="AA72" i="5"/>
  <c r="AA47" i="5"/>
  <c r="AA52" i="5"/>
  <c r="AA158" i="5"/>
  <c r="AA24" i="5"/>
  <c r="AA54" i="5"/>
  <c r="AA85" i="5"/>
  <c r="AA13" i="5"/>
  <c r="AA132" i="5"/>
  <c r="AA143" i="5"/>
  <c r="AA52" i="2"/>
  <c r="AA74" i="2"/>
  <c r="AA49" i="2"/>
  <c r="AA29" i="2"/>
  <c r="AA43" i="2"/>
  <c r="AA40" i="2"/>
  <c r="AA13" i="2"/>
  <c r="AA6" i="2"/>
  <c r="AA14" i="2"/>
  <c r="AA31" i="2"/>
  <c r="AA38" i="2"/>
  <c r="AA68" i="2"/>
  <c r="AA21" i="2"/>
  <c r="AA22" i="2"/>
  <c r="AA19" i="2"/>
  <c r="AA54" i="2"/>
  <c r="AA9" i="2"/>
  <c r="AA63" i="2"/>
  <c r="AA72" i="2"/>
  <c r="AA89" i="5"/>
  <c r="AA80" i="5"/>
  <c r="AA164" i="5"/>
  <c r="AA8" i="5"/>
  <c r="AA36" i="5"/>
  <c r="AA167" i="5"/>
  <c r="AA130" i="5"/>
  <c r="AA20" i="5"/>
  <c r="AA65" i="5"/>
  <c r="AA165" i="5"/>
  <c r="AA22" i="5"/>
  <c r="AA159" i="5"/>
  <c r="AA40" i="5"/>
  <c r="AA171" i="5"/>
  <c r="AA90" i="5"/>
  <c r="AA59" i="5"/>
  <c r="AA115" i="5"/>
  <c r="AA139" i="5"/>
  <c r="AA35" i="5"/>
  <c r="AA68" i="5"/>
  <c r="AA120" i="5"/>
  <c r="AA46" i="5"/>
  <c r="AA107" i="5"/>
  <c r="AA78" i="5"/>
  <c r="AA41" i="5"/>
  <c r="AA16" i="5"/>
  <c r="AA18" i="5"/>
  <c r="AA102" i="5"/>
  <c r="AA73" i="5"/>
  <c r="AA7" i="5"/>
  <c r="AA21" i="5"/>
  <c r="AA91" i="5"/>
  <c r="AA162" i="5"/>
  <c r="AA69" i="5"/>
  <c r="AA144" i="5"/>
  <c r="AA170" i="5"/>
  <c r="AA142" i="5"/>
  <c r="AA119" i="5"/>
  <c r="AA86" i="5"/>
  <c r="AA33" i="5"/>
  <c r="AA140" i="5"/>
  <c r="AA81" i="5"/>
  <c r="AA60" i="5"/>
  <c r="S99" i="3"/>
  <c r="S141" i="4"/>
  <c r="AA11" i="4"/>
  <c r="AA91" i="4"/>
  <c r="AA16" i="4"/>
  <c r="AA107" i="4"/>
  <c r="AA129" i="4"/>
  <c r="AA154" i="4"/>
  <c r="AA35" i="2"/>
  <c r="AA36" i="2"/>
  <c r="AA76" i="2"/>
  <c r="AA58" i="2"/>
  <c r="AA3" i="2"/>
  <c r="AA41" i="2"/>
  <c r="AA12" i="2"/>
  <c r="AA26" i="2"/>
  <c r="AA5" i="2"/>
  <c r="AA46" i="2"/>
  <c r="AA75" i="2"/>
  <c r="AA67" i="2"/>
  <c r="AA23" i="2"/>
  <c r="AA73" i="2"/>
  <c r="AA37" i="2"/>
  <c r="AA56" i="2"/>
  <c r="AA33" i="2"/>
  <c r="AA65" i="2"/>
  <c r="AA50" i="2"/>
  <c r="AA76" i="5"/>
  <c r="AA157" i="5"/>
  <c r="AA34" i="5"/>
  <c r="AA125" i="5"/>
  <c r="AA71" i="5"/>
  <c r="AA94" i="5"/>
  <c r="AA53" i="5"/>
  <c r="AA12" i="5"/>
  <c r="AA93" i="5"/>
  <c r="AA45" i="5"/>
  <c r="AA174" i="5"/>
  <c r="AA133" i="5"/>
  <c r="AA56" i="5"/>
  <c r="AA168" i="5"/>
  <c r="AA145" i="5"/>
  <c r="AA124" i="5"/>
  <c r="AA5" i="5"/>
  <c r="AA122" i="5"/>
  <c r="AA155" i="5"/>
  <c r="AA117" i="5"/>
  <c r="AA75" i="5"/>
  <c r="AA129" i="5"/>
  <c r="AA160" i="5"/>
  <c r="AA50" i="5"/>
  <c r="AA14" i="5"/>
  <c r="AA141" i="5"/>
  <c r="AA82" i="5"/>
  <c r="AA64" i="5"/>
  <c r="AA17" i="5"/>
  <c r="AA131" i="5"/>
  <c r="AA32" i="5"/>
  <c r="AA163" i="5"/>
  <c r="AA25" i="5"/>
  <c r="AA99" i="5"/>
  <c r="AA48" i="5"/>
  <c r="AA118" i="5"/>
  <c r="AA111" i="5"/>
  <c r="AA74" i="5"/>
  <c r="AA101" i="5"/>
  <c r="AA44" i="5"/>
  <c r="AA113" i="5"/>
  <c r="AA70" i="5"/>
  <c r="AA173" i="5"/>
  <c r="AA76" i="4"/>
  <c r="AA96" i="4"/>
  <c r="AA188" i="4"/>
  <c r="AA57" i="2"/>
  <c r="AA15" i="2"/>
  <c r="AA70" i="2"/>
  <c r="AA60" i="2"/>
  <c r="AA39" i="2"/>
  <c r="AA25" i="2"/>
  <c r="AA59" i="2"/>
  <c r="AA62" i="2"/>
  <c r="AA8" i="2"/>
  <c r="AA32" i="2"/>
  <c r="AA4" i="2"/>
  <c r="AA47" i="2"/>
  <c r="AA24" i="2"/>
  <c r="AA45" i="2"/>
  <c r="AA53" i="2"/>
  <c r="AA48" i="2"/>
  <c r="AA42" i="2"/>
  <c r="AA34" i="2"/>
  <c r="AA71" i="2"/>
  <c r="AA19" i="5"/>
  <c r="AA3" i="5"/>
  <c r="AA172" i="5"/>
  <c r="AA28" i="5"/>
  <c r="AA83" i="5"/>
  <c r="AA42" i="5"/>
  <c r="AA151" i="5"/>
  <c r="AA39" i="5"/>
  <c r="AA138" i="5"/>
  <c r="AA137" i="5"/>
  <c r="AA105" i="5"/>
  <c r="AA100" i="5"/>
  <c r="AA96" i="5"/>
  <c r="AA77" i="5"/>
  <c r="AA135" i="5"/>
  <c r="AA4" i="5"/>
  <c r="AA55" i="5"/>
  <c r="AA95" i="5"/>
  <c r="AA121" i="5"/>
  <c r="AA128" i="5"/>
  <c r="AA29" i="5"/>
  <c r="AA106" i="5"/>
  <c r="AA108" i="5"/>
  <c r="AA109" i="5"/>
  <c r="AA154" i="5"/>
  <c r="AA15" i="5"/>
  <c r="AA61" i="5"/>
  <c r="AA30" i="5"/>
  <c r="AA148" i="5"/>
  <c r="AA84" i="5"/>
  <c r="AA116" i="5"/>
  <c r="AA37" i="5"/>
  <c r="AA49" i="5"/>
  <c r="AA112" i="5"/>
  <c r="AA43" i="5"/>
  <c r="AA26" i="5"/>
  <c r="AA10" i="5"/>
  <c r="AA62" i="5"/>
  <c r="AA166" i="5"/>
  <c r="AA57" i="5"/>
  <c r="AA127" i="5"/>
  <c r="AA51" i="5"/>
  <c r="I2" i="7" a="1"/>
  <c r="I2" i="7" s="1"/>
  <c r="F4" i="7" a="1"/>
  <c r="F4" i="7" s="1"/>
  <c r="F8" i="7" a="1"/>
  <c r="F8" i="7" s="1"/>
  <c r="I8" i="7" a="1"/>
  <c r="I8" i="7" s="1"/>
  <c r="I6" i="7" a="1"/>
  <c r="I6" i="7" s="1"/>
  <c r="F6" i="7" a="1"/>
  <c r="F6" i="7" s="1"/>
  <c r="I4" i="7" a="1"/>
  <c r="I4" i="7" s="1"/>
  <c r="F2" i="7" a="1"/>
  <c r="F2" i="7" s="1"/>
  <c r="S168" i="4"/>
  <c r="A498" i="30"/>
  <c r="A374" i="32"/>
  <c r="A571" i="32"/>
  <c r="A397" i="32"/>
  <c r="A118" i="32"/>
  <c r="A189" i="32"/>
  <c r="A101" i="32"/>
  <c r="A459" i="30"/>
  <c r="A244" i="32"/>
  <c r="A376" i="30"/>
  <c r="A505" i="30"/>
  <c r="A30" i="30"/>
  <c r="A283" i="32"/>
  <c r="A447" i="32"/>
  <c r="A388" i="32"/>
  <c r="A51" i="30"/>
  <c r="A111" i="30"/>
  <c r="A13" i="32"/>
  <c r="A362" i="32"/>
  <c r="A65" i="32"/>
  <c r="A405" i="30"/>
  <c r="A24" i="32"/>
  <c r="A95" i="30"/>
  <c r="A465" i="32"/>
  <c r="A97" i="31"/>
  <c r="F22" i="7"/>
  <c r="F35" i="7"/>
  <c r="F82" i="7"/>
  <c r="F30" i="7"/>
  <c r="F96" i="7"/>
  <c r="F81" i="7"/>
  <c r="F52" i="7"/>
  <c r="F345" i="7"/>
  <c r="F31" i="7"/>
  <c r="F68" i="7"/>
  <c r="F39" i="7"/>
  <c r="F86" i="7"/>
  <c r="F144" i="7"/>
  <c r="F60" i="7"/>
  <c r="F140" i="7"/>
  <c r="F85" i="7"/>
  <c r="E509" i="7"/>
  <c r="E502" i="7"/>
  <c r="E499" i="7"/>
  <c r="E398" i="7"/>
  <c r="E495" i="7"/>
  <c r="E506" i="7"/>
  <c r="E491" i="7"/>
  <c r="E18" i="7"/>
  <c r="E533" i="7"/>
  <c r="E436" i="7"/>
  <c r="E414" i="7"/>
  <c r="E245" i="7"/>
  <c r="E356" i="7"/>
  <c r="E500" i="7"/>
  <c r="E336" i="7"/>
  <c r="E512" i="7"/>
  <c r="E427" i="7"/>
  <c r="E362" i="7"/>
  <c r="E468" i="7"/>
  <c r="E481" i="7"/>
  <c r="E452" i="7"/>
  <c r="E514" i="7"/>
  <c r="E538" i="7"/>
  <c r="E401" i="7"/>
  <c r="E455" i="7"/>
  <c r="E409" i="7"/>
  <c r="E496" i="7"/>
  <c r="E511" i="7"/>
  <c r="E328" i="7"/>
  <c r="E299" i="7"/>
  <c r="E445" i="7"/>
  <c r="E435" i="7"/>
  <c r="E451" i="7"/>
  <c r="E492" i="7"/>
  <c r="E259" i="7"/>
  <c r="E306" i="7"/>
  <c r="E142" i="7"/>
  <c r="E484" i="7"/>
  <c r="E437" i="7"/>
  <c r="E448" i="7"/>
  <c r="E478" i="7"/>
  <c r="E490" i="7"/>
  <c r="E453" i="7"/>
  <c r="E493" i="7"/>
  <c r="E457" i="7"/>
  <c r="E419" i="7"/>
  <c r="E410" i="7"/>
  <c r="E537" i="7"/>
  <c r="E472" i="7"/>
  <c r="E188" i="7"/>
  <c r="E539" i="7"/>
  <c r="E422" i="7"/>
  <c r="E97" i="7"/>
  <c r="E117" i="7"/>
  <c r="E466" i="7"/>
  <c r="E505" i="7"/>
  <c r="E477" i="7"/>
  <c r="E535" i="7"/>
  <c r="E360" i="7"/>
  <c r="E430" i="7"/>
  <c r="E361" i="7"/>
  <c r="E327" i="7"/>
  <c r="E288" i="7"/>
  <c r="E609" i="7"/>
  <c r="E550" i="7"/>
  <c r="E270" i="7"/>
  <c r="E438" i="7"/>
  <c r="E542" i="7"/>
  <c r="E374" i="7"/>
  <c r="E284" i="7"/>
  <c r="E407" i="7"/>
  <c r="E89" i="7"/>
  <c r="E474" i="7"/>
  <c r="E261" i="7"/>
  <c r="E46" i="7"/>
  <c r="E571" i="7"/>
  <c r="E294" i="7"/>
  <c r="E525" i="7"/>
  <c r="E258" i="7"/>
  <c r="E548" i="7"/>
  <c r="E115" i="7"/>
  <c r="E231" i="7"/>
  <c r="E232" i="7"/>
  <c r="E100" i="7"/>
  <c r="E368" i="7"/>
  <c r="E55" i="7"/>
  <c r="E367" i="7"/>
  <c r="E366" i="7"/>
  <c r="E634" i="7"/>
  <c r="E620" i="7"/>
  <c r="E114" i="7"/>
  <c r="E281" i="7"/>
  <c r="E561" i="7"/>
  <c r="E560" i="7"/>
  <c r="E415" i="7"/>
  <c r="E316" i="7"/>
  <c r="E126" i="7"/>
  <c r="E551" i="7"/>
  <c r="E20" i="7"/>
  <c r="E476" i="7"/>
  <c r="E443" i="7"/>
  <c r="E400" i="7"/>
  <c r="E227" i="7"/>
  <c r="E473" i="7"/>
  <c r="E528" i="7"/>
  <c r="E255" i="7"/>
  <c r="E632" i="7"/>
  <c r="E606" i="7"/>
  <c r="E565" i="7"/>
  <c r="E501" i="7"/>
  <c r="E574" i="7"/>
  <c r="E594" i="7"/>
  <c r="E298" i="7"/>
  <c r="E308" i="7"/>
  <c r="E627" i="7"/>
  <c r="E442" i="7"/>
  <c r="E92" i="7"/>
  <c r="E464" i="7"/>
  <c r="E610" i="7"/>
  <c r="E382" i="7"/>
  <c r="E363" i="7"/>
  <c r="E79" i="7"/>
  <c r="E250" i="7"/>
  <c r="E17" i="7"/>
  <c r="E41" i="7"/>
  <c r="E229" i="7"/>
  <c r="E624" i="7"/>
  <c r="E527" i="7"/>
  <c r="E613" i="7"/>
  <c r="E446" i="7"/>
  <c r="E384" i="7"/>
  <c r="E450" i="7"/>
  <c r="E605" i="7"/>
  <c r="E128" i="7"/>
  <c r="E517" i="7"/>
  <c r="E160" i="7"/>
  <c r="E432" i="7"/>
  <c r="E497" i="7"/>
  <c r="E263" i="7"/>
  <c r="E332" i="7"/>
  <c r="E470" i="7"/>
  <c r="E319" i="7"/>
  <c r="E615" i="7"/>
  <c r="E635" i="7"/>
  <c r="E138" i="7"/>
  <c r="E596" i="7"/>
  <c r="E357" i="7"/>
  <c r="E524" i="7"/>
  <c r="E510" i="7"/>
  <c r="E431" i="7"/>
  <c r="E629" i="7"/>
  <c r="E498" i="7"/>
  <c r="E521" i="7"/>
  <c r="E54" i="7"/>
  <c r="E447" i="7"/>
  <c r="E257" i="7"/>
  <c r="E529" i="7"/>
  <c r="E15" i="7"/>
  <c r="E375" i="7"/>
  <c r="E454" i="7"/>
  <c r="E73" i="7"/>
  <c r="E101" i="7"/>
  <c r="E325" i="7"/>
  <c r="E523" i="7"/>
  <c r="E641" i="7"/>
  <c r="E42" i="7"/>
  <c r="E628" i="7"/>
  <c r="E171" i="7"/>
  <c r="E465" i="7"/>
  <c r="E601" i="7"/>
  <c r="E130" i="7"/>
  <c r="E121" i="7"/>
  <c r="E487" i="7"/>
  <c r="E639" i="7"/>
  <c r="E146" i="7"/>
  <c r="E302" i="7"/>
  <c r="E623" i="7"/>
  <c r="E221" i="7"/>
  <c r="E339" i="7"/>
  <c r="E520" i="7"/>
  <c r="E37" i="7"/>
  <c r="E333" i="7"/>
  <c r="E636" i="7"/>
  <c r="E638" i="7"/>
  <c r="E486" i="7"/>
  <c r="E191" i="7"/>
  <c r="E518" i="7"/>
  <c r="E106" i="7"/>
  <c r="E147" i="7"/>
  <c r="E150" i="7"/>
  <c r="E113" i="7"/>
  <c r="E530" i="7"/>
  <c r="E75" i="7"/>
  <c r="E593" i="7"/>
  <c r="E616" i="7"/>
  <c r="E630" i="7"/>
  <c r="E94" i="7"/>
  <c r="E273" i="7"/>
  <c r="E611" i="7"/>
  <c r="E133" i="7"/>
  <c r="E77" i="7"/>
  <c r="E264" i="7"/>
  <c r="E562" i="7"/>
  <c r="E545" i="7"/>
  <c r="E462" i="7"/>
  <c r="E402" i="7"/>
  <c r="E425" i="7"/>
  <c r="E84" i="7"/>
  <c r="E633" i="7"/>
  <c r="E607" i="7"/>
  <c r="E355" i="7"/>
  <c r="E108" i="7"/>
  <c r="E241" i="7"/>
  <c r="E90" i="7"/>
  <c r="E343" i="7"/>
  <c r="E364" i="7"/>
  <c r="E557" i="7"/>
  <c r="E475" i="7"/>
  <c r="E256" i="7"/>
  <c r="E87" i="7"/>
  <c r="E318" i="7"/>
  <c r="E43" i="7"/>
  <c r="E51" i="7"/>
  <c r="E127" i="7"/>
  <c r="E458" i="7"/>
  <c r="E555" i="7"/>
  <c r="E504" i="7"/>
  <c r="E297" i="7"/>
  <c r="E56" i="7"/>
  <c r="E285" i="7"/>
  <c r="E602" i="7"/>
  <c r="E252" i="7"/>
  <c r="E155" i="7"/>
  <c r="F240" i="7"/>
  <c r="E296" i="7"/>
  <c r="F309" i="7"/>
  <c r="F469" i="7"/>
  <c r="F247" i="7"/>
  <c r="F162" i="7"/>
  <c r="F44" i="7"/>
  <c r="F614" i="7"/>
  <c r="F546" i="7"/>
  <c r="F403" i="7"/>
  <c r="E93" i="7"/>
  <c r="E16" i="7"/>
  <c r="F135" i="7"/>
  <c r="F315" i="7"/>
  <c r="F167" i="7"/>
  <c r="F168" i="7"/>
  <c r="E310" i="7"/>
  <c r="F378" i="7"/>
  <c r="F586" i="7"/>
  <c r="E272" i="7"/>
  <c r="E349" i="7"/>
  <c r="E161" i="7"/>
  <c r="E640" i="7"/>
  <c r="F380" i="7"/>
  <c r="E370" i="7"/>
  <c r="E251" i="7"/>
  <c r="E670" i="7"/>
  <c r="E283" i="7"/>
  <c r="E119" i="7"/>
  <c r="E53" i="7"/>
  <c r="E125" i="7"/>
  <c r="E516" i="7"/>
  <c r="E564" i="7"/>
  <c r="F460" i="7"/>
  <c r="F433" i="7"/>
  <c r="F540" i="7"/>
  <c r="F269" i="7"/>
  <c r="E654" i="7"/>
  <c r="E566" i="7"/>
  <c r="F426" i="7"/>
  <c r="F223" i="7"/>
  <c r="F456" i="7"/>
  <c r="F461" i="7"/>
  <c r="F591" i="7"/>
  <c r="E14" i="7"/>
  <c r="F404" i="7"/>
  <c r="E279" i="7"/>
  <c r="E338" i="7"/>
  <c r="E247" i="7"/>
  <c r="E44" i="7"/>
  <c r="E220" i="7"/>
  <c r="E266" i="7"/>
  <c r="E13" i="7"/>
  <c r="F577" i="7"/>
  <c r="F93" i="7"/>
  <c r="E219" i="7"/>
  <c r="E136" i="7"/>
  <c r="F541" i="7"/>
  <c r="F158" i="7"/>
  <c r="F153" i="7"/>
  <c r="E244" i="7"/>
  <c r="E226" i="7"/>
  <c r="E617" i="7"/>
  <c r="F534" i="7"/>
  <c r="F554" i="7"/>
  <c r="E27" i="7"/>
  <c r="E416" i="7"/>
  <c r="E134" i="7"/>
  <c r="E460" i="7"/>
  <c r="E423" i="7"/>
  <c r="E420" i="7"/>
  <c r="E323" i="7"/>
  <c r="F391" i="7"/>
  <c r="E91" i="7"/>
  <c r="E131" i="7"/>
  <c r="F129" i="7"/>
  <c r="E580" i="7"/>
  <c r="E242" i="7"/>
  <c r="F338" i="7"/>
  <c r="F215" i="7"/>
  <c r="F584" i="7"/>
  <c r="F105" i="7"/>
  <c r="E575" i="7"/>
  <c r="E645" i="7"/>
  <c r="F626" i="7"/>
  <c r="F373" i="7"/>
  <c r="E341" i="7"/>
  <c r="F372" i="7"/>
  <c r="F348" i="7"/>
  <c r="F304" i="7"/>
  <c r="F603" i="7"/>
  <c r="F494" i="7"/>
  <c r="F330" i="7"/>
  <c r="E34" i="7"/>
  <c r="F434" i="7"/>
  <c r="E544" i="7"/>
  <c r="E32" i="7"/>
  <c r="E650" i="7"/>
  <c r="E683" i="7"/>
  <c r="E164" i="7"/>
  <c r="E344" i="7"/>
  <c r="E58" i="7"/>
  <c r="E658" i="7"/>
  <c r="E335" i="7"/>
  <c r="E534" i="7"/>
  <c r="E554" i="7"/>
  <c r="E19" i="7"/>
  <c r="E665" i="7"/>
  <c r="E489" i="7"/>
  <c r="F359" i="7"/>
  <c r="F619" i="7"/>
  <c r="F556" i="7"/>
  <c r="E295" i="7"/>
  <c r="F602" i="7"/>
  <c r="F531" i="7"/>
  <c r="E322" i="7"/>
  <c r="E653" i="7"/>
  <c r="E277" i="7"/>
  <c r="F503" i="7"/>
  <c r="E488" i="7"/>
  <c r="F152" i="7"/>
  <c r="E669" i="7"/>
  <c r="E240" i="7"/>
  <c r="E563" i="7"/>
  <c r="F583" i="7"/>
  <c r="E309" i="7"/>
  <c r="E70" i="7"/>
  <c r="E162" i="7"/>
  <c r="E185" i="7"/>
  <c r="E105" i="7"/>
  <c r="E139" i="7"/>
  <c r="E215" i="7"/>
  <c r="E169" i="7"/>
  <c r="E112" i="7"/>
  <c r="E99" i="7"/>
  <c r="F236" i="7"/>
  <c r="E118" i="7"/>
  <c r="E392" i="7"/>
  <c r="E373" i="7"/>
  <c r="E459" i="7"/>
  <c r="E378" i="7"/>
  <c r="E421" i="7"/>
  <c r="E163" i="7"/>
  <c r="E494" i="7"/>
  <c r="F578" i="7"/>
  <c r="E326" i="7"/>
  <c r="E656" i="7"/>
  <c r="F424" i="7"/>
  <c r="E65" i="7"/>
  <c r="F305" i="7"/>
  <c r="E359" i="7"/>
  <c r="F143" i="7"/>
  <c r="E556" i="7"/>
  <c r="E346" i="7"/>
  <c r="E503" i="7"/>
  <c r="F488" i="7"/>
  <c r="E110" i="7"/>
  <c r="E38" i="7"/>
  <c r="E418" i="7"/>
  <c r="F279" i="7"/>
  <c r="F217" i="7"/>
  <c r="F399" i="7"/>
  <c r="F61" i="7"/>
  <c r="E577" i="7"/>
  <c r="F230" i="7"/>
  <c r="F547" i="7"/>
  <c r="E672" i="7"/>
  <c r="E78" i="7"/>
  <c r="E324" i="7"/>
  <c r="E618" i="7"/>
  <c r="E675" i="7"/>
  <c r="E268" i="7"/>
  <c r="E317" i="7"/>
  <c r="E386" i="7"/>
  <c r="E671" i="7"/>
  <c r="E429" i="7"/>
  <c r="E300" i="7"/>
  <c r="E254" i="7"/>
  <c r="E293" i="7"/>
  <c r="E661" i="7"/>
  <c r="F275" i="7"/>
  <c r="F350" i="7"/>
  <c r="F416" i="7"/>
  <c r="F213" i="7"/>
  <c r="F463" i="7"/>
  <c r="F440" i="7"/>
  <c r="F379" i="7"/>
  <c r="F568" i="7"/>
  <c r="F580" i="7"/>
  <c r="F396" i="7"/>
  <c r="F242" i="7"/>
  <c r="E321" i="7"/>
  <c r="E217" i="7"/>
  <c r="E546" i="7"/>
  <c r="E469" i="7"/>
  <c r="E553" i="7"/>
  <c r="E657" i="7"/>
  <c r="E301" i="7"/>
  <c r="E644" i="7"/>
  <c r="E50" i="7"/>
  <c r="F631" i="7"/>
  <c r="F507" i="7"/>
  <c r="E102" i="7"/>
  <c r="E647" i="7"/>
  <c r="E57" i="7"/>
  <c r="E36" i="7"/>
  <c r="E604" i="7"/>
  <c r="E168" i="7"/>
  <c r="E340" i="7"/>
  <c r="F383" i="7"/>
  <c r="F612" i="7"/>
  <c r="F544" i="7"/>
  <c r="F344" i="7"/>
  <c r="F216" i="7"/>
  <c r="F587" i="7"/>
  <c r="E649" i="7"/>
  <c r="E141" i="7"/>
  <c r="E269" i="7"/>
  <c r="E433" i="7"/>
  <c r="E642" i="7"/>
  <c r="E59" i="7"/>
  <c r="E267" i="7"/>
  <c r="E585" i="7"/>
  <c r="E608" i="7"/>
  <c r="E331" i="7"/>
  <c r="E426" i="7"/>
  <c r="F395" i="7"/>
  <c r="E568" i="7"/>
  <c r="F111" i="7"/>
  <c r="E149" i="7"/>
  <c r="F265" i="7"/>
  <c r="F166" i="7"/>
  <c r="F352" i="7"/>
  <c r="F118" i="7"/>
  <c r="E532" i="7"/>
  <c r="F449" i="7"/>
  <c r="F552" i="7"/>
  <c r="F353" i="7"/>
  <c r="F599" i="7"/>
  <c r="F459" i="7"/>
  <c r="F479" i="7"/>
  <c r="E88" i="7"/>
  <c r="F278" i="7"/>
  <c r="F576" i="7"/>
  <c r="E668" i="7"/>
  <c r="E598" i="7"/>
  <c r="E45" i="7"/>
  <c r="E651" i="7"/>
  <c r="E287" i="7"/>
  <c r="E388" i="7"/>
  <c r="E103" i="7"/>
  <c r="E159" i="7"/>
  <c r="F226" i="7"/>
  <c r="E137" i="7"/>
  <c r="F303" i="7"/>
  <c r="F239" i="7"/>
  <c r="E143" i="7"/>
  <c r="F588" i="7"/>
  <c r="F148" i="7"/>
  <c r="E590" i="7"/>
  <c r="F276" i="7"/>
  <c r="F110" i="7"/>
  <c r="F622" i="7"/>
  <c r="F358" i="7"/>
  <c r="E584" i="7"/>
  <c r="E47" i="7"/>
  <c r="F341" i="7"/>
  <c r="E372" i="7"/>
  <c r="E304" i="7"/>
  <c r="F26" i="7"/>
  <c r="E107" i="7"/>
  <c r="E485" i="7"/>
  <c r="E667" i="7"/>
  <c r="E330" i="7"/>
  <c r="E412" i="7"/>
  <c r="F351" i="7"/>
  <c r="F640" i="7"/>
  <c r="E380" i="7"/>
  <c r="F324" i="7"/>
  <c r="F116" i="7"/>
  <c r="F618" i="7"/>
  <c r="E243" i="7"/>
  <c r="E353" i="7"/>
  <c r="E222" i="7"/>
  <c r="E559" i="7"/>
  <c r="F286" i="7"/>
  <c r="E192" i="7"/>
  <c r="E619" i="7"/>
  <c r="E531" i="7"/>
  <c r="E354" i="7"/>
  <c r="E28" i="7"/>
  <c r="E148" i="7"/>
  <c r="E625" i="7"/>
  <c r="E289" i="7"/>
  <c r="F237" i="7"/>
  <c r="F246" i="7"/>
  <c r="F563" i="7"/>
  <c r="E358" i="7"/>
  <c r="E558" i="7"/>
  <c r="E376" i="7"/>
  <c r="F218" i="7"/>
  <c r="F589" i="7"/>
  <c r="E522" i="7"/>
  <c r="E124" i="7"/>
  <c r="F220" i="7"/>
  <c r="F50" i="7"/>
  <c r="E483" i="7"/>
  <c r="E253" i="7"/>
  <c r="E507" i="7"/>
  <c r="E549" i="7"/>
  <c r="E109" i="7"/>
  <c r="F172" i="7"/>
  <c r="F597" i="7"/>
  <c r="E67" i="7"/>
  <c r="E371" i="7"/>
  <c r="E678" i="7"/>
  <c r="E406" i="7"/>
  <c r="E676" i="7"/>
  <c r="E286" i="7"/>
  <c r="E116" i="7"/>
  <c r="E621" i="7"/>
  <c r="E578" i="7"/>
  <c r="E303" i="7"/>
  <c r="E190" i="7"/>
  <c r="E441" i="7"/>
  <c r="F608" i="7"/>
  <c r="E600" i="7"/>
  <c r="F423" i="7"/>
  <c r="F420" i="7"/>
  <c r="E337" i="7"/>
  <c r="E680" i="7"/>
  <c r="F131" i="7"/>
  <c r="E104" i="7"/>
  <c r="E395" i="7"/>
  <c r="E111" i="7"/>
  <c r="E218" i="7"/>
  <c r="E399" i="7"/>
  <c r="F575" i="7"/>
  <c r="E660" i="7"/>
  <c r="E154" i="7"/>
  <c r="E674" i="7"/>
  <c r="E61" i="7"/>
  <c r="E614" i="7"/>
  <c r="F253" i="7"/>
  <c r="E403" i="7"/>
  <c r="E230" i="7"/>
  <c r="F549" i="7"/>
  <c r="E393" i="7"/>
  <c r="F109" i="7"/>
  <c r="E547" i="7"/>
  <c r="E186" i="7"/>
  <c r="F480" i="7"/>
  <c r="F482" i="7"/>
  <c r="F411" i="7"/>
  <c r="F76" i="7"/>
  <c r="F592" i="7"/>
  <c r="E573" i="7"/>
  <c r="F489" i="7"/>
  <c r="F137" i="7"/>
  <c r="E519" i="7"/>
  <c r="E463" i="7"/>
  <c r="E540" i="7"/>
  <c r="F595" i="7"/>
  <c r="E120" i="7"/>
  <c r="E526" i="7"/>
  <c r="F387" i="7"/>
  <c r="E461" i="7"/>
  <c r="E456" i="7"/>
  <c r="F234" i="7"/>
  <c r="E404" i="7"/>
  <c r="F185" i="7"/>
  <c r="F169" i="7"/>
  <c r="F139" i="7"/>
  <c r="E329" i="7"/>
  <c r="F47" i="7"/>
  <c r="E69" i="7"/>
  <c r="E72" i="7"/>
  <c r="F467" i="7"/>
  <c r="E291" i="7"/>
  <c r="E26" i="7"/>
  <c r="F62" i="7"/>
  <c r="E189" i="7"/>
  <c r="E612" i="7"/>
  <c r="E411" i="7"/>
  <c r="E153" i="7"/>
  <c r="E480" i="7"/>
  <c r="E48" i="7"/>
  <c r="E482" i="7"/>
  <c r="E541" i="7"/>
  <c r="E158" i="7"/>
  <c r="F573" i="7"/>
  <c r="E313" i="7"/>
  <c r="E582" i="7"/>
  <c r="E682" i="7"/>
  <c r="E666" i="7"/>
  <c r="E648" i="7"/>
  <c r="E579" i="7"/>
  <c r="E216" i="7"/>
  <c r="E587" i="7"/>
  <c r="F314" i="7"/>
  <c r="F249" i="7"/>
  <c r="F190" i="7"/>
  <c r="F346" i="7"/>
  <c r="E595" i="7"/>
  <c r="E391" i="7"/>
  <c r="F289" i="7"/>
  <c r="E381" i="7"/>
  <c r="E246" i="7"/>
  <c r="E237" i="7"/>
  <c r="E417" i="7"/>
  <c r="E408" i="7"/>
  <c r="F543" i="7"/>
  <c r="F376" i="7"/>
  <c r="E677" i="7"/>
  <c r="E581" i="7"/>
  <c r="E659" i="7"/>
  <c r="E352" i="7"/>
  <c r="E292" i="7"/>
  <c r="E166" i="7"/>
  <c r="F124" i="7"/>
  <c r="E679" i="7"/>
  <c r="E626" i="7"/>
  <c r="E348" i="7"/>
  <c r="E552" i="7"/>
  <c r="E603" i="7"/>
  <c r="E673" i="7"/>
  <c r="F145" i="7"/>
  <c r="E586" i="7"/>
  <c r="E23" i="7"/>
  <c r="E588" i="7"/>
  <c r="E314" i="7"/>
  <c r="E249" i="7"/>
  <c r="E98" i="7"/>
  <c r="E334" i="7"/>
  <c r="F590" i="7"/>
  <c r="E95" i="7"/>
  <c r="E290" i="7"/>
  <c r="E276" i="7"/>
  <c r="E390" i="7"/>
  <c r="E152" i="7"/>
  <c r="F417" i="7"/>
  <c r="E622" i="7"/>
  <c r="F151" i="7"/>
  <c r="E543" i="7"/>
  <c r="E583" i="7"/>
  <c r="E405" i="7"/>
  <c r="E307" i="7"/>
  <c r="F266" i="7"/>
  <c r="E508" i="7"/>
  <c r="E631" i="7"/>
  <c r="E271" i="7"/>
  <c r="F136" i="7"/>
  <c r="F604" i="7"/>
  <c r="F570" i="7"/>
  <c r="F219" i="7"/>
  <c r="E274" i="7"/>
  <c r="E71" i="7"/>
  <c r="F412" i="7"/>
  <c r="E145" i="7"/>
  <c r="E351" i="7"/>
  <c r="E424" i="7"/>
  <c r="F312" i="7"/>
  <c r="E305" i="7"/>
  <c r="E664" i="7"/>
  <c r="E389" i="7"/>
  <c r="F569" i="7"/>
  <c r="F397" i="7"/>
  <c r="F444" i="7"/>
  <c r="F439" i="7"/>
  <c r="F413" i="7"/>
  <c r="F120" i="7"/>
  <c r="E387" i="7"/>
  <c r="E129" i="7"/>
  <c r="E681" i="7"/>
  <c r="E234" i="7"/>
  <c r="F282" i="7"/>
  <c r="E663" i="7"/>
  <c r="E589" i="7"/>
  <c r="E646" i="7"/>
  <c r="E214" i="7"/>
  <c r="E655" i="7"/>
  <c r="E536" i="7"/>
  <c r="F508" i="7"/>
  <c r="E135" i="7"/>
  <c r="E167" i="7"/>
  <c r="E570" i="7"/>
  <c r="E172" i="7"/>
  <c r="E315" i="7"/>
  <c r="E662" i="7"/>
  <c r="E369" i="7"/>
  <c r="E434" i="7"/>
  <c r="F598" i="7"/>
  <c r="F515" i="7"/>
  <c r="F313" i="7"/>
  <c r="F579" i="7"/>
  <c r="F582" i="7"/>
  <c r="F394" i="7"/>
  <c r="E365" i="7"/>
  <c r="E569" i="7"/>
  <c r="F441" i="7"/>
  <c r="E275" i="7"/>
  <c r="F564" i="7"/>
  <c r="F600" i="7"/>
  <c r="E397" i="7"/>
  <c r="E413" i="7"/>
  <c r="E213" i="7"/>
  <c r="E350" i="7"/>
  <c r="E439" i="7"/>
  <c r="E444" i="7"/>
  <c r="E280" i="7"/>
  <c r="F337" i="7"/>
  <c r="E440" i="7"/>
  <c r="E187" i="7"/>
  <c r="E379" i="7"/>
  <c r="E282" i="7"/>
  <c r="E262" i="7"/>
  <c r="E513" i="7"/>
  <c r="E223" i="7"/>
  <c r="E591" i="7"/>
  <c r="E156" i="7"/>
  <c r="E396" i="7"/>
  <c r="F170" i="7"/>
  <c r="F581" i="7"/>
  <c r="E385" i="7"/>
  <c r="F679" i="7"/>
  <c r="E236" i="7"/>
  <c r="E342" i="7"/>
  <c r="E132" i="7"/>
  <c r="F260" i="7"/>
  <c r="F222" i="7"/>
  <c r="F421" i="7"/>
  <c r="F163" i="7"/>
  <c r="F485" i="7"/>
  <c r="F165" i="7"/>
  <c r="E383" i="7"/>
  <c r="F369" i="7"/>
  <c r="E76" i="7"/>
  <c r="E29" i="7"/>
  <c r="E33" i="7"/>
  <c r="E592" i="7"/>
  <c r="F617" i="7"/>
  <c r="E515" i="7"/>
  <c r="E394" i="7"/>
  <c r="F243" i="7"/>
  <c r="E239" i="7"/>
  <c r="F283" i="7"/>
  <c r="F98" i="7"/>
  <c r="F625" i="7"/>
  <c r="E377" i="7"/>
  <c r="F290" i="7"/>
  <c r="F390" i="7"/>
  <c r="E151" i="7"/>
  <c r="F418" i="7"/>
  <c r="F558" i="7"/>
  <c r="F405" i="7"/>
  <c r="E170" i="7"/>
  <c r="E265" i="7"/>
  <c r="E260" i="7"/>
  <c r="E599" i="7"/>
  <c r="E278" i="7"/>
  <c r="E122" i="7"/>
  <c r="E449" i="7"/>
  <c r="E165" i="7"/>
  <c r="E467" i="7"/>
  <c r="E576" i="7"/>
  <c r="F161" i="7"/>
  <c r="F272" i="7"/>
  <c r="F429" i="7"/>
  <c r="F349" i="7"/>
  <c r="F293" i="7"/>
  <c r="E312" i="7"/>
  <c r="F251" i="7"/>
  <c r="F164" i="7"/>
  <c r="E479" i="7"/>
  <c r="F88" i="7"/>
  <c r="E597" i="7"/>
  <c r="F254" i="7"/>
  <c r="F406" i="7"/>
  <c r="F621" i="7"/>
  <c r="F371" i="7"/>
  <c r="F386" i="7"/>
  <c r="P17" i="28" l="1"/>
  <c r="AA119" i="4"/>
  <c r="AA186" i="4"/>
  <c r="AA81" i="3"/>
  <c r="AA113" i="4"/>
  <c r="AA30" i="4"/>
  <c r="AA218" i="4"/>
  <c r="AA36" i="4"/>
  <c r="AA214" i="4"/>
  <c r="AA4" i="4"/>
  <c r="AA41" i="4"/>
  <c r="AA68" i="3"/>
  <c r="AA4" i="3"/>
  <c r="AA209" i="4"/>
  <c r="AA197" i="4"/>
  <c r="AA52" i="4"/>
  <c r="AA32" i="3"/>
  <c r="AA198" i="4"/>
  <c r="AA21" i="3"/>
  <c r="AA111" i="3"/>
  <c r="AA183" i="4"/>
  <c r="AA49" i="4"/>
  <c r="AA90" i="4"/>
  <c r="AA3" i="4"/>
  <c r="AA97" i="3"/>
  <c r="AA42" i="4"/>
  <c r="AA16" i="3"/>
  <c r="AA11" i="3"/>
  <c r="AA122" i="3"/>
  <c r="AA167" i="4"/>
  <c r="AA25" i="3"/>
  <c r="AA148" i="4"/>
  <c r="AA34" i="3"/>
  <c r="AA44" i="3"/>
  <c r="AA9" i="3"/>
  <c r="AA94" i="4"/>
  <c r="AA44" i="4"/>
  <c r="AA98" i="3"/>
  <c r="AA159" i="4"/>
  <c r="AA51" i="3"/>
  <c r="AA21" i="4"/>
  <c r="AA106" i="3"/>
  <c r="AA163" i="4"/>
  <c r="AA31" i="4"/>
  <c r="AA116" i="3"/>
  <c r="AA55" i="4"/>
  <c r="AA95" i="3"/>
  <c r="AA200" i="4"/>
  <c r="AA68" i="4"/>
  <c r="AA58" i="3"/>
  <c r="AA123" i="3"/>
  <c r="AA75" i="3"/>
  <c r="AA33" i="3"/>
  <c r="AA192" i="4"/>
  <c r="AA7" i="4"/>
  <c r="AA19" i="3"/>
  <c r="AA43" i="4"/>
  <c r="AA41" i="3"/>
  <c r="AA87" i="3"/>
  <c r="AA226" i="4"/>
  <c r="AA117" i="3"/>
  <c r="AA171" i="4"/>
  <c r="AA27" i="3"/>
  <c r="AA48" i="3"/>
  <c r="AA145" i="4"/>
  <c r="AA221" i="4"/>
  <c r="AA8" i="4"/>
  <c r="AA60" i="3"/>
  <c r="AA6" i="3"/>
  <c r="AA5" i="3"/>
  <c r="AA90" i="3"/>
  <c r="AA149" i="4"/>
  <c r="AA196" i="4"/>
  <c r="AA67" i="3"/>
  <c r="AA24" i="4"/>
  <c r="AA126" i="4"/>
  <c r="AA201" i="4"/>
  <c r="AA157" i="4"/>
  <c r="AA46" i="3"/>
  <c r="AA80" i="4"/>
  <c r="AA78" i="3"/>
  <c r="AA102" i="3"/>
  <c r="AA195" i="4"/>
  <c r="AA168" i="4"/>
  <c r="AA99" i="4"/>
  <c r="AA115" i="4"/>
  <c r="AA59" i="3"/>
  <c r="AA108" i="4"/>
  <c r="AA14" i="3"/>
  <c r="AA62" i="3"/>
  <c r="AA82" i="4"/>
  <c r="AA144" i="4"/>
  <c r="AA3" i="3"/>
  <c r="AA164" i="4"/>
  <c r="AA42" i="3"/>
  <c r="AA74" i="3"/>
  <c r="AA133" i="4"/>
  <c r="AA222" i="4"/>
  <c r="AA137" i="4"/>
  <c r="AA39" i="3"/>
  <c r="AA193" i="4"/>
  <c r="AA85" i="4"/>
  <c r="AA57" i="3"/>
  <c r="AA179" i="4"/>
  <c r="AA69" i="3"/>
  <c r="AA57" i="4"/>
  <c r="AA20" i="3"/>
  <c r="AA119" i="3"/>
  <c r="AA30" i="3"/>
  <c r="AA199" i="4"/>
  <c r="AA63" i="3"/>
  <c r="AA31" i="3"/>
  <c r="AA143" i="4"/>
  <c r="AA203" i="4"/>
  <c r="AA109" i="4"/>
  <c r="AA120" i="3"/>
  <c r="O53" i="28"/>
  <c r="O62" i="28"/>
  <c r="O21" i="28"/>
  <c r="O27" i="28"/>
  <c r="O51" i="28"/>
  <c r="O55" i="28"/>
  <c r="O41" i="28"/>
  <c r="O32" i="28"/>
  <c r="O8" i="28"/>
  <c r="O64" i="28"/>
  <c r="O14" i="28"/>
  <c r="O5" i="28"/>
  <c r="O37" i="28"/>
  <c r="O58" i="28"/>
  <c r="O57" i="28"/>
  <c r="O19" i="28"/>
  <c r="O26" i="28"/>
  <c r="O28" i="28"/>
  <c r="O15" i="28"/>
  <c r="O34" i="28"/>
  <c r="O25" i="28"/>
  <c r="O22" i="28"/>
  <c r="O36" i="28"/>
  <c r="O45" i="28"/>
  <c r="O54" i="28"/>
  <c r="O39" i="28"/>
  <c r="O23" i="28"/>
  <c r="O56" i="28"/>
  <c r="O31" i="28"/>
  <c r="O40" i="28"/>
  <c r="O38" i="28"/>
  <c r="O52" i="28"/>
  <c r="O48" i="28"/>
  <c r="O42" i="28"/>
  <c r="O12" i="28"/>
  <c r="O61" i="28"/>
  <c r="O7" i="28"/>
  <c r="O29" i="28"/>
  <c r="O18" i="28"/>
  <c r="O33" i="28"/>
  <c r="O13" i="28"/>
  <c r="O6" i="28"/>
  <c r="O20" i="28"/>
  <c r="O50" i="28"/>
  <c r="O11" i="28"/>
  <c r="O47" i="28"/>
  <c r="O43" i="28"/>
  <c r="O17" i="28"/>
  <c r="O59" i="28"/>
  <c r="O44" i="28"/>
  <c r="O35" i="28"/>
  <c r="O9" i="28"/>
  <c r="O10" i="28"/>
  <c r="O49" i="28"/>
  <c r="O60" i="28"/>
  <c r="O63" i="28"/>
  <c r="O30" i="28"/>
  <c r="O46" i="28"/>
  <c r="O16" i="28"/>
  <c r="P44" i="28"/>
  <c r="P39" i="28"/>
  <c r="P60" i="28"/>
  <c r="P64" i="28"/>
  <c r="P7" i="28"/>
  <c r="P21" i="28"/>
  <c r="P19" i="28"/>
  <c r="P30" i="28"/>
  <c r="P5" i="28"/>
  <c r="P31" i="28"/>
  <c r="P16" i="28"/>
  <c r="P8" i="28"/>
  <c r="P27" i="28"/>
  <c r="P20" i="28"/>
  <c r="P42" i="28"/>
  <c r="P49" i="28"/>
  <c r="P55" i="28"/>
  <c r="P6" i="28"/>
  <c r="P23" i="28"/>
  <c r="P41" i="28"/>
  <c r="P34" i="28"/>
  <c r="P56" i="28"/>
  <c r="P47" i="28"/>
  <c r="P12" i="28"/>
  <c r="P10" i="28"/>
  <c r="P29" i="28"/>
  <c r="P36" i="28"/>
  <c r="P24" i="28"/>
  <c r="P54" i="28"/>
  <c r="P63" i="28"/>
  <c r="P25" i="28"/>
  <c r="P11" i="28"/>
  <c r="P14" i="28"/>
  <c r="P32" i="28"/>
  <c r="P37" i="28"/>
  <c r="P15" i="28"/>
  <c r="P22" i="28"/>
  <c r="P58" i="28"/>
  <c r="P43" i="28"/>
  <c r="P52" i="28"/>
  <c r="P59" i="28"/>
  <c r="P53" i="28"/>
  <c r="P9" i="28"/>
  <c r="P48" i="28"/>
  <c r="P35" i="28"/>
  <c r="P61" i="28"/>
  <c r="P38" i="28"/>
  <c r="P18" i="28"/>
  <c r="P50" i="28"/>
  <c r="P40" i="28"/>
  <c r="P57" i="28"/>
  <c r="P13" i="28"/>
  <c r="P46" i="28"/>
  <c r="P33" i="28"/>
  <c r="P28" i="28"/>
  <c r="P45" i="28"/>
  <c r="P62" i="28"/>
  <c r="P26" i="28"/>
  <c r="P51" i="28"/>
  <c r="S177" i="4"/>
  <c r="S40" i="3"/>
  <c r="S113" i="4"/>
  <c r="S104" i="4"/>
  <c r="Y44" i="28"/>
  <c r="AE57" i="28"/>
  <c r="AC57" i="28" s="1"/>
  <c r="AD57" i="28" s="1"/>
  <c r="G61" i="28"/>
  <c r="X32" i="28"/>
  <c r="F40" i="28"/>
  <c r="G40" i="28"/>
  <c r="G39" i="28"/>
  <c r="F61" i="28"/>
  <c r="G38" i="28"/>
  <c r="X43" i="28"/>
  <c r="X23" i="28"/>
  <c r="G55" i="28"/>
  <c r="Y17" i="28"/>
  <c r="G46" i="28"/>
  <c r="Y50" i="28"/>
  <c r="AE48" i="28"/>
  <c r="AE12" i="28"/>
  <c r="AE54" i="28"/>
  <c r="AE28" i="28"/>
  <c r="AE15" i="28"/>
  <c r="AE53" i="28"/>
  <c r="AE44" i="28"/>
  <c r="AE31" i="28"/>
  <c r="AE17" i="28"/>
  <c r="AE40" i="28"/>
  <c r="AE60" i="28"/>
  <c r="AE55" i="28"/>
  <c r="AE34" i="28"/>
  <c r="AE52" i="28"/>
  <c r="AE62" i="28"/>
  <c r="X55" i="28"/>
  <c r="X38" i="28"/>
  <c r="X7" i="28"/>
  <c r="F53" i="28"/>
  <c r="X45" i="28"/>
  <c r="X6" i="28"/>
  <c r="X58" i="28"/>
  <c r="Y53" i="28"/>
  <c r="X46" i="28"/>
  <c r="X28" i="28"/>
  <c r="X26" i="28"/>
  <c r="Y25" i="28"/>
  <c r="F50" i="28"/>
  <c r="Y56" i="28"/>
  <c r="Y21" i="28"/>
  <c r="G63" i="28"/>
  <c r="G62" i="28"/>
  <c r="X10" i="28"/>
  <c r="X11" i="28"/>
  <c r="G51" i="28"/>
  <c r="F64" i="28"/>
  <c r="G60" i="28"/>
  <c r="Y52" i="28"/>
  <c r="X59" i="28"/>
  <c r="Y29" i="28"/>
  <c r="Y64" i="28"/>
  <c r="X12" i="28"/>
  <c r="X20" i="28"/>
  <c r="S17" i="2"/>
  <c r="S21" i="2"/>
  <c r="S33" i="2"/>
  <c r="S51" i="2"/>
  <c r="S40" i="2"/>
  <c r="S37" i="2"/>
  <c r="S46" i="2"/>
  <c r="S59" i="2"/>
  <c r="S48" i="2"/>
  <c r="S55" i="2"/>
  <c r="S53" i="2"/>
  <c r="S69" i="2"/>
  <c r="S60" i="2"/>
  <c r="S64" i="2"/>
  <c r="S45" i="2"/>
  <c r="S18" i="2"/>
  <c r="S66" i="2"/>
  <c r="S14" i="2"/>
  <c r="S27" i="5"/>
  <c r="S146" i="5"/>
  <c r="S108" i="5"/>
  <c r="S145" i="5"/>
  <c r="S67" i="5"/>
  <c r="S33" i="5"/>
  <c r="S143" i="5"/>
  <c r="S110" i="5"/>
  <c r="S160" i="5"/>
  <c r="S150" i="5"/>
  <c r="S3" i="5"/>
  <c r="S125" i="5"/>
  <c r="S155" i="5"/>
  <c r="S22" i="5"/>
  <c r="S153" i="5"/>
  <c r="S9" i="5"/>
  <c r="S97" i="5"/>
  <c r="S174" i="5"/>
  <c r="S51" i="5"/>
  <c r="S103" i="5"/>
  <c r="S134" i="5"/>
  <c r="S55" i="5"/>
  <c r="S5" i="5"/>
  <c r="S107" i="5"/>
  <c r="S137" i="5"/>
  <c r="S130" i="5"/>
  <c r="S10" i="5"/>
  <c r="S92" i="5"/>
  <c r="S148" i="5"/>
  <c r="S131" i="5"/>
  <c r="S81" i="5"/>
  <c r="S105" i="5"/>
  <c r="S45" i="5"/>
  <c r="S49" i="5"/>
  <c r="S168" i="5"/>
  <c r="S132" i="5"/>
  <c r="S113" i="5"/>
  <c r="S111" i="5"/>
  <c r="S126" i="5"/>
  <c r="S158" i="5"/>
  <c r="S99" i="5"/>
  <c r="S48" i="5"/>
  <c r="S53" i="5"/>
  <c r="S133" i="5"/>
  <c r="K6" i="7"/>
  <c r="E6" i="7" a="1"/>
  <c r="E6" i="7" s="1"/>
  <c r="H6" i="7" a="1"/>
  <c r="H6" i="7" s="1"/>
  <c r="X33" i="28"/>
  <c r="Y43" i="28"/>
  <c r="Y23" i="28"/>
  <c r="G54" i="28"/>
  <c r="F45" i="28"/>
  <c r="X9" i="28"/>
  <c r="Y41" i="28"/>
  <c r="Y24" i="28"/>
  <c r="X40" i="28"/>
  <c r="AE33" i="28"/>
  <c r="AE64" i="28"/>
  <c r="AE16" i="28"/>
  <c r="AE26" i="28"/>
  <c r="AE9" i="28"/>
  <c r="AE36" i="28"/>
  <c r="AE35" i="28"/>
  <c r="AE7" i="28"/>
  <c r="AE22" i="28"/>
  <c r="AE51" i="28"/>
  <c r="AE59" i="28"/>
  <c r="AE8" i="28"/>
  <c r="AE38" i="28"/>
  <c r="AE18" i="28"/>
  <c r="AE29" i="28"/>
  <c r="X57" i="28"/>
  <c r="Y16" i="28"/>
  <c r="Y55" i="28"/>
  <c r="Y38" i="28"/>
  <c r="Y7" i="28"/>
  <c r="F49" i="28"/>
  <c r="G53" i="28"/>
  <c r="Y47" i="28"/>
  <c r="Y46" i="28"/>
  <c r="Y28" i="28"/>
  <c r="Y26" i="28"/>
  <c r="Y51" i="28"/>
  <c r="G50" i="28"/>
  <c r="Y19" i="28"/>
  <c r="F41" i="28"/>
  <c r="X15" i="28"/>
  <c r="X30" i="28"/>
  <c r="Y10" i="28"/>
  <c r="Y11" i="28"/>
  <c r="X48" i="28"/>
  <c r="Y34" i="28"/>
  <c r="G64" i="28"/>
  <c r="F56" i="28"/>
  <c r="X42" i="28"/>
  <c r="F57" i="28"/>
  <c r="F52" i="28"/>
  <c r="X31" i="28"/>
  <c r="Y12" i="28"/>
  <c r="X13" i="28"/>
  <c r="X18" i="28"/>
  <c r="Y61" i="28"/>
  <c r="Y20" i="28"/>
  <c r="S10" i="2"/>
  <c r="S42" i="2"/>
  <c r="S72" i="2"/>
  <c r="S63" i="2"/>
  <c r="S50" i="2"/>
  <c r="S31" i="2"/>
  <c r="S41" i="2"/>
  <c r="S34" i="2"/>
  <c r="S16" i="2"/>
  <c r="S15" i="2"/>
  <c r="S7" i="2"/>
  <c r="S68" i="2"/>
  <c r="S26" i="2"/>
  <c r="S29" i="2"/>
  <c r="S3" i="2"/>
  <c r="S62" i="2"/>
  <c r="S38" i="2"/>
  <c r="S27" i="2"/>
  <c r="S22" i="2"/>
  <c r="S73" i="5"/>
  <c r="S47" i="5"/>
  <c r="S157" i="5"/>
  <c r="S102" i="5"/>
  <c r="S94" i="5"/>
  <c r="S142" i="5"/>
  <c r="S62" i="5"/>
  <c r="S121" i="5"/>
  <c r="S122" i="5"/>
  <c r="S26" i="5"/>
  <c r="S164" i="5"/>
  <c r="S80" i="5"/>
  <c r="S109" i="5"/>
  <c r="S140" i="5"/>
  <c r="S13" i="5"/>
  <c r="S144" i="5"/>
  <c r="S75" i="5"/>
  <c r="S96" i="5"/>
  <c r="S12" i="5"/>
  <c r="S154" i="5"/>
  <c r="S37" i="5"/>
  <c r="S79" i="5"/>
  <c r="S74" i="5"/>
  <c r="S63" i="5"/>
  <c r="S19" i="5"/>
  <c r="S7" i="5"/>
  <c r="S24" i="5"/>
  <c r="S60" i="5"/>
  <c r="S119" i="5"/>
  <c r="S46" i="5"/>
  <c r="S57" i="5"/>
  <c r="S156" i="5"/>
  <c r="S52" i="5"/>
  <c r="S117" i="5"/>
  <c r="S151" i="5"/>
  <c r="S169" i="5"/>
  <c r="S163" i="5"/>
  <c r="S98" i="5"/>
  <c r="S165" i="5"/>
  <c r="S106" i="5"/>
  <c r="S88" i="5"/>
  <c r="S38" i="5"/>
  <c r="S115" i="5"/>
  <c r="H8" i="7" a="1"/>
  <c r="H8" i="7" s="1"/>
  <c r="E8" i="7" a="1"/>
  <c r="E8" i="7" s="1"/>
  <c r="K8" i="7"/>
  <c r="X54" i="28"/>
  <c r="X5" i="28"/>
  <c r="F59" i="28"/>
  <c r="G48" i="28"/>
  <c r="Y54" i="28"/>
  <c r="Y32" i="28"/>
  <c r="X44" i="28"/>
  <c r="Y5" i="28"/>
  <c r="Y33" i="28"/>
  <c r="F54" i="28"/>
  <c r="G43" i="28"/>
  <c r="G45" i="28"/>
  <c r="Y9" i="28"/>
  <c r="F58" i="28"/>
  <c r="X27" i="28"/>
  <c r="Y36" i="28"/>
  <c r="Y40" i="28"/>
  <c r="X8" i="28"/>
  <c r="X50" i="28"/>
  <c r="Y35" i="28"/>
  <c r="AE14" i="28"/>
  <c r="AE58" i="28"/>
  <c r="AE10" i="28"/>
  <c r="AE23" i="28"/>
  <c r="AE47" i="28"/>
  <c r="AE30" i="28"/>
  <c r="AE61" i="28"/>
  <c r="AE41" i="28"/>
  <c r="AE21" i="28"/>
  <c r="AE13" i="28"/>
  <c r="AE63" i="28"/>
  <c r="AE5" i="28"/>
  <c r="AE32" i="28"/>
  <c r="AE19" i="28"/>
  <c r="Y57" i="28"/>
  <c r="G49" i="28"/>
  <c r="X47" i="28"/>
  <c r="Y45" i="28"/>
  <c r="Y6" i="28"/>
  <c r="X39" i="28"/>
  <c r="Y14" i="28"/>
  <c r="X51" i="28"/>
  <c r="X60" i="28"/>
  <c r="F42" i="28"/>
  <c r="G41" i="28"/>
  <c r="X37" i="28"/>
  <c r="X49" i="28"/>
  <c r="Y30" i="28"/>
  <c r="X63" i="28"/>
  <c r="Y22" i="28"/>
  <c r="F47" i="28"/>
  <c r="G56" i="28"/>
  <c r="X62" i="28"/>
  <c r="X52" i="28"/>
  <c r="Y42" i="28"/>
  <c r="F44" i="28"/>
  <c r="Y59" i="28"/>
  <c r="G57" i="28"/>
  <c r="G52" i="28"/>
  <c r="Y31" i="28"/>
  <c r="Y18" i="28"/>
  <c r="S5" i="2"/>
  <c r="S20" i="2"/>
  <c r="S49" i="2"/>
  <c r="S75" i="2"/>
  <c r="S19" i="2"/>
  <c r="S65" i="2"/>
  <c r="S32" i="2"/>
  <c r="S24" i="2"/>
  <c r="S74" i="2"/>
  <c r="S67" i="2"/>
  <c r="S47" i="2"/>
  <c r="S58" i="2"/>
  <c r="S76" i="2"/>
  <c r="S12" i="2"/>
  <c r="S35" i="2"/>
  <c r="S44" i="2"/>
  <c r="S57" i="2"/>
  <c r="S77" i="2"/>
  <c r="S39" i="2"/>
  <c r="S39" i="5"/>
  <c r="S8" i="5"/>
  <c r="S11" i="5"/>
  <c r="E15" i="1"/>
  <c r="S170" i="5"/>
  <c r="S120" i="5"/>
  <c r="S166" i="5"/>
  <c r="S78" i="5"/>
  <c r="S59" i="5"/>
  <c r="S118" i="5"/>
  <c r="S89" i="5"/>
  <c r="S40" i="5"/>
  <c r="S20" i="5"/>
  <c r="S66" i="5"/>
  <c r="S167" i="5"/>
  <c r="S93" i="5"/>
  <c r="S95" i="5"/>
  <c r="S58" i="5"/>
  <c r="S15" i="5"/>
  <c r="S50" i="5"/>
  <c r="S124" i="5"/>
  <c r="S159" i="5"/>
  <c r="S104" i="5"/>
  <c r="S127" i="5"/>
  <c r="S128" i="5"/>
  <c r="S90" i="5"/>
  <c r="S85" i="5"/>
  <c r="S32" i="5"/>
  <c r="S44" i="5"/>
  <c r="S54" i="5"/>
  <c r="S18" i="5"/>
  <c r="S152" i="5"/>
  <c r="S14" i="5"/>
  <c r="S114" i="5"/>
  <c r="S25" i="5"/>
  <c r="S77" i="5"/>
  <c r="S42" i="5"/>
  <c r="S76" i="5"/>
  <c r="S136" i="5"/>
  <c r="S61" i="5"/>
  <c r="S4" i="5"/>
  <c r="S6" i="5"/>
  <c r="S123" i="5"/>
  <c r="K4" i="7"/>
  <c r="E4" i="7" a="1"/>
  <c r="E4" i="7" s="1"/>
  <c r="H2" i="7" a="1"/>
  <c r="H2" i="7" s="1"/>
  <c r="F39" i="28"/>
  <c r="G59" i="28"/>
  <c r="F48" i="28"/>
  <c r="F38" i="28"/>
  <c r="F55" i="28"/>
  <c r="F43" i="28"/>
  <c r="F37" i="28"/>
  <c r="G37" i="28"/>
  <c r="X17" i="28"/>
  <c r="F46" i="28"/>
  <c r="G58" i="28"/>
  <c r="Y27" i="28"/>
  <c r="X41" i="28"/>
  <c r="X36" i="28"/>
  <c r="X24" i="28"/>
  <c r="Y8" i="28"/>
  <c r="X35" i="28"/>
  <c r="AE25" i="28"/>
  <c r="AE45" i="28"/>
  <c r="AE20" i="28"/>
  <c r="AE24" i="28"/>
  <c r="AE56" i="28"/>
  <c r="AE27" i="28"/>
  <c r="AE49" i="28"/>
  <c r="AE46" i="28"/>
  <c r="AE43" i="28"/>
  <c r="AE6" i="28"/>
  <c r="AE50" i="28"/>
  <c r="AE11" i="28"/>
  <c r="AE39" i="28"/>
  <c r="AE42" i="28"/>
  <c r="AE37" i="28"/>
  <c r="X16" i="28"/>
  <c r="Y58" i="28"/>
  <c r="X53" i="28"/>
  <c r="Y39" i="28"/>
  <c r="X14" i="28"/>
  <c r="Y60" i="28"/>
  <c r="X25" i="28"/>
  <c r="X19" i="28"/>
  <c r="X56" i="28"/>
  <c r="G42" i="28"/>
  <c r="Y37" i="28"/>
  <c r="Y49" i="28"/>
  <c r="Y15" i="28"/>
  <c r="X21" i="28"/>
  <c r="Y63" i="28"/>
  <c r="F63" i="28"/>
  <c r="F62" i="28"/>
  <c r="X22" i="28"/>
  <c r="Y48" i="28"/>
  <c r="X34" i="28"/>
  <c r="F51" i="28"/>
  <c r="F60" i="28"/>
  <c r="G47" i="28"/>
  <c r="Y62" i="28"/>
  <c r="G44" i="28"/>
  <c r="X29" i="28"/>
  <c r="X64" i="28"/>
  <c r="Y13" i="28"/>
  <c r="X61" i="28"/>
  <c r="S28" i="2"/>
  <c r="S6" i="2"/>
  <c r="S71" i="2"/>
  <c r="S54" i="2"/>
  <c r="S25" i="2"/>
  <c r="S61" i="2"/>
  <c r="S23" i="2"/>
  <c r="S11" i="2"/>
  <c r="S36" i="2"/>
  <c r="S13" i="2"/>
  <c r="S70" i="2"/>
  <c r="S30" i="2"/>
  <c r="S52" i="2"/>
  <c r="S4" i="2"/>
  <c r="S9" i="2"/>
  <c r="S56" i="2"/>
  <c r="S43" i="2"/>
  <c r="S8" i="2"/>
  <c r="S172" i="5"/>
  <c r="S23" i="5"/>
  <c r="S72" i="5"/>
  <c r="S36" i="5"/>
  <c r="S43" i="5"/>
  <c r="S116" i="5"/>
  <c r="S71" i="5"/>
  <c r="S83" i="5"/>
  <c r="S138" i="5"/>
  <c r="S86" i="5"/>
  <c r="S129" i="5"/>
  <c r="S16" i="5"/>
  <c r="S161" i="5"/>
  <c r="S147" i="5"/>
  <c r="S171" i="5"/>
  <c r="S68" i="5"/>
  <c r="S34" i="5"/>
  <c r="S91" i="5"/>
  <c r="S149" i="5"/>
  <c r="S41" i="5"/>
  <c r="S29" i="5"/>
  <c r="S17" i="5"/>
  <c r="S162" i="5"/>
  <c r="S28" i="5"/>
  <c r="S112" i="5"/>
  <c r="S30" i="5"/>
  <c r="S135" i="5"/>
  <c r="S70" i="5"/>
  <c r="S101" i="5"/>
  <c r="S141" i="5"/>
  <c r="S35" i="5"/>
  <c r="S100" i="5"/>
  <c r="S69" i="5"/>
  <c r="S173" i="5"/>
  <c r="S139" i="5"/>
  <c r="S21" i="5"/>
  <c r="S87" i="5"/>
  <c r="S56" i="5"/>
  <c r="S31" i="5"/>
  <c r="S64" i="5"/>
  <c r="S84" i="5"/>
  <c r="S82" i="5"/>
  <c r="S65" i="5"/>
  <c r="E2" i="7" a="1"/>
  <c r="E2" i="7" s="1"/>
  <c r="K2" i="7"/>
  <c r="H4" i="7" a="1"/>
  <c r="H4" i="7" s="1"/>
  <c r="F646" i="7"/>
  <c r="F654" i="7"/>
  <c r="F666" i="7"/>
  <c r="F672" i="7"/>
  <c r="F669" i="7"/>
  <c r="F674" i="7"/>
  <c r="F668" i="7"/>
  <c r="F112" i="7"/>
  <c r="F671" i="7"/>
  <c r="F673" i="7"/>
  <c r="F72" i="7"/>
  <c r="F683" i="7"/>
  <c r="F660" i="7"/>
  <c r="F71" i="7"/>
  <c r="F340" i="7"/>
  <c r="F662" i="7"/>
  <c r="F119" i="7"/>
  <c r="F643" i="7"/>
  <c r="F661" i="7"/>
  <c r="F670" i="7"/>
  <c r="F69" i="7"/>
  <c r="F656" i="7"/>
  <c r="F644" i="7"/>
  <c r="F655" i="7"/>
  <c r="F653" i="7"/>
  <c r="F645" i="7"/>
  <c r="F307" i="7"/>
  <c r="F214" i="7"/>
  <c r="F642" i="7"/>
  <c r="F658" i="7"/>
  <c r="F649" i="7"/>
  <c r="F38" i="7"/>
  <c r="F667" i="7"/>
  <c r="F29" i="7"/>
  <c r="F676" i="7"/>
  <c r="F553" i="7"/>
  <c r="F659" i="7"/>
  <c r="F651" i="7"/>
  <c r="F648" i="7"/>
  <c r="F389" i="7"/>
  <c r="F321" i="7"/>
  <c r="F274" i="7"/>
  <c r="F681" i="7"/>
  <c r="F155" i="7"/>
  <c r="F664" i="7"/>
  <c r="F650" i="7"/>
  <c r="F99" i="7"/>
  <c r="F682" i="7"/>
  <c r="F657" i="7"/>
  <c r="F665" i="7"/>
  <c r="F675" i="7"/>
  <c r="F95" i="7"/>
  <c r="F678" i="7"/>
  <c r="F647" i="7"/>
  <c r="F45" i="7"/>
  <c r="F125" i="7"/>
  <c r="F33" i="7"/>
  <c r="F680" i="7"/>
  <c r="F663" i="7"/>
  <c r="F677" i="7"/>
  <c r="F134" i="7"/>
  <c r="F585" i="7"/>
  <c r="F392" i="7"/>
  <c r="F496" i="7"/>
  <c r="F13" i="7"/>
  <c r="F154" i="7"/>
  <c r="F23" i="7"/>
  <c r="F532" i="7"/>
  <c r="F452" i="7"/>
  <c r="F159" i="7"/>
  <c r="F285" i="7"/>
  <c r="F437" i="7"/>
  <c r="F393" i="7"/>
  <c r="F292" i="7"/>
  <c r="F427" i="7"/>
  <c r="F156" i="7"/>
  <c r="F526" i="7"/>
  <c r="F328" i="7"/>
  <c r="F24" i="7"/>
  <c r="F329" i="7"/>
  <c r="F34" i="7"/>
  <c r="F322" i="7"/>
  <c r="F57" i="7"/>
  <c r="F445" i="7"/>
  <c r="F70" i="7"/>
  <c r="F500" i="7"/>
  <c r="F398" i="7"/>
  <c r="F451" i="7"/>
  <c r="F19" i="7"/>
  <c r="F370" i="7"/>
  <c r="F388" i="7"/>
  <c r="F334" i="7"/>
  <c r="F472" i="7"/>
  <c r="F477" i="7"/>
  <c r="F495" i="7"/>
  <c r="F58" i="7"/>
  <c r="F492" i="7"/>
  <c r="F300" i="7"/>
  <c r="F132" i="7"/>
  <c r="F419" i="7"/>
  <c r="F102" i="7"/>
  <c r="F104" i="7"/>
  <c r="F335" i="7"/>
  <c r="F149" i="7"/>
  <c r="F453" i="7"/>
  <c r="F78" i="7"/>
  <c r="F513" i="7"/>
  <c r="F280" i="7"/>
  <c r="F457" i="7"/>
  <c r="F536" i="7"/>
  <c r="F509" i="7"/>
  <c r="F481" i="7"/>
  <c r="F491" i="7"/>
  <c r="F262" i="7"/>
  <c r="F268" i="7"/>
  <c r="F107" i="7"/>
  <c r="F271" i="7"/>
  <c r="F323" i="7"/>
  <c r="F538" i="7"/>
  <c r="F59" i="7"/>
  <c r="F267" i="7"/>
  <c r="F354" i="7"/>
  <c r="F478" i="7"/>
  <c r="F484" i="7"/>
  <c r="F506" i="7"/>
  <c r="F122" i="7"/>
  <c r="F409" i="7"/>
  <c r="F519" i="7"/>
  <c r="F252" i="7"/>
  <c r="F28" i="7"/>
  <c r="F27" i="7"/>
  <c r="F287" i="7"/>
  <c r="F53" i="7"/>
  <c r="F189" i="7"/>
  <c r="F512" i="7"/>
  <c r="F414" i="7"/>
  <c r="F103" i="7"/>
  <c r="F535" i="7"/>
  <c r="F342" i="7"/>
  <c r="F448" i="7"/>
  <c r="F455" i="7"/>
  <c r="F32" i="7"/>
  <c r="F14" i="7"/>
  <c r="F36" i="7"/>
  <c r="F65" i="7"/>
  <c r="F435" i="7"/>
  <c r="F192" i="7"/>
  <c r="F331" i="7"/>
  <c r="F410" i="7"/>
  <c r="F16" i="7"/>
  <c r="F537" i="7"/>
  <c r="F490" i="7"/>
  <c r="F91" i="7"/>
  <c r="F67" i="7"/>
  <c r="F408" i="7"/>
  <c r="F365" i="7"/>
  <c r="F326" i="7"/>
  <c r="F320" i="7"/>
  <c r="F381" i="7"/>
  <c r="F483" i="7"/>
  <c r="F505" i="7"/>
  <c r="F493" i="7"/>
  <c r="F317" i="7"/>
  <c r="F502" i="7"/>
  <c r="F511" i="7"/>
  <c r="F48" i="7"/>
  <c r="F539" i="7"/>
  <c r="F187" i="7"/>
  <c r="F466" i="7"/>
  <c r="F468" i="7"/>
  <c r="F141" i="7"/>
  <c r="F436" i="7"/>
  <c r="F301" i="7"/>
  <c r="F499" i="7"/>
  <c r="F516" i="7"/>
  <c r="F244" i="7"/>
  <c r="F385" i="7"/>
  <c r="F422" i="7"/>
  <c r="F522" i="7"/>
  <c r="F186" i="7"/>
  <c r="F296" i="7"/>
  <c r="F559" i="7"/>
  <c r="F291" i="7"/>
  <c r="F310" i="7"/>
  <c r="E320" i="7"/>
  <c r="E62" i="7"/>
  <c r="E24" i="7"/>
  <c r="E643" i="7"/>
  <c r="F277" i="7"/>
  <c r="F566" i="7"/>
  <c r="F295" i="7"/>
  <c r="F377" i="7"/>
  <c r="F157" i="7"/>
  <c r="F174" i="7"/>
  <c r="F201" i="7"/>
  <c r="F209" i="7"/>
  <c r="F356" i="7"/>
  <c r="F298" i="7"/>
  <c r="F609" i="7"/>
  <c r="F486" i="7"/>
  <c r="F227" i="7"/>
  <c r="F594" i="7"/>
  <c r="F605" i="7"/>
  <c r="F551" i="7"/>
  <c r="F601" i="7"/>
  <c r="F639" i="7"/>
  <c r="F400" i="7"/>
  <c r="F87" i="7"/>
  <c r="F179" i="7"/>
  <c r="F224" i="7"/>
  <c r="F362" i="7"/>
  <c r="F637" i="7"/>
  <c r="F428" i="7"/>
  <c r="F384" i="7"/>
  <c r="F545" i="7"/>
  <c r="F92" i="7"/>
  <c r="F221" i="7"/>
  <c r="F562" i="7"/>
  <c r="F284" i="7"/>
  <c r="F191" i="7"/>
  <c r="F114" i="7"/>
  <c r="F55" i="7"/>
  <c r="F447" i="7"/>
  <c r="F620" i="7"/>
  <c r="F471" i="7"/>
  <c r="F202" i="7"/>
  <c r="F181" i="7"/>
  <c r="F241" i="7"/>
  <c r="F465" i="7"/>
  <c r="F527" i="7"/>
  <c r="F42" i="7"/>
  <c r="F555" i="7"/>
  <c r="F632" i="7"/>
  <c r="F634" i="7"/>
  <c r="F270" i="7"/>
  <c r="F550" i="7"/>
  <c r="F367" i="7"/>
  <c r="F382" i="7"/>
  <c r="F470" i="7"/>
  <c r="F56" i="7"/>
  <c r="F641" i="7"/>
  <c r="F613" i="7"/>
  <c r="F160" i="7"/>
  <c r="F402" i="7"/>
  <c r="F233" i="7"/>
  <c r="F183" i="7"/>
  <c r="F197" i="7"/>
  <c r="F182" i="7"/>
  <c r="F41" i="7"/>
  <c r="F130" i="7"/>
  <c r="F430" i="7"/>
  <c r="F366" i="7"/>
  <c r="F560" i="7"/>
  <c r="F75" i="7"/>
  <c r="F146" i="7"/>
  <c r="F316" i="7"/>
  <c r="F415" i="7"/>
  <c r="F616" i="7"/>
  <c r="F565" i="7"/>
  <c r="F178" i="7"/>
  <c r="F97" i="7"/>
  <c r="F188" i="7"/>
  <c r="F248" i="7"/>
  <c r="F596" i="7"/>
  <c r="F627" i="7"/>
  <c r="F357" i="7"/>
  <c r="F89" i="7"/>
  <c r="F374" i="7"/>
  <c r="F529" i="7"/>
  <c r="F127" i="7"/>
  <c r="F432" i="7"/>
  <c r="F462" i="7"/>
  <c r="F607" i="7"/>
  <c r="F245" i="7"/>
  <c r="F514" i="7"/>
  <c r="F203" i="7"/>
  <c r="F231" i="7"/>
  <c r="F628" i="7"/>
  <c r="F623" i="7"/>
  <c r="F106" i="7"/>
  <c r="F525" i="7"/>
  <c r="F407" i="7"/>
  <c r="F520" i="7"/>
  <c r="F54" i="7"/>
  <c r="F487" i="7"/>
  <c r="F302" i="7"/>
  <c r="F355" i="7"/>
  <c r="F198" i="7"/>
  <c r="F306" i="7"/>
  <c r="F225" i="7"/>
  <c r="F200" i="7"/>
  <c r="F171" i="7"/>
  <c r="F611" i="7"/>
  <c r="F464" i="7"/>
  <c r="F308" i="7"/>
  <c r="F498" i="7"/>
  <c r="F518" i="7"/>
  <c r="F108" i="7"/>
  <c r="F150" i="7"/>
  <c r="F473" i="7"/>
  <c r="F113" i="7"/>
  <c r="F375" i="7"/>
  <c r="F652" i="7"/>
  <c r="F173" i="7"/>
  <c r="F180" i="7"/>
  <c r="F261" i="7"/>
  <c r="F458" i="7"/>
  <c r="F443" i="7"/>
  <c r="F630" i="7"/>
  <c r="F79" i="7"/>
  <c r="F196" i="7"/>
  <c r="F204" i="7"/>
  <c r="F533" i="7"/>
  <c r="F77" i="7"/>
  <c r="F121" i="7"/>
  <c r="F361" i="7"/>
  <c r="F142" i="7"/>
  <c r="F474" i="7"/>
  <c r="F147" i="7"/>
  <c r="F638" i="7"/>
  <c r="F90" i="7"/>
  <c r="F318" i="7"/>
  <c r="F615" i="7"/>
  <c r="F528" i="7"/>
  <c r="F207" i="7"/>
  <c r="F235" i="7"/>
  <c r="F212" i="7"/>
  <c r="F205" i="7"/>
  <c r="F450" i="7"/>
  <c r="F548" i="7"/>
  <c r="F633" i="7"/>
  <c r="F606" i="7"/>
  <c r="F288" i="7"/>
  <c r="F73" i="7"/>
  <c r="F51" i="7"/>
  <c r="F624" i="7"/>
  <c r="F101" i="7"/>
  <c r="F438" i="7"/>
  <c r="F497" i="7"/>
  <c r="F40" i="7"/>
  <c r="F211" i="7"/>
  <c r="F360" i="7"/>
  <c r="F363" i="7"/>
  <c r="F501" i="7"/>
  <c r="F504" i="7"/>
  <c r="F446" i="7"/>
  <c r="F593" i="7"/>
  <c r="F431" i="7"/>
  <c r="F255" i="7"/>
  <c r="F43" i="7"/>
  <c r="F126" i="7"/>
  <c r="F629" i="7"/>
  <c r="F567" i="7"/>
  <c r="F199" i="7"/>
  <c r="F273" i="7"/>
  <c r="F636" i="7"/>
  <c r="F364" i="7"/>
  <c r="F115" i="7"/>
  <c r="F256" i="7"/>
  <c r="F84" i="7"/>
  <c r="F311" i="7"/>
  <c r="F259" i="7"/>
  <c r="F523" i="7"/>
  <c r="F442" i="7"/>
  <c r="F521" i="7"/>
  <c r="F574" i="7"/>
  <c r="F476" i="7"/>
  <c r="F401" i="7"/>
  <c r="F177" i="7"/>
  <c r="F193" i="7"/>
  <c r="F206" i="7"/>
  <c r="F210" i="7"/>
  <c r="F610" i="7"/>
  <c r="F264" i="7"/>
  <c r="F94" i="7"/>
  <c r="F325" i="7"/>
  <c r="F297" i="7"/>
  <c r="F229" i="7"/>
  <c r="F128" i="7"/>
  <c r="F368" i="7"/>
  <c r="F454" i="7"/>
  <c r="F510" i="7"/>
  <c r="F343" i="7"/>
  <c r="F347" i="7"/>
  <c r="F195" i="7"/>
  <c r="F336" i="7"/>
  <c r="F572" i="7"/>
  <c r="F175" i="7"/>
  <c r="F258" i="7"/>
  <c r="F257" i="7"/>
  <c r="F37" i="7"/>
  <c r="F20" i="7"/>
  <c r="F557" i="7"/>
  <c r="F339" i="7"/>
  <c r="F232" i="7"/>
  <c r="F263" i="7"/>
  <c r="F475" i="7"/>
  <c r="F561" i="7"/>
  <c r="F524" i="7"/>
  <c r="F194" i="7"/>
  <c r="F228" i="7"/>
  <c r="F184" i="7"/>
  <c r="F238" i="7"/>
  <c r="F176" i="7"/>
  <c r="F333" i="7"/>
  <c r="F517" i="7"/>
  <c r="F542" i="7"/>
  <c r="F332" i="7"/>
  <c r="F635" i="7"/>
  <c r="F100" i="7"/>
  <c r="F327" i="7"/>
  <c r="F319" i="7"/>
  <c r="F294" i="7"/>
  <c r="F18" i="7"/>
  <c r="F208" i="7"/>
  <c r="F123" i="7"/>
  <c r="F299" i="7"/>
  <c r="F117" i="7"/>
  <c r="F138" i="7"/>
  <c r="F425" i="7"/>
  <c r="F17" i="7"/>
  <c r="F133" i="7"/>
  <c r="F281" i="7"/>
  <c r="F46" i="7"/>
  <c r="F250" i="7"/>
  <c r="F571" i="7"/>
  <c r="F15" i="7"/>
  <c r="F530" i="7"/>
  <c r="AB57" i="28" l="1"/>
  <c r="A2" i="7"/>
  <c r="I571" i="7" s="1"/>
  <c r="L571" i="7" s="1"/>
  <c r="AC42" i="28"/>
  <c r="AD42" i="28" s="1"/>
  <c r="AB42" i="28"/>
  <c r="AC6" i="28"/>
  <c r="AD6" i="28" s="1"/>
  <c r="AB6" i="28"/>
  <c r="AC27" i="28"/>
  <c r="AD27" i="28" s="1"/>
  <c r="AB27" i="28"/>
  <c r="AC45" i="28"/>
  <c r="AD45" i="28" s="1"/>
  <c r="AB45" i="28"/>
  <c r="AC19" i="28"/>
  <c r="AD19" i="28" s="1"/>
  <c r="AB19" i="28"/>
  <c r="AC13" i="28"/>
  <c r="AD13" i="28" s="1"/>
  <c r="AB13" i="28"/>
  <c r="AC30" i="28"/>
  <c r="AD30" i="28" s="1"/>
  <c r="AB30" i="28"/>
  <c r="AC58" i="28"/>
  <c r="AD58" i="28" s="1"/>
  <c r="AB58" i="28"/>
  <c r="AC18" i="28"/>
  <c r="AD18" i="28" s="1"/>
  <c r="AB18" i="28"/>
  <c r="AC51" i="28"/>
  <c r="AD51" i="28" s="1"/>
  <c r="AB51" i="28"/>
  <c r="AC36" i="28"/>
  <c r="AD36" i="28" s="1"/>
  <c r="AB36" i="28"/>
  <c r="AC64" i="28"/>
  <c r="AD64" i="28" s="1"/>
  <c r="AB64" i="28"/>
  <c r="AC62" i="28"/>
  <c r="AD62" i="28" s="1"/>
  <c r="AB62" i="28"/>
  <c r="AB60" i="28"/>
  <c r="AC60" i="28"/>
  <c r="AD60" i="28" s="1"/>
  <c r="AC44" i="28"/>
  <c r="AD44" i="28" s="1"/>
  <c r="AB44" i="28"/>
  <c r="AC54" i="28"/>
  <c r="AD54" i="28" s="1"/>
  <c r="AB54" i="28"/>
  <c r="AC50" i="28"/>
  <c r="AD50" i="28" s="1"/>
  <c r="AB50" i="28"/>
  <c r="AC39" i="28"/>
  <c r="AD39" i="28" s="1"/>
  <c r="AB39" i="28"/>
  <c r="AC56" i="28"/>
  <c r="AD56" i="28" s="1"/>
  <c r="AB56" i="28"/>
  <c r="AC32" i="28"/>
  <c r="AD32" i="28" s="1"/>
  <c r="AB32" i="28"/>
  <c r="AC21" i="28"/>
  <c r="AD21" i="28" s="1"/>
  <c r="AB21" i="28"/>
  <c r="AC47" i="28"/>
  <c r="AD47" i="28" s="1"/>
  <c r="AB47" i="28"/>
  <c r="AC14" i="28"/>
  <c r="AD14" i="28" s="1"/>
  <c r="AB14" i="28"/>
  <c r="AC38" i="28"/>
  <c r="AD38" i="28" s="1"/>
  <c r="AB38" i="28"/>
  <c r="AC22" i="28"/>
  <c r="AD22" i="28" s="1"/>
  <c r="AB22" i="28"/>
  <c r="AC9" i="28"/>
  <c r="AD9" i="28" s="1"/>
  <c r="AB9" i="28"/>
  <c r="AC33" i="28"/>
  <c r="AD33" i="28" s="1"/>
  <c r="AB33" i="28"/>
  <c r="AC52" i="28"/>
  <c r="AD52" i="28" s="1"/>
  <c r="AB52" i="28"/>
  <c r="AC40" i="28"/>
  <c r="AD40" i="28" s="1"/>
  <c r="AB40" i="28"/>
  <c r="AC53" i="28"/>
  <c r="AD53" i="28" s="1"/>
  <c r="AB53" i="28"/>
  <c r="AC12" i="28"/>
  <c r="AD12" i="28" s="1"/>
  <c r="AB12" i="28"/>
  <c r="AC43" i="28"/>
  <c r="AD43" i="28" s="1"/>
  <c r="AB43" i="28"/>
  <c r="AC25" i="28"/>
  <c r="AD25" i="28" s="1"/>
  <c r="AB25" i="28"/>
  <c r="AC11" i="28"/>
  <c r="AD11" i="28" s="1"/>
  <c r="AB11" i="28"/>
  <c r="AC46" i="28"/>
  <c r="AD46" i="28" s="1"/>
  <c r="AB46" i="28"/>
  <c r="AB24" i="28"/>
  <c r="AC24" i="28"/>
  <c r="AD24" i="28" s="1"/>
  <c r="AB5" i="28"/>
  <c r="AC5" i="28"/>
  <c r="AD5" i="28" s="1"/>
  <c r="AC41" i="28"/>
  <c r="AD41" i="28" s="1"/>
  <c r="AB41" i="28"/>
  <c r="AC23" i="28"/>
  <c r="AD23" i="28" s="1"/>
  <c r="AB23" i="28"/>
  <c r="AC8" i="28"/>
  <c r="AD8" i="28" s="1"/>
  <c r="AB8" i="28"/>
  <c r="AC7" i="28"/>
  <c r="AD7" i="28" s="1"/>
  <c r="AB7" i="28"/>
  <c r="AC26" i="28"/>
  <c r="AD26" i="28" s="1"/>
  <c r="AB26" i="28"/>
  <c r="AC34" i="28"/>
  <c r="AD34" i="28" s="1"/>
  <c r="AB34" i="28"/>
  <c r="AC17" i="28"/>
  <c r="AD17" i="28" s="1"/>
  <c r="AB17" i="28"/>
  <c r="AC15" i="28"/>
  <c r="AD15" i="28" s="1"/>
  <c r="AB15" i="28"/>
  <c r="AC48" i="28"/>
  <c r="AD48" i="28" s="1"/>
  <c r="AB48" i="28"/>
  <c r="AC37" i="28"/>
  <c r="AD37" i="28" s="1"/>
  <c r="AB37" i="28"/>
  <c r="AC49" i="28"/>
  <c r="AD49" i="28" s="1"/>
  <c r="AB49" i="28"/>
  <c r="AC20" i="28"/>
  <c r="AD20" i="28" s="1"/>
  <c r="AB20" i="28"/>
  <c r="AC63" i="28"/>
  <c r="AD63" i="28" s="1"/>
  <c r="AB63" i="28"/>
  <c r="AC61" i="28"/>
  <c r="AD61" i="28" s="1"/>
  <c r="AB61" i="28"/>
  <c r="AC10" i="28"/>
  <c r="AD10" i="28" s="1"/>
  <c r="AB10" i="28"/>
  <c r="AC29" i="28"/>
  <c r="AD29" i="28" s="1"/>
  <c r="AB29" i="28"/>
  <c r="AC59" i="28"/>
  <c r="AD59" i="28" s="1"/>
  <c r="AB59" i="28"/>
  <c r="AC35" i="28"/>
  <c r="AD35" i="28" s="1"/>
  <c r="AB35" i="28"/>
  <c r="AC16" i="28"/>
  <c r="AD16" i="28" s="1"/>
  <c r="AB16" i="28"/>
  <c r="AC55" i="28"/>
  <c r="AD55" i="28" s="1"/>
  <c r="AB55" i="28"/>
  <c r="AC31" i="28"/>
  <c r="AD31" i="28" s="1"/>
  <c r="AB31" i="28"/>
  <c r="AC28" i="28"/>
  <c r="AD28" i="28" s="1"/>
  <c r="AB28" i="28"/>
  <c r="T92" i="5" l="1"/>
  <c r="T125" i="5"/>
  <c r="T44" i="2"/>
  <c r="T42" i="2"/>
  <c r="T21" i="2"/>
  <c r="T151" i="5"/>
  <c r="T9" i="5"/>
  <c r="T57" i="5"/>
  <c r="T75" i="2"/>
  <c r="T64" i="2"/>
  <c r="T133" i="5"/>
  <c r="T156" i="5"/>
  <c r="T159" i="5"/>
  <c r="T157" i="5"/>
  <c r="T95" i="5"/>
  <c r="T84" i="5"/>
  <c r="T14" i="2"/>
  <c r="T105" i="5"/>
  <c r="T62" i="5"/>
  <c r="T128" i="5"/>
  <c r="T69" i="2"/>
  <c r="T101" i="5"/>
  <c r="T37" i="2"/>
  <c r="T145" i="5"/>
  <c r="T103" i="5"/>
  <c r="T132" i="5"/>
  <c r="T31" i="2"/>
  <c r="T13" i="5"/>
  <c r="T39" i="5"/>
  <c r="T44" i="5"/>
  <c r="T34" i="5"/>
  <c r="T97" i="5"/>
  <c r="T7" i="2"/>
  <c r="I415" i="7"/>
  <c r="L415" i="7" s="1"/>
  <c r="T55" i="2"/>
  <c r="T110" i="5"/>
  <c r="T107" i="5"/>
  <c r="T158" i="5"/>
  <c r="T15" i="2"/>
  <c r="T74" i="5"/>
  <c r="T59" i="5"/>
  <c r="T4" i="5"/>
  <c r="T112" i="5"/>
  <c r="T113" i="5"/>
  <c r="T80" i="5"/>
  <c r="T74" i="2"/>
  <c r="T91" i="5"/>
  <c r="I142" i="7"/>
  <c r="L142" i="7" s="1"/>
  <c r="T45" i="2"/>
  <c r="T37" i="5"/>
  <c r="I174" i="7"/>
  <c r="L174" i="7" s="1"/>
  <c r="T27" i="2"/>
  <c r="T12" i="5"/>
  <c r="T165" i="5"/>
  <c r="T58" i="2"/>
  <c r="T20" i="5"/>
  <c r="T14" i="5"/>
  <c r="T138" i="5"/>
  <c r="T33" i="2"/>
  <c r="T67" i="5"/>
  <c r="T148" i="5"/>
  <c r="T22" i="2"/>
  <c r="T63" i="5"/>
  <c r="T120" i="5"/>
  <c r="T76" i="5"/>
  <c r="T54" i="2"/>
  <c r="T36" i="2"/>
  <c r="T111" i="5"/>
  <c r="T117" i="5"/>
  <c r="I471" i="7"/>
  <c r="L471" i="7" s="1"/>
  <c r="I302" i="7"/>
  <c r="L302" i="7" s="1"/>
  <c r="T46" i="2"/>
  <c r="T155" i="5"/>
  <c r="T45" i="5"/>
  <c r="T72" i="2"/>
  <c r="T121" i="5"/>
  <c r="T60" i="5"/>
  <c r="T118" i="5"/>
  <c r="T6" i="5"/>
  <c r="T23" i="5"/>
  <c r="T162" i="5"/>
  <c r="T62" i="2"/>
  <c r="T127" i="5"/>
  <c r="I641" i="7"/>
  <c r="L641" i="7" s="1"/>
  <c r="I375" i="7"/>
  <c r="L375" i="7" s="1"/>
  <c r="I311" i="7"/>
  <c r="L311" i="7" s="1"/>
  <c r="T27" i="5"/>
  <c r="T134" i="5"/>
  <c r="T3" i="2"/>
  <c r="T144" i="5"/>
  <c r="T106" i="5"/>
  <c r="T76" i="2"/>
  <c r="T90" i="5"/>
  <c r="T173" i="5"/>
  <c r="T22" i="5"/>
  <c r="T11" i="5"/>
  <c r="T5" i="5"/>
  <c r="I224" i="7"/>
  <c r="L224" i="7" s="1"/>
  <c r="I462" i="7"/>
  <c r="L462" i="7" s="1"/>
  <c r="I288" i="7"/>
  <c r="L288" i="7" s="1"/>
  <c r="T29" i="2"/>
  <c r="T164" i="5"/>
  <c r="T24" i="5"/>
  <c r="T115" i="5"/>
  <c r="T24" i="2"/>
  <c r="T170" i="5"/>
  <c r="T124" i="5"/>
  <c r="T42" i="5"/>
  <c r="T172" i="5"/>
  <c r="T69" i="5"/>
  <c r="T53" i="2"/>
  <c r="T160" i="5"/>
  <c r="T137" i="5"/>
  <c r="T99" i="5"/>
  <c r="T41" i="2"/>
  <c r="T102" i="5"/>
  <c r="T154" i="5"/>
  <c r="T169" i="5"/>
  <c r="T5" i="2"/>
  <c r="T57" i="2"/>
  <c r="T66" i="5"/>
  <c r="T54" i="5"/>
  <c r="T30" i="2"/>
  <c r="T86" i="5"/>
  <c r="T30" i="5"/>
  <c r="T82" i="5"/>
  <c r="T71" i="5"/>
  <c r="T31" i="5"/>
  <c r="T33" i="5"/>
  <c r="T130" i="5"/>
  <c r="T34" i="2"/>
  <c r="T122" i="5"/>
  <c r="T52" i="5"/>
  <c r="T52" i="2"/>
  <c r="T70" i="2"/>
  <c r="T108" i="5"/>
  <c r="T16" i="2"/>
  <c r="T35" i="2"/>
  <c r="T6" i="2"/>
  <c r="I594" i="7"/>
  <c r="L594" i="7" s="1"/>
  <c r="I562" i="7"/>
  <c r="L562" i="7" s="1"/>
  <c r="I632" i="7"/>
  <c r="L632" i="7" s="1"/>
  <c r="I41" i="7"/>
  <c r="L41" i="7" s="1"/>
  <c r="I596" i="7"/>
  <c r="L596" i="7" s="1"/>
  <c r="I628" i="7"/>
  <c r="L628" i="7" s="1"/>
  <c r="I464" i="7"/>
  <c r="L464" i="7" s="1"/>
  <c r="I79" i="7"/>
  <c r="L79" i="7" s="1"/>
  <c r="I207" i="7"/>
  <c r="L207" i="7" s="1"/>
  <c r="I211" i="7"/>
  <c r="L211" i="7" s="1"/>
  <c r="I199" i="7"/>
  <c r="L199" i="7" s="1"/>
  <c r="I401" i="7"/>
  <c r="L401" i="7" s="1"/>
  <c r="T19" i="2"/>
  <c r="T8" i="5"/>
  <c r="T58" i="5"/>
  <c r="T114" i="5"/>
  <c r="T56" i="2"/>
  <c r="T147" i="5"/>
  <c r="T141" i="5"/>
  <c r="T28" i="2"/>
  <c r="T171" i="5"/>
  <c r="T51" i="2"/>
  <c r="T150" i="5"/>
  <c r="T131" i="5"/>
  <c r="T68" i="2"/>
  <c r="T109" i="5"/>
  <c r="T88" i="5"/>
  <c r="T135" i="5"/>
  <c r="T43" i="5"/>
  <c r="T153" i="5"/>
  <c r="T26" i="5"/>
  <c r="T40" i="5"/>
  <c r="T16" i="5"/>
  <c r="I639" i="7"/>
  <c r="L639" i="7" s="1"/>
  <c r="I55" i="7"/>
  <c r="L55" i="7" s="1"/>
  <c r="I367" i="7"/>
  <c r="L367" i="7" s="1"/>
  <c r="I560" i="7"/>
  <c r="L560" i="7" s="1"/>
  <c r="I374" i="7"/>
  <c r="L374" i="7" s="1"/>
  <c r="I407" i="7"/>
  <c r="L407" i="7" s="1"/>
  <c r="I108" i="7"/>
  <c r="L108" i="7" s="1"/>
  <c r="I533" i="7"/>
  <c r="L533" i="7" s="1"/>
  <c r="I450" i="7"/>
  <c r="L450" i="7" s="1"/>
  <c r="I363" i="7"/>
  <c r="L363" i="7" s="1"/>
  <c r="I115" i="7"/>
  <c r="L115" i="7" s="1"/>
  <c r="I210" i="7"/>
  <c r="L210" i="7" s="1"/>
  <c r="T11" i="2"/>
  <c r="T116" i="5"/>
  <c r="T17" i="5"/>
  <c r="T56" i="5"/>
  <c r="T43" i="2"/>
  <c r="T35" i="5"/>
  <c r="T18" i="2"/>
  <c r="T174" i="5"/>
  <c r="T48" i="5"/>
  <c r="T94" i="5"/>
  <c r="T119" i="5"/>
  <c r="T136" i="5"/>
  <c r="T40" i="2"/>
  <c r="T168" i="5"/>
  <c r="T49" i="2"/>
  <c r="T77" i="5"/>
  <c r="I298" i="7"/>
  <c r="L298" i="7" s="1"/>
  <c r="I384" i="7"/>
  <c r="L384" i="7" s="1"/>
  <c r="I465" i="7"/>
  <c r="L465" i="7" s="1"/>
  <c r="I233" i="7"/>
  <c r="L233" i="7" s="1"/>
  <c r="I178" i="7"/>
  <c r="L178" i="7" s="1"/>
  <c r="I225" i="7"/>
  <c r="L225" i="7" s="1"/>
  <c r="I261" i="7"/>
  <c r="L261" i="7" s="1"/>
  <c r="I90" i="7"/>
  <c r="L90" i="7" s="1"/>
  <c r="I101" i="7"/>
  <c r="L101" i="7" s="1"/>
  <c r="I43" i="7"/>
  <c r="L43" i="7" s="1"/>
  <c r="I442" i="7"/>
  <c r="L442" i="7" s="1"/>
  <c r="T59" i="2"/>
  <c r="T146" i="5"/>
  <c r="T55" i="5"/>
  <c r="T49" i="5"/>
  <c r="T63" i="2"/>
  <c r="T73" i="5"/>
  <c r="T75" i="5"/>
  <c r="T19" i="5"/>
  <c r="T163" i="5"/>
  <c r="T65" i="2"/>
  <c r="T77" i="2"/>
  <c r="T89" i="5"/>
  <c r="T104" i="5"/>
  <c r="T129" i="5"/>
  <c r="T65" i="5"/>
  <c r="T9" i="2"/>
  <c r="T60" i="2"/>
  <c r="T51" i="5"/>
  <c r="T10" i="5"/>
  <c r="T50" i="2"/>
  <c r="T26" i="2"/>
  <c r="T142" i="5"/>
  <c r="T96" i="5"/>
  <c r="T32" i="2"/>
  <c r="T78" i="5"/>
  <c r="T32" i="5"/>
  <c r="T61" i="5"/>
  <c r="T83" i="5"/>
  <c r="T70" i="5"/>
  <c r="T64" i="5"/>
  <c r="I209" i="7"/>
  <c r="L209" i="7" s="1"/>
  <c r="I486" i="7"/>
  <c r="L486" i="7" s="1"/>
  <c r="I551" i="7"/>
  <c r="L551" i="7" s="1"/>
  <c r="I87" i="7"/>
  <c r="L87" i="7" s="1"/>
  <c r="I637" i="7"/>
  <c r="L637" i="7" s="1"/>
  <c r="I92" i="7"/>
  <c r="L92" i="7" s="1"/>
  <c r="I191" i="7"/>
  <c r="L191" i="7" s="1"/>
  <c r="I620" i="7"/>
  <c r="L620" i="7" s="1"/>
  <c r="I181" i="7"/>
  <c r="L181" i="7" s="1"/>
  <c r="I42" i="7"/>
  <c r="L42" i="7" s="1"/>
  <c r="I270" i="7"/>
  <c r="L270" i="7" s="1"/>
  <c r="I470" i="7"/>
  <c r="L470" i="7" s="1"/>
  <c r="I160" i="7"/>
  <c r="L160" i="7" s="1"/>
  <c r="I197" i="7"/>
  <c r="L197" i="7" s="1"/>
  <c r="I430" i="7"/>
  <c r="L430" i="7" s="1"/>
  <c r="I146" i="7"/>
  <c r="L146" i="7" s="1"/>
  <c r="I565" i="7"/>
  <c r="L565" i="7" s="1"/>
  <c r="I188" i="7"/>
  <c r="I357" i="7"/>
  <c r="L357" i="7" s="1"/>
  <c r="I127" i="7"/>
  <c r="L127" i="7" s="1"/>
  <c r="I245" i="7"/>
  <c r="L245" i="7" s="1"/>
  <c r="I203" i="7"/>
  <c r="L203" i="7" s="1"/>
  <c r="I106" i="7"/>
  <c r="L106" i="7" s="1"/>
  <c r="I54" i="7"/>
  <c r="L54" i="7" s="1"/>
  <c r="I198" i="7"/>
  <c r="L198" i="7" s="1"/>
  <c r="I171" i="7"/>
  <c r="L171" i="7" s="1"/>
  <c r="I498" i="7"/>
  <c r="L498" i="7" s="1"/>
  <c r="I473" i="7"/>
  <c r="L473" i="7" s="1"/>
  <c r="I173" i="7"/>
  <c r="L173" i="7" s="1"/>
  <c r="I443" i="7"/>
  <c r="L443" i="7" s="1"/>
  <c r="I204" i="7"/>
  <c r="L204" i="7" s="1"/>
  <c r="I121" i="7"/>
  <c r="L121" i="7" s="1"/>
  <c r="I147" i="7"/>
  <c r="L147" i="7" s="1"/>
  <c r="I615" i="7"/>
  <c r="L615" i="7" s="1"/>
  <c r="I212" i="7"/>
  <c r="L212" i="7" s="1"/>
  <c r="I633" i="7"/>
  <c r="L633" i="7" s="1"/>
  <c r="I51" i="7"/>
  <c r="L51" i="7" s="1"/>
  <c r="I497" i="7"/>
  <c r="L497" i="7" s="1"/>
  <c r="I360" i="7"/>
  <c r="L360" i="7" s="1"/>
  <c r="I504" i="7"/>
  <c r="L504" i="7" s="1"/>
  <c r="I431" i="7"/>
  <c r="L431" i="7" s="1"/>
  <c r="I629" i="7"/>
  <c r="L629" i="7" s="1"/>
  <c r="I636" i="7"/>
  <c r="L636" i="7" s="1"/>
  <c r="I84" i="7"/>
  <c r="L84" i="7" s="1"/>
  <c r="I259" i="7"/>
  <c r="L259" i="7" s="1"/>
  <c r="I574" i="7"/>
  <c r="L574" i="7" s="1"/>
  <c r="I193" i="7"/>
  <c r="L193" i="7" s="1"/>
  <c r="I264" i="7"/>
  <c r="L264" i="7" s="1"/>
  <c r="I297" i="7"/>
  <c r="L297" i="7" s="1"/>
  <c r="I454" i="7"/>
  <c r="L454" i="7" s="1"/>
  <c r="I195" i="7"/>
  <c r="L195" i="7" s="1"/>
  <c r="I258" i="7"/>
  <c r="L258" i="7" s="1"/>
  <c r="I557" i="7"/>
  <c r="L557" i="7" s="1"/>
  <c r="I475" i="7"/>
  <c r="L475" i="7" s="1"/>
  <c r="I228" i="7"/>
  <c r="L228" i="7" s="1"/>
  <c r="I333" i="7"/>
  <c r="L333" i="7" s="1"/>
  <c r="I635" i="7"/>
  <c r="L635" i="7" s="1"/>
  <c r="I294" i="7"/>
  <c r="L294" i="7" s="1"/>
  <c r="I299" i="7"/>
  <c r="I17" i="7"/>
  <c r="L17" i="7" s="1"/>
  <c r="I250" i="7"/>
  <c r="L250" i="7" s="1"/>
  <c r="T67" i="2"/>
  <c r="T167" i="5"/>
  <c r="T85" i="5"/>
  <c r="T25" i="5"/>
  <c r="T25" i="2"/>
  <c r="T149" i="5"/>
  <c r="T23" i="2"/>
  <c r="T29" i="5"/>
  <c r="T17" i="2"/>
  <c r="T66" i="2"/>
  <c r="T3" i="5"/>
  <c r="T81" i="5"/>
  <c r="T53" i="5"/>
  <c r="T38" i="2"/>
  <c r="T79" i="5"/>
  <c r="T46" i="5"/>
  <c r="T38" i="5"/>
  <c r="T47" i="2"/>
  <c r="T50" i="5"/>
  <c r="T152" i="5"/>
  <c r="T13" i="2"/>
  <c r="T8" i="2"/>
  <c r="T41" i="5"/>
  <c r="T100" i="5"/>
  <c r="I157" i="7"/>
  <c r="L157" i="7" s="1"/>
  <c r="I356" i="7"/>
  <c r="L356" i="7" s="1"/>
  <c r="I227" i="7"/>
  <c r="L227" i="7" s="1"/>
  <c r="I601" i="7"/>
  <c r="L601" i="7" s="1"/>
  <c r="I179" i="7"/>
  <c r="L179" i="7" s="1"/>
  <c r="I428" i="7"/>
  <c r="L428" i="7" s="1"/>
  <c r="I221" i="7"/>
  <c r="L221" i="7" s="1"/>
  <c r="I114" i="7"/>
  <c r="L114" i="7" s="1"/>
  <c r="I241" i="7"/>
  <c r="L241" i="7" s="1"/>
  <c r="I555" i="7"/>
  <c r="L555" i="7" s="1"/>
  <c r="I550" i="7"/>
  <c r="L550" i="7" s="1"/>
  <c r="I56" i="7"/>
  <c r="L56" i="7" s="1"/>
  <c r="I402" i="7"/>
  <c r="L402" i="7" s="1"/>
  <c r="I182" i="7"/>
  <c r="L182" i="7" s="1"/>
  <c r="I366" i="7"/>
  <c r="L366" i="7" s="1"/>
  <c r="I316" i="7"/>
  <c r="L316" i="7" s="1"/>
  <c r="I248" i="7"/>
  <c r="L248" i="7" s="1"/>
  <c r="I89" i="7"/>
  <c r="L89" i="7" s="1"/>
  <c r="I432" i="7"/>
  <c r="L432" i="7" s="1"/>
  <c r="I514" i="7"/>
  <c r="L514" i="7" s="1"/>
  <c r="I231" i="7"/>
  <c r="L231" i="7" s="1"/>
  <c r="I525" i="7"/>
  <c r="L525" i="7" s="1"/>
  <c r="I487" i="7"/>
  <c r="L487" i="7" s="1"/>
  <c r="I306" i="7"/>
  <c r="L306" i="7" s="1"/>
  <c r="I611" i="7"/>
  <c r="L611" i="7" s="1"/>
  <c r="I518" i="7"/>
  <c r="L518" i="7" s="1"/>
  <c r="I113" i="7"/>
  <c r="L113" i="7" s="1"/>
  <c r="I180" i="7"/>
  <c r="L180" i="7" s="1"/>
  <c r="I630" i="7"/>
  <c r="L630" i="7" s="1"/>
  <c r="I361" i="7"/>
  <c r="L361" i="7" s="1"/>
  <c r="I638" i="7"/>
  <c r="L638" i="7" s="1"/>
  <c r="I528" i="7"/>
  <c r="L528" i="7" s="1"/>
  <c r="I205" i="7"/>
  <c r="L205" i="7" s="1"/>
  <c r="I606" i="7"/>
  <c r="L606" i="7" s="1"/>
  <c r="I624" i="7"/>
  <c r="L624" i="7" s="1"/>
  <c r="I40" i="7"/>
  <c r="L40" i="7" s="1"/>
  <c r="I446" i="7"/>
  <c r="L446" i="7" s="1"/>
  <c r="I255" i="7"/>
  <c r="L255" i="7" s="1"/>
  <c r="I567" i="7"/>
  <c r="L567" i="7" s="1"/>
  <c r="I364" i="7"/>
  <c r="L364" i="7" s="1"/>
  <c r="I523" i="7"/>
  <c r="L523" i="7" s="1"/>
  <c r="I476" i="7"/>
  <c r="L476" i="7" s="1"/>
  <c r="I206" i="7"/>
  <c r="L206" i="7" s="1"/>
  <c r="I94" i="7"/>
  <c r="I229" i="7"/>
  <c r="L229" i="7" s="1"/>
  <c r="I510" i="7"/>
  <c r="L510" i="7" s="1"/>
  <c r="I336" i="7"/>
  <c r="L336" i="7" s="1"/>
  <c r="I257" i="7"/>
  <c r="L257" i="7" s="1"/>
  <c r="I339" i="7"/>
  <c r="L339" i="7" s="1"/>
  <c r="I561" i="7"/>
  <c r="L561" i="7" s="1"/>
  <c r="I184" i="7"/>
  <c r="L184" i="7" s="1"/>
  <c r="I517" i="7"/>
  <c r="L517" i="7" s="1"/>
  <c r="I100" i="7"/>
  <c r="L100" i="7" s="1"/>
  <c r="I18" i="7"/>
  <c r="L18" i="7" s="1"/>
  <c r="I117" i="7"/>
  <c r="L117" i="7" s="1"/>
  <c r="I133" i="7"/>
  <c r="L133" i="7" s="1"/>
  <c r="I140" i="7"/>
  <c r="L140" i="7" s="1"/>
  <c r="I484" i="7"/>
  <c r="L484" i="7" s="1"/>
  <c r="I451" i="7"/>
  <c r="L451" i="7" s="1"/>
  <c r="I52" i="7"/>
  <c r="L52" i="7" s="1"/>
  <c r="I506" i="7"/>
  <c r="L506" i="7" s="1"/>
  <c r="A1" i="7"/>
  <c r="I345" i="7"/>
  <c r="L345" i="7" s="1"/>
  <c r="I502" i="7"/>
  <c r="L502" i="7" s="1"/>
  <c r="I410" i="7"/>
  <c r="L410" i="7" s="1"/>
  <c r="I472" i="7"/>
  <c r="L472" i="7" s="1"/>
  <c r="I445" i="7"/>
  <c r="L445" i="7" s="1"/>
  <c r="I538" i="7"/>
  <c r="L538" i="7" s="1"/>
  <c r="I63" i="7"/>
  <c r="L63" i="7" s="1"/>
  <c r="I49" i="7"/>
  <c r="L49" i="7" s="1"/>
  <c r="I455" i="7"/>
  <c r="L455" i="7" s="1"/>
  <c r="I477" i="7"/>
  <c r="L477" i="7" s="1"/>
  <c r="I537" i="7"/>
  <c r="L537" i="7" s="1"/>
  <c r="I22" i="7"/>
  <c r="L22" i="7" s="1"/>
  <c r="I535" i="7"/>
  <c r="L535" i="7" s="1"/>
  <c r="I414" i="7"/>
  <c r="L414" i="7" s="1"/>
  <c r="I74" i="7"/>
  <c r="L74" i="7" s="1"/>
  <c r="I511" i="7"/>
  <c r="L511" i="7" s="1"/>
  <c r="I35" i="7"/>
  <c r="L35" i="7" s="1"/>
  <c r="I453" i="7"/>
  <c r="L453" i="7" s="1"/>
  <c r="I80" i="7"/>
  <c r="L80" i="7" s="1"/>
  <c r="H4" i="1"/>
  <c r="I466" i="7"/>
  <c r="L466" i="7" s="1"/>
  <c r="I539" i="7"/>
  <c r="L539" i="7" s="1"/>
  <c r="I30" i="7"/>
  <c r="L30" i="7" s="1"/>
  <c r="I419" i="7"/>
  <c r="L419" i="7" s="1"/>
  <c r="I505" i="7"/>
  <c r="L505" i="7" s="1"/>
  <c r="I21" i="7"/>
  <c r="L21" i="7" s="1"/>
  <c r="I86" i="7"/>
  <c r="L86" i="7" s="1"/>
  <c r="I509" i="7"/>
  <c r="L509" i="7" s="1"/>
  <c r="I478" i="7"/>
  <c r="L478" i="7" s="1"/>
  <c r="I31" i="7"/>
  <c r="L31" i="7" s="1"/>
  <c r="I493" i="7"/>
  <c r="L493" i="7" s="1"/>
  <c r="I452" i="7"/>
  <c r="L452" i="7" s="1"/>
  <c r="I495" i="7"/>
  <c r="L495" i="7" s="1"/>
  <c r="I398" i="7"/>
  <c r="L398" i="7" s="1"/>
  <c r="I500" i="7"/>
  <c r="L500" i="7" s="1"/>
  <c r="I83" i="7"/>
  <c r="L83" i="7" s="1"/>
  <c r="I437" i="7"/>
  <c r="L437" i="7" s="1"/>
  <c r="I490" i="7"/>
  <c r="L490" i="7" s="1"/>
  <c r="I409" i="7"/>
  <c r="L409" i="7" s="1"/>
  <c r="I64" i="7"/>
  <c r="L64" i="7" s="1"/>
  <c r="I144" i="7"/>
  <c r="L144" i="7" s="1"/>
  <c r="I457" i="7"/>
  <c r="L457" i="7" s="1"/>
  <c r="I427" i="7"/>
  <c r="L427" i="7" s="1"/>
  <c r="I422" i="7"/>
  <c r="L422" i="7" s="1"/>
  <c r="I25" i="7"/>
  <c r="L25" i="7" s="1"/>
  <c r="I512" i="7"/>
  <c r="L512" i="7" s="1"/>
  <c r="I82" i="7"/>
  <c r="L82" i="7" s="1"/>
  <c r="I328" i="7"/>
  <c r="L328" i="7" s="1"/>
  <c r="I496" i="7"/>
  <c r="L496" i="7" s="1"/>
  <c r="I481" i="7"/>
  <c r="L481" i="7" s="1"/>
  <c r="I85" i="7"/>
  <c r="L85" i="7" s="1"/>
  <c r="I435" i="7"/>
  <c r="L435" i="7" s="1"/>
  <c r="I39" i="7"/>
  <c r="L39" i="7" s="1"/>
  <c r="I81" i="7"/>
  <c r="L81" i="7" s="1"/>
  <c r="I448" i="7"/>
  <c r="L448" i="7" s="1"/>
  <c r="I68" i="7"/>
  <c r="L68" i="7" s="1"/>
  <c r="I436" i="7"/>
  <c r="L436" i="7" s="1"/>
  <c r="I66" i="7"/>
  <c r="L66" i="7" s="1"/>
  <c r="I12" i="7"/>
  <c r="I491" i="7"/>
  <c r="L491" i="7" s="1"/>
  <c r="I60" i="7"/>
  <c r="L60" i="7" s="1"/>
  <c r="I499" i="7"/>
  <c r="L499" i="7" s="1"/>
  <c r="I96" i="7"/>
  <c r="L96" i="7" s="1"/>
  <c r="I468" i="7"/>
  <c r="L468" i="7" s="1"/>
  <c r="I492" i="7"/>
  <c r="L492" i="7" s="1"/>
  <c r="I389" i="7"/>
  <c r="L389" i="7" s="1"/>
  <c r="I621" i="7"/>
  <c r="L621" i="7" s="1"/>
  <c r="I88" i="7"/>
  <c r="L88" i="7" s="1"/>
  <c r="I661" i="7"/>
  <c r="L661" i="7" s="1"/>
  <c r="I429" i="7"/>
  <c r="L429" i="7" s="1"/>
  <c r="I274" i="7"/>
  <c r="L274" i="7" s="1"/>
  <c r="I418" i="7"/>
  <c r="L418" i="7" s="1"/>
  <c r="I354" i="7"/>
  <c r="L354" i="7" s="1"/>
  <c r="I125" i="7"/>
  <c r="L125" i="7" s="1"/>
  <c r="I369" i="7"/>
  <c r="L369" i="7" s="1"/>
  <c r="I107" i="7"/>
  <c r="L107" i="7" s="1"/>
  <c r="I260" i="7"/>
  <c r="L260" i="7" s="1"/>
  <c r="I70" i="7"/>
  <c r="L70" i="7" s="1"/>
  <c r="I337" i="7"/>
  <c r="L337" i="7" s="1"/>
  <c r="I394" i="7"/>
  <c r="L394" i="7" s="1"/>
  <c r="I313" i="7"/>
  <c r="L313" i="7" s="1"/>
  <c r="I335" i="7"/>
  <c r="L335" i="7" s="1"/>
  <c r="I271" i="7"/>
  <c r="L271" i="7" s="1"/>
  <c r="I120" i="7"/>
  <c r="L120" i="7" s="1"/>
  <c r="I439" i="7"/>
  <c r="L439" i="7" s="1"/>
  <c r="I569" i="7"/>
  <c r="L569" i="7" s="1"/>
  <c r="I412" i="7"/>
  <c r="L412" i="7" s="1"/>
  <c r="I604" i="7"/>
  <c r="L604" i="7" s="1"/>
  <c r="I266" i="7"/>
  <c r="L266" i="7" s="1"/>
  <c r="I646" i="7"/>
  <c r="L646" i="7" s="1"/>
  <c r="I590" i="7"/>
  <c r="L590" i="7" s="1"/>
  <c r="I124" i="7"/>
  <c r="L124" i="7" s="1"/>
  <c r="I38" i="7"/>
  <c r="L38" i="7" s="1"/>
  <c r="I334" i="7"/>
  <c r="L334" i="7" s="1"/>
  <c r="I249" i="7"/>
  <c r="L249" i="7" s="1"/>
  <c r="I667" i="7"/>
  <c r="L667" i="7" s="1"/>
  <c r="I47" i="7"/>
  <c r="L47" i="7" s="1"/>
  <c r="I185" i="7"/>
  <c r="L185" i="7" s="1"/>
  <c r="I387" i="7"/>
  <c r="L387" i="7" s="1"/>
  <c r="I489" i="7"/>
  <c r="L489" i="7" s="1"/>
  <c r="I592" i="7"/>
  <c r="L592" i="7" s="1"/>
  <c r="I482" i="7"/>
  <c r="L482" i="7" s="1"/>
  <c r="I549" i="7"/>
  <c r="L549" i="7" s="1"/>
  <c r="I513" i="7"/>
  <c r="L513" i="7" s="1"/>
  <c r="I331" i="7"/>
  <c r="L331" i="7" s="1"/>
  <c r="I608" i="7"/>
  <c r="L608" i="7" s="1"/>
  <c r="I662" i="7"/>
  <c r="L662" i="7" s="1"/>
  <c r="I301" i="7"/>
  <c r="L301" i="7" s="1"/>
  <c r="I218" i="7"/>
  <c r="L218" i="7" s="1"/>
  <c r="I246" i="7"/>
  <c r="L246" i="7" s="1"/>
  <c r="I78" i="7"/>
  <c r="L78" i="7" s="1"/>
  <c r="I116" i="7"/>
  <c r="L116" i="7" s="1"/>
  <c r="I640" i="7"/>
  <c r="L640" i="7" s="1"/>
  <c r="I26" i="7"/>
  <c r="L26" i="7" s="1"/>
  <c r="I532" i="7"/>
  <c r="L532" i="7" s="1"/>
  <c r="I110" i="7"/>
  <c r="L110" i="7" s="1"/>
  <c r="I285" i="7"/>
  <c r="L285" i="7" s="1"/>
  <c r="I320" i="7"/>
  <c r="L320" i="7" s="1"/>
  <c r="I278" i="7"/>
  <c r="L278" i="7" s="1"/>
  <c r="I353" i="7"/>
  <c r="L353" i="7" s="1"/>
  <c r="I352" i="7"/>
  <c r="L352" i="7" s="1"/>
  <c r="I111" i="7"/>
  <c r="L111" i="7" s="1"/>
  <c r="I587" i="7"/>
  <c r="L587" i="7" s="1"/>
  <c r="I58" i="7"/>
  <c r="L58" i="7" s="1"/>
  <c r="I344" i="7"/>
  <c r="L344" i="7" s="1"/>
  <c r="I16" i="7"/>
  <c r="L16" i="7" s="1"/>
  <c r="I396" i="7"/>
  <c r="L396" i="7" s="1"/>
  <c r="I156" i="7"/>
  <c r="L156" i="7" s="1"/>
  <c r="I463" i="7"/>
  <c r="L463" i="7" s="1"/>
  <c r="I519" i="7"/>
  <c r="L519" i="7" s="1"/>
  <c r="I186" i="7"/>
  <c r="L186" i="7" s="1"/>
  <c r="I230" i="7"/>
  <c r="L230" i="7" s="1"/>
  <c r="I399" i="7"/>
  <c r="L399" i="7" s="1"/>
  <c r="I663" i="7"/>
  <c r="L663" i="7" s="1"/>
  <c r="I300" i="7"/>
  <c r="L300" i="7" s="1"/>
  <c r="I291" i="7"/>
  <c r="L291" i="7" s="1"/>
  <c r="I155" i="7"/>
  <c r="L155" i="7" s="1"/>
  <c r="I602" i="7"/>
  <c r="L602" i="7" s="1"/>
  <c r="I434" i="7"/>
  <c r="L434" i="7" s="1"/>
  <c r="I559" i="7"/>
  <c r="L559" i="7" s="1"/>
  <c r="I348" i="7"/>
  <c r="L348" i="7" s="1"/>
  <c r="I112" i="7"/>
  <c r="L112" i="7" s="1"/>
  <c r="I338" i="7"/>
  <c r="L338" i="7" s="1"/>
  <c r="I554" i="7"/>
  <c r="L554" i="7" s="1"/>
  <c r="I158" i="7"/>
  <c r="L158" i="7" s="1"/>
  <c r="I34" i="7"/>
  <c r="L34" i="7" s="1"/>
  <c r="I483" i="7"/>
  <c r="L483" i="7" s="1"/>
  <c r="I591" i="7"/>
  <c r="L591" i="7" s="1"/>
  <c r="I426" i="7"/>
  <c r="L426" i="7" s="1"/>
  <c r="I540" i="7"/>
  <c r="L540" i="7" s="1"/>
  <c r="I642" i="7"/>
  <c r="L642" i="7" s="1"/>
  <c r="I586" i="7"/>
  <c r="L586" i="7" s="1"/>
  <c r="I315" i="7"/>
  <c r="L315" i="7" s="1"/>
  <c r="I546" i="7"/>
  <c r="L546" i="7" s="1"/>
  <c r="I247" i="7"/>
  <c r="L247" i="7" s="1"/>
  <c r="I240" i="7"/>
  <c r="L240" i="7" s="1"/>
  <c r="T189" i="4"/>
  <c r="T105" i="3"/>
  <c r="T108" i="3"/>
  <c r="T215" i="4"/>
  <c r="T183" i="4"/>
  <c r="T11" i="4"/>
  <c r="T32" i="4"/>
  <c r="T59" i="3"/>
  <c r="T42" i="4"/>
  <c r="T68" i="3"/>
  <c r="T9" i="3"/>
  <c r="T49" i="3"/>
  <c r="T104" i="3"/>
  <c r="T12" i="4"/>
  <c r="T24" i="4"/>
  <c r="T41" i="3"/>
  <c r="T190" i="4"/>
  <c r="T30" i="4"/>
  <c r="T42" i="3"/>
  <c r="T28" i="4"/>
  <c r="T78" i="3"/>
  <c r="T170" i="4"/>
  <c r="T141" i="4"/>
  <c r="T112" i="4"/>
  <c r="T18" i="4"/>
  <c r="T185" i="4"/>
  <c r="T164" i="4"/>
  <c r="T69" i="4"/>
  <c r="T65" i="3"/>
  <c r="T229" i="4"/>
  <c r="T44" i="3"/>
  <c r="T55" i="4"/>
  <c r="T72" i="4"/>
  <c r="T98" i="3"/>
  <c r="T160" i="4"/>
  <c r="T128" i="3"/>
  <c r="T86" i="3"/>
  <c r="T51" i="4"/>
  <c r="T101" i="3"/>
  <c r="T191" i="4"/>
  <c r="T159" i="4"/>
  <c r="T156" i="4"/>
  <c r="T10" i="4"/>
  <c r="T17" i="4"/>
  <c r="T43" i="3"/>
  <c r="T31" i="4"/>
  <c r="T91" i="3"/>
  <c r="T9" i="4"/>
  <c r="T83" i="3"/>
  <c r="T194" i="4"/>
  <c r="T27" i="4"/>
  <c r="T207" i="4"/>
  <c r="T43" i="4"/>
  <c r="T209" i="4"/>
  <c r="T74" i="3"/>
  <c r="T162" i="4"/>
  <c r="T37" i="3"/>
  <c r="T67" i="4"/>
  <c r="T168" i="4"/>
  <c r="T17" i="3"/>
  <c r="T13" i="3"/>
  <c r="T10" i="3"/>
  <c r="T45" i="3"/>
  <c r="T5" i="4"/>
  <c r="T153" i="4"/>
  <c r="T219" i="4"/>
  <c r="T166" i="4"/>
  <c r="T202" i="4"/>
  <c r="T208" i="4"/>
  <c r="T61" i="3"/>
  <c r="I664" i="7"/>
  <c r="L664" i="7" s="1"/>
  <c r="I406" i="7"/>
  <c r="L406" i="7" s="1"/>
  <c r="I164" i="7"/>
  <c r="L164" i="7" s="1"/>
  <c r="I251" i="7"/>
  <c r="L251" i="7" s="1"/>
  <c r="I272" i="7"/>
  <c r="L272" i="7" s="1"/>
  <c r="I522" i="7"/>
  <c r="L522" i="7" s="1"/>
  <c r="I390" i="7"/>
  <c r="L390" i="7" s="1"/>
  <c r="I53" i="7"/>
  <c r="L53" i="7" s="1"/>
  <c r="I119" i="7"/>
  <c r="L119" i="7" s="1"/>
  <c r="I165" i="7"/>
  <c r="L165" i="7" s="1"/>
  <c r="I421" i="7"/>
  <c r="L421" i="7" s="1"/>
  <c r="I99" i="7"/>
  <c r="L99" i="7" s="1"/>
  <c r="I170" i="7"/>
  <c r="L170" i="7" s="1"/>
  <c r="I600" i="7"/>
  <c r="L600" i="7" s="1"/>
  <c r="I682" i="7"/>
  <c r="L682" i="7" s="1"/>
  <c r="I515" i="7"/>
  <c r="L515" i="7" s="1"/>
  <c r="I598" i="7"/>
  <c r="L598" i="7" s="1"/>
  <c r="I508" i="7"/>
  <c r="L508" i="7" s="1"/>
  <c r="I187" i="7"/>
  <c r="L187" i="7" s="1"/>
  <c r="I444" i="7"/>
  <c r="L444" i="7" s="1"/>
  <c r="I312" i="7"/>
  <c r="L312" i="7" s="1"/>
  <c r="I219" i="7"/>
  <c r="L219" i="7" s="1"/>
  <c r="I136" i="7"/>
  <c r="L136" i="7" s="1"/>
  <c r="I674" i="7"/>
  <c r="L674" i="7" s="1"/>
  <c r="I151" i="7"/>
  <c r="L151" i="7" s="1"/>
  <c r="I295" i="7"/>
  <c r="L295" i="7" s="1"/>
  <c r="I376" i="7"/>
  <c r="L376" i="7" s="1"/>
  <c r="I289" i="7"/>
  <c r="L289" i="7" s="1"/>
  <c r="I346" i="7"/>
  <c r="L346" i="7" s="1"/>
  <c r="I314" i="7"/>
  <c r="L314" i="7" s="1"/>
  <c r="I656" i="7"/>
  <c r="L656" i="7" s="1"/>
  <c r="I139" i="7"/>
  <c r="L139" i="7" s="1"/>
  <c r="I14" i="7"/>
  <c r="L14" i="7" s="1"/>
  <c r="I595" i="7"/>
  <c r="L595" i="7" s="1"/>
  <c r="I658" i="7"/>
  <c r="L658" i="7" s="1"/>
  <c r="I388" i="7"/>
  <c r="L388" i="7" s="1"/>
  <c r="I480" i="7"/>
  <c r="L480" i="7" s="1"/>
  <c r="I253" i="7"/>
  <c r="L253" i="7" s="1"/>
  <c r="I131" i="7"/>
  <c r="L131" i="7" s="1"/>
  <c r="I585" i="7"/>
  <c r="L585" i="7" s="1"/>
  <c r="I649" i="7"/>
  <c r="L649" i="7" s="1"/>
  <c r="I172" i="7"/>
  <c r="L172" i="7" s="1"/>
  <c r="I220" i="7"/>
  <c r="L220" i="7" s="1"/>
  <c r="I321" i="7"/>
  <c r="L321" i="7" s="1"/>
  <c r="I237" i="7"/>
  <c r="L237" i="7" s="1"/>
  <c r="I189" i="7"/>
  <c r="L189" i="7" s="1"/>
  <c r="I676" i="7"/>
  <c r="L676" i="7" s="1"/>
  <c r="I351" i="7"/>
  <c r="L351" i="7" s="1"/>
  <c r="I72" i="7"/>
  <c r="L72" i="7" s="1"/>
  <c r="I342" i="7"/>
  <c r="L342" i="7" s="1"/>
  <c r="I276" i="7"/>
  <c r="L276" i="7" s="1"/>
  <c r="I588" i="7"/>
  <c r="L588" i="7" s="1"/>
  <c r="I226" i="7"/>
  <c r="L226" i="7" s="1"/>
  <c r="I479" i="7"/>
  <c r="L479" i="7" s="1"/>
  <c r="I552" i="7"/>
  <c r="L552" i="7" s="1"/>
  <c r="I166" i="7"/>
  <c r="L166" i="7" s="1"/>
  <c r="I681" i="7"/>
  <c r="L681" i="7" s="1"/>
  <c r="I648" i="7"/>
  <c r="L648" i="7" s="1"/>
  <c r="I29" i="7"/>
  <c r="L29" i="7" s="1"/>
  <c r="I544" i="7"/>
  <c r="L544" i="7" s="1"/>
  <c r="I507" i="7"/>
  <c r="L507" i="7" s="1"/>
  <c r="I580" i="7"/>
  <c r="L580" i="7" s="1"/>
  <c r="I526" i="7"/>
  <c r="L526" i="7" s="1"/>
  <c r="I213" i="7"/>
  <c r="L213" i="7" s="1"/>
  <c r="I141" i="7"/>
  <c r="L141" i="7" s="1"/>
  <c r="I340" i="7"/>
  <c r="L340" i="7" s="1"/>
  <c r="I536" i="7"/>
  <c r="L536" i="7" s="1"/>
  <c r="I217" i="7"/>
  <c r="L217" i="7" s="1"/>
  <c r="I408" i="7"/>
  <c r="L408" i="7" s="1"/>
  <c r="I143" i="7"/>
  <c r="L143" i="7" s="1"/>
  <c r="I424" i="7"/>
  <c r="L424" i="7" s="1"/>
  <c r="I236" i="7"/>
  <c r="L236" i="7" s="1"/>
  <c r="I152" i="7"/>
  <c r="L152" i="7" s="1"/>
  <c r="I556" i="7"/>
  <c r="L556" i="7" s="1"/>
  <c r="I330" i="7"/>
  <c r="L330" i="7" s="1"/>
  <c r="I603" i="7"/>
  <c r="L603" i="7" s="1"/>
  <c r="I372" i="7"/>
  <c r="L372" i="7" s="1"/>
  <c r="I105" i="7"/>
  <c r="L105" i="7" s="1"/>
  <c r="I129" i="7"/>
  <c r="L129" i="7" s="1"/>
  <c r="I650" i="7"/>
  <c r="L650" i="7" s="1"/>
  <c r="I19" i="7"/>
  <c r="L19" i="7" s="1"/>
  <c r="I668" i="7"/>
  <c r="L668" i="7" s="1"/>
  <c r="I329" i="7"/>
  <c r="L329" i="7" s="1"/>
  <c r="I461" i="7"/>
  <c r="L461" i="7" s="1"/>
  <c r="I59" i="7"/>
  <c r="L59" i="7" s="1"/>
  <c r="I433" i="7"/>
  <c r="L433" i="7" s="1"/>
  <c r="I326" i="7"/>
  <c r="L326" i="7" s="1"/>
  <c r="I378" i="7"/>
  <c r="L378" i="7" s="1"/>
  <c r="I135" i="7"/>
  <c r="L135" i="7" s="1"/>
  <c r="I614" i="7"/>
  <c r="L614" i="7" s="1"/>
  <c r="I655" i="7"/>
  <c r="L655" i="7" s="1"/>
  <c r="I277" i="7"/>
  <c r="L277" i="7" s="1"/>
  <c r="T73" i="3"/>
  <c r="T154" i="4"/>
  <c r="T55" i="3"/>
  <c r="T113" i="3"/>
  <c r="T174" i="4"/>
  <c r="T69" i="3"/>
  <c r="T203" i="4"/>
  <c r="T201" i="4"/>
  <c r="T25" i="3"/>
  <c r="T75" i="3"/>
  <c r="T41" i="4"/>
  <c r="T111" i="3"/>
  <c r="T84" i="3"/>
  <c r="T147" i="4"/>
  <c r="T48" i="3"/>
  <c r="T34" i="4"/>
  <c r="T71" i="4"/>
  <c r="T58" i="4"/>
  <c r="T120" i="4"/>
  <c r="T86" i="4"/>
  <c r="T52" i="4"/>
  <c r="T82" i="3"/>
  <c r="T80" i="3"/>
  <c r="T211" i="4"/>
  <c r="T104" i="4"/>
  <c r="T23" i="3"/>
  <c r="T62" i="4"/>
  <c r="T63" i="4"/>
  <c r="T77" i="3"/>
  <c r="T103" i="3"/>
  <c r="T119" i="4"/>
  <c r="T3" i="3"/>
  <c r="T20" i="4"/>
  <c r="T46" i="4"/>
  <c r="T52" i="3"/>
  <c r="T81" i="4"/>
  <c r="T64" i="3"/>
  <c r="T25" i="4"/>
  <c r="T163" i="4"/>
  <c r="T45" i="4"/>
  <c r="T78" i="4"/>
  <c r="T139" i="4"/>
  <c r="T85" i="3"/>
  <c r="T148" i="4"/>
  <c r="T123" i="3"/>
  <c r="T61" i="4"/>
  <c r="T70" i="3"/>
  <c r="T176" i="4"/>
  <c r="T22" i="3"/>
  <c r="T108" i="4"/>
  <c r="T67" i="3"/>
  <c r="T74" i="4"/>
  <c r="T83" i="4"/>
  <c r="T140" i="4"/>
  <c r="T6" i="3"/>
  <c r="T27" i="3"/>
  <c r="T227" i="4"/>
  <c r="T58" i="3"/>
  <c r="T220" i="4"/>
  <c r="T12" i="3"/>
  <c r="T126" i="3"/>
  <c r="T124" i="4"/>
  <c r="T137" i="4"/>
  <c r="T221" i="4"/>
  <c r="T109" i="4"/>
  <c r="T180" i="4"/>
  <c r="T127" i="4"/>
  <c r="T13" i="4"/>
  <c r="T93" i="3"/>
  <c r="T127" i="3"/>
  <c r="T94" i="3"/>
  <c r="T99" i="3"/>
  <c r="T121" i="4"/>
  <c r="T110" i="4"/>
  <c r="T33" i="3"/>
  <c r="T39" i="3"/>
  <c r="T192" i="4"/>
  <c r="T158" i="4"/>
  <c r="T80" i="4"/>
  <c r="T115" i="3"/>
  <c r="T72" i="3"/>
  <c r="T142" i="4"/>
  <c r="T64" i="4"/>
  <c r="T226" i="4"/>
  <c r="T76" i="3"/>
  <c r="T198" i="4"/>
  <c r="T167" i="4"/>
  <c r="T126" i="4"/>
  <c r="T29" i="3"/>
  <c r="T182" i="4"/>
  <c r="T40" i="3"/>
  <c r="T73" i="2"/>
  <c r="T30" i="3"/>
  <c r="T79" i="3"/>
  <c r="T92" i="4"/>
  <c r="T146" i="4"/>
  <c r="T4" i="3"/>
  <c r="T149" i="4"/>
  <c r="T196" i="4"/>
  <c r="T47" i="3"/>
  <c r="T222" i="4"/>
  <c r="T33" i="4"/>
  <c r="T113" i="4"/>
  <c r="I386" i="7"/>
  <c r="L386" i="7" s="1"/>
  <c r="I254" i="7"/>
  <c r="L254" i="7" s="1"/>
  <c r="I675" i="7"/>
  <c r="L675" i="7" s="1"/>
  <c r="I293" i="7"/>
  <c r="L293" i="7" s="1"/>
  <c r="I161" i="7"/>
  <c r="L161" i="7" s="1"/>
  <c r="I405" i="7"/>
  <c r="L405" i="7" s="1"/>
  <c r="I290" i="7"/>
  <c r="L290" i="7" s="1"/>
  <c r="I98" i="7"/>
  <c r="L98" i="7" s="1"/>
  <c r="I243" i="7"/>
  <c r="L243" i="7" s="1"/>
  <c r="I485" i="7"/>
  <c r="L485" i="7" s="1"/>
  <c r="I222" i="7"/>
  <c r="I679" i="7"/>
  <c r="L679" i="7" s="1"/>
  <c r="I677" i="7"/>
  <c r="L677" i="7" s="1"/>
  <c r="I564" i="7"/>
  <c r="L564" i="7" s="1"/>
  <c r="I582" i="7"/>
  <c r="L582" i="7" s="1"/>
  <c r="I32" i="7"/>
  <c r="L32" i="7" s="1"/>
  <c r="I287" i="7"/>
  <c r="L287" i="7" s="1"/>
  <c r="I385" i="7"/>
  <c r="L385" i="7" s="1"/>
  <c r="I134" i="7"/>
  <c r="L134" i="7" s="1"/>
  <c r="I397" i="7"/>
  <c r="L397" i="7" s="1"/>
  <c r="I192" i="7"/>
  <c r="L192" i="7" s="1"/>
  <c r="I570" i="7"/>
  <c r="L570" i="7" s="1"/>
  <c r="I13" i="7"/>
  <c r="L13" i="7" s="1"/>
  <c r="I553" i="7"/>
  <c r="L553" i="7" s="1"/>
  <c r="I417" i="7"/>
  <c r="L417" i="7" s="1"/>
  <c r="I145" i="7"/>
  <c r="L145" i="7" s="1"/>
  <c r="I296" i="7"/>
  <c r="L296" i="7" s="1"/>
  <c r="I28" i="7"/>
  <c r="L28" i="7" s="1"/>
  <c r="I23" i="7"/>
  <c r="L23" i="7" s="1"/>
  <c r="I643" i="7"/>
  <c r="L643" i="7" s="1"/>
  <c r="I62" i="7"/>
  <c r="L62" i="7" s="1"/>
  <c r="I292" i="7"/>
  <c r="L292" i="7" s="1"/>
  <c r="I234" i="7"/>
  <c r="L234" i="7" s="1"/>
  <c r="I516" i="7"/>
  <c r="L516" i="7" s="1"/>
  <c r="I665" i="7"/>
  <c r="L665" i="7" s="1"/>
  <c r="I76" i="7"/>
  <c r="L76" i="7" s="1"/>
  <c r="I45" i="7"/>
  <c r="L45" i="7" s="1"/>
  <c r="I575" i="7"/>
  <c r="L575" i="7" s="1"/>
  <c r="I262" i="7"/>
  <c r="L262" i="7" s="1"/>
  <c r="I420" i="7"/>
  <c r="L420" i="7" s="1"/>
  <c r="I597" i="7"/>
  <c r="L597" i="7" s="1"/>
  <c r="I102" i="7"/>
  <c r="L102" i="7" s="1"/>
  <c r="I589" i="7"/>
  <c r="L589" i="7" s="1"/>
  <c r="I563" i="7"/>
  <c r="L563" i="7" s="1"/>
  <c r="I654" i="7"/>
  <c r="L654" i="7" s="1"/>
  <c r="I618" i="7"/>
  <c r="L618" i="7" s="1"/>
  <c r="I324" i="7"/>
  <c r="L324" i="7" s="1"/>
  <c r="I67" i="7"/>
  <c r="L67" i="7" s="1"/>
  <c r="I69" i="7"/>
  <c r="L69" i="7" s="1"/>
  <c r="I358" i="7"/>
  <c r="L358" i="7" s="1"/>
  <c r="I95" i="7"/>
  <c r="L95" i="7" s="1"/>
  <c r="I239" i="7"/>
  <c r="L239" i="7" s="1"/>
  <c r="I244" i="7"/>
  <c r="L244" i="7" s="1"/>
  <c r="I459" i="7"/>
  <c r="L459" i="7" s="1"/>
  <c r="I449" i="7"/>
  <c r="L449" i="7" s="1"/>
  <c r="I265" i="7"/>
  <c r="L265" i="7" s="1"/>
  <c r="I395" i="7"/>
  <c r="L395" i="7" s="1"/>
  <c r="I216" i="7"/>
  <c r="L216" i="7" s="1"/>
  <c r="I33" i="7"/>
  <c r="L33" i="7" s="1"/>
  <c r="I612" i="7"/>
  <c r="L612" i="7" s="1"/>
  <c r="I631" i="7"/>
  <c r="L631" i="7" s="1"/>
  <c r="I568" i="7"/>
  <c r="L568" i="7" s="1"/>
  <c r="I91" i="7"/>
  <c r="L91" i="7" s="1"/>
  <c r="I416" i="7"/>
  <c r="L416" i="7" s="1"/>
  <c r="I275" i="7"/>
  <c r="L275" i="7" s="1"/>
  <c r="I547" i="7"/>
  <c r="L547" i="7" s="1"/>
  <c r="I61" i="7"/>
  <c r="L61" i="7" s="1"/>
  <c r="I657" i="7"/>
  <c r="L657" i="7" s="1"/>
  <c r="I488" i="7"/>
  <c r="L488" i="7" s="1"/>
  <c r="I370" i="7"/>
  <c r="L370" i="7" s="1"/>
  <c r="I268" i="7"/>
  <c r="L268" i="7" s="1"/>
  <c r="I645" i="7"/>
  <c r="L645" i="7" s="1"/>
  <c r="I503" i="7"/>
  <c r="L503" i="7" s="1"/>
  <c r="I619" i="7"/>
  <c r="L619" i="7" s="1"/>
  <c r="I494" i="7"/>
  <c r="I304" i="7"/>
  <c r="L304" i="7" s="1"/>
  <c r="I373" i="7"/>
  <c r="L373" i="7" s="1"/>
  <c r="I584" i="7"/>
  <c r="L584" i="7" s="1"/>
  <c r="I391" i="7"/>
  <c r="L391" i="7" s="1"/>
  <c r="I534" i="7"/>
  <c r="L534" i="7" s="1"/>
  <c r="I541" i="7"/>
  <c r="L541" i="7" s="1"/>
  <c r="I93" i="7"/>
  <c r="L93" i="7" s="1"/>
  <c r="I307" i="7"/>
  <c r="L307" i="7" s="1"/>
  <c r="I456" i="7"/>
  <c r="L456" i="7" s="1"/>
  <c r="I323" i="7"/>
  <c r="L323" i="7" s="1"/>
  <c r="I460" i="7"/>
  <c r="L460" i="7" s="1"/>
  <c r="I65" i="7"/>
  <c r="L65" i="7" s="1"/>
  <c r="I168" i="7"/>
  <c r="L168" i="7" s="1"/>
  <c r="I393" i="7"/>
  <c r="L393" i="7" s="1"/>
  <c r="I44" i="7"/>
  <c r="L44" i="7" s="1"/>
  <c r="I469" i="7"/>
  <c r="L469" i="7" s="1"/>
  <c r="I566" i="7"/>
  <c r="L566" i="7" s="1"/>
  <c r="T100" i="3"/>
  <c r="T206" i="4"/>
  <c r="T116" i="3"/>
  <c r="T96" i="3"/>
  <c r="T187" i="4"/>
  <c r="T87" i="4"/>
  <c r="T18" i="3"/>
  <c r="T130" i="4"/>
  <c r="T101" i="4"/>
  <c r="T16" i="4"/>
  <c r="T76" i="4"/>
  <c r="T63" i="3"/>
  <c r="T214" i="4"/>
  <c r="T121" i="3"/>
  <c r="T106" i="4"/>
  <c r="T132" i="4"/>
  <c r="T60" i="3"/>
  <c r="T186" i="4"/>
  <c r="T144" i="4"/>
  <c r="T19" i="3"/>
  <c r="T98" i="4"/>
  <c r="T44" i="4"/>
  <c r="T115" i="4"/>
  <c r="T23" i="4"/>
  <c r="T210" i="4"/>
  <c r="T53" i="3"/>
  <c r="T19" i="4"/>
  <c r="T96" i="4"/>
  <c r="T81" i="3"/>
  <c r="T112" i="3"/>
  <c r="T90" i="4"/>
  <c r="T53" i="4"/>
  <c r="T181" i="4"/>
  <c r="T66" i="4"/>
  <c r="T93" i="4"/>
  <c r="T135" i="4"/>
  <c r="T89" i="3"/>
  <c r="T20" i="3"/>
  <c r="T57" i="3"/>
  <c r="T92" i="3"/>
  <c r="T205" i="4"/>
  <c r="T165" i="4"/>
  <c r="T172" i="4"/>
  <c r="T26" i="4"/>
  <c r="T212" i="4"/>
  <c r="T8" i="3"/>
  <c r="T47" i="4"/>
  <c r="T51" i="3"/>
  <c r="T131" i="4"/>
  <c r="T7" i="4"/>
  <c r="T56" i="4"/>
  <c r="T60" i="4"/>
  <c r="T40" i="4"/>
  <c r="T36" i="4"/>
  <c r="T91" i="4"/>
  <c r="T95" i="4"/>
  <c r="T143" i="4"/>
  <c r="T223" i="4"/>
  <c r="T122" i="3"/>
  <c r="T114" i="4"/>
  <c r="T97" i="3"/>
  <c r="T6" i="4"/>
  <c r="T151" i="4"/>
  <c r="T94" i="4"/>
  <c r="T133" i="4"/>
  <c r="T79" i="4"/>
  <c r="T118" i="4"/>
  <c r="T77" i="4"/>
  <c r="T16" i="3"/>
  <c r="T7" i="3"/>
  <c r="T35" i="4"/>
  <c r="T90" i="3"/>
  <c r="T70" i="4"/>
  <c r="T34" i="3"/>
  <c r="T134" i="4"/>
  <c r="T15" i="3"/>
  <c r="T225" i="4"/>
  <c r="T217" i="4"/>
  <c r="T99" i="4"/>
  <c r="T57" i="4"/>
  <c r="T14" i="3"/>
  <c r="T120" i="3"/>
  <c r="T73" i="4"/>
  <c r="T152" i="4"/>
  <c r="T109" i="3"/>
  <c r="T68" i="4"/>
  <c r="T193" i="4"/>
  <c r="T21" i="3"/>
  <c r="T184" i="4"/>
  <c r="T36" i="3"/>
  <c r="T38" i="3"/>
  <c r="T22" i="4"/>
  <c r="T48" i="4"/>
  <c r="T102" i="3"/>
  <c r="T75" i="4"/>
  <c r="T4" i="4"/>
  <c r="T216" i="4"/>
  <c r="T32" i="3"/>
  <c r="T119" i="3"/>
  <c r="T177" i="4"/>
  <c r="I371" i="7"/>
  <c r="L371" i="7" s="1"/>
  <c r="I671" i="7"/>
  <c r="L671" i="7" s="1"/>
  <c r="I678" i="7"/>
  <c r="L678" i="7" s="1"/>
  <c r="I349" i="7"/>
  <c r="L349" i="7" s="1"/>
  <c r="I310" i="7"/>
  <c r="L310" i="7" s="1"/>
  <c r="I558" i="7"/>
  <c r="L558" i="7" s="1"/>
  <c r="I625" i="7"/>
  <c r="L625" i="7" s="1"/>
  <c r="I283" i="7"/>
  <c r="L283" i="7" s="1"/>
  <c r="I617" i="7"/>
  <c r="L617" i="7" s="1"/>
  <c r="I163" i="7"/>
  <c r="L163" i="7" s="1"/>
  <c r="I122" i="7"/>
  <c r="L122" i="7" s="1"/>
  <c r="I581" i="7"/>
  <c r="L581" i="7" s="1"/>
  <c r="I653" i="7"/>
  <c r="L653" i="7" s="1"/>
  <c r="I441" i="7"/>
  <c r="L441" i="7" s="1"/>
  <c r="I579" i="7"/>
  <c r="L579" i="7" s="1"/>
  <c r="I48" i="7"/>
  <c r="L48" i="7" s="1"/>
  <c r="I672" i="7"/>
  <c r="L672" i="7" s="1"/>
  <c r="I282" i="7"/>
  <c r="L282" i="7" s="1"/>
  <c r="I413" i="7"/>
  <c r="L413" i="7" s="1"/>
  <c r="I27" i="7"/>
  <c r="L27" i="7" s="1"/>
  <c r="I24" i="7"/>
  <c r="L24" i="7" s="1"/>
  <c r="I647" i="7"/>
  <c r="L647" i="7" s="1"/>
  <c r="I154" i="7"/>
  <c r="L154" i="7" s="1"/>
  <c r="I644" i="7"/>
  <c r="L644" i="7" s="1"/>
  <c r="I680" i="7"/>
  <c r="L680" i="7" s="1"/>
  <c r="I132" i="7"/>
  <c r="L132" i="7" s="1"/>
  <c r="I543" i="7"/>
  <c r="L543" i="7" s="1"/>
  <c r="I252" i="7"/>
  <c r="L252" i="7" s="1"/>
  <c r="I190" i="7"/>
  <c r="L190" i="7" s="1"/>
  <c r="I573" i="7"/>
  <c r="L573" i="7" s="1"/>
  <c r="I467" i="7"/>
  <c r="L467" i="7" s="1"/>
  <c r="I169" i="7"/>
  <c r="I104" i="7"/>
  <c r="L104" i="7" s="1"/>
  <c r="I137" i="7"/>
  <c r="L137" i="7" s="1"/>
  <c r="I159" i="7"/>
  <c r="L159" i="7" s="1"/>
  <c r="I411" i="7"/>
  <c r="L411" i="7" s="1"/>
  <c r="I109" i="7"/>
  <c r="L109" i="7" s="1"/>
  <c r="I149" i="7"/>
  <c r="L149" i="7" s="1"/>
  <c r="I280" i="7"/>
  <c r="L280" i="7" s="1"/>
  <c r="I423" i="7"/>
  <c r="L423" i="7" s="1"/>
  <c r="I57" i="7"/>
  <c r="L57" i="7" s="1"/>
  <c r="I50" i="7"/>
  <c r="L50" i="7" s="1"/>
  <c r="I214" i="7"/>
  <c r="L214" i="7" s="1"/>
  <c r="I669" i="7"/>
  <c r="L669" i="7" s="1"/>
  <c r="I286" i="7"/>
  <c r="L286" i="7" s="1"/>
  <c r="I670" i="7"/>
  <c r="L670" i="7" s="1"/>
  <c r="I317" i="7"/>
  <c r="L317" i="7" s="1"/>
  <c r="I71" i="7"/>
  <c r="L71" i="7" s="1"/>
  <c r="I341" i="7"/>
  <c r="L341" i="7" s="1"/>
  <c r="I622" i="7"/>
  <c r="L622" i="7" s="1"/>
  <c r="I148" i="7"/>
  <c r="L148" i="7" s="1"/>
  <c r="I303" i="7"/>
  <c r="L303" i="7" s="1"/>
  <c r="I576" i="7"/>
  <c r="L576" i="7" s="1"/>
  <c r="I599" i="7"/>
  <c r="L599" i="7" s="1"/>
  <c r="I118" i="7"/>
  <c r="L118" i="7" s="1"/>
  <c r="I659" i="7"/>
  <c r="L659" i="7" s="1"/>
  <c r="I322" i="7"/>
  <c r="L322" i="7" s="1"/>
  <c r="I666" i="7"/>
  <c r="L666" i="7" s="1"/>
  <c r="I651" i="7"/>
  <c r="L651" i="7" s="1"/>
  <c r="I383" i="7"/>
  <c r="L383" i="7" s="1"/>
  <c r="I242" i="7"/>
  <c r="L242" i="7" s="1"/>
  <c r="I379" i="7"/>
  <c r="L379" i="7" s="1"/>
  <c r="I440" i="7"/>
  <c r="L440" i="7" s="1"/>
  <c r="I350" i="7"/>
  <c r="L350" i="7" s="1"/>
  <c r="I365" i="7"/>
  <c r="L365" i="7" s="1"/>
  <c r="I36" i="7"/>
  <c r="L36" i="7" s="1"/>
  <c r="I660" i="7"/>
  <c r="L660" i="7" s="1"/>
  <c r="I279" i="7"/>
  <c r="L279" i="7" s="1"/>
  <c r="I381" i="7"/>
  <c r="L381" i="7" s="1"/>
  <c r="I305" i="7"/>
  <c r="L305" i="7" s="1"/>
  <c r="I578" i="7"/>
  <c r="L578" i="7" s="1"/>
  <c r="I583" i="7"/>
  <c r="L583" i="7" s="1"/>
  <c r="I531" i="7"/>
  <c r="L531" i="7" s="1"/>
  <c r="I359" i="7"/>
  <c r="L359" i="7" s="1"/>
  <c r="I673" i="7"/>
  <c r="L673" i="7" s="1"/>
  <c r="I392" i="7"/>
  <c r="L392" i="7" s="1"/>
  <c r="I626" i="7"/>
  <c r="L626" i="7" s="1"/>
  <c r="I215" i="7"/>
  <c r="L215" i="7" s="1"/>
  <c r="I683" i="7"/>
  <c r="L683" i="7" s="1"/>
  <c r="I153" i="7"/>
  <c r="L153" i="7" s="1"/>
  <c r="I103" i="7"/>
  <c r="L103" i="7" s="1"/>
  <c r="I577" i="7"/>
  <c r="L577" i="7" s="1"/>
  <c r="I404" i="7"/>
  <c r="L404" i="7" s="1"/>
  <c r="I223" i="7"/>
  <c r="I269" i="7"/>
  <c r="L269" i="7" s="1"/>
  <c r="I267" i="7"/>
  <c r="L267" i="7" s="1"/>
  <c r="I380" i="7"/>
  <c r="L380" i="7" s="1"/>
  <c r="I167" i="7"/>
  <c r="L167" i="7" s="1"/>
  <c r="I403" i="7"/>
  <c r="L403" i="7" s="1"/>
  <c r="I162" i="7"/>
  <c r="L162" i="7" s="1"/>
  <c r="I309" i="7"/>
  <c r="L309" i="7" s="1"/>
  <c r="I377" i="7"/>
  <c r="L377" i="7" s="1"/>
  <c r="T200" i="4"/>
  <c r="T178" i="4"/>
  <c r="T26" i="3"/>
  <c r="T100" i="4"/>
  <c r="T224" i="4"/>
  <c r="T116" i="4"/>
  <c r="T179" i="4"/>
  <c r="T155" i="4"/>
  <c r="T118" i="3"/>
  <c r="T3" i="4"/>
  <c r="T21" i="4"/>
  <c r="T46" i="3"/>
  <c r="T106" i="3"/>
  <c r="T117" i="4"/>
  <c r="T114" i="3"/>
  <c r="T38" i="4"/>
  <c r="T65" i="4"/>
  <c r="T218" i="4"/>
  <c r="T129" i="3"/>
  <c r="T89" i="4"/>
  <c r="T107" i="3"/>
  <c r="T125" i="4"/>
  <c r="T29" i="4"/>
  <c r="T107" i="4"/>
  <c r="T97" i="4"/>
  <c r="T11" i="3"/>
  <c r="T124" i="3"/>
  <c r="T8" i="4"/>
  <c r="T195" i="4"/>
  <c r="T24" i="3"/>
  <c r="T95" i="3"/>
  <c r="T145" i="4"/>
  <c r="T228" i="4"/>
  <c r="T128" i="4"/>
  <c r="T88" i="4"/>
  <c r="T150" i="4"/>
  <c r="T71" i="3"/>
  <c r="T15" i="4"/>
  <c r="T102" i="4"/>
  <c r="T54" i="3"/>
  <c r="T110" i="3"/>
  <c r="T161" i="4"/>
  <c r="T14" i="4"/>
  <c r="T111" i="4"/>
  <c r="T175" i="4"/>
  <c r="T59" i="4"/>
  <c r="T105" i="4"/>
  <c r="T54" i="4"/>
  <c r="T62" i="3"/>
  <c r="T199" i="4"/>
  <c r="T84" i="4"/>
  <c r="T31" i="3"/>
  <c r="T85" i="4"/>
  <c r="T50" i="3"/>
  <c r="T39" i="4"/>
  <c r="T35" i="3"/>
  <c r="T157" i="4"/>
  <c r="T197" i="4"/>
  <c r="T50" i="4"/>
  <c r="T173" i="4"/>
  <c r="T49" i="4"/>
  <c r="T82" i="4"/>
  <c r="T28" i="3"/>
  <c r="T230" i="4"/>
  <c r="T213" i="4"/>
  <c r="T103" i="4"/>
  <c r="T138" i="4"/>
  <c r="T231" i="4"/>
  <c r="T129" i="4"/>
  <c r="T188" i="4"/>
  <c r="T66" i="3"/>
  <c r="T125" i="3"/>
  <c r="T87" i="3"/>
  <c r="T169" i="4"/>
  <c r="T123" i="4"/>
  <c r="T204" i="4"/>
  <c r="T37" i="4"/>
  <c r="T122" i="4"/>
  <c r="T5" i="3"/>
  <c r="T136" i="4"/>
  <c r="T117" i="3"/>
  <c r="T56" i="3"/>
  <c r="T88" i="3"/>
  <c r="T171" i="4"/>
  <c r="I128" i="7"/>
  <c r="L128" i="7" s="1"/>
  <c r="I343" i="7"/>
  <c r="L343" i="7" s="1"/>
  <c r="I572" i="7"/>
  <c r="L572" i="7" s="1"/>
  <c r="I37" i="7"/>
  <c r="L37" i="7" s="1"/>
  <c r="I232" i="7"/>
  <c r="L232" i="7" s="1"/>
  <c r="I524" i="7"/>
  <c r="L524" i="7" s="1"/>
  <c r="I238" i="7"/>
  <c r="L238" i="7" s="1"/>
  <c r="I542" i="7"/>
  <c r="L542" i="7" s="1"/>
  <c r="I327" i="7"/>
  <c r="L327" i="7" s="1"/>
  <c r="I208" i="7"/>
  <c r="L208" i="7" s="1"/>
  <c r="I138" i="7"/>
  <c r="L138" i="7" s="1"/>
  <c r="I281" i="7"/>
  <c r="L281" i="7" s="1"/>
  <c r="I15" i="7"/>
  <c r="L15" i="7" s="1"/>
  <c r="T20" i="2"/>
  <c r="T12" i="2"/>
  <c r="T166" i="5"/>
  <c r="T15" i="5"/>
  <c r="T18" i="5"/>
  <c r="T123" i="5"/>
  <c r="T72" i="5"/>
  <c r="T139" i="5"/>
  <c r="T71" i="2"/>
  <c r="T161" i="5"/>
  <c r="T87" i="5"/>
  <c r="T48" i="2"/>
  <c r="T143" i="5"/>
  <c r="T126" i="5"/>
  <c r="T10" i="2"/>
  <c r="T47" i="5"/>
  <c r="T140" i="5"/>
  <c r="T7" i="5"/>
  <c r="T98" i="5"/>
  <c r="T39" i="2"/>
  <c r="T93" i="5"/>
  <c r="T61" i="2"/>
  <c r="T4" i="2"/>
  <c r="T36" i="5"/>
  <c r="T68" i="5"/>
  <c r="T28" i="5"/>
  <c r="T21" i="5"/>
  <c r="I201" i="7"/>
  <c r="L201" i="7" s="1"/>
  <c r="I609" i="7"/>
  <c r="L609" i="7" s="1"/>
  <c r="I605" i="7"/>
  <c r="L605" i="7" s="1"/>
  <c r="I400" i="7"/>
  <c r="L400" i="7" s="1"/>
  <c r="I362" i="7"/>
  <c r="L362" i="7" s="1"/>
  <c r="I545" i="7"/>
  <c r="L545" i="7" s="1"/>
  <c r="I284" i="7"/>
  <c r="L284" i="7" s="1"/>
  <c r="I447" i="7"/>
  <c r="L447" i="7" s="1"/>
  <c r="I202" i="7"/>
  <c r="L202" i="7" s="1"/>
  <c r="I527" i="7"/>
  <c r="L527" i="7" s="1"/>
  <c r="I634" i="7"/>
  <c r="L634" i="7" s="1"/>
  <c r="I382" i="7"/>
  <c r="I613" i="7"/>
  <c r="L613" i="7" s="1"/>
  <c r="I183" i="7"/>
  <c r="L183" i="7" s="1"/>
  <c r="I130" i="7"/>
  <c r="L130" i="7" s="1"/>
  <c r="I75" i="7"/>
  <c r="L75" i="7" s="1"/>
  <c r="I616" i="7"/>
  <c r="L616" i="7" s="1"/>
  <c r="I97" i="7"/>
  <c r="L97" i="7" s="1"/>
  <c r="I627" i="7"/>
  <c r="L627" i="7" s="1"/>
  <c r="I529" i="7"/>
  <c r="L529" i="7" s="1"/>
  <c r="I607" i="7"/>
  <c r="L607" i="7" s="1"/>
  <c r="I623" i="7"/>
  <c r="L623" i="7" s="1"/>
  <c r="I520" i="7"/>
  <c r="L520" i="7" s="1"/>
  <c r="I355" i="7"/>
  <c r="L355" i="7" s="1"/>
  <c r="I200" i="7"/>
  <c r="L200" i="7" s="1"/>
  <c r="I308" i="7"/>
  <c r="L308" i="7" s="1"/>
  <c r="I150" i="7"/>
  <c r="L150" i="7" s="1"/>
  <c r="I652" i="7"/>
  <c r="L652" i="7" s="1"/>
  <c r="I458" i="7"/>
  <c r="L458" i="7" s="1"/>
  <c r="I196" i="7"/>
  <c r="L196" i="7" s="1"/>
  <c r="I77" i="7"/>
  <c r="L77" i="7" s="1"/>
  <c r="I474" i="7"/>
  <c r="L474" i="7" s="1"/>
  <c r="I318" i="7"/>
  <c r="L318" i="7" s="1"/>
  <c r="I235" i="7"/>
  <c r="L235" i="7" s="1"/>
  <c r="I548" i="7"/>
  <c r="L548" i="7" s="1"/>
  <c r="I73" i="7"/>
  <c r="L73" i="7" s="1"/>
  <c r="I438" i="7"/>
  <c r="L438" i="7" s="1"/>
  <c r="I501" i="7"/>
  <c r="L501" i="7" s="1"/>
  <c r="I593" i="7"/>
  <c r="L593" i="7" s="1"/>
  <c r="I126" i="7"/>
  <c r="L126" i="7" s="1"/>
  <c r="I273" i="7"/>
  <c r="L273" i="7" s="1"/>
  <c r="I256" i="7"/>
  <c r="L256" i="7" s="1"/>
  <c r="I521" i="7"/>
  <c r="L521" i="7" s="1"/>
  <c r="I177" i="7"/>
  <c r="L177" i="7" s="1"/>
  <c r="I610" i="7"/>
  <c r="L610" i="7" s="1"/>
  <c r="I325" i="7"/>
  <c r="L325" i="7" s="1"/>
  <c r="I368" i="7"/>
  <c r="L368" i="7" s="1"/>
  <c r="I347" i="7"/>
  <c r="L347" i="7" s="1"/>
  <c r="I175" i="7"/>
  <c r="L175" i="7" s="1"/>
  <c r="I20" i="7"/>
  <c r="L20" i="7" s="1"/>
  <c r="I263" i="7"/>
  <c r="L263" i="7" s="1"/>
  <c r="I194" i="7"/>
  <c r="L194" i="7" s="1"/>
  <c r="I176" i="7"/>
  <c r="L176" i="7" s="1"/>
  <c r="I332" i="7"/>
  <c r="L332" i="7" s="1"/>
  <c r="I319" i="7"/>
  <c r="L319" i="7" s="1"/>
  <c r="I123" i="7"/>
  <c r="L123" i="7" s="1"/>
  <c r="I425" i="7"/>
  <c r="L425" i="7" s="1"/>
  <c r="I46" i="7"/>
  <c r="L46" i="7" s="1"/>
  <c r="I530" i="7"/>
  <c r="L530" i="7" s="1"/>
  <c r="C2" i="7" l="1"/>
  <c r="L94" i="7"/>
  <c r="G2" i="7"/>
  <c r="L188" i="7"/>
  <c r="C6" i="7"/>
  <c r="G6" i="7"/>
  <c r="L494" i="7"/>
  <c r="J8" i="7"/>
  <c r="C4" i="7"/>
  <c r="L222" i="7"/>
  <c r="G4" i="7"/>
  <c r="L223" i="7"/>
  <c r="J4" i="7"/>
  <c r="L169" i="7"/>
  <c r="C8" i="7"/>
  <c r="G8" i="7"/>
  <c r="H60" i="28"/>
  <c r="Z5" i="28"/>
  <c r="Z23" i="28"/>
  <c r="Z40" i="28"/>
  <c r="Z31" i="28"/>
  <c r="H45" i="28"/>
  <c r="Z10" i="28"/>
  <c r="H58" i="28"/>
  <c r="Z17" i="28"/>
  <c r="Z16" i="28"/>
  <c r="Z61" i="28"/>
  <c r="Z56" i="28"/>
  <c r="Z41" i="28"/>
  <c r="Z53" i="28"/>
  <c r="Z51" i="28"/>
  <c r="H62" i="28"/>
  <c r="Z39" i="28"/>
  <c r="H39" i="28"/>
  <c r="Z13" i="28"/>
  <c r="Z34" i="28"/>
  <c r="Z44" i="28"/>
  <c r="H43" i="28"/>
  <c r="Z14" i="28"/>
  <c r="Z26" i="28"/>
  <c r="Z32" i="28"/>
  <c r="Z30" i="28"/>
  <c r="Z20" i="28"/>
  <c r="Z58" i="28"/>
  <c r="Z52" i="28"/>
  <c r="Z12" i="28"/>
  <c r="Z19" i="28"/>
  <c r="Z33" i="28"/>
  <c r="Z11" i="28"/>
  <c r="Z29" i="28"/>
  <c r="Z45" i="28"/>
  <c r="H51" i="28"/>
  <c r="H47" i="28"/>
  <c r="H44" i="28"/>
  <c r="Z7" i="28"/>
  <c r="H55" i="28"/>
  <c r="Z24" i="28"/>
  <c r="Z50" i="28"/>
  <c r="Z6" i="28"/>
  <c r="H59" i="28"/>
  <c r="Z43" i="28"/>
  <c r="Z36" i="28"/>
  <c r="Z59" i="28"/>
  <c r="Z54" i="28"/>
  <c r="H57" i="28"/>
  <c r="Z64" i="28"/>
  <c r="H37" i="28"/>
  <c r="Z22" i="28"/>
  <c r="Z48" i="28"/>
  <c r="Z27" i="28"/>
  <c r="Z47" i="28"/>
  <c r="Z63" i="28"/>
  <c r="H56" i="28"/>
  <c r="H40" i="28"/>
  <c r="H61" i="28"/>
  <c r="H46" i="28"/>
  <c r="Z15" i="28"/>
  <c r="H63" i="28"/>
  <c r="H52" i="28"/>
  <c r="Z18" i="28"/>
  <c r="H53" i="28"/>
  <c r="Z46" i="28"/>
  <c r="Z25" i="28"/>
  <c r="Z21" i="28"/>
  <c r="Z55" i="28"/>
  <c r="H54" i="28"/>
  <c r="Z28" i="28"/>
  <c r="H42" i="28"/>
  <c r="Z49" i="28"/>
  <c r="Z9" i="28"/>
  <c r="Z57" i="28"/>
  <c r="Z62" i="28"/>
  <c r="Z42" i="28"/>
  <c r="Z38" i="28"/>
  <c r="Z8" i="28"/>
  <c r="H50" i="28"/>
  <c r="H41" i="28"/>
  <c r="Z37" i="28"/>
  <c r="H64" i="28"/>
  <c r="H38" i="28"/>
  <c r="Z35" i="28"/>
  <c r="H49" i="28"/>
  <c r="Z60" i="28"/>
  <c r="H48" i="28"/>
  <c r="Q63" i="28"/>
  <c r="Q35" i="28"/>
  <c r="H34" i="28"/>
  <c r="H28" i="28"/>
  <c r="Q12" i="28"/>
  <c r="Q53" i="28"/>
  <c r="H11" i="28"/>
  <c r="Q21" i="28"/>
  <c r="Q51" i="28"/>
  <c r="Q57" i="28"/>
  <c r="Q37" i="28"/>
  <c r="Q19" i="28"/>
  <c r="Q8" i="28"/>
  <c r="Q56" i="28"/>
  <c r="Q60" i="28"/>
  <c r="H7" i="28"/>
  <c r="Q29" i="28"/>
  <c r="Q61" i="28"/>
  <c r="Q14" i="28"/>
  <c r="H29" i="28"/>
  <c r="H17" i="28"/>
  <c r="Q11" i="28"/>
  <c r="Q36" i="28"/>
  <c r="Q46" i="28"/>
  <c r="Q64" i="28"/>
  <c r="H16" i="28"/>
  <c r="Q23" i="28"/>
  <c r="Q30" i="28"/>
  <c r="Q38" i="28"/>
  <c r="H6" i="28"/>
  <c r="Q9" i="28"/>
  <c r="Q49" i="28"/>
  <c r="H12" i="28"/>
  <c r="Q20" i="28"/>
  <c r="Q17" i="28"/>
  <c r="H15" i="28"/>
  <c r="H22" i="28"/>
  <c r="Q54" i="28"/>
  <c r="Q50" i="28"/>
  <c r="H21" i="28"/>
  <c r="H32" i="28"/>
  <c r="Q10" i="28"/>
  <c r="H5" i="28"/>
  <c r="Q18" i="28"/>
  <c r="H8" i="28"/>
  <c r="Q42" i="28"/>
  <c r="Q28" i="28"/>
  <c r="H19" i="28"/>
  <c r="Q7" i="28"/>
  <c r="Q45" i="28"/>
  <c r="Q13" i="28"/>
  <c r="Q39" i="28"/>
  <c r="Q34" i="28"/>
  <c r="Q33" i="28"/>
  <c r="Q58" i="28"/>
  <c r="Q32" i="28"/>
  <c r="Q25" i="28"/>
  <c r="H20" i="28"/>
  <c r="Q22" i="28"/>
  <c r="Q15" i="28"/>
  <c r="H30" i="28"/>
  <c r="H33" i="28"/>
  <c r="H23" i="28"/>
  <c r="Q43" i="28"/>
  <c r="H10" i="28"/>
  <c r="H13" i="28"/>
  <c r="Q52" i="28"/>
  <c r="Q40" i="28"/>
  <c r="Q48" i="28"/>
  <c r="Q55" i="28"/>
  <c r="Q5" i="28"/>
  <c r="H18" i="28"/>
  <c r="Q31" i="28"/>
  <c r="H25" i="28"/>
  <c r="H27" i="28"/>
  <c r="Q27" i="28"/>
  <c r="Q24" i="28"/>
  <c r="H31" i="28"/>
  <c r="H14" i="28"/>
  <c r="Q62" i="28"/>
  <c r="H24" i="28"/>
  <c r="H9" i="28"/>
  <c r="Q47" i="28"/>
  <c r="Q6" i="28"/>
  <c r="Q16" i="28"/>
  <c r="Q41" i="28"/>
  <c r="H26" i="28"/>
  <c r="Q59" i="28"/>
  <c r="Q44" i="28"/>
  <c r="Q26" i="28"/>
  <c r="L382" i="7"/>
  <c r="J2" i="7"/>
  <c r="L299" i="7"/>
  <c r="J6" i="7"/>
</calcChain>
</file>

<file path=xl/comments1.xml><?xml version="1.0" encoding="utf-8"?>
<comments xmlns="http://schemas.openxmlformats.org/spreadsheetml/2006/main">
  <authors>
    <author>Bob Mello</author>
  </authors>
  <commentList>
    <comment ref="F7" authorId="0" shapeId="0">
      <text>
        <r>
          <rPr>
            <sz val="9"/>
            <color indexed="81"/>
            <rFont val="Tahoma"/>
            <family val="2"/>
          </rPr>
          <t>Choose your league site. This determines which column in "DefaultAuctionValues" to use to show you Skew on the auction sheet.</t>
        </r>
      </text>
    </comment>
    <comment ref="H7" authorId="0" shapeId="0">
      <text>
        <r>
          <rPr>
            <sz val="9"/>
            <color indexed="81"/>
            <rFont val="Tahoma"/>
            <family val="2"/>
          </rPr>
          <t>Choose Starter/Bench if you want to go top heavy Stars &amp; Scrubs approach. For more even valuations, use average VBD.</t>
        </r>
      </text>
    </comment>
    <comment ref="F8" authorId="0" shapeId="0">
      <text>
        <r>
          <rPr>
            <sz val="9"/>
            <color indexed="81"/>
            <rFont val="Tahoma"/>
            <family val="2"/>
          </rPr>
          <t xml:space="preserve">Choose different flex types. WR/TE isn't here now, but unless you have  TE scoring bonuses you won't want to start TEs at flex.
</t>
        </r>
      </text>
    </comment>
    <comment ref="D14" authorId="0" shapeId="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t>
        </r>
      </text>
    </comment>
  </commentList>
</comments>
</file>

<file path=xl/comments2.xml><?xml version="1.0" encoding="utf-8"?>
<comments xmlns="http://schemas.openxmlformats.org/spreadsheetml/2006/main">
  <authors>
    <author>Bob Mello</author>
    <author>Bob</author>
  </authors>
  <commentList>
    <comment ref="K1" authorId="0" shapeId="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A10" authorId="1" shapeId="0">
      <text>
        <r>
          <rPr>
            <b/>
            <sz val="9"/>
            <color indexed="81"/>
            <rFont val="Tahoma"/>
            <family val="2"/>
          </rPr>
          <t>Bob:</t>
        </r>
        <r>
          <rPr>
            <sz val="9"/>
            <color indexed="81"/>
            <rFont val="Tahoma"/>
            <family val="2"/>
          </rPr>
          <t xml:space="preserve">
Enter criteria in row 11 for any of the columns. Wildcards are supported.</t>
        </r>
      </text>
    </comment>
    <comment ref="H12" authorId="0" shapeId="0">
      <text>
        <r>
          <rPr>
            <b/>
            <sz val="9"/>
            <color indexed="81"/>
            <rFont val="Tahoma"/>
            <family val="2"/>
          </rPr>
          <t>Bob:</t>
        </r>
        <r>
          <rPr>
            <sz val="9"/>
            <color indexed="81"/>
            <rFont val="Tahoma"/>
            <family val="2"/>
          </rPr>
          <t xml:space="preserve">
Enter the auction price a player sold for here</t>
        </r>
      </text>
    </comment>
    <comment ref="J12" authorId="0" shapeId="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text>
        <r>
          <rPr>
            <b/>
            <sz val="9"/>
            <color indexed="81"/>
            <rFont val="Tahoma"/>
            <family val="2"/>
          </rPr>
          <t>Bob:</t>
        </r>
        <r>
          <rPr>
            <sz val="9"/>
            <color indexed="81"/>
            <rFont val="Tahoma"/>
            <family val="2"/>
          </rPr>
          <t xml:space="preserve">
Use this to enter the team that drafted a player.</t>
        </r>
      </text>
    </comment>
    <comment ref="O12" authorId="1" shapeId="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authors>
    <author>Bob</author>
  </authors>
  <commentList>
    <comment ref="D4" authorId="0" shapeId="0">
      <text>
        <r>
          <rPr>
            <b/>
            <sz val="9"/>
            <color indexed="81"/>
            <rFont val="Tahoma"/>
            <family val="2"/>
          </rPr>
          <t>Bob:</t>
        </r>
        <r>
          <rPr>
            <sz val="9"/>
            <color indexed="81"/>
            <rFont val="Tahoma"/>
            <family val="2"/>
          </rPr>
          <t xml:space="preserve">
Mark an "x" here if the player has been drafted</t>
        </r>
      </text>
    </comment>
    <comment ref="E4" authorId="0" shapeId="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sharedStrings.xml><?xml version="1.0" encoding="utf-8"?>
<sst xmlns="http://schemas.openxmlformats.org/spreadsheetml/2006/main" count="8288" uniqueCount="943">
  <si>
    <t>Instructions:</t>
  </si>
  <si>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as needed, everything will update automatically</t>
    </r>
  </si>
  <si>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</si>
  <si>
    <t>If you want to fill in custom VBD baselines, this article is a good place to start http://www.rotoworld.com/articles/nfl/41100/71/draft-analysis</t>
  </si>
  <si>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</si>
  <si>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</si>
  <si>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</si>
  <si>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</si>
  <si>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enter a player's name in the "Fast Filter",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</si>
  <si>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</si>
  <si>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</si>
  <si>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</si>
  <si>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Spreadsheet created by http://www.reddit.com/user/elboberto</t>
  </si>
  <si>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</si>
  <si>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</si>
  <si>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</si>
  <si>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</si>
  <si>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Thanks to /u/JacobyJones for creating a script to automatically pull default auction values from ESPN, Yahoo, and FantasyPros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</si>
  <si>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</si>
  <si>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</si>
  <si>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</si>
  <si>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</si>
  <si>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</si>
  <si>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</si>
  <si>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</si>
  <si>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</si>
  <si>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</si>
  <si>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</si>
  <si>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</si>
  <si>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</si>
  <si>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</si>
  <si>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</si>
  <si>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</si>
  <si>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</si>
  <si>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</si>
  <si>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</si>
  <si>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</si>
  <si>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</si>
  <si>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</si>
  <si>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</si>
  <si>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</si>
  <si>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</si>
  <si>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</si>
  <si>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</si>
  <si>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</si>
  <si>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</si>
  <si>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</si>
  <si>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</si>
  <si>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</si>
  <si>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</si>
  <si>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</si>
  <si>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</si>
  <si>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</si>
  <si>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</si>
  <si>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</si>
  <si>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</si>
  <si>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</si>
  <si>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</si>
  <si>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</si>
  <si>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</si>
  <si>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</si>
  <si>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</si>
  <si>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</si>
  <si>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</si>
  <si>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</si>
  <si>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</si>
  <si>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</si>
  <si>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</si>
  <si>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</si>
  <si>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</si>
  <si>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</si>
  <si>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</si>
  <si>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</si>
  <si>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</si>
  <si>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</si>
  <si>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</si>
  <si>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</si>
  <si>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</si>
  <si>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</si>
  <si>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</si>
  <si>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</si>
  <si>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</si>
  <si>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</si>
  <si>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</si>
  <si>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</si>
  <si>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</si>
  <si>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</si>
  <si>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</si>
  <si>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</si>
  <si>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</si>
  <si>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</si>
  <si>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</si>
  <si>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</si>
  <si>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</si>
  <si>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David Johnson</t>
  </si>
  <si>
    <t>Default values provided are Yahoo and ESPN average auction values for 10 team leagues with standard scoring.</t>
  </si>
  <si>
    <t>Le'Veon Bell</t>
  </si>
  <si>
    <t>ESPN values are published here http://games.espn.go.com/ffl/livedraftresults?sort=aav</t>
  </si>
  <si>
    <t>Ezekiel Elliott</t>
  </si>
  <si>
    <t>Yahoo values are published on the "Draft Analysis" link in your Yahoo league page, under "Auction Drafts" https://football.fantasysports.yahoo.com/f1/draftanalysis?tab=AD&amp;pos=ALL&amp;sort=DA_AP</t>
  </si>
  <si>
    <t>Antonio Brown</t>
  </si>
  <si>
    <t>Odell Beckham Jr.</t>
  </si>
  <si>
    <t>Julio Jones</t>
  </si>
  <si>
    <t>Mike Evans</t>
  </si>
  <si>
    <t>LeSean McCoy</t>
  </si>
  <si>
    <t>Melvin Gordon</t>
  </si>
  <si>
    <t>Jordan Howard</t>
  </si>
  <si>
    <t>A.J. Green</t>
  </si>
  <si>
    <t>Jay Ajayi</t>
  </si>
  <si>
    <t>Jordy Nelson</t>
  </si>
  <si>
    <t>Devonta Freeman</t>
  </si>
  <si>
    <t>Michael Thomas</t>
  </si>
  <si>
    <t>Dez Bryant</t>
  </si>
  <si>
    <t>DeMarco Murray</t>
  </si>
  <si>
    <t>T.Y. Hilton</t>
  </si>
  <si>
    <t>Amari Cooper</t>
  </si>
  <si>
    <t>Doug Baldwin</t>
  </si>
  <si>
    <t>Rob Gronkowski</t>
  </si>
  <si>
    <t>Todd Gurley</t>
  </si>
  <si>
    <t>DeAndre Hopkins</t>
  </si>
  <si>
    <t>Lamar Miller</t>
  </si>
  <si>
    <t>Leonard Fournette</t>
  </si>
  <si>
    <t>Aaron Rodgers</t>
  </si>
  <si>
    <t>Brandin Cooks</t>
  </si>
  <si>
    <t>Demaryius Thomas</t>
  </si>
  <si>
    <t>Tom Brady</t>
  </si>
  <si>
    <t>Christian McCaffrey</t>
  </si>
  <si>
    <t>Allen Robinson</t>
  </si>
  <si>
    <t>Joe Mixon</t>
  </si>
  <si>
    <t>Alshon Jeffery</t>
  </si>
  <si>
    <t>Isaiah Crowell</t>
  </si>
  <si>
    <t>Sammy Watkins</t>
  </si>
  <si>
    <t>Eddie Lacy</t>
  </si>
  <si>
    <t>Travis Kelce</t>
  </si>
  <si>
    <t>Drew Brees</t>
  </si>
  <si>
    <t>Spencer Ware</t>
  </si>
  <si>
    <t>Marshawn Lynch</t>
  </si>
  <si>
    <t>Carlos Hyde</t>
  </si>
  <si>
    <t>Davante Adams</t>
  </si>
  <si>
    <t>Jordan Reed</t>
  </si>
  <si>
    <t>Mike Gillislee</t>
  </si>
  <si>
    <t>Mark Ingram</t>
  </si>
  <si>
    <t>Andrew Luck</t>
  </si>
  <si>
    <t>Keenan Allen</t>
  </si>
  <si>
    <t>Julian Edelman</t>
  </si>
  <si>
    <t>C.J. Anderson</t>
  </si>
  <si>
    <t>Tyreek Hill</t>
  </si>
  <si>
    <t>Greg Olsen</t>
  </si>
  <si>
    <t>Michael Crabtree</t>
  </si>
  <si>
    <t>Ty Montgomery</t>
  </si>
  <si>
    <t>Rob Kelley</t>
  </si>
  <si>
    <t>Martavis Bryant</t>
  </si>
  <si>
    <t>Jarvis Landry</t>
  </si>
  <si>
    <t>Matt Ryan</t>
  </si>
  <si>
    <t>Emmanuel Sanders</t>
  </si>
  <si>
    <t>Latavius Murray</t>
  </si>
  <si>
    <t>Dalvin Cook</t>
  </si>
  <si>
    <t>Jimmy Graham</t>
  </si>
  <si>
    <t>Doug Martin</t>
  </si>
  <si>
    <t>Tevin Coleman</t>
  </si>
  <si>
    <t>Adrian Peterson</t>
  </si>
  <si>
    <t>Donte Moncrief</t>
  </si>
  <si>
    <t>Jeremy Hill</t>
  </si>
  <si>
    <t>LeGarrette Blount</t>
  </si>
  <si>
    <t>Marcus Mariota</t>
  </si>
  <si>
    <t>Russell Wilson</t>
  </si>
  <si>
    <t>Brandon Marshall</t>
  </si>
  <si>
    <t>Kelvin Benjamin</t>
  </si>
  <si>
    <t>Larry Fitzgerald</t>
  </si>
  <si>
    <t>Golden Tate</t>
  </si>
  <si>
    <t>Derrick Henry</t>
  </si>
  <si>
    <t>Cam Newton</t>
  </si>
  <si>
    <t>Jamison Crowder</t>
  </si>
  <si>
    <t>Paul Perkins</t>
  </si>
  <si>
    <t>DeSean Jackson</t>
  </si>
  <si>
    <t>Denver Broncos</t>
  </si>
  <si>
    <t>Willie Snead</t>
  </si>
  <si>
    <t>Delanie Walker</t>
  </si>
  <si>
    <t>Tyler Eifert</t>
  </si>
  <si>
    <t>Justin Tucker</t>
  </si>
  <si>
    <t>Bilal Powell</t>
  </si>
  <si>
    <t>Ben Roethlisberger</t>
  </si>
  <si>
    <t>Cameron Meredith</t>
  </si>
  <si>
    <t>Ameer Abdullah</t>
  </si>
  <si>
    <t>Martellus Bennett</t>
  </si>
  <si>
    <t>Jonathan Stewart</t>
  </si>
  <si>
    <t>Seattle Seahawks</t>
  </si>
  <si>
    <t>Kareem Hunt</t>
  </si>
  <si>
    <t>Jameis Winston</t>
  </si>
  <si>
    <t>Frank Gore</t>
  </si>
  <si>
    <t>Dak Prescott</t>
  </si>
  <si>
    <t>Joe Williams</t>
  </si>
  <si>
    <t>Samaje Perine</t>
  </si>
  <si>
    <t>DeVante Parker</t>
  </si>
  <si>
    <t>Danny Woodhead</t>
  </si>
  <si>
    <t>Derek Carr</t>
  </si>
  <si>
    <t>Miami Dolphins</t>
  </si>
  <si>
    <t>Ladarius Green</t>
  </si>
  <si>
    <t>Kirk Cousins</t>
  </si>
  <si>
    <t>Eric Decker</t>
  </si>
  <si>
    <t>Stefon Diggs</t>
  </si>
  <si>
    <t>Corey Davis</t>
  </si>
  <si>
    <t>Stephen Gostkowski</t>
  </si>
  <si>
    <t>Darren McFadden</t>
  </si>
  <si>
    <t>Kyle Rudolph</t>
  </si>
  <si>
    <t>Terrance West</t>
  </si>
  <si>
    <t>Jamaal Charles</t>
  </si>
  <si>
    <t>Dion Lewis</t>
  </si>
  <si>
    <t>Matt Forte</t>
  </si>
  <si>
    <t>Tyrell Williams</t>
  </si>
  <si>
    <t>John Brown</t>
  </si>
  <si>
    <t>Theo Riddick</t>
  </si>
  <si>
    <t>Houston Texans</t>
  </si>
  <si>
    <t>Atlanta Falcons</t>
  </si>
  <si>
    <t>Chris Boswell</t>
  </si>
  <si>
    <t>Jeremy Maclin</t>
  </si>
  <si>
    <t>C.J. Prosise</t>
  </si>
  <si>
    <t>Kenneth Dixon</t>
  </si>
  <si>
    <t>Kansas City Chiefs</t>
  </si>
  <si>
    <t>New England Patriots</t>
  </si>
  <si>
    <t>Jamaal Williams</t>
  </si>
  <si>
    <t>Mike Williams</t>
  </si>
  <si>
    <t>Pierre Garcon</t>
  </si>
  <si>
    <t>Zach Ertz</t>
  </si>
  <si>
    <t>Matthew Stafford</t>
  </si>
  <si>
    <t>Randall Cobb</t>
  </si>
  <si>
    <t>Hunter Henry</t>
  </si>
  <si>
    <t>Rishard Matthews</t>
  </si>
  <si>
    <t>John Ross</t>
  </si>
  <si>
    <t>Joe Flacco</t>
  </si>
  <si>
    <t>Los Angeles Rams</t>
  </si>
  <si>
    <t>Philip Rivers</t>
  </si>
  <si>
    <t>Minnesota Vikings</t>
  </si>
  <si>
    <t>Dan Bailey</t>
  </si>
  <si>
    <t>Jacquizz Rodgers</t>
  </si>
  <si>
    <t>O.J. Howard</t>
  </si>
  <si>
    <t>Michael Floyd</t>
  </si>
  <si>
    <t>Andy Dalton</t>
  </si>
  <si>
    <t>Tyrod Taylor</t>
  </si>
  <si>
    <t>Eli Manning</t>
  </si>
  <si>
    <t>Quincy Enunwa</t>
  </si>
  <si>
    <t>Duke Johnson Jr.</t>
  </si>
  <si>
    <t>Thomas Rawls</t>
  </si>
  <si>
    <t>J.J. Nelson</t>
  </si>
  <si>
    <t>Malcolm Mitchell</t>
  </si>
  <si>
    <t>Alex Smith</t>
  </si>
  <si>
    <t>Tennessee Titans</t>
  </si>
  <si>
    <t>Jack Doyle</t>
  </si>
  <si>
    <t>Mike Wallace</t>
  </si>
  <si>
    <t>Corey Coleman</t>
  </si>
  <si>
    <t>Marvin Jones Jr.</t>
  </si>
  <si>
    <t>Carson Wentz</t>
  </si>
  <si>
    <t>Breshad Perriman</t>
  </si>
  <si>
    <t>Carson Palmer</t>
  </si>
  <si>
    <t>James White</t>
  </si>
  <si>
    <t>Ted Ginn Jr.</t>
  </si>
  <si>
    <t>Arizona Cardinals</t>
  </si>
  <si>
    <t>Coby Fleener</t>
  </si>
  <si>
    <t>Mason Crosby</t>
  </si>
  <si>
    <t>Taylor Gabriel</t>
  </si>
  <si>
    <t>Sam Bradford</t>
  </si>
  <si>
    <t>Deshaun Watson</t>
  </si>
  <si>
    <t>Matt Bryant</t>
  </si>
  <si>
    <t>Adam Vinatieri</t>
  </si>
  <si>
    <t>Caleb Sturgis</t>
  </si>
  <si>
    <t>Kenny Britt</t>
  </si>
  <si>
    <t>Adam Thielen</t>
  </si>
  <si>
    <t>Jordan Matthews</t>
  </si>
  <si>
    <t>Eric Ebron</t>
  </si>
  <si>
    <t>Blake Bortles</t>
  </si>
  <si>
    <t>Tyler Lockett</t>
  </si>
  <si>
    <t>Ryan Tannehill</t>
  </si>
  <si>
    <t>Will Fuller V</t>
  </si>
  <si>
    <t>Sterling Shepard</t>
  </si>
  <si>
    <t>Julius Thomas</t>
  </si>
  <si>
    <t>Kevin White</t>
  </si>
  <si>
    <t>Josh Doctson</t>
  </si>
  <si>
    <t>David Njoku</t>
  </si>
  <si>
    <t>Zay Jones</t>
  </si>
  <si>
    <t>Allen Hurns</t>
  </si>
  <si>
    <t>Cole Beasley</t>
  </si>
  <si>
    <t>Marlon Mack</t>
  </si>
  <si>
    <t>Dallas Cowboys</t>
  </si>
  <si>
    <t>Evan Engram</t>
  </si>
  <si>
    <t>Wil Lutz</t>
  </si>
  <si>
    <t>Phil Dawson</t>
  </si>
  <si>
    <t>Philadelphia Eagles</t>
  </si>
  <si>
    <t>Dwayne Allen</t>
  </si>
  <si>
    <t>Tampa Bay Buccaneers</t>
  </si>
  <si>
    <t>Blair Walsh</t>
  </si>
  <si>
    <t>Antonio Gates</t>
  </si>
  <si>
    <t>Cameron Brate</t>
  </si>
  <si>
    <t>C.J. Fiedorowicz</t>
  </si>
  <si>
    <t>Jason Witten</t>
  </si>
  <si>
    <t>Austin Hooper</t>
  </si>
  <si>
    <t>Darren Sproles</t>
  </si>
  <si>
    <t>Los Angeles Chargers</t>
  </si>
  <si>
    <t>Zach Miller</t>
  </si>
  <si>
    <t>Baltimore Ravens</t>
  </si>
  <si>
    <t>New York Giants</t>
  </si>
  <si>
    <t>Pittsburgh Steelers</t>
  </si>
  <si>
    <t>Jared Cook</t>
  </si>
  <si>
    <t>Steven Hauschka</t>
  </si>
  <si>
    <t>Green Bay Packers</t>
  </si>
  <si>
    <t>Oakland Raiders</t>
  </si>
  <si>
    <t>Jacksonville Jaguars</t>
  </si>
  <si>
    <t>Sebastian Janikowski</t>
  </si>
  <si>
    <t>Cincinnati Bengals</t>
  </si>
  <si>
    <t>Chris Hogan</t>
  </si>
  <si>
    <t>Brandon McManus</t>
  </si>
  <si>
    <t>Mohamed Sanu</t>
  </si>
  <si>
    <t>Chandler Catanzaro</t>
  </si>
  <si>
    <t>Matt Prater</t>
  </si>
  <si>
    <t>Cairo Santos</t>
  </si>
  <si>
    <t>New York Jets</t>
  </si>
  <si>
    <t>Graham Gano</t>
  </si>
  <si>
    <t>Buffalo Bills</t>
  </si>
  <si>
    <t>Jesse James</t>
  </si>
  <si>
    <t>Josh Lambo</t>
  </si>
  <si>
    <t>Ryan Succop</t>
  </si>
  <si>
    <t>Nick Novak</t>
  </si>
  <si>
    <t>Dustin Hopkins</t>
  </si>
  <si>
    <t>Darren Fells</t>
  </si>
  <si>
    <t>Danny Amendola</t>
  </si>
  <si>
    <t>De'Anthony Thomas</t>
  </si>
  <si>
    <t>Jay Prosch</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</si>
  <si>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</si>
  <si>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</si>
  <si>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</si>
  <si>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</si>
  <si>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</si>
  <si>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</si>
  <si>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</si>
  <si>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</si>
  <si>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</si>
  <si>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</si>
  <si>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</si>
  <si>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</si>
  <si>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</si>
  <si>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</si>
  <si>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</si>
  <si>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</si>
  <si>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</si>
  <si>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</si>
  <si>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</si>
  <si>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</si>
  <si>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</si>
  <si>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</si>
  <si>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</si>
  <si>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</si>
  <si>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</si>
  <si>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</si>
  <si>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</si>
  <si>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</si>
  <si>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</si>
  <si>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</si>
  <si>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</si>
  <si>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</si>
  <si>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</si>
  <si>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</si>
  <si>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</si>
  <si>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</si>
  <si>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</si>
  <si>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</si>
  <si>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</si>
  <si>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OAK</t>
  </si>
  <si>
    <t>CIN</t>
  </si>
  <si>
    <t>JAC</t>
  </si>
  <si>
    <t>NYG</t>
  </si>
  <si>
    <t>PHI</t>
  </si>
  <si>
    <t>ARI</t>
  </si>
  <si>
    <t>BAL</t>
  </si>
  <si>
    <t>KC</t>
  </si>
  <si>
    <t>MIN</t>
  </si>
  <si>
    <t>MIA</t>
  </si>
  <si>
    <t>Mike Glennon</t>
  </si>
  <si>
    <t>CHI</t>
  </si>
  <si>
    <t>Brian Hoyer</t>
  </si>
  <si>
    <t>SF</t>
  </si>
  <si>
    <t>Jared Goff</t>
  </si>
  <si>
    <t>LAR</t>
  </si>
  <si>
    <t>Josh McCown</t>
  </si>
  <si>
    <t>NYJ</t>
  </si>
  <si>
    <t>Trevor Siemian</t>
  </si>
  <si>
    <t>DEN</t>
  </si>
  <si>
    <t>HOU</t>
  </si>
  <si>
    <t>Cody Kessler</t>
  </si>
  <si>
    <t>CLE</t>
  </si>
  <si>
    <t>DeShone Kizer</t>
  </si>
  <si>
    <t>Paxton Lynch</t>
  </si>
  <si>
    <t>Tom Savage</t>
  </si>
  <si>
    <t>Matt Moore</t>
  </si>
  <si>
    <t>Mitch Trubisky</t>
  </si>
  <si>
    <t>Bryce Petty</t>
  </si>
  <si>
    <t>Christian Hackenberg</t>
  </si>
  <si>
    <t>Brock Osweiler</t>
  </si>
  <si>
    <t>Matt Barkley</t>
  </si>
  <si>
    <t>Sean Mannion</t>
  </si>
  <si>
    <t>Patrick Mahomes</t>
  </si>
  <si>
    <t>Teddy Bridgewater</t>
  </si>
  <si>
    <t>Blaine Gabbert</t>
  </si>
  <si>
    <t>Brandon Weeden</t>
  </si>
  <si>
    <t>Kevin Hogan</t>
  </si>
  <si>
    <t>Landry Jones</t>
  </si>
  <si>
    <t>Drew Stanton</t>
  </si>
  <si>
    <t>C.J. Beathard</t>
  </si>
  <si>
    <t>Scott Tolzien</t>
  </si>
  <si>
    <t>Derek Anderson</t>
  </si>
  <si>
    <t>Chad Henne</t>
  </si>
  <si>
    <t>Matt Cassel</t>
  </si>
  <si>
    <t>T.J. Yates</t>
  </si>
  <si>
    <t>Nick Foles</t>
  </si>
  <si>
    <t>Brett Hundley</t>
  </si>
  <si>
    <t>AJ McCarron</t>
  </si>
  <si>
    <t>Geno Smith</t>
  </si>
  <si>
    <t>Case Keenum</t>
  </si>
  <si>
    <t>Jimmy Garoppolo</t>
  </si>
  <si>
    <t>Ryan Mallett</t>
  </si>
  <si>
    <t>Kellen Clemens</t>
  </si>
  <si>
    <t>Trevone Boykin</t>
  </si>
  <si>
    <t>Colt McCoy</t>
  </si>
  <si>
    <t>Connor Cook</t>
  </si>
  <si>
    <t>Jake Rudock</t>
  </si>
  <si>
    <t>Ryan Griffin</t>
  </si>
  <si>
    <t>Cardale Jones</t>
  </si>
  <si>
    <t>Kellen Moore</t>
  </si>
  <si>
    <t>Ryan Fitzpatrick</t>
  </si>
  <si>
    <t>Matt Schaub</t>
  </si>
  <si>
    <t>Chase Daniel</t>
  </si>
  <si>
    <t>Mark Sanchez</t>
  </si>
  <si>
    <t>Receiving</t>
  </si>
  <si>
    <t>REC</t>
  </si>
  <si>
    <t>Robert Kelley</t>
  </si>
  <si>
    <t>Duke Johnson</t>
  </si>
  <si>
    <t>Giovani Bernard</t>
  </si>
  <si>
    <t>Chris Thompson</t>
  </si>
  <si>
    <t>Shane Vereen</t>
  </si>
  <si>
    <t>Charles Sims</t>
  </si>
  <si>
    <t>Rex Burkhead</t>
  </si>
  <si>
    <t>Robert Turbin</t>
  </si>
  <si>
    <t>T.J. Yeldon</t>
  </si>
  <si>
    <t>DeAndre Washington</t>
  </si>
  <si>
    <t>Jalen Richard</t>
  </si>
  <si>
    <t>Jonathan Williams</t>
  </si>
  <si>
    <t>Jerick McKinnon</t>
  </si>
  <si>
    <t>Ryan Mathews</t>
  </si>
  <si>
    <t>Tim Hightower</t>
  </si>
  <si>
    <t>D'Onta Foreman</t>
  </si>
  <si>
    <t>Alvin Kamara</t>
  </si>
  <si>
    <t>Devontae Booker</t>
  </si>
  <si>
    <t>Damien Williams</t>
  </si>
  <si>
    <t>Wendell Smallwood</t>
  </si>
  <si>
    <t>Donnel Pumphrey</t>
  </si>
  <si>
    <t>Zach Zenner</t>
  </si>
  <si>
    <t>James Conner</t>
  </si>
  <si>
    <t>Kenyan Drake</t>
  </si>
  <si>
    <t>Tarik Cohen</t>
  </si>
  <si>
    <t>Marcel Reece</t>
  </si>
  <si>
    <t>Wayne Gallman</t>
  </si>
  <si>
    <t>Chris Ivory</t>
  </si>
  <si>
    <t>Kyle Juszczyk</t>
  </si>
  <si>
    <t>Andre Ellington</t>
  </si>
  <si>
    <t>Branden Oliver</t>
  </si>
  <si>
    <t>Jeremy Langford</t>
  </si>
  <si>
    <t>Mike Tolbert</t>
  </si>
  <si>
    <t>Kerwynn Williams</t>
  </si>
  <si>
    <t>Lance Dunbar</t>
  </si>
  <si>
    <t>Chris Johnson</t>
  </si>
  <si>
    <t>Alfred Blue</t>
  </si>
  <si>
    <t>Elijah McGuire</t>
  </si>
  <si>
    <t>Aaron Jones</t>
  </si>
  <si>
    <t>Charcandrick West</t>
  </si>
  <si>
    <t>Aaron Ripkowski</t>
  </si>
  <si>
    <t>Kenneth Farrow</t>
  </si>
  <si>
    <t>Fitzgerald Toussaint</t>
  </si>
  <si>
    <t>Alfred Morris</t>
  </si>
  <si>
    <t>John Kuhn</t>
  </si>
  <si>
    <t>Andre Williams</t>
  </si>
  <si>
    <t>Benny Cunningham</t>
  </si>
  <si>
    <t>Jeremy McNichols</t>
  </si>
  <si>
    <t>Brian Hill</t>
  </si>
  <si>
    <t>Elijah Hood</t>
  </si>
  <si>
    <t>Javorius Allen</t>
  </si>
  <si>
    <t>Shaun Draughn</t>
  </si>
  <si>
    <t>Matt Asiata</t>
  </si>
  <si>
    <t>Malcolm Brown</t>
  </si>
  <si>
    <t>Cameron Artis-Payne</t>
  </si>
  <si>
    <t>Ka'Deem Carey</t>
  </si>
  <si>
    <t>Jamize Olawale</t>
  </si>
  <si>
    <t>Andy Janovich</t>
  </si>
  <si>
    <t>Kenjon Barner</t>
  </si>
  <si>
    <t>Travaris Cadet</t>
  </si>
  <si>
    <t>Dwayne Washington</t>
  </si>
  <si>
    <t>Alex Collins</t>
  </si>
  <si>
    <t>Brandon Wilds</t>
  </si>
  <si>
    <t>Fozzy Whittaker</t>
  </si>
  <si>
    <t>Knile Davis</t>
  </si>
  <si>
    <t>Lorenzo Taliaferro</t>
  </si>
  <si>
    <t>Orleans Darkwa</t>
  </si>
  <si>
    <t>T.J. Logan</t>
  </si>
  <si>
    <t>De'Angelo Henderson</t>
  </si>
  <si>
    <t>Tyler Ervin</t>
  </si>
  <si>
    <t>Terron Ward</t>
  </si>
  <si>
    <t>Corey Grant</t>
  </si>
  <si>
    <t>Devante Mays</t>
  </si>
  <si>
    <t>Kapri Bibbs</t>
  </si>
  <si>
    <t>Darrel Young</t>
  </si>
  <si>
    <t>C.J. Spiller</t>
  </si>
  <si>
    <t>Mack Brown</t>
  </si>
  <si>
    <t>Chris Carson</t>
  </si>
  <si>
    <t>Peyton Barber</t>
  </si>
  <si>
    <t>Patrick DiMarco</t>
  </si>
  <si>
    <t>Josh Ferguson</t>
  </si>
  <si>
    <t>John Crockett</t>
  </si>
  <si>
    <t>Derek Watt</t>
  </si>
  <si>
    <t>Khalfani Muhammad</t>
  </si>
  <si>
    <t>Jalston Fowler</t>
  </si>
  <si>
    <t>Bobby Rainey</t>
  </si>
  <si>
    <t>Akeem Hunt</t>
  </si>
  <si>
    <t>Raheem Mostert</t>
  </si>
  <si>
    <t>Juwan Thompson</t>
  </si>
  <si>
    <t>Brandon Bolden</t>
  </si>
  <si>
    <t>Daniel Lasco</t>
  </si>
  <si>
    <t>Troymaine Pope</t>
  </si>
  <si>
    <t>Keith Smith</t>
  </si>
  <si>
    <t>James Develin</t>
  </si>
  <si>
    <t>Taiwan Jones</t>
  </si>
  <si>
    <t>Dan Vitale</t>
  </si>
  <si>
    <t>Rod Smith</t>
  </si>
  <si>
    <t>Anthony Sherman</t>
  </si>
  <si>
    <t>Roosevelt Nix</t>
  </si>
  <si>
    <t>Marquez Williams</t>
  </si>
  <si>
    <t>Marcus Murphy</t>
  </si>
  <si>
    <t>Michael Burton</t>
  </si>
  <si>
    <t>Sam Rogers</t>
  </si>
  <si>
    <t>Joe Banyard</t>
  </si>
  <si>
    <t>Bishop Sankey</t>
  </si>
  <si>
    <t>Storm Johnson</t>
  </si>
  <si>
    <t>Ryan Hewitt</t>
  </si>
  <si>
    <t>Senorise Perry</t>
  </si>
  <si>
    <t>Austin Johnson</t>
  </si>
  <si>
    <t>Mike Davis</t>
  </si>
  <si>
    <t>Matt Jones</t>
  </si>
  <si>
    <t>Terrell Watson</t>
  </si>
  <si>
    <t>D.J. Foster</t>
  </si>
  <si>
    <t>Byron Marshall</t>
  </si>
  <si>
    <t>Joe Kerridge</t>
  </si>
  <si>
    <t>Cedric Peerman</t>
  </si>
  <si>
    <t>Ronnie Hillman</t>
  </si>
  <si>
    <t>Terrelle Pryor</t>
  </si>
  <si>
    <t>Devante Parker</t>
  </si>
  <si>
    <t>Marvin Jones</t>
  </si>
  <si>
    <t>Tavon Austin</t>
  </si>
  <si>
    <t>Ted Ginn</t>
  </si>
  <si>
    <t>Kenny Stills</t>
  </si>
  <si>
    <t>Robby Anderson</t>
  </si>
  <si>
    <t>Robert Woods</t>
  </si>
  <si>
    <t>Devin Funchess</t>
  </si>
  <si>
    <t>Terrance Williams</t>
  </si>
  <si>
    <t>Chris Conley</t>
  </si>
  <si>
    <t>Marqise Lee</t>
  </si>
  <si>
    <t>Marquess Wilson</t>
  </si>
  <si>
    <t>Curtis Samuel</t>
  </si>
  <si>
    <t>Brandon LaFell</t>
  </si>
  <si>
    <t>Seth Roberts</t>
  </si>
  <si>
    <t>Kenny Golladay</t>
  </si>
  <si>
    <t>Torrey Smith</t>
  </si>
  <si>
    <t>Marquise Goodwin</t>
  </si>
  <si>
    <t>Tyler Boyd</t>
  </si>
  <si>
    <t>Eli Rogers</t>
  </si>
  <si>
    <t>Travis Benjamin</t>
  </si>
  <si>
    <t>ArDarius Stewart</t>
  </si>
  <si>
    <t>Jermaine Kearse</t>
  </si>
  <si>
    <t>Cooper Kupp</t>
  </si>
  <si>
    <t>Phillip Dorsett</t>
  </si>
  <si>
    <t>Kendall Wright</t>
  </si>
  <si>
    <t>Laquon Treadwell</t>
  </si>
  <si>
    <t>Jeremy Kerley</t>
  </si>
  <si>
    <t>Albert Wilson</t>
  </si>
  <si>
    <t>Markus Wheaton</t>
  </si>
  <si>
    <t>Adam Humphries</t>
  </si>
  <si>
    <t>Will Fuller</t>
  </si>
  <si>
    <t>Jaelen Strong</t>
  </si>
  <si>
    <t>Chris Godwin</t>
  </si>
  <si>
    <t>Braxton Miller</t>
  </si>
  <si>
    <t>Brandon Coleman</t>
  </si>
  <si>
    <t>Andre Holmes</t>
  </si>
  <si>
    <t>Brice Butler</t>
  </si>
  <si>
    <t>Carlos Henderson</t>
  </si>
  <si>
    <t>Paul Richardson</t>
  </si>
  <si>
    <t>Geronimo Allison</t>
  </si>
  <si>
    <t>Kamar Aiken</t>
  </si>
  <si>
    <t>JuJu Smith-Schuster</t>
  </si>
  <si>
    <t>Rod Streater</t>
  </si>
  <si>
    <t>Dontrelle Inman</t>
  </si>
  <si>
    <t>Chad Williams</t>
  </si>
  <si>
    <t>Philly Brown</t>
  </si>
  <si>
    <t>Jaron Brown</t>
  </si>
  <si>
    <t>Victor Cruz</t>
  </si>
  <si>
    <t>Dede Westbrook</t>
  </si>
  <si>
    <t>Nelson Agholor</t>
  </si>
  <si>
    <t>Josh Reynolds</t>
  </si>
  <si>
    <t>Taywan Taylor</t>
  </si>
  <si>
    <t>Ricardo Louis</t>
  </si>
  <si>
    <t>Cordarrelle Patterson</t>
  </si>
  <si>
    <t>Russell Shepard</t>
  </si>
  <si>
    <t>Tajae Sharpe</t>
  </si>
  <si>
    <t>Justin Hardy</t>
  </si>
  <si>
    <t>Bennie Fowler</t>
  </si>
  <si>
    <t>Roger Lewis</t>
  </si>
  <si>
    <t>Charone Peake</t>
  </si>
  <si>
    <t>Aldrick Robinson</t>
  </si>
  <si>
    <t>Brian Quick</t>
  </si>
  <si>
    <t>Pharoh Cooper</t>
  </si>
  <si>
    <t>Deonte Thompson</t>
  </si>
  <si>
    <t>TJ Jones</t>
  </si>
  <si>
    <t>Jalin Marshall</t>
  </si>
  <si>
    <t>Andre Roberts</t>
  </si>
  <si>
    <t>Justin Hunter</t>
  </si>
  <si>
    <t>Jordan Taylor</t>
  </si>
  <si>
    <t>Sammie Coates</t>
  </si>
  <si>
    <t>Vince Mayle</t>
  </si>
  <si>
    <t>Brittan Golden</t>
  </si>
  <si>
    <t>Michael Campanaro</t>
  </si>
  <si>
    <t>Demarcus Robinson</t>
  </si>
  <si>
    <t>Chris Moore</t>
  </si>
  <si>
    <t>Amara Darboh</t>
  </si>
  <si>
    <t>Cobi Hamilton</t>
  </si>
  <si>
    <t>Jarius Wright</t>
  </si>
  <si>
    <t>Jared Abbrederis</t>
  </si>
  <si>
    <t>Chester Rogers</t>
  </si>
  <si>
    <t>Rashard Higgins</t>
  </si>
  <si>
    <t>Chris Matthews</t>
  </si>
  <si>
    <t>Darrius Heyward-Bey</t>
  </si>
  <si>
    <t>Eric Weems</t>
  </si>
  <si>
    <t>Cody Latimer</t>
  </si>
  <si>
    <t>Brandon Tate</t>
  </si>
  <si>
    <t>Josh Bellamy</t>
  </si>
  <si>
    <t>Mario Alford</t>
  </si>
  <si>
    <t>Ryan Grant</t>
  </si>
  <si>
    <t>DeAndre Smelter</t>
  </si>
  <si>
    <t>Alex Erickson</t>
  </si>
  <si>
    <t>Johnny Holton</t>
  </si>
  <si>
    <t>Tanner McEvoy</t>
  </si>
  <si>
    <t>Harry Douglas</t>
  </si>
  <si>
    <t>Jordan Payton</t>
  </si>
  <si>
    <t>Cody Core</t>
  </si>
  <si>
    <t>Leonte Carroo</t>
  </si>
  <si>
    <t>Tre McBride</t>
  </si>
  <si>
    <t>Jakeem Grant</t>
  </si>
  <si>
    <t>Trent Taylor</t>
  </si>
  <si>
    <t>Trevor Davis</t>
  </si>
  <si>
    <t>Brenton Bersin</t>
  </si>
  <si>
    <t>Jonathan Krause</t>
  </si>
  <si>
    <t>Seantavius Jones</t>
  </si>
  <si>
    <t>Freddie Martino</t>
  </si>
  <si>
    <t>DeAngelo Yancey</t>
  </si>
  <si>
    <t>Damiere Byrd</t>
  </si>
  <si>
    <t>Kasen Williams</t>
  </si>
  <si>
    <t>Isaiah Burse</t>
  </si>
  <si>
    <t>Ryan Switzer</t>
  </si>
  <si>
    <t>Bryce Treggs</t>
  </si>
  <si>
    <t>Corey Fuller</t>
  </si>
  <si>
    <t>Jeff Janis</t>
  </si>
  <si>
    <t>Robert Davis</t>
  </si>
  <si>
    <t>Quan Bray</t>
  </si>
  <si>
    <t>Nick Williams</t>
  </si>
  <si>
    <t>Darius Jennings</t>
  </si>
  <si>
    <t>Rashad Greene</t>
  </si>
  <si>
    <t>Arrelious Benn</t>
  </si>
  <si>
    <t>Jake Lampman</t>
  </si>
  <si>
    <t>David Moore</t>
  </si>
  <si>
    <t>Neal Sterling</t>
  </si>
  <si>
    <t>Donteea Dye</t>
  </si>
  <si>
    <t>Kalif Raymond</t>
  </si>
  <si>
    <t>Isaac Fruechte</t>
  </si>
  <si>
    <t>Josh Huff</t>
  </si>
  <si>
    <t>Aaron Dobson</t>
  </si>
  <si>
    <t>Paul Turner</t>
  </si>
  <si>
    <t>Myles White</t>
  </si>
  <si>
    <t>Walter Powell</t>
  </si>
  <si>
    <t>Noah Brown</t>
  </si>
  <si>
    <t>Quinton Patton</t>
  </si>
  <si>
    <t>Maurice Harris</t>
  </si>
  <si>
    <t>Daniel Braverman</t>
  </si>
  <si>
    <t>Demarcus Ayers</t>
  </si>
  <si>
    <t>Wendall Williams</t>
  </si>
  <si>
    <t>Chris Harper</t>
  </si>
  <si>
    <t>Shane Wynn</t>
  </si>
  <si>
    <t>Josh Malone</t>
  </si>
  <si>
    <t>Dwayne Harris</t>
  </si>
  <si>
    <t>Rodney Adams</t>
  </si>
  <si>
    <t>Stacy Coley</t>
  </si>
  <si>
    <t>Tommylee Lewis</t>
  </si>
  <si>
    <t>Jace Billingsley</t>
  </si>
  <si>
    <t>Isaiah McKenzie</t>
  </si>
  <si>
    <t>Shelton Gibson</t>
  </si>
  <si>
    <t>Jeremy Ross</t>
  </si>
  <si>
    <t>Jehu Chesson</t>
  </si>
  <si>
    <t>Mack Hollins</t>
  </si>
  <si>
    <t>Tavarres King</t>
  </si>
  <si>
    <t>Dezmin Lewis</t>
  </si>
  <si>
    <t>Paul McRoberts</t>
  </si>
  <si>
    <t>Aaron Burbridge</t>
  </si>
  <si>
    <t>Chad Hansen</t>
  </si>
  <si>
    <t>Frankie Hammond</t>
  </si>
  <si>
    <t>Geremy Davis</t>
  </si>
  <si>
    <t>Jeremy Butler</t>
  </si>
  <si>
    <t>Matt Slater</t>
  </si>
  <si>
    <t>Lucky Whitehead</t>
  </si>
  <si>
    <t>Name</t>
  </si>
  <si>
    <t>FlexStatus</t>
  </si>
  <si>
    <t>FlexFPTS</t>
  </si>
  <si>
    <t>PosRank</t>
  </si>
  <si>
    <t>StarterCount</t>
  </si>
  <si>
    <t>Charles Clay</t>
  </si>
  <si>
    <t>Jermaine Gresham</t>
  </si>
  <si>
    <t>Tyler Higbee</t>
  </si>
  <si>
    <t>Vance McDonald</t>
  </si>
  <si>
    <t>Erik Swoope</t>
  </si>
  <si>
    <t>Benjamin Watson</t>
  </si>
  <si>
    <t>Vernon Davis</t>
  </si>
  <si>
    <t>Austin Seferian-Jenkins</t>
  </si>
  <si>
    <t>Mychal Rivera</t>
  </si>
  <si>
    <t>Virgil Green</t>
  </si>
  <si>
    <t>Gerald Everett</t>
  </si>
  <si>
    <t>Josh Hill</t>
  </si>
  <si>
    <t>Clive Walford</t>
  </si>
  <si>
    <t>Will Tye</t>
  </si>
  <si>
    <t>Seth DeValve</t>
  </si>
  <si>
    <t>Garrett Celek</t>
  </si>
  <si>
    <t>Xavier Grimble</t>
  </si>
  <si>
    <t>George Kittle</t>
  </si>
  <si>
    <t>Richard Rodgers</t>
  </si>
  <si>
    <t>Marcedes Lewis</t>
  </si>
  <si>
    <t>Trey Burton</t>
  </si>
  <si>
    <t>Adam Shaheen</t>
  </si>
  <si>
    <t>Dion Sims</t>
  </si>
  <si>
    <t>Maxx Williams</t>
  </si>
  <si>
    <t>Levine Toilolo</t>
  </si>
  <si>
    <t>A.J. Derby</t>
  </si>
  <si>
    <t>Nick Boyle</t>
  </si>
  <si>
    <t>Luke Willson</t>
  </si>
  <si>
    <t>Jonnu Smith</t>
  </si>
  <si>
    <t>Demetrius Harris</t>
  </si>
  <si>
    <t>Lance Kendricks</t>
  </si>
  <si>
    <t>Ed Dickson</t>
  </si>
  <si>
    <t>Jace Amaro</t>
  </si>
  <si>
    <t>Anthony Fasano</t>
  </si>
  <si>
    <t>Nick Vannett</t>
  </si>
  <si>
    <t>Daniel Brown</t>
  </si>
  <si>
    <t>Troy Niklas</t>
  </si>
  <si>
    <t>MarQueis Gray</t>
  </si>
  <si>
    <t>Geoff Swaim</t>
  </si>
  <si>
    <t>Nick O'Leary</t>
  </si>
  <si>
    <t>Jordan Leggett</t>
  </si>
  <si>
    <t>Stephen Anderson</t>
  </si>
  <si>
    <t>Jerell Adams</t>
  </si>
  <si>
    <t>Jeff Heuerman</t>
  </si>
  <si>
    <t>Brent Celek</t>
  </si>
  <si>
    <t>Rico Gathers</t>
  </si>
  <si>
    <t>Tyler Kroft</t>
  </si>
  <si>
    <t>Logan Paulsen</t>
  </si>
  <si>
    <t>Gavin Escobar</t>
  </si>
  <si>
    <t>Jake Butt</t>
  </si>
  <si>
    <t>Larry Donnell</t>
  </si>
  <si>
    <t>Michael Roberts</t>
  </si>
  <si>
    <t>Joshua Perkins</t>
  </si>
  <si>
    <t>C.J. Uzomah</t>
  </si>
  <si>
    <t>Ben Koyack</t>
  </si>
  <si>
    <t>Michael Hoomanawanui</t>
  </si>
  <si>
    <t>D.J. Tialavea</t>
  </si>
  <si>
    <t>Cole Wick</t>
  </si>
  <si>
    <t>Temarrick Hemingway</t>
  </si>
  <si>
    <t>Ifeanyi Momah</t>
  </si>
  <si>
    <t>Chris Manhertz</t>
  </si>
  <si>
    <t>Ross Travis</t>
  </si>
  <si>
    <t>Sean McGrath</t>
  </si>
  <si>
    <t>Cory Harkey</t>
  </si>
  <si>
    <t>Blake Bell</t>
  </si>
  <si>
    <t>Lee Smith</t>
  </si>
  <si>
    <t>Rhett Ellison</t>
  </si>
  <si>
    <t>Ben Braunecker</t>
  </si>
  <si>
    <t>Matt LaCosse</t>
  </si>
  <si>
    <t>James Hanna</t>
  </si>
  <si>
    <t>Luke Stocker</t>
  </si>
  <si>
    <t>Niles Paul</t>
  </si>
  <si>
    <t>Eric Saubert</t>
  </si>
  <si>
    <t>Logan Thomas</t>
  </si>
  <si>
    <t>John Phillips</t>
  </si>
  <si>
    <t>David Morgan</t>
  </si>
  <si>
    <t>Randall Telfer</t>
  </si>
  <si>
    <t>Bucky Hodges</t>
  </si>
  <si>
    <t>Alan Cross</t>
  </si>
  <si>
    <t>Cooper Helfet</t>
  </si>
  <si>
    <t>Jeremy Sprinkle</t>
  </si>
  <si>
    <t>Derek Carrier</t>
  </si>
  <si>
    <t>MyCole Pruitt</t>
  </si>
  <si>
    <t>Alex Ellis</t>
  </si>
  <si>
    <t>Eric Tomlinson</t>
  </si>
  <si>
    <t>Mason Schreck</t>
  </si>
  <si>
    <t>Hakeem Valles</t>
  </si>
  <si>
    <t>James O'Shaughnessy</t>
  </si>
  <si>
    <t>Khari Lee</t>
  </si>
  <si>
    <t>Brandon Williams</t>
  </si>
  <si>
    <t>Phillip Supernaw</t>
  </si>
  <si>
    <t>Scott Simonson</t>
  </si>
  <si>
    <t xml:space="preserve">Player Name </t>
  </si>
  <si>
    <t>Bye</t>
  </si>
  <si>
    <t xml:space="preserve"> Team </t>
  </si>
  <si>
    <t xml:space="preserve">fg </t>
  </si>
  <si>
    <t xml:space="preserve">fga </t>
  </si>
  <si>
    <t xml:space="preserve">xpt </t>
  </si>
  <si>
    <t xml:space="preserve">fpts </t>
  </si>
  <si>
    <t>Will Lutz</t>
  </si>
  <si>
    <t>Randy Bullock</t>
  </si>
  <si>
    <t>Kai Forbath</t>
  </si>
  <si>
    <t>Roberto Aguayo</t>
  </si>
  <si>
    <t>Jason Myers</t>
  </si>
  <si>
    <t>Robbie Gould</t>
  </si>
  <si>
    <t>Connor Barth</t>
  </si>
  <si>
    <t>Andrew Franks</t>
  </si>
  <si>
    <t>Greg Zuerlein</t>
  </si>
  <si>
    <t>Cody Parkey</t>
  </si>
  <si>
    <t>Aldrick Rosas</t>
  </si>
  <si>
    <t>Jake Elliott</t>
  </si>
  <si>
    <t>Nick Folk</t>
  </si>
  <si>
    <t>Zane Gonzalez</t>
  </si>
  <si>
    <t>Harrison Butker</t>
  </si>
  <si>
    <t>Mike Nugent</t>
  </si>
  <si>
    <t>Team</t>
  </si>
  <si>
    <t>DEF1</t>
  </si>
  <si>
    <t>DEF2</t>
  </si>
  <si>
    <t>Carolina Panthers</t>
  </si>
  <si>
    <t>DEF3</t>
  </si>
  <si>
    <t>DEF4</t>
  </si>
  <si>
    <t>DEF5</t>
  </si>
  <si>
    <t>Detroit Lions</t>
  </si>
  <si>
    <t>Washington Redskins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</si>
  <si>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</si>
  <si>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</si>
  <si>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</si>
  <si>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</si>
  <si>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</si>
  <si>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</si>
  <si>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</si>
  <si>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</si>
  <si>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</si>
  <si>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</si>
  <si>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</si>
  <si>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</si>
  <si>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</si>
  <si>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</si>
  <si>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</si>
  <si>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</si>
  <si>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</si>
  <si>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</si>
  <si>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</si>
  <si>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</si>
  <si>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</si>
  <si>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</si>
  <si>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</si>
  <si>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</si>
  <si>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</si>
  <si>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</si>
  <si>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Fast Filter</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</si>
  <si>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</si>
  <si>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</si>
  <si>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</si>
  <si>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</si>
  <si>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</si>
  <si>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</si>
  <si>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</si>
  <si>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</si>
  <si>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</si>
  <si>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</si>
  <si>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</si>
  <si>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</si>
  <si>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</si>
  <si>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</si>
  <si>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</si>
  <si>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</si>
  <si>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</si>
  <si>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</si>
  <si>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</si>
  <si>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</si>
  <si>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</si>
  <si>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</si>
  <si>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</si>
  <si>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</si>
  <si>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</si>
  <si>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</si>
  <si>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</si>
  <si>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</si>
  <si>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</si>
  <si>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</si>
  <si>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Jay Cutler</t>
  </si>
  <si>
    <t>Anquan Boldin</t>
  </si>
  <si>
    <t>Clay Harbor</t>
  </si>
  <si>
    <t>Arian Foster</t>
  </si>
  <si>
    <t>James Starks</t>
  </si>
  <si>
    <t>Justin Forsett</t>
  </si>
  <si>
    <t>Dennis Pitta</t>
  </si>
  <si>
    <t>Josh Gordon</t>
  </si>
  <si>
    <t>Christine Michael</t>
  </si>
  <si>
    <t>Dan Herron</t>
  </si>
  <si>
    <t>DeAngelo Williams</t>
  </si>
  <si>
    <t>Denard Robinson</t>
  </si>
  <si>
    <t>Dexter McCluster</t>
  </si>
  <si>
    <t>Eddie Royal</t>
  </si>
  <si>
    <t>Jordan Cameron</t>
  </si>
  <si>
    <t>Josh Brown</t>
  </si>
  <si>
    <t>Karlos Williams</t>
  </si>
  <si>
    <t>Keith Marshall</t>
  </si>
  <si>
    <t>Robert Griffin</t>
  </si>
  <si>
    <t>Roy Helu</t>
  </si>
  <si>
    <t>Steve Smith Sr.</t>
  </si>
  <si>
    <t>Tony Romo</t>
  </si>
  <si>
    <t>Tre Mason</t>
  </si>
  <si>
    <t>Nathan Peterman</t>
  </si>
  <si>
    <t>Brandon Allen</t>
  </si>
  <si>
    <t>Auction data aggregated by /u/jacobyjones at http://fantasysportstoolchest.com/get/auction-data.php</t>
  </si>
  <si>
    <t>Stephen Hauschka</t>
  </si>
  <si>
    <t>Jonathan Grimes</t>
  </si>
  <si>
    <t>Zach Line</t>
  </si>
  <si>
    <t>Aaron Green</t>
  </si>
  <si>
    <t>Kenbrell Thompkins</t>
  </si>
  <si>
    <t>Tevaun Smith</t>
  </si>
  <si>
    <t>Rashawn Scott</t>
  </si>
  <si>
    <t>Asante Cleveland</t>
  </si>
  <si>
    <t>Braedon Bowman</t>
  </si>
  <si>
    <t>Team 2</t>
  </si>
  <si>
    <t>Team 11</t>
  </si>
  <si>
    <t>Team 12</t>
  </si>
  <si>
    <t>Team 3</t>
  </si>
  <si>
    <t>Team 4</t>
  </si>
  <si>
    <t>Team 6</t>
  </si>
  <si>
    <t>Team 5</t>
  </si>
  <si>
    <t>Team 7</t>
  </si>
  <si>
    <t>Team 8</t>
  </si>
  <si>
    <t>Team 9</t>
  </si>
  <si>
    <t>Team 10</t>
  </si>
  <si>
    <t>Matt Breida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</si>
</sst>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3"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s>
  <fills count="20">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s>
  <borders count="60">
    <border>
      <left/>
      <right/>
      <top/>
      <bottom/>
      <diagonal/>
    </border>
    <border>
      <left style="medium">
        <color rgb="FFDDDDDD"/>
      </left>
      <right/>
      <top style="medium">
        <color rgb="FFDDDDDD"/>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dashed">
        <color auto="1"/>
      </left>
      <right style="dashed">
        <color auto="1"/>
      </right>
      <top style="dashed">
        <color auto="1"/>
      </top>
      <bottom style="hair">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91">
    <xf numFmtId="0" fontId="0" fillId="0" borderId="0" xfId="0"/>
    <xf numFmtId="0" fontId="0" fillId="0" borderId="0" xfId="0"/>
    <xf numFmtId="0" fontId="2" fillId="2" borderId="1" xfId="0" applyFont="1" applyFill="1" applyBorder="1" applyAlignment="1">
      <alignment horizontal="left"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164" fontId="0" fillId="0" borderId="0" xfId="0" applyNumberFormat="1"/>
    <xf numFmtId="0" fontId="3" fillId="0" borderId="0" xfId="0" applyFont="1"/>
    <xf numFmtId="0" fontId="0" fillId="0" borderId="0" xfId="0" applyFont="1" applyAlignment="1">
      <alignment horizontal="right"/>
    </xf>
    <xf numFmtId="0" fontId="0" fillId="0" borderId="0" xfId="0" applyAlignment="1">
      <alignment vertical="top" wrapText="1"/>
    </xf>
    <xf numFmtId="0" fontId="3" fillId="0" borderId="5" xfId="0" applyFont="1" applyBorder="1"/>
    <xf numFmtId="0" fontId="0" fillId="0" borderId="6" xfId="0" applyBorder="1"/>
    <xf numFmtId="0" fontId="3" fillId="0" borderId="6" xfId="0" applyFont="1" applyBorder="1"/>
    <xf numFmtId="0" fontId="0" fillId="0" borderId="5" xfId="0" applyBorder="1"/>
    <xf numFmtId="9" fontId="0" fillId="0" borderId="6" xfId="0" applyNumberFormat="1" applyFill="1" applyBorder="1"/>
    <xf numFmtId="0" fontId="0" fillId="4" borderId="6" xfId="0" applyFill="1" applyBorder="1"/>
    <xf numFmtId="0" fontId="0" fillId="0" borderId="7" xfId="0" applyBorder="1"/>
    <xf numFmtId="0" fontId="0" fillId="0" borderId="8" xfId="0" applyBorder="1"/>
    <xf numFmtId="0" fontId="0" fillId="0" borderId="5" xfId="0" applyFont="1" applyBorder="1"/>
    <xf numFmtId="0" fontId="0" fillId="0" borderId="5" xfId="0" applyFont="1" applyFill="1" applyBorder="1"/>
    <xf numFmtId="0" fontId="0" fillId="5" borderId="4" xfId="0" applyFill="1" applyBorder="1"/>
    <xf numFmtId="0" fontId="0" fillId="5" borderId="4" xfId="0" applyFont="1" applyFill="1" applyBorder="1"/>
    <xf numFmtId="165" fontId="0" fillId="5" borderId="4" xfId="0" applyNumberFormat="1" applyFill="1" applyBorder="1"/>
    <xf numFmtId="0" fontId="3" fillId="0" borderId="5" xfId="0" applyFont="1" applyFill="1" applyBorder="1"/>
    <xf numFmtId="0" fontId="0" fillId="0" borderId="5" xfId="0" applyFill="1" applyBorder="1"/>
    <xf numFmtId="0" fontId="3" fillId="0" borderId="6" xfId="0" applyFont="1" applyFill="1" applyBorder="1"/>
    <xf numFmtId="0" fontId="0" fillId="0" borderId="0" xfId="0" applyAlignment="1">
      <alignment horizontal="right"/>
    </xf>
    <xf numFmtId="0" fontId="0" fillId="6" borderId="0" xfId="0" applyFill="1" applyBorder="1"/>
    <xf numFmtId="0" fontId="0" fillId="6" borderId="0" xfId="0" applyFill="1" applyBorder="1" applyAlignment="1">
      <alignment horizontal="center"/>
    </xf>
    <xf numFmtId="165" fontId="0" fillId="6" borderId="0" xfId="1" applyNumberFormat="1" applyFont="1" applyFill="1" applyBorder="1" applyAlignment="1">
      <alignment horizontal="center"/>
    </xf>
    <xf numFmtId="1" fontId="0" fillId="6" borderId="0" xfId="0" applyNumberFormat="1" applyFill="1" applyBorder="1" applyAlignment="1">
      <alignment horizontal="center"/>
    </xf>
    <xf numFmtId="0" fontId="0" fillId="6" borderId="0" xfId="0" applyFill="1" applyBorder="1" applyAlignment="1"/>
    <xf numFmtId="0" fontId="0" fillId="0" borderId="15" xfId="0" applyFill="1" applyBorder="1"/>
    <xf numFmtId="0" fontId="0" fillId="6" borderId="0" xfId="0" applyFill="1" applyBorder="1" applyAlignment="1">
      <alignment horizontal="center" vertical="center"/>
    </xf>
    <xf numFmtId="0" fontId="0" fillId="0" borderId="18" xfId="0" applyFill="1" applyBorder="1"/>
    <xf numFmtId="166" fontId="3" fillId="0" borderId="19" xfId="0" applyNumberFormat="1" applyFont="1" applyFill="1" applyBorder="1" applyAlignment="1">
      <alignment horizontal="center"/>
    </xf>
    <xf numFmtId="0" fontId="0" fillId="0" borderId="21" xfId="0" applyFill="1" applyBorder="1"/>
    <xf numFmtId="0" fontId="0" fillId="0" borderId="22" xfId="0" applyFill="1" applyBorder="1" applyAlignment="1">
      <alignment horizontal="center"/>
    </xf>
    <xf numFmtId="166" fontId="3" fillId="0" borderId="22" xfId="0" applyNumberFormat="1" applyFont="1" applyFill="1" applyBorder="1" applyAlignment="1">
      <alignment horizontal="center"/>
    </xf>
    <xf numFmtId="0" fontId="0" fillId="0" borderId="16" xfId="0" applyNumberFormat="1" applyFill="1" applyBorder="1" applyAlignment="1">
      <alignment horizontal="center"/>
    </xf>
    <xf numFmtId="0" fontId="0" fillId="0" borderId="19" xfId="0" applyNumberFormat="1" applyFill="1" applyBorder="1" applyAlignment="1">
      <alignment horizontal="center"/>
    </xf>
    <xf numFmtId="1" fontId="0" fillId="0" borderId="17" xfId="1" applyNumberFormat="1" applyFont="1" applyFill="1" applyBorder="1" applyAlignment="1">
      <alignment horizontal="center"/>
    </xf>
    <xf numFmtId="1" fontId="0" fillId="0" borderId="20" xfId="1" applyNumberFormat="1" applyFont="1" applyFill="1" applyBorder="1" applyAlignment="1">
      <alignment horizontal="center"/>
    </xf>
    <xf numFmtId="1" fontId="0" fillId="0" borderId="23" xfId="1" applyNumberFormat="1" applyFont="1" applyFill="1" applyBorder="1" applyAlignment="1">
      <alignment horizontal="center"/>
    </xf>
    <xf numFmtId="0" fontId="3" fillId="0" borderId="10" xfId="0" applyFont="1" applyFill="1" applyBorder="1"/>
    <xf numFmtId="166" fontId="3" fillId="0" borderId="24" xfId="0" applyNumberFormat="1" applyFont="1" applyFill="1" applyBorder="1" applyAlignment="1">
      <alignment horizontal="center"/>
    </xf>
    <xf numFmtId="1" fontId="0" fillId="4" borderId="6" xfId="0" applyNumberFormat="1" applyFill="1" applyBorder="1"/>
    <xf numFmtId="1" fontId="3" fillId="4" borderId="6" xfId="0" applyNumberFormat="1" applyFont="1" applyFill="1" applyBorder="1"/>
    <xf numFmtId="0" fontId="0" fillId="0" borderId="0" xfId="0" applyBorder="1"/>
    <xf numFmtId="0" fontId="0" fillId="5" borderId="25" xfId="0" applyFill="1" applyBorder="1"/>
    <xf numFmtId="165" fontId="3" fillId="0" borderId="24" xfId="0" applyNumberFormat="1" applyFont="1" applyFill="1" applyBorder="1" applyAlignment="1">
      <alignment horizontal="center"/>
    </xf>
    <xf numFmtId="165" fontId="3" fillId="0" borderId="19" xfId="0" applyNumberFormat="1" applyFont="1" applyFill="1" applyBorder="1" applyAlignment="1">
      <alignment horizontal="center"/>
    </xf>
    <xf numFmtId="165" fontId="3" fillId="0" borderId="22" xfId="0" applyNumberFormat="1" applyFont="1" applyFill="1" applyBorder="1" applyAlignment="1">
      <alignment horizontal="center"/>
    </xf>
    <xf numFmtId="0" fontId="3" fillId="0" borderId="0" xfId="0" applyFont="1" applyFill="1"/>
    <xf numFmtId="0" fontId="0" fillId="0" borderId="0" xfId="0" applyFill="1"/>
    <xf numFmtId="0" fontId="6" fillId="0" borderId="15" xfId="0" applyFont="1" applyFill="1" applyBorder="1"/>
    <xf numFmtId="0" fontId="6" fillId="0" borderId="16" xfId="0" applyNumberFormat="1" applyFont="1" applyFill="1" applyBorder="1" applyAlignment="1">
      <alignment horizontal="center"/>
    </xf>
    <xf numFmtId="166" fontId="7" fillId="0" borderId="19" xfId="0" applyNumberFormat="1" applyFont="1" applyFill="1" applyBorder="1" applyAlignment="1">
      <alignment horizontal="center"/>
    </xf>
    <xf numFmtId="166" fontId="7" fillId="0" borderId="24" xfId="0" applyNumberFormat="1" applyFont="1" applyFill="1" applyBorder="1" applyAlignment="1">
      <alignment horizontal="center"/>
    </xf>
    <xf numFmtId="165" fontId="7" fillId="0" borderId="24" xfId="0" applyNumberFormat="1" applyFont="1" applyFill="1" applyBorder="1" applyAlignment="1">
      <alignment horizontal="center"/>
    </xf>
    <xf numFmtId="1" fontId="6" fillId="0" borderId="17" xfId="1" applyNumberFormat="1" applyFont="1" applyFill="1" applyBorder="1" applyAlignment="1">
      <alignment horizontal="center"/>
    </xf>
    <xf numFmtId="0" fontId="6" fillId="0" borderId="18" xfId="0" applyFont="1" applyFill="1" applyBorder="1"/>
    <xf numFmtId="0" fontId="6" fillId="0" borderId="19" xfId="0" applyNumberFormat="1" applyFont="1" applyFill="1" applyBorder="1" applyAlignment="1">
      <alignment horizontal="center"/>
    </xf>
    <xf numFmtId="165" fontId="7" fillId="0" borderId="19" xfId="0" applyNumberFormat="1" applyFont="1" applyFill="1" applyBorder="1" applyAlignment="1">
      <alignment horizontal="center"/>
    </xf>
    <xf numFmtId="1" fontId="6" fillId="0" borderId="20" xfId="1" applyNumberFormat="1" applyFont="1" applyFill="1" applyBorder="1" applyAlignment="1">
      <alignment horizontal="center"/>
    </xf>
    <xf numFmtId="0" fontId="6" fillId="0" borderId="21" xfId="0" applyFont="1" applyFill="1" applyBorder="1"/>
    <xf numFmtId="0" fontId="6" fillId="0" borderId="22" xfId="0" applyNumberFormat="1" applyFont="1" applyFill="1" applyBorder="1" applyAlignment="1">
      <alignment horizontal="center"/>
    </xf>
    <xf numFmtId="166" fontId="7" fillId="0" borderId="22" xfId="0" applyNumberFormat="1" applyFont="1" applyFill="1" applyBorder="1" applyAlignment="1">
      <alignment horizontal="center"/>
    </xf>
    <xf numFmtId="165" fontId="7" fillId="0" borderId="22" xfId="0" applyNumberFormat="1" applyFont="1" applyFill="1" applyBorder="1" applyAlignment="1">
      <alignment horizontal="center"/>
    </xf>
    <xf numFmtId="1" fontId="6" fillId="0" borderId="23" xfId="1" applyNumberFormat="1" applyFont="1" applyFill="1" applyBorder="1" applyAlignment="1">
      <alignment horizontal="center"/>
    </xf>
    <xf numFmtId="0" fontId="6" fillId="0" borderId="19" xfId="0" applyFont="1" applyFill="1" applyBorder="1"/>
    <xf numFmtId="0" fontId="6" fillId="0" borderId="22" xfId="0" applyFont="1" applyFill="1" applyBorder="1"/>
    <xf numFmtId="0" fontId="0" fillId="0" borderId="19" xfId="0" applyFill="1" applyBorder="1"/>
    <xf numFmtId="0" fontId="0" fillId="0" borderId="22" xfId="0" applyFill="1" applyBorder="1"/>
    <xf numFmtId="0" fontId="0" fillId="0" borderId="16" xfId="0" applyNumberFormat="1" applyFill="1" applyBorder="1" applyAlignment="1">
      <alignment horizontal="left"/>
    </xf>
    <xf numFmtId="0" fontId="0" fillId="0" borderId="19" xfId="0" applyFill="1" applyBorder="1" applyAlignment="1">
      <alignment horizontal="left"/>
    </xf>
    <xf numFmtId="0" fontId="6" fillId="0" borderId="16" xfId="0" applyFont="1" applyFill="1" applyBorder="1"/>
    <xf numFmtId="0" fontId="6" fillId="0" borderId="19" xfId="0" applyNumberFormat="1" applyFont="1" applyFill="1" applyBorder="1" applyAlignment="1">
      <alignment horizontal="left"/>
    </xf>
    <xf numFmtId="0" fontId="11" fillId="0" borderId="0" xfId="0" applyFont="1"/>
    <xf numFmtId="0" fontId="10" fillId="4" borderId="26" xfId="0" applyFont="1" applyFill="1" applyBorder="1"/>
    <xf numFmtId="164" fontId="10" fillId="4" borderId="27" xfId="0" applyNumberFormat="1" applyFont="1" applyFill="1" applyBorder="1" applyAlignment="1">
      <alignment horizontal="left"/>
    </xf>
    <xf numFmtId="164" fontId="10" fillId="4" borderId="28" xfId="0" applyNumberFormat="1" applyFont="1" applyFill="1" applyBorder="1" applyAlignment="1">
      <alignment horizontal="left"/>
    </xf>
    <xf numFmtId="164" fontId="10" fillId="4" borderId="27" xfId="0" applyNumberFormat="1" applyFont="1" applyFill="1" applyBorder="1" applyAlignment="1"/>
    <xf numFmtId="164" fontId="10" fillId="4" borderId="29" xfId="0" applyNumberFormat="1" applyFont="1" applyFill="1" applyBorder="1" applyAlignment="1">
      <alignment horizontal="right"/>
    </xf>
    <xf numFmtId="1" fontId="10" fillId="4" borderId="28" xfId="0" applyNumberFormat="1" applyFont="1" applyFill="1" applyBorder="1" applyAlignment="1">
      <alignment horizontal="right"/>
    </xf>
    <xf numFmtId="10" fontId="11" fillId="0" borderId="26" xfId="0" applyNumberFormat="1" applyFont="1" applyBorder="1"/>
    <xf numFmtId="0" fontId="11" fillId="0" borderId="27" xfId="0" applyFont="1" applyBorder="1"/>
    <xf numFmtId="164" fontId="10" fillId="4" borderId="29" xfId="0" applyNumberFormat="1" applyFont="1" applyFill="1" applyBorder="1" applyAlignment="1">
      <alignment horizontal="left"/>
    </xf>
    <xf numFmtId="1" fontId="10" fillId="4" borderId="26" xfId="0" applyNumberFormat="1" applyFont="1" applyFill="1" applyBorder="1" applyAlignment="1">
      <alignment horizontal="right"/>
    </xf>
    <xf numFmtId="164" fontId="11" fillId="0" borderId="26" xfId="0" applyNumberFormat="1" applyFont="1" applyBorder="1"/>
    <xf numFmtId="0" fontId="11" fillId="0" borderId="0" xfId="0" applyFont="1" applyFill="1" applyBorder="1"/>
    <xf numFmtId="6" fontId="0" fillId="0" borderId="0" xfId="0" applyNumberFormat="1"/>
    <xf numFmtId="0" fontId="0" fillId="0" borderId="15" xfId="0" applyFill="1" applyBorder="1" applyProtection="1"/>
    <xf numFmtId="0" fontId="0" fillId="0" borderId="16" xfId="0" applyFill="1" applyBorder="1" applyProtection="1"/>
    <xf numFmtId="0" fontId="0" fillId="0" borderId="16" xfId="0" applyNumberFormat="1" applyFill="1" applyBorder="1" applyAlignment="1" applyProtection="1">
      <alignment horizontal="center"/>
    </xf>
    <xf numFmtId="0" fontId="0" fillId="0" borderId="18" xfId="0" applyFill="1" applyBorder="1" applyProtection="1"/>
    <xf numFmtId="0" fontId="0" fillId="0" borderId="19" xfId="0" applyFill="1" applyBorder="1" applyProtection="1"/>
    <xf numFmtId="0" fontId="0" fillId="0" borderId="19" xfId="0" applyNumberFormat="1" applyFill="1" applyBorder="1" applyAlignment="1" applyProtection="1">
      <alignment horizontal="center"/>
    </xf>
    <xf numFmtId="0" fontId="0" fillId="0" borderId="21" xfId="0" applyFill="1" applyBorder="1" applyProtection="1"/>
    <xf numFmtId="0" fontId="0" fillId="0" borderId="22" xfId="0" applyFill="1" applyBorder="1" applyProtection="1"/>
    <xf numFmtId="0" fontId="0" fillId="0" borderId="22" xfId="0" applyNumberFormat="1" applyFill="1" applyBorder="1" applyAlignment="1" applyProtection="1">
      <alignment horizontal="center"/>
    </xf>
    <xf numFmtId="10" fontId="0" fillId="0" borderId="0" xfId="0" applyNumberFormat="1"/>
    <xf numFmtId="0" fontId="0" fillId="0" borderId="35" xfId="0" applyBorder="1"/>
    <xf numFmtId="0" fontId="3" fillId="0" borderId="30" xfId="0" applyFont="1" applyBorder="1" applyAlignment="1">
      <alignment horizontal="left"/>
    </xf>
    <xf numFmtId="0" fontId="3" fillId="0" borderId="31" xfId="0" applyFont="1" applyBorder="1" applyAlignment="1">
      <alignment horizontal="left"/>
    </xf>
    <xf numFmtId="0" fontId="3" fillId="0" borderId="34" xfId="0" applyFont="1" applyBorder="1" applyAlignment="1">
      <alignment horizontal="left"/>
    </xf>
    <xf numFmtId="0" fontId="3" fillId="0" borderId="32" xfId="0" applyFont="1" applyBorder="1" applyAlignment="1">
      <alignment horizontal="left"/>
    </xf>
    <xf numFmtId="0" fontId="0" fillId="0" borderId="16" xfId="0" applyFill="1" applyBorder="1"/>
    <xf numFmtId="0" fontId="3" fillId="0" borderId="0" xfId="0" applyFont="1" applyFill="1" applyBorder="1" applyAlignment="1">
      <alignment horizontal="left"/>
    </xf>
    <xf numFmtId="167" fontId="0" fillId="0" borderId="0" xfId="0" applyNumberFormat="1"/>
    <xf numFmtId="0" fontId="3" fillId="0" borderId="11" xfId="0" applyFont="1" applyBorder="1"/>
    <xf numFmtId="0" fontId="3" fillId="0" borderId="9" xfId="0" applyFont="1" applyFill="1" applyBorder="1"/>
    <xf numFmtId="1" fontId="3" fillId="4" borderId="8" xfId="0" applyNumberFormat="1" applyFont="1" applyFill="1" applyBorder="1"/>
    <xf numFmtId="0" fontId="0" fillId="4" borderId="35" xfId="0" applyFont="1" applyFill="1" applyBorder="1"/>
    <xf numFmtId="0" fontId="0" fillId="4" borderId="6" xfId="0" applyFont="1" applyFill="1" applyBorder="1"/>
    <xf numFmtId="165" fontId="0" fillId="4" borderId="6" xfId="0" applyNumberFormat="1" applyFont="1" applyFill="1" applyBorder="1"/>
    <xf numFmtId="0" fontId="0" fillId="4" borderId="8" xfId="0" applyFont="1" applyFill="1" applyBorder="1"/>
    <xf numFmtId="0" fontId="0" fillId="5" borderId="36" xfId="0" applyFill="1" applyBorder="1"/>
    <xf numFmtId="0" fontId="0" fillId="4" borderId="37" xfId="0" applyFill="1" applyBorder="1"/>
    <xf numFmtId="0" fontId="11" fillId="0" borderId="5" xfId="0" applyFont="1" applyFill="1" applyBorder="1"/>
    <xf numFmtId="0" fontId="11" fillId="0" borderId="9" xfId="0" applyFont="1" applyFill="1" applyBorder="1"/>
    <xf numFmtId="0" fontId="11" fillId="0" borderId="10" xfId="0" applyFont="1" applyBorder="1"/>
    <xf numFmtId="0" fontId="11" fillId="0" borderId="5" xfId="0" applyFont="1" applyBorder="1"/>
    <xf numFmtId="0" fontId="11" fillId="0" borderId="9" xfId="0" applyFont="1" applyBorder="1"/>
    <xf numFmtId="0" fontId="11" fillId="0" borderId="35" xfId="0" applyFont="1" applyBorder="1"/>
    <xf numFmtId="0" fontId="11" fillId="0" borderId="6" xfId="0" applyFont="1" applyBorder="1"/>
    <xf numFmtId="0" fontId="11" fillId="0" borderId="8" xfId="0" applyFont="1" applyBorder="1"/>
    <xf numFmtId="0" fontId="0" fillId="0" borderId="0" xfId="0" applyFill="1" applyBorder="1"/>
    <xf numFmtId="0" fontId="1" fillId="2" borderId="38" xfId="0" applyFont="1" applyFill="1" applyBorder="1" applyAlignment="1">
      <alignment horizontal="left" wrapText="1"/>
    </xf>
    <xf numFmtId="167" fontId="0" fillId="0" borderId="0" xfId="0" applyNumberFormat="1" applyBorder="1"/>
    <xf numFmtId="0" fontId="0" fillId="0" borderId="19" xfId="0" applyFill="1" applyBorder="1" applyAlignment="1">
      <alignment horizontal="center"/>
    </xf>
    <xf numFmtId="0" fontId="3" fillId="0" borderId="42" xfId="0" applyFont="1" applyFill="1" applyBorder="1" applyAlignment="1">
      <alignment horizontal="center"/>
    </xf>
    <xf numFmtId="0" fontId="3" fillId="0" borderId="43" xfId="0" applyFont="1" applyFill="1" applyBorder="1" applyAlignment="1">
      <alignment horizontal="center"/>
    </xf>
    <xf numFmtId="9" fontId="3" fillId="0" borderId="44" xfId="1" applyNumberFormat="1" applyFont="1" applyFill="1" applyBorder="1" applyAlignment="1">
      <alignment horizontal="center"/>
    </xf>
    <xf numFmtId="165" fontId="11" fillId="0" borderId="26" xfId="0" applyNumberFormat="1" applyFont="1" applyBorder="1"/>
    <xf numFmtId="0" fontId="3" fillId="0" borderId="44" xfId="0" applyFont="1" applyFill="1" applyBorder="1" applyAlignment="1">
      <alignment horizontal="center"/>
    </xf>
    <xf numFmtId="0" fontId="0" fillId="0" borderId="16" xfId="0" applyFont="1" applyFill="1" applyBorder="1" applyAlignment="1" applyProtection="1">
      <alignment horizontal="left"/>
    </xf>
    <xf numFmtId="165" fontId="0" fillId="0" borderId="24" xfId="0" applyNumberFormat="1" applyFont="1" applyFill="1" applyBorder="1" applyAlignment="1">
      <alignment horizontal="left"/>
    </xf>
    <xf numFmtId="165" fontId="0" fillId="0" borderId="22" xfId="0" applyNumberFormat="1" applyFont="1" applyFill="1" applyBorder="1" applyAlignment="1">
      <alignment horizontal="left"/>
    </xf>
    <xf numFmtId="2" fontId="0" fillId="0" borderId="17" xfId="0" applyNumberFormat="1" applyFill="1" applyBorder="1" applyAlignment="1" applyProtection="1">
      <alignment horizontal="center"/>
    </xf>
    <xf numFmtId="2" fontId="0" fillId="0" borderId="20" xfId="1" applyNumberFormat="1" applyFont="1" applyFill="1" applyBorder="1" applyAlignment="1">
      <alignment horizontal="center"/>
    </xf>
    <xf numFmtId="2" fontId="0" fillId="0" borderId="23" xfId="1" applyNumberFormat="1" applyFont="1" applyFill="1" applyBorder="1" applyAlignment="1">
      <alignment horizontal="center"/>
    </xf>
    <xf numFmtId="10" fontId="0" fillId="4" borderId="6" xfId="0" applyNumberFormat="1" applyFill="1" applyBorder="1"/>
    <xf numFmtId="0" fontId="3" fillId="0" borderId="45" xfId="0" applyFont="1" applyFill="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49" xfId="0" applyFont="1" applyBorder="1"/>
    <xf numFmtId="0" fontId="13" fillId="0" borderId="50" xfId="0" applyFont="1" applyBorder="1"/>
    <xf numFmtId="0" fontId="13" fillId="0" borderId="38" xfId="0" applyFont="1" applyBorder="1" applyAlignment="1">
      <alignment horizontal="center"/>
    </xf>
    <xf numFmtId="0" fontId="13" fillId="0" borderId="51" xfId="0" applyFont="1" applyBorder="1" applyAlignment="1">
      <alignment horizontal="center"/>
    </xf>
    <xf numFmtId="6" fontId="14" fillId="0" borderId="38" xfId="0" applyNumberFormat="1" applyFont="1" applyBorder="1" applyAlignment="1">
      <alignment vertical="center"/>
    </xf>
    <xf numFmtId="6" fontId="14" fillId="0" borderId="38" xfId="0" applyNumberFormat="1" applyFont="1" applyBorder="1"/>
    <xf numFmtId="6" fontId="14" fillId="0" borderId="51" xfId="0" applyNumberFormat="1" applyFont="1" applyBorder="1" applyAlignment="1">
      <alignment vertical="center"/>
    </xf>
    <xf numFmtId="6" fontId="14" fillId="0" borderId="51" xfId="0" applyNumberFormat="1" applyFont="1" applyBorder="1"/>
    <xf numFmtId="0" fontId="13" fillId="13" borderId="46" xfId="0" applyFont="1" applyFill="1" applyBorder="1"/>
    <xf numFmtId="6" fontId="14" fillId="13" borderId="47" xfId="0" applyNumberFormat="1" applyFont="1" applyFill="1" applyBorder="1" applyAlignment="1">
      <alignment vertical="center"/>
    </xf>
    <xf numFmtId="6" fontId="14" fillId="13" borderId="47" xfId="0" applyNumberFormat="1" applyFont="1" applyFill="1" applyBorder="1"/>
    <xf numFmtId="0" fontId="13" fillId="13" borderId="47" xfId="0" applyFont="1" applyFill="1" applyBorder="1" applyAlignment="1">
      <alignment horizontal="center"/>
    </xf>
    <xf numFmtId="0" fontId="13" fillId="13" borderId="49" xfId="0" applyFont="1" applyFill="1" applyBorder="1"/>
    <xf numFmtId="6" fontId="14" fillId="13" borderId="38" xfId="0" applyNumberFormat="1" applyFont="1" applyFill="1" applyBorder="1" applyAlignment="1">
      <alignment vertical="center"/>
    </xf>
    <xf numFmtId="6" fontId="14" fillId="13" borderId="38" xfId="0" applyNumberFormat="1" applyFont="1" applyFill="1" applyBorder="1"/>
    <xf numFmtId="0" fontId="13" fillId="13" borderId="38" xfId="0" applyFont="1" applyFill="1" applyBorder="1" applyAlignment="1">
      <alignment horizontal="center"/>
    </xf>
    <xf numFmtId="0" fontId="3" fillId="0" borderId="0" xfId="0" applyFont="1" applyFill="1" applyAlignment="1"/>
    <xf numFmtId="0" fontId="10" fillId="7" borderId="5" xfId="0" applyFont="1" applyFill="1" applyBorder="1" applyAlignment="1">
      <alignment vertical="center"/>
    </xf>
    <xf numFmtId="0" fontId="10" fillId="7" borderId="0" xfId="0" applyFont="1" applyFill="1" applyBorder="1" applyAlignment="1">
      <alignment vertical="center"/>
    </xf>
    <xf numFmtId="0" fontId="10" fillId="7" borderId="0" xfId="0" applyFont="1" applyFill="1" applyBorder="1" applyAlignment="1">
      <alignment horizontal="center" vertical="center"/>
    </xf>
    <xf numFmtId="0" fontId="10" fillId="7" borderId="6" xfId="0" applyFont="1" applyFill="1" applyBorder="1" applyAlignment="1">
      <alignment horizontal="center" vertical="center"/>
    </xf>
    <xf numFmtId="0" fontId="10" fillId="4" borderId="5" xfId="0" applyFont="1" applyFill="1" applyBorder="1"/>
    <xf numFmtId="0" fontId="13" fillId="13" borderId="52" xfId="0" applyFont="1" applyFill="1" applyBorder="1" applyAlignment="1">
      <alignment horizontal="center"/>
    </xf>
    <xf numFmtId="0" fontId="13" fillId="0" borderId="53" xfId="0" applyFont="1" applyBorder="1" applyAlignment="1">
      <alignment horizontal="center"/>
    </xf>
    <xf numFmtId="0" fontId="13" fillId="13" borderId="53" xfId="0" applyFont="1" applyFill="1" applyBorder="1" applyAlignment="1">
      <alignment horizontal="center"/>
    </xf>
    <xf numFmtId="0" fontId="13" fillId="0" borderId="54" xfId="0" applyFont="1" applyBorder="1" applyAlignment="1">
      <alignment horizontal="center"/>
    </xf>
    <xf numFmtId="0" fontId="10" fillId="4" borderId="9" xfId="0" applyFont="1" applyFill="1" applyBorder="1"/>
    <xf numFmtId="0" fontId="7" fillId="11" borderId="7" xfId="0" applyFont="1" applyFill="1" applyBorder="1"/>
    <xf numFmtId="0" fontId="10" fillId="7" borderId="5" xfId="0" applyFont="1" applyFill="1" applyBorder="1"/>
    <xf numFmtId="0" fontId="10" fillId="7" borderId="6" xfId="0" applyFont="1" applyFill="1" applyBorder="1" applyAlignment="1">
      <alignment vertical="center"/>
    </xf>
    <xf numFmtId="6" fontId="11" fillId="9" borderId="0" xfId="0" applyNumberFormat="1" applyFont="1" applyFill="1" applyBorder="1" applyAlignment="1">
      <alignment vertical="center"/>
    </xf>
    <xf numFmtId="6" fontId="11" fillId="0" borderId="0" xfId="0" applyNumberFormat="1" applyFont="1" applyBorder="1" applyAlignment="1">
      <alignment vertical="center"/>
    </xf>
    <xf numFmtId="0" fontId="0" fillId="10" borderId="5" xfId="0" applyFill="1" applyBorder="1"/>
    <xf numFmtId="6" fontId="3" fillId="10" borderId="0" xfId="0" applyNumberFormat="1" applyFont="1" applyFill="1" applyBorder="1"/>
    <xf numFmtId="6" fontId="3" fillId="10" borderId="6" xfId="0" applyNumberFormat="1" applyFont="1" applyFill="1" applyBorder="1"/>
    <xf numFmtId="0" fontId="0" fillId="0" borderId="9" xfId="0" applyBorder="1"/>
    <xf numFmtId="0" fontId="10" fillId="7" borderId="0" xfId="0" applyFont="1" applyFill="1" applyBorder="1"/>
    <xf numFmtId="38" fontId="11" fillId="0" borderId="6" xfId="0" applyNumberFormat="1" applyFont="1" applyBorder="1" applyAlignment="1">
      <alignment horizontal="center" vertical="center"/>
    </xf>
    <xf numFmtId="38" fontId="11" fillId="0" borderId="6" xfId="0" applyNumberFormat="1" applyFont="1" applyBorder="1" applyAlignment="1">
      <alignment horizontal="center"/>
    </xf>
    <xf numFmtId="0" fontId="0" fillId="10" borderId="9" xfId="0" applyFill="1" applyBorder="1"/>
    <xf numFmtId="0" fontId="0" fillId="10" borderId="7" xfId="0" applyFill="1" applyBorder="1"/>
    <xf numFmtId="6" fontId="3" fillId="10" borderId="7" xfId="0" applyNumberFormat="1" applyFont="1" applyFill="1" applyBorder="1"/>
    <xf numFmtId="6" fontId="3" fillId="10" borderId="8" xfId="0" applyNumberFormat="1" applyFont="1" applyFill="1" applyBorder="1"/>
    <xf numFmtId="0" fontId="15" fillId="0" borderId="0" xfId="0" applyFont="1"/>
    <xf numFmtId="0" fontId="16" fillId="0" borderId="0" xfId="0" applyFont="1"/>
    <xf numFmtId="0" fontId="3" fillId="14" borderId="0" xfId="0" applyFont="1" applyFill="1"/>
    <xf numFmtId="0" fontId="17" fillId="15" borderId="0" xfId="0" applyFont="1" applyFill="1"/>
    <xf numFmtId="0" fontId="15" fillId="16" borderId="0" xfId="0" applyFont="1" applyFill="1"/>
    <xf numFmtId="0" fontId="0" fillId="0" borderId="55" xfId="0" applyBorder="1"/>
    <xf numFmtId="0" fontId="0" fillId="0" borderId="38" xfId="0" applyBorder="1"/>
    <xf numFmtId="164" fontId="0" fillId="0" borderId="38" xfId="0" applyNumberFormat="1" applyBorder="1" applyAlignment="1">
      <alignment horizontal="right"/>
    </xf>
    <xf numFmtId="164" fontId="0" fillId="0" borderId="38" xfId="0" applyNumberFormat="1" applyBorder="1"/>
    <xf numFmtId="164" fontId="0" fillId="5" borderId="38" xfId="0" applyNumberFormat="1" applyFill="1" applyBorder="1"/>
    <xf numFmtId="0" fontId="0" fillId="0" borderId="56" xfId="0" applyBorder="1"/>
    <xf numFmtId="164" fontId="0" fillId="0" borderId="56" xfId="0" applyNumberFormat="1" applyBorder="1"/>
    <xf numFmtId="164" fontId="0" fillId="0" borderId="51" xfId="0" applyNumberFormat="1" applyBorder="1"/>
    <xf numFmtId="0" fontId="0" fillId="5" borderId="33" xfId="0" applyFill="1" applyBorder="1"/>
    <xf numFmtId="0" fontId="0" fillId="5" borderId="33" xfId="0" applyFill="1" applyBorder="1" applyAlignment="1">
      <alignment horizontal="right"/>
    </xf>
    <xf numFmtId="0" fontId="0" fillId="5" borderId="33" xfId="0" applyFill="1" applyBorder="1" applyAlignment="1">
      <alignment wrapText="1"/>
    </xf>
    <xf numFmtId="6" fontId="0" fillId="5" borderId="33" xfId="0" applyNumberFormat="1" applyFill="1" applyBorder="1"/>
    <xf numFmtId="0" fontId="0" fillId="0" borderId="16" xfId="0" applyBorder="1"/>
    <xf numFmtId="8" fontId="11" fillId="0" borderId="26" xfId="0" applyNumberFormat="1" applyFont="1" applyBorder="1"/>
    <xf numFmtId="4" fontId="0" fillId="0" borderId="38" xfId="0" applyNumberFormat="1" applyBorder="1"/>
    <xf numFmtId="43" fontId="11" fillId="8" borderId="29" xfId="2" applyFont="1" applyFill="1" applyBorder="1"/>
    <xf numFmtId="168" fontId="11" fillId="0" borderId="28" xfId="3" applyNumberFormat="1" applyFont="1" applyBorder="1"/>
    <xf numFmtId="39" fontId="11" fillId="8" borderId="29" xfId="2" applyNumberFormat="1" applyFont="1" applyFill="1" applyBorder="1"/>
    <xf numFmtId="0" fontId="7" fillId="11" borderId="4" xfId="0" applyFont="1" applyFill="1" applyBorder="1" applyAlignment="1">
      <alignment horizontal="center" vertical="center"/>
    </xf>
    <xf numFmtId="0" fontId="0" fillId="5" borderId="48" xfId="0" applyFill="1" applyBorder="1"/>
    <xf numFmtId="1" fontId="10" fillId="0" borderId="0" xfId="0" applyNumberFormat="1" applyFont="1" applyFill="1" applyBorder="1" applyAlignment="1">
      <alignment horizontal="right"/>
    </xf>
    <xf numFmtId="165" fontId="11" fillId="0" borderId="0" xfId="0" applyNumberFormat="1" applyFont="1" applyFill="1" applyBorder="1"/>
    <xf numFmtId="2" fontId="0" fillId="0" borderId="0" xfId="0" applyNumberFormat="1"/>
    <xf numFmtId="0" fontId="0" fillId="0" borderId="38" xfId="0" applyNumberFormat="1" applyBorder="1"/>
    <xf numFmtId="0" fontId="0" fillId="5" borderId="0" xfId="0" applyFill="1"/>
    <xf numFmtId="0" fontId="0" fillId="5" borderId="0" xfId="0" applyFill="1" applyBorder="1"/>
    <xf numFmtId="164" fontId="0" fillId="5" borderId="0" xfId="0" applyNumberFormat="1" applyFill="1"/>
    <xf numFmtId="0" fontId="0" fillId="5" borderId="16" xfId="0" applyNumberFormat="1" applyFill="1" applyBorder="1" applyAlignment="1">
      <alignment horizontal="center"/>
    </xf>
    <xf numFmtId="0" fontId="0" fillId="5" borderId="19" xfId="0" applyFill="1" applyBorder="1" applyAlignment="1">
      <alignment horizontal="center"/>
    </xf>
    <xf numFmtId="1" fontId="6" fillId="5" borderId="19" xfId="0" applyNumberFormat="1" applyFont="1" applyFill="1" applyBorder="1" applyAlignment="1">
      <alignment horizontal="center"/>
    </xf>
    <xf numFmtId="1" fontId="6" fillId="5" borderId="22" xfId="0" applyNumberFormat="1" applyFont="1" applyFill="1" applyBorder="1" applyAlignment="1">
      <alignment horizontal="center"/>
    </xf>
    <xf numFmtId="1" fontId="0" fillId="5" borderId="19" xfId="0" applyNumberFormat="1" applyFill="1" applyBorder="1" applyAlignment="1">
      <alignment horizontal="center"/>
    </xf>
    <xf numFmtId="1" fontId="0" fillId="5" borderId="22" xfId="0" applyNumberFormat="1" applyFill="1" applyBorder="1" applyAlignment="1">
      <alignment horizontal="center"/>
    </xf>
    <xf numFmtId="0" fontId="0" fillId="5" borderId="16" xfId="0" applyFill="1" applyBorder="1" applyAlignment="1">
      <alignment horizontal="center"/>
    </xf>
    <xf numFmtId="0" fontId="0" fillId="5" borderId="22"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8" xfId="3" applyNumberFormat="1" applyFont="1" applyFill="1" applyBorder="1" applyAlignment="1">
      <alignment horizontal="center"/>
    </xf>
    <xf numFmtId="169" fontId="13" fillId="0" borderId="38" xfId="3" applyNumberFormat="1" applyFont="1" applyBorder="1" applyAlignment="1">
      <alignment horizontal="center"/>
    </xf>
    <xf numFmtId="169" fontId="7" fillId="11" borderId="4" xfId="0" applyNumberFormat="1" applyFont="1" applyFill="1" applyBorder="1" applyAlignment="1">
      <alignment horizontal="center" vertical="center"/>
    </xf>
    <xf numFmtId="0" fontId="10" fillId="7" borderId="5" xfId="0" applyFont="1" applyFill="1" applyBorder="1" applyAlignment="1">
      <alignment horizontal="center" vertical="center"/>
    </xf>
    <xf numFmtId="169" fontId="13" fillId="13" borderId="57" xfId="3" applyNumberFormat="1" applyFont="1" applyFill="1" applyBorder="1" applyAlignment="1">
      <alignment horizontal="center"/>
    </xf>
    <xf numFmtId="169" fontId="13" fillId="13" borderId="53" xfId="3" applyNumberFormat="1" applyFont="1" applyFill="1" applyBorder="1" applyAlignment="1">
      <alignment horizontal="center"/>
    </xf>
    <xf numFmtId="169" fontId="13" fillId="0" borderId="57" xfId="3" applyNumberFormat="1" applyFont="1" applyBorder="1" applyAlignment="1">
      <alignment horizontal="center"/>
    </xf>
    <xf numFmtId="169" fontId="13" fillId="0" borderId="53" xfId="3" applyNumberFormat="1" applyFont="1" applyBorder="1" applyAlignment="1">
      <alignment horizontal="center"/>
    </xf>
    <xf numFmtId="1" fontId="0" fillId="0" borderId="0" xfId="0" applyNumberFormat="1" applyFill="1"/>
    <xf numFmtId="0" fontId="11" fillId="5" borderId="4" xfId="0" applyFont="1" applyFill="1" applyBorder="1"/>
    <xf numFmtId="8" fontId="0" fillId="0" borderId="0" xfId="0" applyNumberFormat="1"/>
    <xf numFmtId="0" fontId="3" fillId="0" borderId="0" xfId="0" applyFont="1" applyAlignment="1"/>
    <xf numFmtId="0" fontId="3" fillId="0" borderId="0" xfId="0" applyFont="1" applyFill="1" applyBorder="1" applyAlignment="1">
      <alignment horizontal="center"/>
    </xf>
    <xf numFmtId="166" fontId="0" fillId="0" borderId="40" xfId="0" applyNumberFormat="1" applyBorder="1"/>
    <xf numFmtId="166" fontId="0" fillId="0" borderId="41" xfId="0" applyNumberFormat="1" applyBorder="1"/>
    <xf numFmtId="166" fontId="0" fillId="0" borderId="0" xfId="0" applyNumberFormat="1" applyBorder="1"/>
    <xf numFmtId="166" fontId="0" fillId="0" borderId="39" xfId="0" applyNumberFormat="1" applyBorder="1"/>
    <xf numFmtId="166" fontId="0" fillId="0" borderId="5" xfId="0" applyNumberFormat="1" applyBorder="1"/>
    <xf numFmtId="166" fontId="0" fillId="0" borderId="6" xfId="0" applyNumberFormat="1" applyBorder="1"/>
    <xf numFmtId="166" fontId="0" fillId="0" borderId="0" xfId="0" applyNumberFormat="1"/>
    <xf numFmtId="166" fontId="4" fillId="3" borderId="2" xfId="0" applyNumberFormat="1" applyFont="1" applyFill="1" applyBorder="1" applyAlignment="1">
      <alignment horizontal="right" wrapText="1"/>
    </xf>
    <xf numFmtId="166" fontId="4" fillId="3" borderId="0" xfId="0" applyNumberFormat="1" applyFont="1" applyFill="1" applyBorder="1" applyAlignment="1">
      <alignment horizontal="right" wrapText="1"/>
    </xf>
    <xf numFmtId="166" fontId="0" fillId="0" borderId="0" xfId="0" applyNumberFormat="1" applyFont="1" applyAlignment="1">
      <alignment horizontal="right"/>
    </xf>
    <xf numFmtId="0" fontId="11" fillId="17" borderId="0" xfId="0" applyFont="1" applyFill="1" applyBorder="1"/>
    <xf numFmtId="166" fontId="0" fillId="0" borderId="0" xfId="0" applyNumberFormat="1" applyFont="1" applyBorder="1" applyAlignment="1">
      <alignment horizontal="right"/>
    </xf>
    <xf numFmtId="0" fontId="0" fillId="19" borderId="0" xfId="0" applyFill="1"/>
    <xf numFmtId="0" fontId="2" fillId="2" borderId="59" xfId="0" applyFont="1" applyFill="1" applyBorder="1" applyAlignment="1">
      <alignment horizontal="left" wrapText="1"/>
    </xf>
    <xf numFmtId="0" fontId="0" fillId="0" borderId="0" xfId="0" applyFont="1" applyBorder="1" applyAlignment="1">
      <alignment horizontal="right"/>
    </xf>
    <xf numFmtId="164" fontId="3" fillId="0" borderId="0" xfId="0" applyNumberFormat="1" applyFont="1" applyBorder="1"/>
    <xf numFmtId="0" fontId="3" fillId="0" borderId="0" xfId="0" applyFont="1" applyBorder="1"/>
    <xf numFmtId="9" fontId="11" fillId="0" borderId="26" xfId="1" applyFont="1" applyBorder="1"/>
    <xf numFmtId="0" fontId="0" fillId="0" borderId="0" xfId="0" applyBorder="1" applyAlignment="1">
      <alignment horizontal="right"/>
    </xf>
    <xf numFmtId="0" fontId="0" fillId="0" borderId="0" xfId="0" applyAlignment="1">
      <alignment horizontal="left" vertical="top" wrapText="1"/>
    </xf>
    <xf numFmtId="0" fontId="0" fillId="0" borderId="0" xfId="0" applyFont="1" applyFill="1" applyBorder="1" applyAlignment="1">
      <alignment horizontal="center"/>
    </xf>
    <xf numFmtId="1" fontId="0" fillId="0" borderId="0" xfId="0" applyNumberFormat="1" applyFill="1" applyBorder="1"/>
    <xf numFmtId="0" fontId="3" fillId="5" borderId="0" xfId="0" applyFont="1" applyFill="1" applyAlignment="1">
      <alignment horizontal="left"/>
    </xf>
    <xf numFmtId="0" fontId="0" fillId="0" borderId="0" xfId="0" applyAlignment="1">
      <alignment horizontal="left" vertical="top" wrapText="1"/>
    </xf>
    <xf numFmtId="0" fontId="3" fillId="0" borderId="0" xfId="0" applyFont="1" applyAlignment="1">
      <alignment horizontal="left" vertical="top" wrapText="1"/>
    </xf>
    <xf numFmtId="0" fontId="0" fillId="0" borderId="0" xfId="0" applyFont="1" applyAlignment="1">
      <alignment horizontal="left" vertical="top" wrapText="1"/>
    </xf>
    <xf numFmtId="0" fontId="0" fillId="0" borderId="0" xfId="0" applyFont="1" applyFill="1" applyAlignment="1">
      <alignment horizontal="left" vertical="top" wrapText="1"/>
    </xf>
    <xf numFmtId="0" fontId="0" fillId="0" borderId="5" xfId="0" applyFont="1" applyFill="1" applyBorder="1" applyAlignment="1">
      <alignment horizontal="center"/>
    </xf>
    <xf numFmtId="0" fontId="0" fillId="0" borderId="0" xfId="0" applyFont="1" applyFill="1" applyBorder="1" applyAlignment="1">
      <alignment horizontal="center"/>
    </xf>
    <xf numFmtId="0" fontId="12" fillId="0" borderId="5" xfId="0" applyFont="1" applyBorder="1" applyAlignment="1">
      <alignment horizontal="center"/>
    </xf>
    <xf numFmtId="0" fontId="12" fillId="0" borderId="0" xfId="0" applyFont="1" applyBorder="1" applyAlignment="1">
      <alignment horizontal="center"/>
    </xf>
    <xf numFmtId="0" fontId="12" fillId="0" borderId="6" xfId="0" applyFont="1" applyBorder="1" applyAlignment="1">
      <alignment horizontal="center"/>
    </xf>
    <xf numFmtId="0" fontId="3" fillId="0" borderId="36" xfId="0" applyFont="1" applyBorder="1" applyAlignment="1">
      <alignment horizontal="center"/>
    </xf>
    <xf numFmtId="164" fontId="11" fillId="0" borderId="29" xfId="0" applyNumberFormat="1" applyFont="1" applyBorder="1" applyAlignment="1">
      <alignment horizontal="right"/>
    </xf>
    <xf numFmtId="164" fontId="11" fillId="0" borderId="28" xfId="0" applyNumberFormat="1" applyFont="1" applyBorder="1" applyAlignment="1">
      <alignment horizontal="right"/>
    </xf>
    <xf numFmtId="0" fontId="3" fillId="12" borderId="10" xfId="0" applyFont="1" applyFill="1" applyBorder="1" applyAlignment="1">
      <alignment horizontal="center"/>
    </xf>
    <xf numFmtId="0" fontId="3" fillId="12" borderId="11" xfId="0" applyFont="1" applyFill="1" applyBorder="1" applyAlignment="1">
      <alignment horizontal="center"/>
    </xf>
    <xf numFmtId="0" fontId="3" fillId="12" borderId="35" xfId="0" applyFont="1" applyFill="1" applyBorder="1" applyAlignment="1">
      <alignment horizontal="center"/>
    </xf>
    <xf numFmtId="0" fontId="3" fillId="12" borderId="5" xfId="0" applyFont="1" applyFill="1" applyBorder="1" applyAlignment="1">
      <alignment horizontal="center"/>
    </xf>
    <xf numFmtId="0" fontId="3" fillId="12" borderId="0" xfId="0" applyFont="1" applyFill="1" applyBorder="1" applyAlignment="1">
      <alignment horizontal="center"/>
    </xf>
    <xf numFmtId="0" fontId="3" fillId="12" borderId="6" xfId="0" applyFont="1" applyFill="1" applyBorder="1" applyAlignment="1">
      <alignment horizontal="center"/>
    </xf>
    <xf numFmtId="0" fontId="19" fillId="18" borderId="58" xfId="0" applyFont="1" applyFill="1" applyBorder="1" applyAlignment="1">
      <alignment horizontal="center"/>
    </xf>
    <xf numFmtId="0" fontId="19" fillId="18" borderId="0" xfId="0"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10" fontId="18" fillId="18" borderId="14" xfId="1" applyNumberFormat="1"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72">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34998626667073579"/>
      </font>
    </dxf>
    <dxf>
      <font>
        <b val="0"/>
        <i/>
        <strike/>
        <color theme="0" tint="-0.34998626667073579"/>
      </font>
    </dxf>
    <dxf>
      <font>
        <b/>
        <i val="0"/>
      </font>
      <fill>
        <patternFill>
          <bgColor rgb="FFFFFF00"/>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strike val="0"/>
        <u val="none"/>
      </font>
      <fill>
        <patternFill>
          <bgColor theme="9" tint="0.79998168889431442"/>
        </patternFill>
      </fill>
    </dxf>
    <dxf>
      <font>
        <b/>
        <i val="0"/>
      </font>
      <fill>
        <patternFill>
          <bgColor rgb="FFCCFFCC"/>
        </patternFill>
      </fill>
    </dxf>
    <dxf>
      <font>
        <b val="0"/>
        <i val="0"/>
        <u/>
      </font>
      <fill>
        <patternFill>
          <bgColor theme="4" tint="0.79998168889431442"/>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s>
  <tableStyles count="0" defaultTableStyle="TableStyleMedium2" defaultPivotStyle="PivotStyleLight16"/>
  <colors>
    <mruColors>
      <color rgb="FFDDBEFF"/>
      <color rgb="FFC99AFF"/>
      <color rgb="FFCCFFFF"/>
      <color rgb="FFFFCC99"/>
      <color rgb="FF66FF66"/>
      <color rgb="FFFFFF99"/>
      <color rgb="FFCCFFCC"/>
      <color rgb="FFFFCCCC"/>
      <color rgb="FFCC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0D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0D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0D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0D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0D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0D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0D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0D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0D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0D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9525</xdr:colOff>
          <xdr:row>8</xdr:row>
          <xdr:rowOff>180975</xdr:rowOff>
        </xdr:from>
        <xdr:to>
          <xdr:col>2</xdr:col>
          <xdr:colOff>19050</xdr:colOff>
          <xdr:row>9</xdr:row>
          <xdr:rowOff>180975</xdr:rowOff>
        </xdr:to>
        <xdr:sp macro="" textlink="">
          <xdr:nvSpPr>
            <xdr:cNvPr id="26656" name="Button 32" hidden="1">
              <a:extLst>
                <a:ext uri="{63B3BB69-23CF-44E3-9099-C40C66FF867C}">
                  <a14:compatExt spid="_x0000_s266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28575</xdr:rowOff>
        </xdr:from>
        <xdr:to>
          <xdr:col>6</xdr:col>
          <xdr:colOff>257175</xdr:colOff>
          <xdr:row>9</xdr:row>
          <xdr:rowOff>0</xdr:rowOff>
        </xdr:to>
        <xdr:sp macro="" textlink="">
          <xdr:nvSpPr>
            <xdr:cNvPr id="26657" name="Button 33" hidden="1">
              <a:extLst>
                <a:ext uri="{63B3BB69-23CF-44E3-9099-C40C66FF867C}">
                  <a14:compatExt spid="_x0000_s266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9</xdr:row>
          <xdr:rowOff>9525</xdr:rowOff>
        </xdr:from>
        <xdr:to>
          <xdr:col>6</xdr:col>
          <xdr:colOff>257175</xdr:colOff>
          <xdr:row>10</xdr:row>
          <xdr:rowOff>0</xdr:rowOff>
        </xdr:to>
        <xdr:sp macro="" textlink="">
          <xdr:nvSpPr>
            <xdr:cNvPr id="26658" name="Button 34" hidden="1">
              <a:extLst>
                <a:ext uri="{63B3BB69-23CF-44E3-9099-C40C66FF867C}">
                  <a14:compatExt spid="_x0000_s266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28575</xdr:colOff>
          <xdr:row>10</xdr:row>
          <xdr:rowOff>0</xdr:rowOff>
        </xdr:to>
        <xdr:sp macro="" textlink="">
          <xdr:nvSpPr>
            <xdr:cNvPr id="2" name="Button 35" hidden="1">
              <a:extLst>
                <a:ext uri="{63B3BB69-23CF-44E3-9099-C40C66FF867C}">
                  <a14:compatExt spid="_x0000_s266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8</xdr:row>
          <xdr:rowOff>0</xdr:rowOff>
        </xdr:from>
        <xdr:to>
          <xdr:col>10</xdr:col>
          <xdr:colOff>238125</xdr:colOff>
          <xdr:row>9</xdr:row>
          <xdr:rowOff>0</xdr:rowOff>
        </xdr:to>
        <xdr:sp macro="" textlink="">
          <xdr:nvSpPr>
            <xdr:cNvPr id="3" name="Button 36" hidden="1">
              <a:extLst>
                <a:ext uri="{63B3BB69-23CF-44E3-9099-C40C66FF867C}">
                  <a14:compatExt spid="_x0000_s266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9</xdr:row>
          <xdr:rowOff>9525</xdr:rowOff>
        </xdr:from>
        <xdr:to>
          <xdr:col>10</xdr:col>
          <xdr:colOff>238125</xdr:colOff>
          <xdr:row>10</xdr:row>
          <xdr:rowOff>0</xdr:rowOff>
        </xdr:to>
        <xdr:sp macro="" textlink="">
          <xdr:nvSpPr>
            <xdr:cNvPr id="4" name="Button 37" hidden="1">
              <a:extLst>
                <a:ext uri="{63B3BB69-23CF-44E3-9099-C40C66FF867C}">
                  <a14:compatExt spid="_x0000_s266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476250</xdr:colOff>
          <xdr:row>8</xdr:row>
          <xdr:rowOff>0</xdr:rowOff>
        </xdr:from>
        <xdr:to>
          <xdr:col>15</xdr:col>
          <xdr:colOff>57150</xdr:colOff>
          <xdr:row>9</xdr:row>
          <xdr:rowOff>0</xdr:rowOff>
        </xdr:to>
        <xdr:sp macro="" textlink="">
          <xdr:nvSpPr>
            <xdr:cNvPr id="5" name="Button 38" hidden="1">
              <a:extLst>
                <a:ext uri="{63B3BB69-23CF-44E3-9099-C40C66FF867C}">
                  <a14:compatExt spid="_x0000_s266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9</xdr:row>
          <xdr:rowOff>0</xdr:rowOff>
        </xdr:from>
        <xdr:to>
          <xdr:col>12</xdr:col>
          <xdr:colOff>523875</xdr:colOff>
          <xdr:row>10</xdr:row>
          <xdr:rowOff>0</xdr:rowOff>
        </xdr:to>
        <xdr:sp macro="" textlink="">
          <xdr:nvSpPr>
            <xdr:cNvPr id="6" name="Button 39" hidden="1">
              <a:extLst>
                <a:ext uri="{63B3BB69-23CF-44E3-9099-C40C66FF867C}">
                  <a14:compatExt spid="_x0000_s266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9</xdr:row>
          <xdr:rowOff>9525</xdr:rowOff>
        </xdr:from>
        <xdr:to>
          <xdr:col>15</xdr:col>
          <xdr:colOff>57150</xdr:colOff>
          <xdr:row>10</xdr:row>
          <xdr:rowOff>0</xdr:rowOff>
        </xdr:to>
        <xdr:sp macro="" textlink="">
          <xdr:nvSpPr>
            <xdr:cNvPr id="7" name="Button 40" hidden="1">
              <a:extLst>
                <a:ext uri="{63B3BB69-23CF-44E3-9099-C40C66FF867C}">
                  <a14:compatExt spid="_x0000_s266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523875</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0F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295275</xdr:colOff>
          <xdr:row>1</xdr:row>
          <xdr:rowOff>76200</xdr:rowOff>
        </xdr:from>
        <xdr:to>
          <xdr:col>18</xdr:col>
          <xdr:colOff>38100</xdr:colOff>
          <xdr:row>1</xdr:row>
          <xdr:rowOff>323850</xdr:rowOff>
        </xdr:to>
        <xdr:sp macro="" textlink="">
          <xdr:nvSpPr>
            <xdr:cNvPr id="31756" name="Button 12" hidden="1">
              <a:extLst>
                <a:ext uri="{63B3BB69-23CF-44E3-9099-C40C66FF867C}">
                  <a14:compatExt spid="_x0000_s317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fantasypros.com/nfl/players/jewel-hampton.php" TargetMode="External"/><Relationship Id="rId2" Type="http://schemas.openxmlformats.org/officeDocument/2006/relationships/hyperlink" Target="http://www.fantasypros.com/nfl/players/david-johnson.php" TargetMode="External"/><Relationship Id="rId1" Type="http://schemas.openxmlformats.org/officeDocument/2006/relationships/hyperlink" Target="http://www.fantasypros.com/nfl/players/danny-ware.php"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zoomScaleNormal="100" workbookViewId="0">
      <selection activeCell="A9" sqref="A9:K11"/>
    </sheetView>
  </sheetViews>
  <sheetFormatPr defaultColWidth="8.85546875" defaultRowHeight="15" x14ac:dyDescent="0.25"/>
  <cols>
    <col min="1" max="1" width="82.85546875" customWidth="1"/>
    <col min="3" max="10" width="9.140625" customWidth="1"/>
    <col min="11" max="11" width="13.42578125" customWidth="1"/>
  </cols>
  <sheetData>
    <row r="1" spans="1:11" x14ac:dyDescent="0.25">
      <c r="A1" s="6" t="s">
        <v>0</v>
      </c>
      <c r="B1" s="1"/>
      <c r="C1" s="1"/>
      <c r="D1" s="1"/>
      <c r="E1" s="1"/>
      <c r="F1" s="1"/>
      <c r="G1" s="1"/>
      <c r="H1" s="1"/>
      <c r="I1" s="1"/>
      <c r="J1" s="1"/>
      <c r="K1" s="1"/>
    </row>
    <row r="2" spans="1:11" s="1" customFormat="1" x14ac:dyDescent="0.25">
      <c r="A2" s="267" t="s">
        <v>1</v>
      </c>
      <c r="B2" s="267"/>
      <c r="C2" s="267"/>
      <c r="D2" s="267"/>
      <c r="E2" s="267"/>
      <c r="F2" s="267"/>
      <c r="G2" s="267"/>
      <c r="H2" s="267"/>
      <c r="I2" s="267"/>
      <c r="J2" s="267"/>
      <c r="K2" s="267"/>
    </row>
    <row r="3" spans="1:11" ht="30.75" customHeight="1" x14ac:dyDescent="0.25">
      <c r="A3" s="269" t="s">
        <v>2</v>
      </c>
      <c r="B3" s="269"/>
      <c r="C3" s="269"/>
      <c r="D3" s="269"/>
      <c r="E3" s="269"/>
      <c r="F3" s="269"/>
      <c r="G3" s="269"/>
      <c r="H3" s="269"/>
      <c r="I3" s="269"/>
      <c r="J3" s="269"/>
      <c r="K3" s="269"/>
    </row>
    <row r="4" spans="1:11" s="1" customFormat="1" x14ac:dyDescent="0.25">
      <c r="A4" s="271" t="s">
        <v>3</v>
      </c>
      <c r="B4" s="271"/>
      <c r="C4" s="271"/>
      <c r="D4" s="271"/>
      <c r="E4" s="271"/>
      <c r="F4" s="271"/>
      <c r="G4" s="271"/>
      <c r="H4" s="271"/>
      <c r="I4" s="271"/>
      <c r="J4" s="271"/>
      <c r="K4" s="271"/>
    </row>
    <row r="5" spans="1:11" ht="15.75" customHeight="1" x14ac:dyDescent="0.25">
      <c r="A5" s="269" t="s">
        <v>4</v>
      </c>
      <c r="B5" s="269"/>
      <c r="C5" s="269"/>
      <c r="D5" s="269"/>
      <c r="E5" s="269"/>
      <c r="F5" s="269"/>
      <c r="G5" s="269"/>
      <c r="H5" s="269"/>
      <c r="I5" s="269"/>
      <c r="J5" s="269"/>
      <c r="K5" s="269"/>
    </row>
    <row r="6" spans="1:11" ht="15" customHeight="1" x14ac:dyDescent="0.25">
      <c r="A6" s="269" t="s">
        <v>5</v>
      </c>
      <c r="B6" s="269"/>
      <c r="C6" s="269"/>
      <c r="D6" s="269"/>
      <c r="E6" s="269"/>
      <c r="F6" s="269"/>
      <c r="G6" s="269"/>
      <c r="H6" s="269"/>
      <c r="I6" s="269"/>
      <c r="J6" s="269"/>
      <c r="K6" s="269"/>
    </row>
    <row r="7" spans="1:11" s="1" customFormat="1" ht="47.25" customHeight="1" x14ac:dyDescent="0.25">
      <c r="A7" s="270" t="s">
        <v>6</v>
      </c>
      <c r="B7" s="270"/>
      <c r="C7" s="270"/>
      <c r="D7" s="270"/>
      <c r="E7" s="270"/>
      <c r="F7" s="270"/>
      <c r="G7" s="270"/>
      <c r="H7" s="270"/>
      <c r="I7" s="270"/>
      <c r="J7" s="270"/>
      <c r="K7" s="270"/>
    </row>
    <row r="8" spans="1:11" s="1" customFormat="1" ht="49.5" customHeight="1" x14ac:dyDescent="0.25">
      <c r="A8" s="269" t="s">
        <v>7</v>
      </c>
      <c r="B8" s="269"/>
      <c r="C8" s="269"/>
      <c r="D8" s="269"/>
      <c r="E8" s="269"/>
      <c r="F8" s="269"/>
      <c r="G8" s="269"/>
      <c r="H8" s="269"/>
      <c r="I8" s="269"/>
      <c r="J8" s="269"/>
      <c r="K8" s="269"/>
    </row>
    <row r="9" spans="1:11" s="8" customFormat="1" ht="15" customHeight="1" x14ac:dyDescent="0.25">
      <c r="A9" s="268" t="s">
        <v>8</v>
      </c>
      <c r="B9" s="268"/>
      <c r="C9" s="268"/>
      <c r="D9" s="268"/>
      <c r="E9" s="268"/>
      <c r="F9" s="268"/>
      <c r="G9" s="268"/>
      <c r="H9" s="268"/>
      <c r="I9" s="268"/>
      <c r="J9" s="268"/>
      <c r="K9" s="268"/>
    </row>
    <row r="10" spans="1:11" s="8" customFormat="1" x14ac:dyDescent="0.25">
      <c r="A10" s="268"/>
      <c r="B10" s="268"/>
      <c r="C10" s="268"/>
      <c r="D10" s="268"/>
      <c r="E10" s="268"/>
      <c r="F10" s="268"/>
      <c r="G10" s="268"/>
      <c r="H10" s="268"/>
      <c r="I10" s="268"/>
      <c r="J10" s="268"/>
      <c r="K10" s="268"/>
    </row>
    <row r="11" spans="1:11" ht="21" customHeight="1" x14ac:dyDescent="0.25">
      <c r="A11" s="268"/>
      <c r="B11" s="268"/>
      <c r="C11" s="268"/>
      <c r="D11" s="268"/>
      <c r="E11" s="268"/>
      <c r="F11" s="268"/>
      <c r="G11" s="268"/>
      <c r="H11" s="268"/>
      <c r="I11" s="268"/>
      <c r="J11" s="268"/>
      <c r="K11" s="268"/>
    </row>
    <row r="12" spans="1:11" ht="15" customHeight="1" x14ac:dyDescent="0.25">
      <c r="A12" s="268" t="s">
        <v>9</v>
      </c>
      <c r="B12" s="268"/>
      <c r="C12" s="268"/>
      <c r="D12" s="268"/>
      <c r="E12" s="268"/>
      <c r="F12" s="268"/>
      <c r="G12" s="268"/>
      <c r="H12" s="268"/>
      <c r="I12" s="268"/>
      <c r="J12" s="268"/>
      <c r="K12" s="268"/>
    </row>
    <row r="13" spans="1:11" s="1" customFormat="1" ht="30.75" customHeight="1" x14ac:dyDescent="0.25">
      <c r="A13" s="268"/>
      <c r="B13" s="268"/>
      <c r="C13" s="268"/>
      <c r="D13" s="268"/>
      <c r="E13" s="268"/>
      <c r="F13" s="268"/>
      <c r="G13" s="268"/>
      <c r="H13" s="268"/>
      <c r="I13" s="268"/>
      <c r="J13" s="268"/>
      <c r="K13" s="268"/>
    </row>
    <row r="14" spans="1:11" s="1" customFormat="1" ht="15" customHeight="1" x14ac:dyDescent="0.25">
      <c r="A14" s="268" t="s">
        <v>10</v>
      </c>
      <c r="B14" s="268"/>
      <c r="C14" s="268"/>
      <c r="D14" s="268"/>
      <c r="E14" s="268"/>
      <c r="F14" s="268"/>
      <c r="G14" s="268"/>
      <c r="H14" s="268"/>
      <c r="I14" s="268"/>
      <c r="J14" s="268"/>
      <c r="K14" s="268"/>
    </row>
    <row r="15" spans="1:11" s="1" customFormat="1" ht="32.25" customHeight="1" x14ac:dyDescent="0.25">
      <c r="A15" s="269" t="s">
        <v>11</v>
      </c>
      <c r="B15" s="269"/>
      <c r="C15" s="269"/>
      <c r="D15" s="269"/>
      <c r="E15" s="269"/>
      <c r="F15" s="269"/>
      <c r="G15" s="269"/>
      <c r="H15" s="269"/>
      <c r="I15" s="269"/>
      <c r="J15" s="269"/>
      <c r="K15" s="269"/>
    </row>
    <row r="16" spans="1:11" s="1" customFormat="1" x14ac:dyDescent="0.25">
      <c r="A16" s="8"/>
      <c r="B16" s="8"/>
      <c r="C16" s="8"/>
      <c r="D16" s="8"/>
      <c r="E16" s="8"/>
      <c r="F16" s="8"/>
      <c r="G16" s="8"/>
      <c r="H16" s="8"/>
      <c r="I16" s="8"/>
      <c r="J16" s="8"/>
      <c r="K16" s="8"/>
    </row>
    <row r="17" spans="1:11" s="1" customFormat="1" x14ac:dyDescent="0.25">
      <c r="A17" s="1" t="s">
        <v>12</v>
      </c>
      <c r="B17" s="264"/>
      <c r="C17" s="264"/>
      <c r="D17" s="264"/>
      <c r="E17" s="264"/>
      <c r="F17" s="264"/>
      <c r="G17" s="264"/>
      <c r="H17" s="264"/>
      <c r="I17" s="264"/>
      <c r="J17" s="264"/>
      <c r="K17" s="264"/>
    </row>
    <row r="18" spans="1:11" x14ac:dyDescent="0.25">
      <c r="A18" s="1" t="s">
        <v>13</v>
      </c>
      <c r="B18" s="1"/>
      <c r="C18" s="1"/>
      <c r="D18" s="1"/>
      <c r="E18" s="1"/>
      <c r="F18" s="1"/>
      <c r="G18" s="1"/>
      <c r="H18" s="1"/>
      <c r="I18" s="1"/>
      <c r="J18" s="1"/>
      <c r="K18" s="1"/>
    </row>
    <row r="19" spans="1:11" x14ac:dyDescent="0.25">
      <c r="A19" s="1" t="s">
        <v>14</v>
      </c>
      <c r="B19" s="1"/>
      <c r="C19" s="1"/>
      <c r="D19" s="1"/>
      <c r="E19" s="1"/>
      <c r="F19" s="1"/>
      <c r="G19" s="1"/>
      <c r="H19" s="1"/>
      <c r="I19" s="1"/>
      <c r="J19" s="1"/>
      <c r="K19" s="1"/>
    </row>
    <row r="20" spans="1:11" x14ac:dyDescent="0.25">
      <c r="A20" s="1" t="s">
        <v>15</v>
      </c>
      <c r="B20" s="1"/>
      <c r="C20" s="1"/>
      <c r="D20" s="1"/>
      <c r="E20" s="1"/>
      <c r="F20" s="1"/>
      <c r="G20" s="1"/>
      <c r="H20" s="1"/>
      <c r="I20" s="1"/>
      <c r="J20" s="1"/>
      <c r="K20" s="1"/>
    </row>
    <row r="21" spans="1:11" x14ac:dyDescent="0.25">
      <c r="A21" s="1" t="s">
        <v>16</v>
      </c>
      <c r="B21" s="1"/>
      <c r="C21" s="1"/>
      <c r="D21" s="1"/>
      <c r="E21" s="1"/>
      <c r="F21" s="1"/>
      <c r="G21" s="1"/>
      <c r="H21" s="1"/>
      <c r="I21" s="1"/>
      <c r="J21" s="1"/>
      <c r="K21" s="1"/>
    </row>
    <row r="22" spans="1:11" x14ac:dyDescent="0.25">
      <c r="A22" s="1" t="s">
        <v>17</v>
      </c>
      <c r="B22" s="1"/>
      <c r="C22" s="1"/>
      <c r="D22" s="1"/>
      <c r="E22" s="1"/>
      <c r="F22" s="1"/>
      <c r="G22" s="1"/>
      <c r="H22" s="1"/>
      <c r="I22" s="1"/>
      <c r="J22" s="1"/>
      <c r="K22" s="1"/>
    </row>
  </sheetData>
  <mergeCells count="11">
    <mergeCell ref="A2:K2"/>
    <mergeCell ref="A14:K14"/>
    <mergeCell ref="A15:K15"/>
    <mergeCell ref="A12:K13"/>
    <mergeCell ref="A3:K3"/>
    <mergeCell ref="A5:K5"/>
    <mergeCell ref="A6:K6"/>
    <mergeCell ref="A9:K11"/>
    <mergeCell ref="A7:K7"/>
    <mergeCell ref="A4:K4"/>
    <mergeCell ref="A8:K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00"/>
  <sheetViews>
    <sheetView workbookViewId="0">
      <selection activeCell="J23" sqref="J23"/>
    </sheetView>
  </sheetViews>
  <sheetFormatPr defaultColWidth="8.85546875" defaultRowHeight="15" x14ac:dyDescent="0.25"/>
  <cols>
    <col min="3" max="3" width="15.42578125" style="1" bestFit="1" customWidth="1"/>
    <col min="4" max="4" width="11.42578125" style="1" customWidth="1"/>
    <col min="5" max="5" width="12.42578125" bestFit="1" customWidth="1"/>
    <col min="6" max="6" width="15" customWidth="1"/>
    <col min="7" max="7" width="23.42578125" bestFit="1" customWidth="1"/>
    <col min="8" max="8" width="12" bestFit="1" customWidth="1"/>
    <col min="9" max="9" width="16.42578125" bestFit="1" customWidth="1"/>
    <col min="10" max="10" width="5" bestFit="1" customWidth="1"/>
    <col min="11" max="11" width="13.140625" bestFit="1" customWidth="1"/>
    <col min="12" max="12" width="1.42578125" customWidth="1"/>
    <col min="13" max="13" width="14.85546875" bestFit="1" customWidth="1"/>
    <col min="14" max="14" width="4" bestFit="1" customWidth="1"/>
    <col min="15" max="15" width="13.140625" bestFit="1" customWidth="1"/>
  </cols>
  <sheetData>
    <row r="1" spans="1:15" x14ac:dyDescent="0.25">
      <c r="A1" s="6" t="s">
        <v>18</v>
      </c>
      <c r="B1" s="6" t="s">
        <v>18</v>
      </c>
      <c r="C1" s="9" t="s">
        <v>19</v>
      </c>
      <c r="D1" s="10"/>
      <c r="E1" s="9" t="s">
        <v>20</v>
      </c>
      <c r="F1" s="10"/>
      <c r="G1" s="9" t="s">
        <v>21</v>
      </c>
      <c r="H1" s="10"/>
      <c r="I1" s="6" t="s">
        <v>22</v>
      </c>
      <c r="J1" s="1"/>
      <c r="K1" s="1"/>
      <c r="L1" s="1"/>
      <c r="M1" s="6" t="s">
        <v>23</v>
      </c>
      <c r="N1" s="1"/>
      <c r="O1" s="1"/>
    </row>
    <row r="2" spans="1:15" x14ac:dyDescent="0.25">
      <c r="A2" s="6" t="s">
        <v>24</v>
      </c>
      <c r="B2" s="6" t="s">
        <v>25</v>
      </c>
      <c r="C2" s="9" t="s">
        <v>24</v>
      </c>
      <c r="D2" s="11" t="s">
        <v>26</v>
      </c>
      <c r="E2" s="17" t="s">
        <v>27</v>
      </c>
      <c r="F2" s="19">
        <v>12</v>
      </c>
      <c r="G2" s="12" t="s">
        <v>28</v>
      </c>
      <c r="H2" s="14">
        <f>(F2*F3)-(D8*F2)-(D9*F2)</f>
        <v>2376</v>
      </c>
      <c r="I2" s="120" t="s">
        <v>29</v>
      </c>
      <c r="J2" s="19">
        <v>4</v>
      </c>
      <c r="K2" s="123" t="s">
        <v>30</v>
      </c>
      <c r="L2" s="1"/>
      <c r="M2" s="120" t="s">
        <v>31</v>
      </c>
      <c r="N2" s="19">
        <v>0</v>
      </c>
      <c r="O2" s="123" t="s">
        <v>30</v>
      </c>
    </row>
    <row r="3" spans="1:15" x14ac:dyDescent="0.25">
      <c r="A3" s="1" t="s">
        <v>32</v>
      </c>
      <c r="B3" s="45">
        <f ca="1">RBStarters+RBBench</f>
        <v>55.714285714285715</v>
      </c>
      <c r="C3" s="12" t="s">
        <v>33</v>
      </c>
      <c r="D3" s="19">
        <v>1</v>
      </c>
      <c r="E3" s="17" t="s">
        <v>34</v>
      </c>
      <c r="F3" s="19">
        <v>200</v>
      </c>
      <c r="G3" s="12" t="s">
        <v>35</v>
      </c>
      <c r="H3" s="14">
        <f ca="1">SUMIF(QB!Y3:Y76,"&gt;0")+SUMIF(RB!Y3:Y174,"&gt;0")+SUMIF(WR!Y3:Y184,"&gt;0")+SUMIF(TE!Y3:Y129,"&gt;0")</f>
        <v>5195.2489999999998</v>
      </c>
      <c r="I3" s="121" t="s">
        <v>36</v>
      </c>
      <c r="J3" s="19">
        <f>1/25</f>
        <v>0.04</v>
      </c>
      <c r="K3" s="124" t="s">
        <v>37</v>
      </c>
      <c r="L3" s="1"/>
      <c r="M3" s="121" t="s">
        <v>38</v>
      </c>
      <c r="N3" s="48">
        <v>6</v>
      </c>
      <c r="O3" s="124" t="s">
        <v>30</v>
      </c>
    </row>
    <row r="4" spans="1:15" x14ac:dyDescent="0.25">
      <c r="A4" s="1" t="s">
        <v>39</v>
      </c>
      <c r="B4" s="45">
        <f ca="1">WRStarters+WRBench</f>
        <v>55.714285714285715</v>
      </c>
      <c r="C4" s="12" t="s">
        <v>32</v>
      </c>
      <c r="D4" s="19">
        <v>2</v>
      </c>
      <c r="E4" s="17" t="s">
        <v>40</v>
      </c>
      <c r="F4" s="117">
        <f>D10+F5</f>
        <v>15</v>
      </c>
      <c r="G4" s="12" t="s">
        <v>41</v>
      </c>
      <c r="H4" s="141">
        <f ca="1">Auction!A2</f>
        <v>1</v>
      </c>
      <c r="I4" s="121" t="s">
        <v>42</v>
      </c>
      <c r="J4" s="19">
        <v>-1</v>
      </c>
      <c r="K4" s="124" t="s">
        <v>30</v>
      </c>
      <c r="L4" s="1"/>
      <c r="M4" s="121" t="s">
        <v>43</v>
      </c>
      <c r="N4" s="19">
        <v>0.1</v>
      </c>
      <c r="O4" s="124" t="s">
        <v>37</v>
      </c>
    </row>
    <row r="5" spans="1:15" x14ac:dyDescent="0.25">
      <c r="A5" s="1" t="s">
        <v>33</v>
      </c>
      <c r="B5" s="45">
        <f ca="1">IF((QBStarter+QBBench)&lt;=32,QBStarter+QBBench,32)</f>
        <v>22.285714285714285</v>
      </c>
      <c r="C5" s="12" t="s">
        <v>39</v>
      </c>
      <c r="D5" s="19">
        <v>2</v>
      </c>
      <c r="E5" s="12" t="s">
        <v>44</v>
      </c>
      <c r="F5" s="19">
        <v>6</v>
      </c>
      <c r="G5" s="23" t="s">
        <v>45</v>
      </c>
      <c r="H5" s="14">
        <f ca="1">H2/H3</f>
        <v>0.45734092822114975</v>
      </c>
      <c r="I5" s="121" t="s">
        <v>31</v>
      </c>
      <c r="J5" s="19">
        <v>0</v>
      </c>
      <c r="K5" s="124" t="s">
        <v>30</v>
      </c>
      <c r="L5" s="1"/>
      <c r="M5" s="121" t="s">
        <v>46</v>
      </c>
      <c r="N5" s="19">
        <v>0</v>
      </c>
      <c r="O5" s="124" t="s">
        <v>30</v>
      </c>
    </row>
    <row r="6" spans="1:15" x14ac:dyDescent="0.25">
      <c r="A6" s="1" t="s">
        <v>47</v>
      </c>
      <c r="B6" s="45">
        <f ca="1">TEStarters+TEBench</f>
        <v>22.285714285714285</v>
      </c>
      <c r="C6" s="12" t="s">
        <v>47</v>
      </c>
      <c r="D6" s="19">
        <v>1</v>
      </c>
      <c r="E6" s="12" t="s">
        <v>48</v>
      </c>
      <c r="F6" s="117">
        <f>F4*F2</f>
        <v>180</v>
      </c>
      <c r="G6" s="23" t="s">
        <v>49</v>
      </c>
      <c r="H6" s="19" t="s">
        <v>50</v>
      </c>
      <c r="I6" s="121" t="s">
        <v>38</v>
      </c>
      <c r="J6" s="19">
        <v>6</v>
      </c>
      <c r="K6" s="124" t="s">
        <v>30</v>
      </c>
      <c r="L6" s="1"/>
      <c r="M6" s="121" t="s">
        <v>51</v>
      </c>
      <c r="N6" s="19">
        <v>6</v>
      </c>
      <c r="O6" s="124" t="s">
        <v>30</v>
      </c>
    </row>
    <row r="7" spans="1:15" x14ac:dyDescent="0.25">
      <c r="A7" s="1" t="s">
        <v>52</v>
      </c>
      <c r="B7" s="45">
        <f>$D$8*$F$2</f>
        <v>12</v>
      </c>
      <c r="C7" s="17" t="str">
        <f>CONCATENATE("Flex " &amp; FlexType)</f>
        <v>Flex WR/RB/TE</v>
      </c>
      <c r="D7" s="20">
        <v>1</v>
      </c>
      <c r="E7" s="12" t="s">
        <v>53</v>
      </c>
      <c r="F7" s="19" t="s">
        <v>54</v>
      </c>
      <c r="G7" s="23" t="s">
        <v>55</v>
      </c>
      <c r="H7" s="241" t="s">
        <v>56</v>
      </c>
      <c r="I7" s="121" t="s">
        <v>43</v>
      </c>
      <c r="J7" s="19">
        <v>0.1</v>
      </c>
      <c r="K7" s="124" t="s">
        <v>37</v>
      </c>
      <c r="L7" s="1"/>
      <c r="M7" s="121" t="s">
        <v>57</v>
      </c>
      <c r="N7" s="116">
        <v>0.1</v>
      </c>
      <c r="O7" s="124" t="s">
        <v>37</v>
      </c>
    </row>
    <row r="8" spans="1:15" x14ac:dyDescent="0.25">
      <c r="A8" s="1" t="s">
        <v>58</v>
      </c>
      <c r="B8" s="45">
        <f>$D$9*$F$2</f>
        <v>12</v>
      </c>
      <c r="C8" s="18" t="s">
        <v>52</v>
      </c>
      <c r="D8" s="19">
        <v>1</v>
      </c>
      <c r="E8" s="12" t="s">
        <v>59</v>
      </c>
      <c r="F8" s="19" t="s">
        <v>60</v>
      </c>
      <c r="G8" s="47"/>
      <c r="H8" s="13"/>
      <c r="I8" s="121" t="s">
        <v>61</v>
      </c>
      <c r="J8" s="19">
        <v>-2</v>
      </c>
      <c r="K8" s="124" t="s">
        <v>30</v>
      </c>
      <c r="L8" s="1"/>
      <c r="M8" s="122" t="s">
        <v>61</v>
      </c>
      <c r="N8" s="19">
        <v>-2</v>
      </c>
      <c r="O8" s="125" t="s">
        <v>30</v>
      </c>
    </row>
    <row r="9" spans="1:15" x14ac:dyDescent="0.25">
      <c r="A9" s="1" t="s">
        <v>62</v>
      </c>
      <c r="B9" s="45">
        <f ca="1">SUM(B3:B8)</f>
        <v>180</v>
      </c>
      <c r="C9" s="18" t="s">
        <v>63</v>
      </c>
      <c r="D9" s="19">
        <v>1</v>
      </c>
      <c r="E9" s="12"/>
      <c r="F9" s="47"/>
      <c r="G9" s="47"/>
      <c r="H9" s="10"/>
      <c r="I9" s="121" t="s">
        <v>64</v>
      </c>
      <c r="J9" s="19">
        <v>0</v>
      </c>
      <c r="K9" s="124" t="s">
        <v>30</v>
      </c>
      <c r="L9" s="1"/>
      <c r="M9" s="1"/>
      <c r="N9" s="1"/>
      <c r="O9" s="77"/>
    </row>
    <row r="10" spans="1:15" x14ac:dyDescent="0.25">
      <c r="A10" s="15"/>
      <c r="B10" s="16"/>
      <c r="C10" s="17" t="s">
        <v>62</v>
      </c>
      <c r="D10" s="14">
        <f>SUM(D3:D9)</f>
        <v>9</v>
      </c>
      <c r="E10" s="47"/>
      <c r="F10" s="47"/>
      <c r="G10" s="47"/>
      <c r="H10" s="1"/>
      <c r="I10" s="122" t="s">
        <v>65</v>
      </c>
      <c r="J10" s="48">
        <v>0</v>
      </c>
      <c r="K10" s="125" t="s">
        <v>30</v>
      </c>
      <c r="L10" s="1"/>
      <c r="M10" s="1"/>
      <c r="N10" s="1"/>
      <c r="O10" s="1"/>
    </row>
    <row r="11" spans="1:15" s="1" customFormat="1" x14ac:dyDescent="0.25">
      <c r="A11" s="6" t="s">
        <v>66</v>
      </c>
      <c r="C11" s="43" t="s">
        <v>67</v>
      </c>
      <c r="D11" s="112">
        <f>H2</f>
        <v>2376</v>
      </c>
      <c r="E11" s="47"/>
      <c r="F11" s="47"/>
      <c r="G11" s="6"/>
      <c r="I11" s="6" t="s">
        <v>68</v>
      </c>
      <c r="K11" s="77"/>
      <c r="M11" s="6" t="s">
        <v>69</v>
      </c>
      <c r="O11" s="77"/>
    </row>
    <row r="12" spans="1:15" x14ac:dyDescent="0.25">
      <c r="A12" s="22" t="s">
        <v>24</v>
      </c>
      <c r="B12" s="24" t="s">
        <v>70</v>
      </c>
      <c r="C12" s="118" t="s">
        <v>71</v>
      </c>
      <c r="D12" s="113">
        <f ca="1">SUMIF(QB!$Q$3:$Q$76,"&gt;0")+SUMIF(RB!$Q$3:$Q$174,"&gt;0")+SUMIF(WR!$Q$3:$Q$231,"&gt;0")+SUMIF(TE!$Q$3:$Q$129,"&gt;0")</f>
        <v>2671.3219999999992</v>
      </c>
      <c r="E12" s="1"/>
      <c r="F12" s="1"/>
      <c r="G12" s="6"/>
      <c r="H12" s="1"/>
      <c r="I12" s="120" t="s">
        <v>31</v>
      </c>
      <c r="J12" s="19">
        <v>0</v>
      </c>
      <c r="K12" s="123" t="s">
        <v>30</v>
      </c>
      <c r="L12" s="1"/>
      <c r="M12" s="120" t="s">
        <v>31</v>
      </c>
      <c r="N12" s="19">
        <v>0</v>
      </c>
      <c r="O12" s="123" t="s">
        <v>30</v>
      </c>
    </row>
    <row r="13" spans="1:15" x14ac:dyDescent="0.25">
      <c r="A13" s="23" t="s">
        <v>32</v>
      </c>
      <c r="B13" s="14">
        <f ca="1">IF(FlexOn,IF(FlexType="WR/RB/TE",MAX(COUNTIFS(FlexWRRBTE!$F:$F,"Starter",FlexWRRBTE!$C:$C,LeagueInfo!$A$13),$D$4*$F$2),IF(FlexType="WR/RB",MAX(COUNTIFS(FlexWRRB!$F:$F,"Starter",FlexWRRB!$C:$C,LeagueInfo!$A$13),$D$4*$F$2),IF(FlexType="QB/WR/RB/TE",MAX(COUNTIFS(FlexQBWRRBTE!$F:$F,"Starter",FlexQBWRRBTE!$C:$C,LeagueInfo!$A$13),$D$4*$F$2)))),$D$4*$F$2)</f>
        <v>30</v>
      </c>
      <c r="C13" s="118" t="s">
        <v>72</v>
      </c>
      <c r="D13" s="113">
        <f ca="1">SUMIF(QB!P$3:P$76,"Bench",QB!R$3:R$76)+SUMIF(RB!P$3:P$174,"Bench",RB!R$3:R$174)+SUMIF(WR!P$3:P$231,"Bench",WR!R$3:R$231)+SUMIF(TE!P$3:P$129,"Bench",TE!R$3:R$129)</f>
        <v>1488.126</v>
      </c>
      <c r="E13" s="1"/>
      <c r="F13" s="1"/>
      <c r="G13" s="1"/>
      <c r="H13" s="1"/>
      <c r="I13" s="121" t="s">
        <v>38</v>
      </c>
      <c r="J13" s="48">
        <v>6</v>
      </c>
      <c r="K13" s="124" t="s">
        <v>30</v>
      </c>
      <c r="L13" s="1"/>
      <c r="M13" s="121" t="s">
        <v>38</v>
      </c>
      <c r="N13" s="48">
        <v>6</v>
      </c>
      <c r="O13" s="124" t="s">
        <v>30</v>
      </c>
    </row>
    <row r="14" spans="1:15" x14ac:dyDescent="0.25">
      <c r="A14" s="23" t="s">
        <v>39</v>
      </c>
      <c r="B14" s="14">
        <f ca="1">IF(FlexOn,IF(FlexType="WR/RB/TE",MAX(COUNTIFS(FlexWRRBTE!$F:$F,"Starter",FlexWRRBTE!$C:$C,LeagueInfo!$A14),$D$5*$F$2),IF(FlexType="WR/RB",MAX(COUNTIFS(FlexWRRB!$F:$F,"Starter",FlexWRRB!$C:$C,LeagueInfo!$A14),$D$5*$F$2),IF(FlexType="QB/WR/RB/TE",MAX(COUNTIFS(FlexQBWRRBTE!$F:$F,"Starter",FlexQBWRRBTE!$C:$C,LeagueInfo!$A14),$D$5*$F$2)))),$D$5*$F$2)</f>
        <v>30</v>
      </c>
      <c r="C14" s="118" t="s">
        <v>73</v>
      </c>
      <c r="D14" s="21">
        <v>0.85</v>
      </c>
      <c r="E14" s="1"/>
      <c r="F14" s="1"/>
      <c r="G14" s="265"/>
      <c r="H14" s="1"/>
      <c r="I14" s="121" t="s">
        <v>43</v>
      </c>
      <c r="J14" s="19">
        <v>0.1</v>
      </c>
      <c r="K14" s="124" t="s">
        <v>37</v>
      </c>
      <c r="L14" s="1"/>
      <c r="M14" s="121" t="s">
        <v>43</v>
      </c>
      <c r="N14" s="19">
        <v>0.1</v>
      </c>
      <c r="O14" s="124" t="s">
        <v>37</v>
      </c>
    </row>
    <row r="15" spans="1:15" x14ac:dyDescent="0.25">
      <c r="A15" s="23" t="s">
        <v>33</v>
      </c>
      <c r="B15" s="14">
        <f ca="1">IF(FlexOn,IF(FlexType="WR/RB/TE",MAX(COUNTIFS(FlexWRRBTE!$F:$F,"Starter",FlexWRRBTE!$C:$C,LeagueInfo!$A15),$D$3*$F$2),IF(FlexType="WR/RB",MAX(COUNTIFS(FlexWRRB!$F:$F,"Starter",FlexWRRB!$C:$C,LeagueInfo!$A15),$D$3*$F$2),IF(FlexType="QB/WR/RB/TE",MAX(COUNTIFS(FlexQBWRRBTE!$F:$F,"Starter",FlexQBWRRBTE!$C:$C,LeagueInfo!$A15),$D$3*$F$2)))),$D$3*$F$2)</f>
        <v>12</v>
      </c>
      <c r="C15" s="118" t="s">
        <v>74</v>
      </c>
      <c r="D15" s="114">
        <f>100%-D14</f>
        <v>0.15000000000000002</v>
      </c>
      <c r="E15" s="272" t="str">
        <f ca="1">IF(D19&gt;=F5*F2,IF(BenchPF&gt;StarterPF,"WARNING - TOO MUCH BENCH BUDGET","OK"),"INVALID VALUE - NOT ENOUGH BENCH MONEY")</f>
        <v>OK</v>
      </c>
      <c r="F15" s="273"/>
      <c r="G15" s="273"/>
      <c r="H15" s="1"/>
      <c r="I15" s="121" t="s">
        <v>46</v>
      </c>
      <c r="J15" s="19">
        <v>0</v>
      </c>
      <c r="K15" s="124" t="s">
        <v>30</v>
      </c>
      <c r="L15" s="1"/>
      <c r="M15" s="121" t="s">
        <v>46</v>
      </c>
      <c r="N15" s="19">
        <v>0</v>
      </c>
      <c r="O15" s="124" t="s">
        <v>30</v>
      </c>
    </row>
    <row r="16" spans="1:15" x14ac:dyDescent="0.25">
      <c r="A16" s="23" t="s">
        <v>47</v>
      </c>
      <c r="B16" s="14">
        <f ca="1">IF(FlexOn,IF(FlexType="WR/RB/TE",MAX(COUNTIFS(FlexWRRBTE!$F:$F,"Starter",FlexWRRBTE!$C:$C,LeagueInfo!$A16),$D$6*$F$2),IF(FlexType="WR/RB",MAX(COUNTIFS(FlexWRRB!$F:$F,"Starter",FlexWRRB!$C:$C,LeagueInfo!$A16),$D$6*$F$2),IF(FlexType="QB/WR/RB/TE",MAX(COUNTIFS(FlexQBWRRBTE!$F:$F,"Starter",FlexQBWRRBTE!$C:$C,LeagueInfo!$A16),$D$6*$F$2)))),$D$6*$F$2)</f>
        <v>12</v>
      </c>
      <c r="C16" s="118" t="s">
        <v>75</v>
      </c>
      <c r="D16" s="113">
        <f ca="1">D18/D12</f>
        <v>0.43688477837046058</v>
      </c>
      <c r="E16" s="1"/>
      <c r="F16" s="1"/>
      <c r="G16" s="1"/>
      <c r="H16" s="1"/>
      <c r="I16" s="121" t="s">
        <v>51</v>
      </c>
      <c r="J16" s="19">
        <v>6</v>
      </c>
      <c r="K16" s="124" t="s">
        <v>30</v>
      </c>
      <c r="L16" s="1"/>
      <c r="M16" s="121" t="s">
        <v>51</v>
      </c>
      <c r="N16" s="19">
        <v>6</v>
      </c>
      <c r="O16" s="124" t="s">
        <v>30</v>
      </c>
    </row>
    <row r="17" spans="1:15" x14ac:dyDescent="0.25">
      <c r="A17" s="22" t="s">
        <v>62</v>
      </c>
      <c r="B17" s="46">
        <f ca="1">SUM(B13:B16)</f>
        <v>84</v>
      </c>
      <c r="C17" s="118" t="s">
        <v>76</v>
      </c>
      <c r="D17" s="113">
        <f ca="1">D19/D13</f>
        <v>0.23949584914180658</v>
      </c>
      <c r="E17" s="1"/>
      <c r="F17" s="1"/>
      <c r="G17" s="1"/>
      <c r="H17" s="1"/>
      <c r="I17" s="121" t="s">
        <v>57</v>
      </c>
      <c r="J17" s="116">
        <v>0.1</v>
      </c>
      <c r="K17" s="124" t="s">
        <v>37</v>
      </c>
      <c r="L17" s="1"/>
      <c r="M17" s="121" t="s">
        <v>57</v>
      </c>
      <c r="N17" s="116">
        <v>0.1</v>
      </c>
      <c r="O17" s="124" t="s">
        <v>37</v>
      </c>
    </row>
    <row r="18" spans="1:15" x14ac:dyDescent="0.25">
      <c r="A18" s="109" t="s">
        <v>77</v>
      </c>
      <c r="B18" s="101"/>
      <c r="C18" s="118" t="s">
        <v>78</v>
      </c>
      <c r="D18" s="113">
        <f ca="1">D11*D14-((QB!R3-QB!Q3)*QBStarter+(RB!R3-RB!Q3)*RBStarters+(WR!R3-WR!Q3)*WRStarters+(TE!R3-TE!Q3)*TEStarters)*BenchPF</f>
        <v>1167.0599199261351</v>
      </c>
      <c r="E18" s="1"/>
      <c r="F18" s="1"/>
      <c r="G18" s="1"/>
      <c r="H18" s="1"/>
      <c r="I18" s="122" t="s">
        <v>61</v>
      </c>
      <c r="J18" s="19">
        <v>-2</v>
      </c>
      <c r="K18" s="125" t="s">
        <v>30</v>
      </c>
      <c r="L18" s="1"/>
      <c r="M18" s="122" t="s">
        <v>61</v>
      </c>
      <c r="N18" s="19">
        <v>-2</v>
      </c>
      <c r="O18" s="125" t="s">
        <v>30</v>
      </c>
    </row>
    <row r="19" spans="1:15" x14ac:dyDescent="0.25">
      <c r="A19" s="22" t="s">
        <v>24</v>
      </c>
      <c r="B19" s="24" t="s">
        <v>70</v>
      </c>
      <c r="C19" s="119" t="s">
        <v>79</v>
      </c>
      <c r="D19" s="115">
        <f>D11*D15</f>
        <v>356.40000000000003</v>
      </c>
      <c r="E19" s="1"/>
      <c r="F19" s="1"/>
      <c r="G19" s="89"/>
      <c r="H19" s="126"/>
      <c r="I19" s="1"/>
      <c r="J19" s="1"/>
      <c r="K19" s="1"/>
      <c r="L19" s="126"/>
      <c r="M19" s="126"/>
      <c r="N19" s="1"/>
      <c r="O19" s="77"/>
    </row>
    <row r="20" spans="1:15" x14ac:dyDescent="0.25">
      <c r="A20" s="23" t="s">
        <v>32</v>
      </c>
      <c r="B20" s="45">
        <f ca="1">(B13/$B$17)*($F$5*$F$2)</f>
        <v>25.714285714285715</v>
      </c>
      <c r="E20" s="1"/>
      <c r="F20" s="1"/>
      <c r="G20" s="89"/>
      <c r="H20" s="126"/>
      <c r="I20" s="126"/>
      <c r="J20" s="126"/>
      <c r="K20" s="1"/>
      <c r="L20" s="126"/>
      <c r="M20" s="126"/>
      <c r="N20" s="1"/>
      <c r="O20" s="77"/>
    </row>
    <row r="21" spans="1:15" x14ac:dyDescent="0.25">
      <c r="A21" s="23" t="s">
        <v>39</v>
      </c>
      <c r="B21" s="45">
        <f ca="1">(B14/$B$17)*($F$5*$F$2)</f>
        <v>25.714285714285715</v>
      </c>
      <c r="E21" s="1"/>
      <c r="F21" s="1"/>
      <c r="G21" s="89"/>
      <c r="H21" s="126"/>
      <c r="I21" s="1"/>
      <c r="J21" s="1"/>
      <c r="K21" s="1"/>
      <c r="L21" s="126"/>
      <c r="M21" s="126"/>
      <c r="N21" s="1"/>
      <c r="O21" s="77"/>
    </row>
    <row r="22" spans="1:15" x14ac:dyDescent="0.25">
      <c r="A22" s="23" t="s">
        <v>33</v>
      </c>
      <c r="B22" s="45">
        <f ca="1">(B15/$B$17)*($F$5*$F$2)</f>
        <v>10.285714285714285</v>
      </c>
      <c r="E22" s="1"/>
      <c r="F22" s="1"/>
      <c r="G22" s="89"/>
      <c r="H22" s="126"/>
      <c r="I22" s="1"/>
      <c r="J22" s="1"/>
      <c r="K22" s="1"/>
      <c r="L22" s="1"/>
      <c r="M22" s="1"/>
      <c r="N22" s="1"/>
      <c r="O22" s="1"/>
    </row>
    <row r="23" spans="1:15" x14ac:dyDescent="0.25">
      <c r="A23" s="23" t="s">
        <v>47</v>
      </c>
      <c r="B23" s="45">
        <f ca="1">(B16/$B$17)*($F$5*$F$2)</f>
        <v>10.285714285714285</v>
      </c>
      <c r="E23" s="1"/>
      <c r="F23" s="1"/>
      <c r="G23" s="89"/>
      <c r="H23" s="126"/>
      <c r="I23" s="1"/>
      <c r="J23" s="1"/>
      <c r="K23" s="1"/>
      <c r="L23" s="1"/>
      <c r="M23" s="1"/>
      <c r="N23" s="1"/>
      <c r="O23" s="1"/>
    </row>
    <row r="24" spans="1:15" x14ac:dyDescent="0.25">
      <c r="A24" s="110" t="s">
        <v>62</v>
      </c>
      <c r="B24" s="111">
        <f ca="1">SUM(B20:B23)</f>
        <v>72</v>
      </c>
      <c r="E24" s="1"/>
      <c r="F24" s="1"/>
      <c r="G24" s="126"/>
      <c r="H24" s="126"/>
      <c r="I24" s="1"/>
      <c r="J24" s="1"/>
      <c r="K24" s="1"/>
      <c r="L24" s="1"/>
      <c r="M24" s="1"/>
      <c r="N24" s="1"/>
      <c r="O24" s="1"/>
    </row>
    <row r="25" spans="1:15" x14ac:dyDescent="0.25">
      <c r="A25" s="1"/>
      <c r="B25" s="1"/>
      <c r="E25" s="126"/>
      <c r="F25" s="89"/>
      <c r="G25" s="126"/>
      <c r="H25" s="126"/>
      <c r="I25" s="1"/>
      <c r="J25" s="1"/>
      <c r="K25" s="1"/>
      <c r="L25" s="1"/>
      <c r="M25" s="1"/>
      <c r="N25" s="1"/>
      <c r="O25" s="1"/>
    </row>
    <row r="26" spans="1:15" x14ac:dyDescent="0.25">
      <c r="A26" s="1"/>
      <c r="B26" s="1"/>
      <c r="E26" s="266"/>
      <c r="F26" s="89"/>
      <c r="G26" s="126"/>
      <c r="H26" s="89"/>
      <c r="I26" s="1"/>
      <c r="J26" s="1"/>
      <c r="K26" s="1"/>
      <c r="L26" s="1"/>
      <c r="M26" s="1"/>
      <c r="N26" s="1"/>
      <c r="O26" s="1"/>
    </row>
    <row r="27" spans="1:15" x14ac:dyDescent="0.25">
      <c r="A27" s="1"/>
      <c r="B27" s="1"/>
      <c r="C27" s="52"/>
      <c r="D27" s="53"/>
      <c r="E27" s="1"/>
      <c r="F27" s="1"/>
      <c r="G27" s="126"/>
      <c r="H27" s="77"/>
      <c r="I27" s="1"/>
      <c r="J27" s="1"/>
      <c r="K27" s="1"/>
      <c r="L27" s="1"/>
      <c r="M27" s="1"/>
      <c r="N27" s="1"/>
      <c r="O27" s="1"/>
    </row>
    <row r="28" spans="1:15" x14ac:dyDescent="0.25">
      <c r="A28" s="1"/>
      <c r="B28" s="1"/>
      <c r="C28" s="240"/>
      <c r="D28" s="240"/>
      <c r="E28" s="1"/>
      <c r="F28" s="1"/>
      <c r="G28" s="126"/>
      <c r="H28" s="1"/>
      <c r="I28" s="1"/>
      <c r="J28" s="1"/>
      <c r="K28" s="1"/>
      <c r="L28" s="1"/>
      <c r="M28" s="1"/>
      <c r="N28" s="1"/>
      <c r="O28" s="1"/>
    </row>
    <row r="29" spans="1:15" x14ac:dyDescent="0.25">
      <c r="A29" s="1"/>
      <c r="B29" s="1"/>
      <c r="E29" s="1"/>
      <c r="F29" s="1"/>
      <c r="G29" s="126"/>
      <c r="H29" s="1"/>
      <c r="I29" s="1"/>
      <c r="J29" s="1"/>
      <c r="K29" s="1"/>
      <c r="L29" s="1"/>
      <c r="M29" s="1"/>
      <c r="N29" s="1"/>
      <c r="O29" s="1"/>
    </row>
    <row r="30" spans="1:15" x14ac:dyDescent="0.25">
      <c r="A30" s="1"/>
      <c r="B30" s="1"/>
      <c r="E30" s="1"/>
      <c r="F30" s="1"/>
      <c r="G30" s="126"/>
      <c r="H30" s="1"/>
      <c r="I30" s="1"/>
      <c r="J30" s="1"/>
      <c r="K30" s="1"/>
      <c r="L30" s="1"/>
      <c r="M30" s="1"/>
      <c r="N30" s="1"/>
      <c r="O30" s="1"/>
    </row>
    <row r="32" spans="1:15" x14ac:dyDescent="0.25">
      <c r="A32" s="1"/>
      <c r="B32" s="1"/>
      <c r="E32" s="1"/>
      <c r="F32" s="1"/>
      <c r="G32" s="1"/>
      <c r="H32" s="1"/>
      <c r="I32" s="1"/>
      <c r="J32" s="1"/>
      <c r="K32" s="1"/>
      <c r="L32" s="1"/>
      <c r="M32" s="1"/>
      <c r="N32" s="1"/>
      <c r="O32" s="1"/>
    </row>
    <row r="33" spans="1:15" s="1" customFormat="1" x14ac:dyDescent="0.25"/>
    <row r="35" spans="1:15" x14ac:dyDescent="0.25">
      <c r="A35" s="1"/>
      <c r="B35" s="1"/>
      <c r="E35" s="1"/>
      <c r="F35" s="1"/>
      <c r="G35" s="1"/>
      <c r="H35" s="1"/>
      <c r="I35" s="1"/>
      <c r="J35" s="1"/>
      <c r="K35" s="1"/>
      <c r="L35" s="1"/>
      <c r="M35" s="1"/>
      <c r="N35" s="1"/>
      <c r="O35" s="1"/>
    </row>
    <row r="89" spans="9:11" x14ac:dyDescent="0.25">
      <c r="I89" s="1" t="s">
        <v>80</v>
      </c>
      <c r="J89" s="1"/>
      <c r="K89" s="1"/>
    </row>
    <row r="90" spans="9:11" x14ac:dyDescent="0.25">
      <c r="I90" s="1" t="s">
        <v>50</v>
      </c>
      <c r="J90" s="1"/>
      <c r="K90" s="1"/>
    </row>
    <row r="96" spans="9:11" x14ac:dyDescent="0.25">
      <c r="I96" s="1"/>
      <c r="J96" s="1"/>
      <c r="K96" s="6"/>
    </row>
    <row r="97" spans="7:11" x14ac:dyDescent="0.25">
      <c r="G97" s="1" t="s">
        <v>54</v>
      </c>
      <c r="H97" s="191" t="s">
        <v>81</v>
      </c>
      <c r="I97" s="1"/>
      <c r="J97" s="1"/>
      <c r="K97" s="1" t="s">
        <v>82</v>
      </c>
    </row>
    <row r="98" spans="7:11" x14ac:dyDescent="0.25">
      <c r="G98" s="1" t="s">
        <v>83</v>
      </c>
      <c r="H98" s="192" t="s">
        <v>84</v>
      </c>
      <c r="I98" s="1" t="s">
        <v>56</v>
      </c>
      <c r="J98" s="1"/>
      <c r="K98" s="1" t="s">
        <v>85</v>
      </c>
    </row>
    <row r="99" spans="7:11" x14ac:dyDescent="0.25">
      <c r="G99" s="1" t="s">
        <v>92</v>
      </c>
      <c r="H99" s="193" t="s">
        <v>86</v>
      </c>
      <c r="I99" s="1" t="s">
        <v>87</v>
      </c>
      <c r="J99" s="1"/>
      <c r="K99" s="1" t="s">
        <v>60</v>
      </c>
    </row>
    <row r="100" spans="7:11" x14ac:dyDescent="0.25">
      <c r="G100" s="1"/>
      <c r="H100" s="257" t="s">
        <v>88</v>
      </c>
      <c r="I100" s="1"/>
      <c r="J100" s="1"/>
      <c r="K100" s="1"/>
    </row>
  </sheetData>
  <mergeCells count="1">
    <mergeCell ref="E15:G15"/>
  </mergeCells>
  <conditionalFormatting sqref="E15 G14">
    <cfRule type="containsText" dxfId="71" priority="2" operator="containsText" text="INVALID">
      <formula>NOT(ISERROR(SEARCH("INVALID",E14)))</formula>
    </cfRule>
    <cfRule type="containsText" dxfId="70" priority="3" operator="containsText" text="WARNING">
      <formula>NOT(ISERROR(SEARCH("WARNING",E14)))</formula>
    </cfRule>
    <cfRule type="containsText" dxfId="69" priority="4" operator="containsText" text="OK">
      <formula>NOT(ISERROR(SEARCH("OK",E14)))</formula>
    </cfRule>
  </conditionalFormatting>
  <conditionalFormatting sqref="C11:D19">
    <cfRule type="expression" dxfId="68" priority="1">
      <formula>IF($H$7="Average VBD",TRUE)</formula>
    </cfRule>
  </conditionalFormatting>
  <dataValidations count="4">
    <dataValidation type="list" allowBlank="1" showInputMessage="1" showErrorMessage="1" sqref="F7">
      <formula1>$G$97:$G$99</formula1>
    </dataValidation>
    <dataValidation type="list" allowBlank="1" showInputMessage="1" showErrorMessage="1" sqref="H6">
      <formula1>$I$89:$I$90</formula1>
    </dataValidation>
    <dataValidation type="list" allowBlank="1" showInputMessage="1" showErrorMessage="1" sqref="H7">
      <formula1>$I$98:$I$99</formula1>
    </dataValidation>
    <dataValidation type="list" allowBlank="1" showInputMessage="1" showErrorMessage="1" sqref="F8">
      <formula1>$K$97:$K$99</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359"/>
  <sheetViews>
    <sheetView zoomScaleNormal="100" workbookViewId="0">
      <selection activeCell="A334" sqref="A334"/>
    </sheetView>
  </sheetViews>
  <sheetFormatPr defaultColWidth="8.85546875" defaultRowHeight="15" x14ac:dyDescent="0.25"/>
  <cols>
    <col min="1" max="1" width="20.42578125" bestFit="1" customWidth="1"/>
    <col min="2" max="2" width="12.85546875" customWidth="1"/>
    <col min="3" max="3" width="10.42578125" bestFit="1" customWidth="1"/>
    <col min="4" max="4" width="12.85546875" bestFit="1" customWidth="1"/>
    <col min="6" max="6" width="48" customWidth="1"/>
    <col min="7" max="7" width="22.42578125" bestFit="1" customWidth="1"/>
    <col min="8" max="10" width="20.42578125" bestFit="1" customWidth="1"/>
    <col min="11" max="11" width="11" bestFit="1" customWidth="1"/>
    <col min="23" max="23" width="0.42578125" customWidth="1"/>
    <col min="24" max="24" width="1.42578125" hidden="1" customWidth="1"/>
  </cols>
  <sheetData>
    <row r="1" spans="1:24" s="1" customFormat="1" x14ac:dyDescent="0.25">
      <c r="A1" s="6" t="s">
        <v>89</v>
      </c>
      <c r="B1" s="6" t="s">
        <v>90</v>
      </c>
      <c r="C1" s="6" t="s">
        <v>91</v>
      </c>
      <c r="D1" s="6" t="s">
        <v>92</v>
      </c>
      <c r="F1" s="162" t="s">
        <v>93</v>
      </c>
      <c r="G1" s="162"/>
      <c r="H1" s="162"/>
      <c r="I1" s="162"/>
      <c r="J1" s="162"/>
      <c r="K1" s="162"/>
      <c r="L1" s="162"/>
      <c r="M1" s="162"/>
      <c r="N1" s="162"/>
      <c r="O1" s="162"/>
      <c r="P1" s="162"/>
      <c r="Q1" s="162"/>
      <c r="R1" s="162"/>
      <c r="S1" s="162"/>
      <c r="T1" s="162"/>
      <c r="U1" s="162"/>
      <c r="V1" s="162"/>
      <c r="W1" s="162"/>
      <c r="X1" s="162"/>
    </row>
    <row r="2" spans="1:24" x14ac:dyDescent="0.25">
      <c r="A2" s="1" t="s">
        <v>94</v>
      </c>
      <c r="B2" s="90">
        <v>68</v>
      </c>
      <c r="C2" s="90">
        <v>63</v>
      </c>
      <c r="D2" s="220">
        <v>96</v>
      </c>
      <c r="E2" s="1"/>
      <c r="F2" s="243" t="s">
        <v>95</v>
      </c>
      <c r="G2" s="243"/>
      <c r="H2" s="243"/>
      <c r="I2" s="243"/>
      <c r="J2" s="243"/>
      <c r="K2" s="243"/>
      <c r="L2" s="243"/>
      <c r="M2" s="243"/>
      <c r="N2" s="243"/>
      <c r="O2" s="243"/>
      <c r="P2" s="243"/>
      <c r="Q2" s="243"/>
      <c r="R2" s="243"/>
      <c r="S2" s="243"/>
      <c r="T2" s="243"/>
      <c r="U2" s="243"/>
      <c r="V2" s="243"/>
      <c r="W2" s="243"/>
      <c r="X2" s="243"/>
    </row>
    <row r="3" spans="1:24" x14ac:dyDescent="0.25">
      <c r="A3" s="1" t="s">
        <v>98</v>
      </c>
      <c r="B3" s="90">
        <v>55</v>
      </c>
      <c r="C3" s="90">
        <v>43</v>
      </c>
      <c r="D3" s="220">
        <v>89</v>
      </c>
      <c r="E3" s="1"/>
      <c r="F3" s="1" t="s">
        <v>97</v>
      </c>
      <c r="G3" s="1"/>
      <c r="H3" s="1"/>
      <c r="I3" s="1"/>
      <c r="J3" s="1"/>
      <c r="K3" s="1"/>
      <c r="L3" s="1"/>
      <c r="M3" s="1"/>
      <c r="N3" s="1"/>
      <c r="O3" s="1"/>
      <c r="P3" s="1"/>
      <c r="Q3" s="1"/>
      <c r="R3" s="1"/>
      <c r="S3" s="1"/>
      <c r="T3" s="1"/>
      <c r="U3" s="1"/>
      <c r="V3" s="1"/>
      <c r="W3" s="1"/>
      <c r="X3" s="1"/>
    </row>
    <row r="4" spans="1:24" x14ac:dyDescent="0.25">
      <c r="A4" s="1" t="s">
        <v>96</v>
      </c>
      <c r="B4" s="90">
        <v>65</v>
      </c>
      <c r="C4" s="90">
        <v>61</v>
      </c>
      <c r="D4" s="220">
        <v>88</v>
      </c>
      <c r="E4" s="1"/>
      <c r="F4" s="1" t="s">
        <v>99</v>
      </c>
      <c r="G4" s="1"/>
      <c r="H4" s="1"/>
      <c r="I4" s="1"/>
      <c r="J4" s="1"/>
      <c r="K4" s="1"/>
      <c r="L4" s="1"/>
      <c r="M4" s="1"/>
      <c r="N4" s="1"/>
      <c r="O4" s="1"/>
      <c r="P4" s="1"/>
      <c r="Q4" s="1"/>
      <c r="R4" s="1"/>
      <c r="S4" s="1"/>
      <c r="T4" s="1"/>
      <c r="U4" s="1"/>
      <c r="V4" s="1"/>
      <c r="W4" s="1"/>
      <c r="X4" s="1"/>
    </row>
    <row r="5" spans="1:24" x14ac:dyDescent="0.25">
      <c r="A5" s="1" t="s">
        <v>100</v>
      </c>
      <c r="B5" s="90">
        <v>61</v>
      </c>
      <c r="C5" s="90">
        <v>59</v>
      </c>
      <c r="D5" s="220">
        <v>55</v>
      </c>
      <c r="E5" s="1"/>
      <c r="F5" s="1" t="s">
        <v>921</v>
      </c>
      <c r="G5" s="1"/>
      <c r="H5" s="1"/>
      <c r="I5" s="90"/>
      <c r="J5" s="242"/>
      <c r="K5" s="1"/>
      <c r="L5" s="1"/>
      <c r="M5" s="1"/>
      <c r="N5" s="1"/>
      <c r="O5" s="1"/>
      <c r="P5" s="1"/>
      <c r="Q5" s="1"/>
      <c r="R5" s="1"/>
      <c r="S5" s="1"/>
      <c r="T5" s="1"/>
      <c r="U5" s="1"/>
      <c r="V5" s="1"/>
      <c r="W5" s="1"/>
      <c r="X5" s="1"/>
    </row>
    <row r="6" spans="1:24" x14ac:dyDescent="0.25">
      <c r="A6" s="1" t="s">
        <v>104</v>
      </c>
      <c r="B6" s="90">
        <v>57</v>
      </c>
      <c r="C6" s="90">
        <v>49</v>
      </c>
      <c r="D6" s="220">
        <v>55</v>
      </c>
      <c r="E6" s="1"/>
      <c r="F6" s="1"/>
      <c r="G6" s="1"/>
      <c r="H6" s="1"/>
      <c r="I6" s="1"/>
      <c r="J6" s="1"/>
      <c r="K6" s="1"/>
      <c r="L6" s="1"/>
      <c r="M6" s="1"/>
      <c r="N6" s="1"/>
      <c r="O6" s="1"/>
      <c r="P6" s="1"/>
      <c r="Q6" s="1"/>
      <c r="R6" s="1"/>
      <c r="S6" s="1"/>
      <c r="T6" s="1"/>
      <c r="U6" s="1"/>
      <c r="V6" s="1"/>
      <c r="W6" s="1"/>
      <c r="X6" s="1"/>
    </row>
    <row r="7" spans="1:24" x14ac:dyDescent="0.25">
      <c r="A7" s="1" t="s">
        <v>110</v>
      </c>
      <c r="B7" s="90">
        <v>49</v>
      </c>
      <c r="C7" s="90">
        <v>45</v>
      </c>
      <c r="D7" s="220">
        <v>52</v>
      </c>
      <c r="E7" s="1"/>
      <c r="F7" s="1"/>
      <c r="G7" s="1"/>
      <c r="H7" s="90"/>
      <c r="I7" s="90"/>
      <c r="J7" s="1"/>
      <c r="K7" s="1"/>
      <c r="L7" s="1"/>
      <c r="M7" s="1"/>
      <c r="N7" s="1"/>
      <c r="O7" s="1"/>
      <c r="P7" s="1"/>
      <c r="Q7" s="1"/>
      <c r="R7" s="1"/>
      <c r="S7" s="1"/>
      <c r="T7" s="1"/>
      <c r="U7" s="1"/>
      <c r="V7" s="1"/>
      <c r="W7" s="1"/>
      <c r="X7" s="1"/>
    </row>
    <row r="8" spans="1:24" x14ac:dyDescent="0.25">
      <c r="A8" s="1" t="s">
        <v>102</v>
      </c>
      <c r="B8" s="90">
        <v>60</v>
      </c>
      <c r="C8" s="90">
        <v>56</v>
      </c>
      <c r="D8" s="220">
        <v>51</v>
      </c>
      <c r="E8" s="1"/>
      <c r="F8" s="1"/>
      <c r="G8" s="1"/>
      <c r="H8" s="90"/>
      <c r="I8" s="242"/>
      <c r="J8" s="1"/>
      <c r="K8" s="1"/>
      <c r="L8" s="1"/>
      <c r="M8" s="1"/>
      <c r="N8" s="1"/>
      <c r="O8" s="1"/>
      <c r="P8" s="1"/>
      <c r="Q8" s="1"/>
      <c r="R8" s="1"/>
      <c r="S8" s="1"/>
      <c r="T8" s="1"/>
      <c r="U8" s="1"/>
      <c r="V8" s="1"/>
      <c r="W8" s="1"/>
      <c r="X8" s="1"/>
    </row>
    <row r="9" spans="1:24" x14ac:dyDescent="0.25">
      <c r="A9" s="1" t="s">
        <v>103</v>
      </c>
      <c r="B9" s="90">
        <v>58</v>
      </c>
      <c r="C9" s="90">
        <v>50</v>
      </c>
      <c r="D9" s="220">
        <v>46</v>
      </c>
      <c r="E9" s="1"/>
      <c r="F9" s="1"/>
      <c r="G9" s="1"/>
      <c r="H9" s="90"/>
      <c r="I9" s="1"/>
      <c r="J9" s="1"/>
      <c r="K9" s="1"/>
      <c r="L9" s="1"/>
      <c r="M9" s="1"/>
      <c r="N9" s="1"/>
      <c r="O9" s="1"/>
      <c r="P9" s="1"/>
      <c r="Q9" s="1"/>
      <c r="R9" s="1"/>
      <c r="S9" s="1"/>
      <c r="T9" s="1"/>
      <c r="U9" s="1"/>
      <c r="V9" s="1"/>
      <c r="W9" s="1"/>
      <c r="X9" s="1"/>
    </row>
    <row r="10" spans="1:24" x14ac:dyDescent="0.25">
      <c r="A10" s="1" t="s">
        <v>113</v>
      </c>
      <c r="B10" s="90">
        <v>41</v>
      </c>
      <c r="C10" s="90">
        <v>39</v>
      </c>
      <c r="D10" s="220">
        <v>44</v>
      </c>
      <c r="E10" s="1"/>
      <c r="F10" s="1"/>
      <c r="G10" s="1"/>
      <c r="H10" s="90"/>
      <c r="I10" s="1"/>
      <c r="J10" s="1"/>
      <c r="K10" s="1"/>
      <c r="L10" s="1"/>
      <c r="M10" s="1"/>
      <c r="N10" s="1"/>
      <c r="O10" s="1"/>
      <c r="P10" s="1"/>
      <c r="Q10" s="1"/>
      <c r="R10" s="1"/>
      <c r="S10" s="1"/>
      <c r="T10" s="1"/>
      <c r="U10" s="1"/>
      <c r="V10" s="1"/>
      <c r="W10" s="1"/>
      <c r="X10" s="1"/>
    </row>
    <row r="11" spans="1:24" x14ac:dyDescent="0.25">
      <c r="A11" s="1" t="s">
        <v>106</v>
      </c>
      <c r="B11" s="90">
        <v>51</v>
      </c>
      <c r="C11" s="90">
        <v>40</v>
      </c>
      <c r="D11" s="220">
        <v>44</v>
      </c>
      <c r="E11" s="1"/>
      <c r="F11" s="1"/>
      <c r="G11" s="1"/>
      <c r="H11" s="90"/>
      <c r="I11" s="242"/>
      <c r="J11" s="1"/>
      <c r="K11" s="1"/>
      <c r="L11" s="1"/>
      <c r="M11" s="1"/>
      <c r="N11" s="1"/>
      <c r="O11" s="1"/>
      <c r="P11" s="1"/>
      <c r="Q11" s="1"/>
      <c r="R11" s="1"/>
      <c r="S11" s="1"/>
      <c r="T11" s="1"/>
      <c r="U11" s="1"/>
      <c r="V11" s="1"/>
      <c r="W11" s="1"/>
      <c r="X11" s="1"/>
    </row>
    <row r="12" spans="1:24" x14ac:dyDescent="0.25">
      <c r="A12" s="1" t="s">
        <v>105</v>
      </c>
      <c r="B12" s="90">
        <v>54</v>
      </c>
      <c r="C12" s="90">
        <v>42</v>
      </c>
      <c r="D12" s="220">
        <v>44</v>
      </c>
      <c r="E12" s="1"/>
      <c r="F12" s="1"/>
      <c r="G12" s="1"/>
      <c r="H12" s="90"/>
      <c r="I12" s="1"/>
      <c r="J12" s="1"/>
      <c r="K12" s="1"/>
      <c r="L12" s="1"/>
      <c r="M12" s="1"/>
      <c r="N12" s="1"/>
      <c r="O12" s="1"/>
      <c r="P12" s="1"/>
      <c r="Q12" s="1"/>
      <c r="R12" s="1"/>
      <c r="S12" s="1"/>
      <c r="T12" s="1"/>
      <c r="U12" s="1"/>
      <c r="V12" s="1"/>
      <c r="W12" s="1"/>
      <c r="X12" s="1"/>
    </row>
    <row r="13" spans="1:24" x14ac:dyDescent="0.25">
      <c r="A13" s="1" t="s">
        <v>122</v>
      </c>
      <c r="B13" s="90">
        <v>34</v>
      </c>
      <c r="C13" s="90">
        <v>27</v>
      </c>
      <c r="D13" s="220">
        <v>43</v>
      </c>
      <c r="E13" s="1"/>
      <c r="F13" s="1"/>
      <c r="G13" s="1"/>
      <c r="H13" s="90"/>
      <c r="I13" s="1"/>
      <c r="J13" s="1"/>
      <c r="K13" s="1"/>
      <c r="L13" s="1"/>
      <c r="M13" s="1"/>
      <c r="N13" s="1"/>
      <c r="O13" s="1"/>
      <c r="P13" s="1"/>
      <c r="Q13" s="1"/>
      <c r="R13" s="1"/>
      <c r="S13" s="1"/>
      <c r="T13" s="1"/>
      <c r="U13" s="1"/>
      <c r="V13" s="1"/>
      <c r="W13" s="1"/>
      <c r="X13" s="1"/>
    </row>
    <row r="14" spans="1:24" x14ac:dyDescent="0.25">
      <c r="A14" s="1" t="s">
        <v>101</v>
      </c>
      <c r="B14" s="90">
        <v>60</v>
      </c>
      <c r="C14" s="90">
        <v>53</v>
      </c>
      <c r="D14" s="220">
        <v>41</v>
      </c>
      <c r="E14" s="1"/>
      <c r="F14" s="1"/>
      <c r="G14" s="1"/>
      <c r="H14" s="90"/>
      <c r="I14" s="1"/>
      <c r="J14" s="1"/>
      <c r="K14" s="1"/>
      <c r="L14" s="1"/>
      <c r="M14" s="1"/>
      <c r="N14" s="1"/>
      <c r="O14" s="1"/>
      <c r="P14" s="1"/>
      <c r="Q14" s="1"/>
      <c r="R14" s="1"/>
      <c r="S14" s="1"/>
      <c r="T14" s="1"/>
      <c r="U14" s="1"/>
      <c r="V14" s="1"/>
      <c r="W14" s="1"/>
      <c r="X14" s="1"/>
    </row>
    <row r="15" spans="1:24" x14ac:dyDescent="0.25">
      <c r="A15" s="1" t="s">
        <v>117</v>
      </c>
      <c r="B15" s="90">
        <v>34</v>
      </c>
      <c r="C15" s="90">
        <v>37</v>
      </c>
      <c r="D15" s="220">
        <v>38</v>
      </c>
      <c r="E15" s="1"/>
      <c r="F15" s="1"/>
      <c r="G15" s="1"/>
      <c r="H15" s="90"/>
      <c r="I15" s="242"/>
      <c r="J15" s="1"/>
      <c r="K15" s="1"/>
      <c r="L15" s="1"/>
      <c r="M15" s="1"/>
      <c r="N15" s="1"/>
      <c r="O15" s="1"/>
      <c r="P15" s="1"/>
      <c r="Q15" s="1"/>
      <c r="R15" s="1"/>
      <c r="S15" s="1"/>
      <c r="T15" s="1"/>
      <c r="U15" s="1"/>
      <c r="V15" s="1"/>
      <c r="W15" s="1"/>
      <c r="X15" s="1"/>
    </row>
    <row r="16" spans="1:24" x14ac:dyDescent="0.25">
      <c r="A16" s="1" t="s">
        <v>107</v>
      </c>
      <c r="B16" s="90">
        <v>51</v>
      </c>
      <c r="C16" s="90">
        <v>48</v>
      </c>
      <c r="D16" s="220">
        <v>37</v>
      </c>
      <c r="E16" s="1"/>
      <c r="F16" s="1"/>
      <c r="G16" s="1"/>
      <c r="H16" s="90"/>
      <c r="I16" s="1"/>
      <c r="J16" s="1"/>
      <c r="K16" s="1"/>
      <c r="L16" s="1"/>
      <c r="M16" s="1"/>
      <c r="N16" s="1"/>
      <c r="O16" s="1"/>
      <c r="P16" s="1"/>
      <c r="Q16" s="1"/>
      <c r="R16" s="1"/>
      <c r="S16" s="1"/>
      <c r="T16" s="1"/>
      <c r="U16" s="1"/>
      <c r="V16" s="1"/>
      <c r="W16" s="1"/>
      <c r="X16" s="1"/>
    </row>
    <row r="17" spans="1:10" x14ac:dyDescent="0.25">
      <c r="A17" s="1" t="s">
        <v>108</v>
      </c>
      <c r="B17" s="90">
        <v>48</v>
      </c>
      <c r="C17" s="90">
        <v>38</v>
      </c>
      <c r="D17" s="220">
        <v>37</v>
      </c>
      <c r="E17" s="1"/>
      <c r="F17" s="1"/>
      <c r="G17" s="1"/>
      <c r="H17" s="90"/>
      <c r="I17" s="1"/>
      <c r="J17" s="1"/>
    </row>
    <row r="18" spans="1:10" x14ac:dyDescent="0.25">
      <c r="A18" s="1" t="s">
        <v>109</v>
      </c>
      <c r="B18" s="90">
        <v>48</v>
      </c>
      <c r="C18" s="90">
        <v>47</v>
      </c>
      <c r="D18" s="220">
        <v>36</v>
      </c>
      <c r="E18" s="1"/>
      <c r="F18" s="1"/>
      <c r="G18" s="1"/>
      <c r="H18" s="90"/>
      <c r="I18" s="242"/>
      <c r="J18" s="1"/>
    </row>
    <row r="19" spans="1:10" x14ac:dyDescent="0.25">
      <c r="A19" s="1" t="s">
        <v>125</v>
      </c>
      <c r="B19" s="90">
        <v>28</v>
      </c>
      <c r="C19" s="90">
        <v>23</v>
      </c>
      <c r="D19" s="220">
        <v>35</v>
      </c>
      <c r="E19" s="1"/>
      <c r="F19" s="1"/>
      <c r="G19" s="1"/>
      <c r="H19" s="90"/>
      <c r="I19" s="1"/>
      <c r="J19" s="1"/>
    </row>
    <row r="20" spans="1:10" x14ac:dyDescent="0.25">
      <c r="A20" s="1" t="s">
        <v>118</v>
      </c>
      <c r="B20" s="90">
        <v>34</v>
      </c>
      <c r="C20" s="90">
        <v>33</v>
      </c>
      <c r="D20" s="220">
        <v>33</v>
      </c>
      <c r="E20" s="1"/>
      <c r="F20" s="1"/>
      <c r="G20" s="1"/>
      <c r="H20" s="90"/>
      <c r="I20" s="1"/>
      <c r="J20" s="1"/>
    </row>
    <row r="21" spans="1:10" x14ac:dyDescent="0.25">
      <c r="A21" s="1" t="s">
        <v>120</v>
      </c>
      <c r="B21" s="90">
        <v>32</v>
      </c>
      <c r="C21" s="90">
        <v>31</v>
      </c>
      <c r="D21" s="220">
        <v>32</v>
      </c>
      <c r="E21" s="1"/>
      <c r="F21" s="1"/>
      <c r="G21" s="1"/>
      <c r="H21" s="90"/>
      <c r="I21" s="242"/>
      <c r="J21" s="1"/>
    </row>
    <row r="22" spans="1:10" x14ac:dyDescent="0.25">
      <c r="A22" s="1" t="s">
        <v>121</v>
      </c>
      <c r="B22" s="90">
        <v>35</v>
      </c>
      <c r="C22" s="90">
        <v>34</v>
      </c>
      <c r="D22" s="220">
        <v>32</v>
      </c>
      <c r="E22" s="1"/>
      <c r="F22" s="1"/>
      <c r="G22" s="1"/>
      <c r="H22" s="90"/>
      <c r="I22" s="1"/>
      <c r="J22" s="1"/>
    </row>
    <row r="23" spans="1:10" x14ac:dyDescent="0.25">
      <c r="A23" s="1" t="s">
        <v>111</v>
      </c>
      <c r="B23" s="90">
        <v>44</v>
      </c>
      <c r="C23" s="90">
        <v>40</v>
      </c>
      <c r="D23" s="220">
        <v>31</v>
      </c>
      <c r="E23" s="1"/>
      <c r="F23" s="1"/>
      <c r="G23" s="1"/>
      <c r="H23" s="90"/>
      <c r="I23" s="1"/>
      <c r="J23" s="1"/>
    </row>
    <row r="24" spans="1:10" x14ac:dyDescent="0.25">
      <c r="A24" s="1" t="s">
        <v>136</v>
      </c>
      <c r="B24" s="90">
        <v>19</v>
      </c>
      <c r="C24" s="90">
        <v>27</v>
      </c>
      <c r="D24" s="220">
        <v>30</v>
      </c>
      <c r="E24" s="1"/>
      <c r="F24" s="1"/>
      <c r="G24" s="1"/>
      <c r="H24" s="90"/>
      <c r="I24" s="242"/>
      <c r="J24" s="1"/>
    </row>
    <row r="25" spans="1:10" x14ac:dyDescent="0.25">
      <c r="A25" s="1" t="s">
        <v>153</v>
      </c>
      <c r="B25" s="90">
        <v>6</v>
      </c>
      <c r="C25" s="90">
        <v>11</v>
      </c>
      <c r="D25" s="220">
        <v>29</v>
      </c>
      <c r="E25" s="1"/>
      <c r="F25" s="1"/>
      <c r="G25" s="1"/>
      <c r="H25" s="90"/>
      <c r="I25" s="1"/>
      <c r="J25" s="1"/>
    </row>
    <row r="26" spans="1:10" x14ac:dyDescent="0.25">
      <c r="A26" s="1" t="s">
        <v>114</v>
      </c>
      <c r="B26" s="90">
        <v>38</v>
      </c>
      <c r="C26" s="90">
        <v>40</v>
      </c>
      <c r="D26" s="220">
        <v>27</v>
      </c>
      <c r="E26" s="1"/>
      <c r="F26" s="1"/>
      <c r="G26" s="1"/>
      <c r="H26" s="90"/>
      <c r="I26" s="1"/>
      <c r="J26" s="1"/>
    </row>
    <row r="27" spans="1:10" x14ac:dyDescent="0.25">
      <c r="A27" s="1" t="s">
        <v>130</v>
      </c>
      <c r="B27" s="90">
        <v>27</v>
      </c>
      <c r="C27" s="90">
        <v>21</v>
      </c>
      <c r="D27" s="220">
        <v>26</v>
      </c>
      <c r="E27" s="1"/>
      <c r="F27" s="1"/>
      <c r="G27" s="1"/>
      <c r="H27" s="90"/>
      <c r="I27" s="242"/>
      <c r="J27" s="1"/>
    </row>
    <row r="28" spans="1:10" x14ac:dyDescent="0.25">
      <c r="A28" s="1" t="s">
        <v>116</v>
      </c>
      <c r="B28" s="90">
        <v>36</v>
      </c>
      <c r="C28" s="90">
        <v>31</v>
      </c>
      <c r="D28" s="220">
        <v>25</v>
      </c>
      <c r="E28" s="1"/>
      <c r="F28" s="1"/>
      <c r="G28" s="1"/>
      <c r="H28" s="90"/>
      <c r="I28" s="1"/>
      <c r="J28" s="1"/>
    </row>
    <row r="29" spans="1:10" x14ac:dyDescent="0.25">
      <c r="A29" s="1" t="s">
        <v>134</v>
      </c>
      <c r="B29" s="90">
        <v>19</v>
      </c>
      <c r="C29" s="90">
        <v>14</v>
      </c>
      <c r="D29" s="220">
        <v>25</v>
      </c>
      <c r="E29" s="1"/>
      <c r="F29" s="1"/>
      <c r="G29" s="1"/>
      <c r="H29" s="90"/>
      <c r="I29" s="1"/>
      <c r="J29" s="1"/>
    </row>
    <row r="30" spans="1:10" x14ac:dyDescent="0.25">
      <c r="A30" s="1" t="s">
        <v>147</v>
      </c>
      <c r="B30" s="90">
        <v>11</v>
      </c>
      <c r="C30" s="90">
        <v>13</v>
      </c>
      <c r="D30" s="220">
        <v>25</v>
      </c>
      <c r="E30" s="1"/>
      <c r="F30" s="1"/>
      <c r="G30" s="1"/>
      <c r="H30" s="90"/>
      <c r="I30" s="242"/>
      <c r="J30" s="1"/>
    </row>
    <row r="31" spans="1:10" x14ac:dyDescent="0.25">
      <c r="A31" s="1" t="s">
        <v>139</v>
      </c>
      <c r="B31" s="90">
        <v>11</v>
      </c>
      <c r="C31" s="90">
        <v>21</v>
      </c>
      <c r="D31" s="220">
        <v>23</v>
      </c>
      <c r="E31" s="1"/>
      <c r="F31" s="1"/>
      <c r="G31" s="1"/>
      <c r="H31" s="90"/>
      <c r="I31" s="1"/>
      <c r="J31" s="1"/>
    </row>
    <row r="32" spans="1:10" x14ac:dyDescent="0.25">
      <c r="A32" s="1" t="s">
        <v>135</v>
      </c>
      <c r="B32" s="90">
        <v>13</v>
      </c>
      <c r="C32" s="90">
        <v>8</v>
      </c>
      <c r="D32" s="220">
        <v>23</v>
      </c>
      <c r="E32" s="1"/>
      <c r="F32" s="1"/>
      <c r="G32" s="1"/>
      <c r="H32" s="90"/>
      <c r="I32" s="1"/>
      <c r="J32" s="1"/>
    </row>
    <row r="33" spans="1:9" x14ac:dyDescent="0.25">
      <c r="A33" s="1" t="s">
        <v>115</v>
      </c>
      <c r="B33" s="90">
        <v>36</v>
      </c>
      <c r="C33" s="90">
        <v>35</v>
      </c>
      <c r="D33" s="220">
        <v>22</v>
      </c>
      <c r="E33" s="1"/>
      <c r="F33" s="1"/>
      <c r="G33" s="1"/>
      <c r="H33" s="90"/>
      <c r="I33" s="242"/>
    </row>
    <row r="34" spans="1:9" x14ac:dyDescent="0.25">
      <c r="A34" s="1" t="s">
        <v>112</v>
      </c>
      <c r="B34" s="90">
        <v>41</v>
      </c>
      <c r="C34" s="90">
        <v>38</v>
      </c>
      <c r="D34" s="220">
        <v>22</v>
      </c>
      <c r="E34" s="1"/>
      <c r="F34" s="1"/>
      <c r="G34" s="1"/>
      <c r="H34" s="90"/>
      <c r="I34" s="1"/>
    </row>
    <row r="35" spans="1:9" x14ac:dyDescent="0.25">
      <c r="A35" s="1" t="s">
        <v>141</v>
      </c>
      <c r="B35" s="90">
        <v>9</v>
      </c>
      <c r="C35" s="90">
        <v>11</v>
      </c>
      <c r="D35" s="220">
        <v>22</v>
      </c>
      <c r="E35" s="1"/>
      <c r="F35" s="1"/>
      <c r="G35" s="1"/>
      <c r="H35" s="90"/>
      <c r="I35" s="1"/>
    </row>
    <row r="36" spans="1:9" x14ac:dyDescent="0.25">
      <c r="A36" s="1" t="s">
        <v>149</v>
      </c>
      <c r="B36" s="90">
        <v>11</v>
      </c>
      <c r="C36" s="90">
        <v>15</v>
      </c>
      <c r="D36" s="220">
        <v>22</v>
      </c>
      <c r="E36" s="1"/>
      <c r="F36" s="1"/>
      <c r="G36" s="1"/>
      <c r="H36" s="90"/>
      <c r="I36" s="242"/>
    </row>
    <row r="37" spans="1:9" x14ac:dyDescent="0.25">
      <c r="A37" s="1" t="s">
        <v>142</v>
      </c>
      <c r="B37" s="90">
        <v>10</v>
      </c>
      <c r="C37" s="90">
        <v>6</v>
      </c>
      <c r="D37" s="220">
        <v>21</v>
      </c>
      <c r="E37" s="1"/>
      <c r="F37" s="1"/>
      <c r="G37" s="1"/>
      <c r="H37" s="90"/>
      <c r="I37" s="1"/>
    </row>
    <row r="38" spans="1:9" x14ac:dyDescent="0.25">
      <c r="A38" s="1" t="s">
        <v>159</v>
      </c>
      <c r="B38" s="90">
        <v>4</v>
      </c>
      <c r="C38" s="90">
        <v>4</v>
      </c>
      <c r="D38" s="220">
        <v>20</v>
      </c>
      <c r="E38" s="1"/>
      <c r="F38" s="1"/>
      <c r="G38" s="1"/>
      <c r="H38" s="90"/>
      <c r="I38" s="1"/>
    </row>
    <row r="39" spans="1:9" x14ac:dyDescent="0.25">
      <c r="A39" s="1" t="s">
        <v>137</v>
      </c>
      <c r="B39" s="90">
        <v>16</v>
      </c>
      <c r="C39" s="90">
        <v>18</v>
      </c>
      <c r="D39" s="220">
        <v>19</v>
      </c>
      <c r="E39" s="1"/>
      <c r="F39" s="1"/>
      <c r="G39" s="1"/>
      <c r="H39" s="90"/>
      <c r="I39" s="1"/>
    </row>
    <row r="40" spans="1:9" x14ac:dyDescent="0.25">
      <c r="A40" s="1" t="s">
        <v>119</v>
      </c>
      <c r="B40" s="90">
        <v>33</v>
      </c>
      <c r="C40" s="90">
        <v>29</v>
      </c>
      <c r="D40" s="220">
        <v>19</v>
      </c>
      <c r="E40" s="1"/>
      <c r="F40" s="1"/>
      <c r="G40" s="1"/>
      <c r="H40" s="90"/>
      <c r="I40" s="242"/>
    </row>
    <row r="41" spans="1:9" x14ac:dyDescent="0.25">
      <c r="A41" s="1" t="s">
        <v>133</v>
      </c>
      <c r="B41" s="90">
        <v>23</v>
      </c>
      <c r="C41" s="90">
        <v>15</v>
      </c>
      <c r="D41" s="220">
        <v>19</v>
      </c>
      <c r="E41" s="1"/>
      <c r="F41" s="1"/>
      <c r="G41" s="1"/>
      <c r="H41" s="90"/>
      <c r="I41" s="1"/>
    </row>
    <row r="42" spans="1:9" x14ac:dyDescent="0.25">
      <c r="A42" s="1" t="s">
        <v>165</v>
      </c>
      <c r="B42" s="90">
        <v>6</v>
      </c>
      <c r="C42" s="90">
        <v>6</v>
      </c>
      <c r="D42" s="220">
        <v>18</v>
      </c>
      <c r="E42" s="1"/>
      <c r="F42" s="1"/>
      <c r="G42" s="1"/>
      <c r="H42" s="90"/>
      <c r="I42" s="1"/>
    </row>
    <row r="43" spans="1:9" x14ac:dyDescent="0.25">
      <c r="A43" s="1" t="s">
        <v>123</v>
      </c>
      <c r="B43" s="90">
        <v>34</v>
      </c>
      <c r="C43" s="90">
        <v>29</v>
      </c>
      <c r="D43" s="220">
        <v>17</v>
      </c>
      <c r="E43" s="1"/>
      <c r="F43" s="1"/>
      <c r="G43" s="1"/>
      <c r="H43" s="90"/>
      <c r="I43" s="242"/>
    </row>
    <row r="44" spans="1:9" x14ac:dyDescent="0.25">
      <c r="A44" s="1" t="s">
        <v>131</v>
      </c>
      <c r="B44" s="90">
        <v>19</v>
      </c>
      <c r="C44" s="90">
        <v>15</v>
      </c>
      <c r="D44" s="220">
        <v>17</v>
      </c>
      <c r="E44" s="1"/>
      <c r="F44" s="1"/>
      <c r="G44" s="1"/>
      <c r="H44" s="90"/>
      <c r="I44" s="1"/>
    </row>
    <row r="45" spans="1:9" x14ac:dyDescent="0.25">
      <c r="A45" s="1" t="s">
        <v>180</v>
      </c>
      <c r="B45" s="90">
        <v>2</v>
      </c>
      <c r="C45" s="90">
        <v>12</v>
      </c>
      <c r="D45" s="220">
        <v>16</v>
      </c>
      <c r="E45" s="1"/>
      <c r="F45" s="1"/>
      <c r="G45" s="1"/>
      <c r="H45" s="90"/>
      <c r="I45" s="1"/>
    </row>
    <row r="46" spans="1:9" x14ac:dyDescent="0.25">
      <c r="A46" s="1" t="s">
        <v>171</v>
      </c>
      <c r="B46" s="90">
        <v>3</v>
      </c>
      <c r="C46" s="90">
        <v>5</v>
      </c>
      <c r="D46" s="220">
        <v>16</v>
      </c>
      <c r="E46" s="1"/>
      <c r="F46" s="1"/>
      <c r="G46" s="1"/>
      <c r="H46" s="90"/>
      <c r="I46" s="242"/>
    </row>
    <row r="47" spans="1:9" x14ac:dyDescent="0.25">
      <c r="A47" s="1" t="s">
        <v>126</v>
      </c>
      <c r="B47" s="90">
        <v>28</v>
      </c>
      <c r="C47" s="90">
        <v>22</v>
      </c>
      <c r="D47" s="220">
        <v>16</v>
      </c>
      <c r="E47" s="1"/>
      <c r="F47" s="1"/>
      <c r="G47" s="1"/>
      <c r="H47" s="90"/>
      <c r="I47" s="1"/>
    </row>
    <row r="48" spans="1:9" x14ac:dyDescent="0.25">
      <c r="A48" s="1" t="s">
        <v>124</v>
      </c>
      <c r="B48" s="90">
        <v>27</v>
      </c>
      <c r="C48" s="90">
        <v>30</v>
      </c>
      <c r="D48" s="220">
        <v>16</v>
      </c>
      <c r="E48" s="1"/>
      <c r="F48" s="1"/>
      <c r="G48" s="1"/>
      <c r="H48" s="90"/>
      <c r="I48" s="1"/>
    </row>
    <row r="49" spans="1:9" x14ac:dyDescent="0.25">
      <c r="A49" s="1" t="s">
        <v>154</v>
      </c>
      <c r="B49" s="90">
        <v>6</v>
      </c>
      <c r="C49" s="90">
        <v>13</v>
      </c>
      <c r="D49" s="220">
        <v>16</v>
      </c>
      <c r="E49" s="1"/>
      <c r="F49" s="1"/>
      <c r="G49" s="1"/>
      <c r="H49" s="90"/>
      <c r="I49" s="242"/>
    </row>
    <row r="50" spans="1:9" x14ac:dyDescent="0.25">
      <c r="A50" s="1" t="s">
        <v>189</v>
      </c>
      <c r="B50" s="90">
        <v>2</v>
      </c>
      <c r="C50" s="90">
        <v>7</v>
      </c>
      <c r="D50" s="220">
        <v>16</v>
      </c>
      <c r="E50" s="1"/>
      <c r="F50" s="1"/>
      <c r="G50" s="1"/>
      <c r="H50" s="90"/>
      <c r="I50" s="1"/>
    </row>
    <row r="51" spans="1:9" x14ac:dyDescent="0.25">
      <c r="A51" s="1" t="s">
        <v>188</v>
      </c>
      <c r="B51" s="90">
        <v>3</v>
      </c>
      <c r="C51" s="90">
        <v>3</v>
      </c>
      <c r="D51" s="220">
        <v>16</v>
      </c>
      <c r="E51" s="1"/>
      <c r="F51" s="1"/>
      <c r="G51" s="1"/>
      <c r="H51" s="90"/>
      <c r="I51" s="1"/>
    </row>
    <row r="52" spans="1:9" x14ac:dyDescent="0.25">
      <c r="A52" s="1" t="s">
        <v>167</v>
      </c>
      <c r="B52" s="90">
        <v>5</v>
      </c>
      <c r="C52" s="90">
        <v>9</v>
      </c>
      <c r="D52" s="220">
        <v>16</v>
      </c>
      <c r="E52" s="1"/>
      <c r="F52" s="1"/>
      <c r="G52" s="1"/>
      <c r="H52" s="90"/>
      <c r="I52" s="242"/>
    </row>
    <row r="53" spans="1:9" x14ac:dyDescent="0.25">
      <c r="A53" s="1" t="s">
        <v>148</v>
      </c>
      <c r="B53" s="90">
        <v>10</v>
      </c>
      <c r="C53" s="90">
        <v>19</v>
      </c>
      <c r="D53" s="220">
        <v>16</v>
      </c>
      <c r="E53" s="1"/>
      <c r="F53" s="1"/>
      <c r="G53" s="1"/>
      <c r="H53" s="90"/>
      <c r="I53" s="1"/>
    </row>
    <row r="54" spans="1:9" x14ac:dyDescent="0.25">
      <c r="A54" s="1" t="s">
        <v>127</v>
      </c>
      <c r="B54" s="90">
        <v>21</v>
      </c>
      <c r="C54" s="90">
        <v>15</v>
      </c>
      <c r="D54" s="220">
        <v>15</v>
      </c>
      <c r="E54" s="1"/>
      <c r="F54" s="1"/>
      <c r="G54" s="1"/>
      <c r="H54" s="90"/>
      <c r="I54" s="1"/>
    </row>
    <row r="55" spans="1:9" x14ac:dyDescent="0.25">
      <c r="A55" s="1" t="s">
        <v>177</v>
      </c>
      <c r="B55" s="90">
        <v>3</v>
      </c>
      <c r="C55" s="90">
        <v>5</v>
      </c>
      <c r="D55" s="220">
        <v>15</v>
      </c>
      <c r="E55" s="1"/>
      <c r="F55" s="1"/>
      <c r="G55" s="1"/>
      <c r="H55" s="90"/>
      <c r="I55" s="242"/>
    </row>
    <row r="56" spans="1:9" x14ac:dyDescent="0.25">
      <c r="A56" s="1" t="s">
        <v>152</v>
      </c>
      <c r="B56" s="90">
        <v>6</v>
      </c>
      <c r="C56" s="90">
        <v>19</v>
      </c>
      <c r="D56" s="220">
        <v>15</v>
      </c>
      <c r="E56" s="1"/>
      <c r="F56" s="1"/>
      <c r="G56" s="1"/>
      <c r="H56" s="90"/>
      <c r="I56" s="1"/>
    </row>
    <row r="57" spans="1:9" x14ac:dyDescent="0.25">
      <c r="A57" s="1" t="s">
        <v>144</v>
      </c>
      <c r="B57" s="90">
        <v>9</v>
      </c>
      <c r="C57" s="90">
        <v>17</v>
      </c>
      <c r="D57" s="220">
        <v>15</v>
      </c>
      <c r="E57" s="1"/>
      <c r="F57" s="1"/>
      <c r="G57" s="1"/>
      <c r="H57" s="90"/>
      <c r="I57" s="1"/>
    </row>
    <row r="58" spans="1:9" x14ac:dyDescent="0.25">
      <c r="A58" s="1" t="s">
        <v>542</v>
      </c>
      <c r="B58" s="90">
        <v>0</v>
      </c>
      <c r="C58" s="90">
        <v>0</v>
      </c>
      <c r="D58" s="220">
        <v>15</v>
      </c>
      <c r="E58" s="1"/>
      <c r="F58" s="1"/>
      <c r="G58" s="1"/>
      <c r="H58" s="90"/>
      <c r="I58" s="242"/>
    </row>
    <row r="59" spans="1:9" x14ac:dyDescent="0.25">
      <c r="A59" s="1" t="s">
        <v>166</v>
      </c>
      <c r="B59" s="90">
        <v>3</v>
      </c>
      <c r="C59" s="90">
        <v>6</v>
      </c>
      <c r="D59" s="220">
        <v>14</v>
      </c>
      <c r="E59" s="1"/>
      <c r="F59" s="1"/>
      <c r="G59" s="1"/>
      <c r="H59" s="90"/>
      <c r="I59" s="1"/>
    </row>
    <row r="60" spans="1:9" x14ac:dyDescent="0.25">
      <c r="A60" s="1" t="s">
        <v>145</v>
      </c>
      <c r="B60" s="90">
        <v>8</v>
      </c>
      <c r="C60" s="90">
        <v>5</v>
      </c>
      <c r="D60" s="220">
        <v>14</v>
      </c>
      <c r="E60" s="1"/>
      <c r="F60" s="1"/>
      <c r="G60" s="1"/>
      <c r="H60" s="90"/>
      <c r="I60" s="1"/>
    </row>
    <row r="61" spans="1:9" x14ac:dyDescent="0.25">
      <c r="A61" s="1" t="s">
        <v>128</v>
      </c>
      <c r="B61" s="90">
        <v>24</v>
      </c>
      <c r="C61" s="90">
        <v>13</v>
      </c>
      <c r="D61" s="220">
        <v>14</v>
      </c>
      <c r="E61" s="1"/>
      <c r="F61" s="1"/>
      <c r="G61" s="1"/>
      <c r="H61" s="90"/>
      <c r="I61" s="1"/>
    </row>
    <row r="62" spans="1:9" x14ac:dyDescent="0.25">
      <c r="A62" s="1" t="s">
        <v>129</v>
      </c>
      <c r="B62" s="90">
        <v>22</v>
      </c>
      <c r="C62" s="90">
        <v>28</v>
      </c>
      <c r="D62" s="220">
        <v>13</v>
      </c>
      <c r="E62" s="1"/>
      <c r="F62" s="1"/>
      <c r="G62" s="1"/>
      <c r="H62" s="90"/>
      <c r="I62" s="242"/>
    </row>
    <row r="63" spans="1:9" x14ac:dyDescent="0.25">
      <c r="A63" s="1" t="s">
        <v>899</v>
      </c>
      <c r="B63" s="90">
        <v>0</v>
      </c>
      <c r="C63" s="90">
        <v>0</v>
      </c>
      <c r="D63" s="220">
        <v>13</v>
      </c>
      <c r="E63" s="1"/>
      <c r="F63" s="1"/>
      <c r="G63" s="1"/>
      <c r="H63" s="90"/>
      <c r="I63" s="1"/>
    </row>
    <row r="64" spans="1:9" x14ac:dyDescent="0.25">
      <c r="A64" s="1" t="s">
        <v>190</v>
      </c>
      <c r="B64" s="90">
        <v>2</v>
      </c>
      <c r="C64" s="90">
        <v>4</v>
      </c>
      <c r="D64" s="220">
        <v>13</v>
      </c>
      <c r="E64" s="1"/>
      <c r="F64" s="1"/>
      <c r="G64" s="1"/>
      <c r="H64" s="90"/>
      <c r="I64" s="1"/>
    </row>
    <row r="65" spans="1:9" x14ac:dyDescent="0.25">
      <c r="A65" s="1" t="s">
        <v>169</v>
      </c>
      <c r="B65" s="90">
        <v>4</v>
      </c>
      <c r="C65" s="90">
        <v>18</v>
      </c>
      <c r="D65" s="220">
        <v>13</v>
      </c>
      <c r="E65" s="1"/>
      <c r="F65" s="1"/>
      <c r="G65" s="1"/>
      <c r="H65" s="90"/>
      <c r="I65" s="1"/>
    </row>
    <row r="66" spans="1:9" x14ac:dyDescent="0.25">
      <c r="A66" s="1" t="s">
        <v>157</v>
      </c>
      <c r="B66" s="90">
        <v>7</v>
      </c>
      <c r="C66" s="90">
        <v>6</v>
      </c>
      <c r="D66" s="220">
        <v>13</v>
      </c>
      <c r="E66" s="1"/>
      <c r="F66" s="1"/>
      <c r="G66" s="1"/>
      <c r="H66" s="90"/>
      <c r="I66" s="242"/>
    </row>
    <row r="67" spans="1:9" x14ac:dyDescent="0.25">
      <c r="A67" s="1" t="s">
        <v>140</v>
      </c>
      <c r="B67" s="90">
        <v>13</v>
      </c>
      <c r="C67" s="90">
        <v>6</v>
      </c>
      <c r="D67" s="220">
        <v>13</v>
      </c>
      <c r="E67" s="1"/>
      <c r="F67" s="1"/>
      <c r="G67" s="1"/>
      <c r="H67" s="90"/>
      <c r="I67" s="1"/>
    </row>
    <row r="68" spans="1:9" x14ac:dyDescent="0.25">
      <c r="A68" s="1" t="s">
        <v>138</v>
      </c>
      <c r="B68" s="90">
        <v>14</v>
      </c>
      <c r="C68" s="90">
        <v>13</v>
      </c>
      <c r="D68" s="220">
        <v>12</v>
      </c>
      <c r="E68" s="1"/>
      <c r="F68" s="1"/>
      <c r="G68" s="1"/>
      <c r="H68" s="90"/>
      <c r="I68" s="1"/>
    </row>
    <row r="69" spans="1:9" x14ac:dyDescent="0.25">
      <c r="A69" s="1" t="s">
        <v>132</v>
      </c>
      <c r="B69" s="90">
        <v>15</v>
      </c>
      <c r="C69" s="90">
        <v>6</v>
      </c>
      <c r="D69" s="220">
        <v>12</v>
      </c>
      <c r="E69" s="1"/>
      <c r="F69" s="1"/>
      <c r="G69" s="1"/>
      <c r="H69" s="90"/>
      <c r="I69" s="242"/>
    </row>
    <row r="70" spans="1:9" x14ac:dyDescent="0.25">
      <c r="A70" s="1" t="s">
        <v>143</v>
      </c>
      <c r="B70" s="90">
        <v>12</v>
      </c>
      <c r="C70" s="90">
        <v>21</v>
      </c>
      <c r="D70" s="220">
        <v>12</v>
      </c>
      <c r="E70" s="1"/>
      <c r="F70" s="1"/>
      <c r="G70" s="1"/>
      <c r="H70" s="90"/>
      <c r="I70" s="1"/>
    </row>
    <row r="71" spans="1:9" x14ac:dyDescent="0.25">
      <c r="A71" s="1" t="s">
        <v>204</v>
      </c>
      <c r="B71" s="90">
        <v>2</v>
      </c>
      <c r="C71" s="90">
        <v>4</v>
      </c>
      <c r="D71" s="220">
        <v>12</v>
      </c>
      <c r="E71" s="1"/>
      <c r="F71" s="1"/>
      <c r="G71" s="1"/>
      <c r="H71" s="90"/>
      <c r="I71" s="1"/>
    </row>
    <row r="72" spans="1:9" x14ac:dyDescent="0.25">
      <c r="A72" s="1" t="s">
        <v>173</v>
      </c>
      <c r="B72" s="90">
        <v>2</v>
      </c>
      <c r="C72" s="90">
        <v>4</v>
      </c>
      <c r="D72" s="220">
        <v>12</v>
      </c>
      <c r="E72" s="1"/>
      <c r="F72" s="1"/>
      <c r="G72" s="1"/>
      <c r="H72" s="90"/>
      <c r="I72" s="242"/>
    </row>
    <row r="73" spans="1:9" x14ac:dyDescent="0.25">
      <c r="A73" s="1" t="s">
        <v>200</v>
      </c>
      <c r="B73" s="90">
        <v>2</v>
      </c>
      <c r="C73" s="90">
        <v>7</v>
      </c>
      <c r="D73" s="220">
        <v>12</v>
      </c>
      <c r="E73" s="1"/>
      <c r="F73" s="1"/>
      <c r="G73" s="1"/>
      <c r="H73" s="90"/>
      <c r="I73" s="1"/>
    </row>
    <row r="74" spans="1:9" x14ac:dyDescent="0.25">
      <c r="A74" s="1" t="s">
        <v>156</v>
      </c>
      <c r="B74" s="90">
        <v>8</v>
      </c>
      <c r="C74" s="90">
        <v>14</v>
      </c>
      <c r="D74" s="220">
        <v>11</v>
      </c>
      <c r="E74" s="1"/>
      <c r="F74" s="1"/>
      <c r="G74" s="1"/>
      <c r="H74" s="90"/>
      <c r="I74" s="1"/>
    </row>
    <row r="75" spans="1:9" x14ac:dyDescent="0.25">
      <c r="A75" s="1" t="s">
        <v>208</v>
      </c>
      <c r="B75" s="90">
        <v>1</v>
      </c>
      <c r="C75" s="90">
        <v>1</v>
      </c>
      <c r="D75" s="220">
        <v>11</v>
      </c>
      <c r="E75" s="1"/>
      <c r="F75" s="1"/>
      <c r="G75" s="1"/>
      <c r="H75" s="90"/>
      <c r="I75" s="242"/>
    </row>
    <row r="76" spans="1:9" x14ac:dyDescent="0.25">
      <c r="A76" s="1" t="s">
        <v>174</v>
      </c>
      <c r="B76" s="90">
        <v>3</v>
      </c>
      <c r="C76" s="90">
        <v>4</v>
      </c>
      <c r="D76" s="220">
        <v>10</v>
      </c>
      <c r="E76" s="1"/>
      <c r="F76" s="1"/>
      <c r="G76" s="1"/>
      <c r="H76" s="90"/>
      <c r="I76" s="1"/>
    </row>
    <row r="77" spans="1:9" x14ac:dyDescent="0.25">
      <c r="A77" s="1" t="s">
        <v>199</v>
      </c>
      <c r="B77" s="90">
        <v>1</v>
      </c>
      <c r="C77" s="90">
        <v>3</v>
      </c>
      <c r="D77" s="220">
        <v>10</v>
      </c>
      <c r="E77" s="1"/>
      <c r="F77" s="1"/>
      <c r="G77" s="1"/>
      <c r="H77" s="90"/>
      <c r="I77" s="242"/>
    </row>
    <row r="78" spans="1:9" x14ac:dyDescent="0.25">
      <c r="A78" s="1" t="s">
        <v>227</v>
      </c>
      <c r="B78" s="90">
        <v>1</v>
      </c>
      <c r="C78" s="90">
        <v>2</v>
      </c>
      <c r="D78" s="220">
        <v>10</v>
      </c>
      <c r="E78" s="1"/>
      <c r="F78" s="1"/>
      <c r="G78" s="1"/>
      <c r="H78" s="90"/>
      <c r="I78" s="1"/>
    </row>
    <row r="79" spans="1:9" x14ac:dyDescent="0.25">
      <c r="A79" s="1" t="s">
        <v>168</v>
      </c>
      <c r="B79" s="90">
        <v>4</v>
      </c>
      <c r="C79" s="90">
        <v>14</v>
      </c>
      <c r="D79" s="220">
        <v>9</v>
      </c>
      <c r="E79" s="1"/>
      <c r="F79" s="1"/>
      <c r="G79" s="1"/>
      <c r="H79" s="90"/>
      <c r="I79" s="1"/>
    </row>
    <row r="80" spans="1:9" x14ac:dyDescent="0.25">
      <c r="A80" s="1" t="s">
        <v>178</v>
      </c>
      <c r="B80" s="90">
        <v>3</v>
      </c>
      <c r="C80" s="90">
        <v>3</v>
      </c>
      <c r="D80" s="220">
        <v>9</v>
      </c>
      <c r="E80" s="1"/>
      <c r="F80" s="1"/>
      <c r="G80" s="1"/>
      <c r="H80" s="90"/>
      <c r="I80" s="242"/>
    </row>
    <row r="81" spans="1:9" x14ac:dyDescent="0.25">
      <c r="A81" s="1" t="s">
        <v>160</v>
      </c>
      <c r="B81" s="90">
        <v>4</v>
      </c>
      <c r="C81" s="90">
        <v>7</v>
      </c>
      <c r="D81" s="220">
        <v>8</v>
      </c>
      <c r="E81" s="1"/>
      <c r="F81" s="1"/>
      <c r="G81" s="1"/>
      <c r="H81" s="90"/>
      <c r="I81" s="1"/>
    </row>
    <row r="82" spans="1:9" x14ac:dyDescent="0.25">
      <c r="A82" s="1" t="s">
        <v>183</v>
      </c>
      <c r="B82" s="90">
        <v>2</v>
      </c>
      <c r="C82" s="90">
        <v>4</v>
      </c>
      <c r="D82" s="220">
        <v>8</v>
      </c>
      <c r="E82" s="1"/>
      <c r="F82" s="1"/>
      <c r="G82" s="1"/>
      <c r="H82" s="90"/>
      <c r="I82" s="1"/>
    </row>
    <row r="83" spans="1:9" x14ac:dyDescent="0.25">
      <c r="A83" s="1" t="s">
        <v>158</v>
      </c>
      <c r="B83" s="90">
        <v>5</v>
      </c>
      <c r="C83" s="90">
        <v>3</v>
      </c>
      <c r="D83" s="220">
        <v>8</v>
      </c>
      <c r="E83" s="1"/>
      <c r="F83" s="1"/>
      <c r="G83" s="1"/>
      <c r="H83" s="90"/>
      <c r="I83" s="242"/>
    </row>
    <row r="84" spans="1:9" x14ac:dyDescent="0.25">
      <c r="A84" s="1" t="s">
        <v>198</v>
      </c>
      <c r="B84" s="90">
        <v>2</v>
      </c>
      <c r="C84" s="90">
        <v>3</v>
      </c>
      <c r="D84" s="220">
        <v>8</v>
      </c>
      <c r="E84" s="1"/>
      <c r="F84" s="1"/>
      <c r="G84" s="1"/>
      <c r="H84" s="90"/>
      <c r="I84" s="1"/>
    </row>
    <row r="85" spans="1:9" x14ac:dyDescent="0.25">
      <c r="A85" s="1" t="s">
        <v>164</v>
      </c>
      <c r="B85" s="90">
        <v>5</v>
      </c>
      <c r="C85" s="90">
        <v>3</v>
      </c>
      <c r="D85" s="220">
        <v>8</v>
      </c>
      <c r="E85" s="1"/>
      <c r="F85" s="1"/>
      <c r="G85" s="1"/>
      <c r="H85" s="90"/>
      <c r="I85" s="1"/>
    </row>
    <row r="86" spans="1:9" x14ac:dyDescent="0.25">
      <c r="A86" s="1" t="s">
        <v>211</v>
      </c>
      <c r="B86" s="90">
        <v>1</v>
      </c>
      <c r="C86" s="90">
        <v>4</v>
      </c>
      <c r="D86" s="220">
        <v>8</v>
      </c>
      <c r="E86" s="1"/>
      <c r="F86" s="1"/>
      <c r="G86" s="1"/>
      <c r="H86" s="90"/>
      <c r="I86" s="242"/>
    </row>
    <row r="87" spans="1:9" x14ac:dyDescent="0.25">
      <c r="A87" s="1" t="s">
        <v>146</v>
      </c>
      <c r="B87" s="90">
        <v>13</v>
      </c>
      <c r="C87" s="90">
        <v>10</v>
      </c>
      <c r="D87" s="220">
        <v>8</v>
      </c>
      <c r="E87" s="1"/>
      <c r="F87" s="1"/>
      <c r="G87" s="1"/>
      <c r="H87" s="90"/>
      <c r="I87" s="1"/>
    </row>
    <row r="88" spans="1:9" x14ac:dyDescent="0.25">
      <c r="A88" s="1" t="s">
        <v>238</v>
      </c>
      <c r="B88" s="90">
        <v>1</v>
      </c>
      <c r="C88" s="90">
        <v>1</v>
      </c>
      <c r="D88" s="220">
        <v>8</v>
      </c>
      <c r="E88" s="1"/>
      <c r="F88" s="1"/>
      <c r="G88" s="1"/>
      <c r="H88" s="90"/>
      <c r="I88" s="1"/>
    </row>
    <row r="89" spans="1:9" x14ac:dyDescent="0.25">
      <c r="A89" s="1" t="s">
        <v>176</v>
      </c>
      <c r="B89" s="90">
        <v>3</v>
      </c>
      <c r="C89" s="90">
        <v>5</v>
      </c>
      <c r="D89" s="220">
        <v>8</v>
      </c>
      <c r="E89" s="1"/>
      <c r="F89" s="1"/>
      <c r="G89" s="1"/>
      <c r="H89" s="90"/>
      <c r="I89" s="242"/>
    </row>
    <row r="90" spans="1:9" x14ac:dyDescent="0.25">
      <c r="A90" s="1" t="s">
        <v>194</v>
      </c>
      <c r="B90" s="90">
        <v>2</v>
      </c>
      <c r="C90" s="90">
        <v>12</v>
      </c>
      <c r="D90" s="220">
        <v>7</v>
      </c>
      <c r="E90" s="1"/>
      <c r="F90" s="1"/>
      <c r="G90" s="1"/>
      <c r="H90" s="90"/>
      <c r="I90" s="1"/>
    </row>
    <row r="91" spans="1:9" x14ac:dyDescent="0.25">
      <c r="A91" s="1" t="s">
        <v>161</v>
      </c>
      <c r="B91" s="90">
        <v>3</v>
      </c>
      <c r="C91" s="90">
        <v>3</v>
      </c>
      <c r="D91" s="220">
        <v>7</v>
      </c>
      <c r="E91" s="1"/>
      <c r="F91" s="1"/>
      <c r="G91" s="1"/>
      <c r="H91" s="90"/>
      <c r="I91" s="1"/>
    </row>
    <row r="92" spans="1:9" x14ac:dyDescent="0.25">
      <c r="A92" s="1" t="s">
        <v>226</v>
      </c>
      <c r="B92" s="90">
        <v>1</v>
      </c>
      <c r="C92" s="90">
        <v>1</v>
      </c>
      <c r="D92" s="220">
        <v>7</v>
      </c>
      <c r="E92" s="1"/>
      <c r="F92" s="1"/>
      <c r="G92" s="1"/>
      <c r="H92" s="90"/>
      <c r="I92" s="242"/>
    </row>
    <row r="93" spans="1:9" x14ac:dyDescent="0.25">
      <c r="A93" s="1" t="s">
        <v>247</v>
      </c>
      <c r="B93" s="90">
        <v>1</v>
      </c>
      <c r="C93" s="90">
        <v>1</v>
      </c>
      <c r="D93" s="220">
        <v>7</v>
      </c>
      <c r="E93" s="1"/>
      <c r="F93" s="1"/>
      <c r="G93" s="1"/>
      <c r="H93" s="90"/>
      <c r="I93" s="1"/>
    </row>
    <row r="94" spans="1:9" x14ac:dyDescent="0.25">
      <c r="A94" s="1" t="s">
        <v>185</v>
      </c>
      <c r="B94" s="90">
        <v>2</v>
      </c>
      <c r="C94" s="90">
        <v>1</v>
      </c>
      <c r="D94" s="220">
        <v>7</v>
      </c>
      <c r="E94" s="1"/>
      <c r="F94" s="1"/>
      <c r="G94" s="1"/>
      <c r="H94" s="90"/>
      <c r="I94" s="1"/>
    </row>
    <row r="95" spans="1:9" x14ac:dyDescent="0.25">
      <c r="A95" s="1" t="s">
        <v>155</v>
      </c>
      <c r="B95" s="90">
        <v>5</v>
      </c>
      <c r="C95" s="90">
        <v>1</v>
      </c>
      <c r="D95" s="220">
        <v>7</v>
      </c>
      <c r="E95" s="1"/>
      <c r="F95" s="1"/>
      <c r="G95" s="1"/>
      <c r="H95" s="90"/>
      <c r="I95" s="242"/>
    </row>
    <row r="96" spans="1:9" x14ac:dyDescent="0.25">
      <c r="A96" s="1" t="s">
        <v>163</v>
      </c>
      <c r="B96" s="90">
        <v>4</v>
      </c>
      <c r="C96" s="90">
        <v>5</v>
      </c>
      <c r="D96" s="220">
        <v>7</v>
      </c>
      <c r="E96" s="1"/>
      <c r="F96" s="1"/>
      <c r="G96" s="1"/>
      <c r="H96" s="90"/>
      <c r="I96" s="1"/>
    </row>
    <row r="97" spans="1:9" x14ac:dyDescent="0.25">
      <c r="A97" s="1" t="s">
        <v>223</v>
      </c>
      <c r="B97" s="90">
        <v>1</v>
      </c>
      <c r="C97" s="90">
        <v>2</v>
      </c>
      <c r="D97" s="220">
        <v>7</v>
      </c>
      <c r="E97" s="1"/>
      <c r="F97" s="1"/>
      <c r="G97" s="1"/>
      <c r="H97" s="90"/>
      <c r="I97" s="1"/>
    </row>
    <row r="98" spans="1:9" x14ac:dyDescent="0.25">
      <c r="A98" s="1" t="s">
        <v>170</v>
      </c>
      <c r="B98" s="90">
        <v>3</v>
      </c>
      <c r="C98" s="90">
        <v>2</v>
      </c>
      <c r="D98" s="220">
        <v>6</v>
      </c>
      <c r="E98" s="1"/>
      <c r="F98" s="1"/>
      <c r="G98" s="1"/>
      <c r="H98" s="90"/>
      <c r="I98" s="242"/>
    </row>
    <row r="99" spans="1:9" x14ac:dyDescent="0.25">
      <c r="A99" s="1" t="s">
        <v>241</v>
      </c>
      <c r="B99" s="90">
        <v>1</v>
      </c>
      <c r="C99" s="90">
        <v>1</v>
      </c>
      <c r="D99" s="220">
        <v>6</v>
      </c>
      <c r="E99" s="1"/>
      <c r="F99" s="1"/>
      <c r="G99" s="1"/>
      <c r="H99" s="90"/>
      <c r="I99" s="1"/>
    </row>
    <row r="100" spans="1:9" x14ac:dyDescent="0.25">
      <c r="A100" s="1" t="s">
        <v>268</v>
      </c>
      <c r="B100" s="90">
        <v>1</v>
      </c>
      <c r="C100" s="90">
        <v>1</v>
      </c>
      <c r="D100" s="220">
        <v>6</v>
      </c>
      <c r="E100" s="1"/>
      <c r="F100" s="1"/>
      <c r="G100" s="1"/>
      <c r="H100" s="90"/>
      <c r="I100" s="1"/>
    </row>
    <row r="101" spans="1:9" x14ac:dyDescent="0.25">
      <c r="A101" s="1" t="s">
        <v>172</v>
      </c>
      <c r="B101" s="90">
        <v>4</v>
      </c>
      <c r="C101" s="90">
        <v>8</v>
      </c>
      <c r="D101" s="220">
        <v>6</v>
      </c>
      <c r="E101" s="1"/>
      <c r="F101" s="1"/>
      <c r="G101" s="1"/>
      <c r="H101" s="90"/>
      <c r="I101" s="242"/>
    </row>
    <row r="102" spans="1:9" x14ac:dyDescent="0.25">
      <c r="A102" s="1" t="s">
        <v>265</v>
      </c>
      <c r="B102" s="90">
        <v>1</v>
      </c>
      <c r="C102" s="90">
        <v>1</v>
      </c>
      <c r="D102" s="220">
        <v>6</v>
      </c>
      <c r="E102" s="1"/>
      <c r="F102" s="1"/>
      <c r="G102" s="1"/>
      <c r="H102" s="90"/>
      <c r="I102" s="1"/>
    </row>
    <row r="103" spans="1:9" x14ac:dyDescent="0.25">
      <c r="A103" s="1" t="s">
        <v>184</v>
      </c>
      <c r="B103" s="90">
        <v>2</v>
      </c>
      <c r="C103" s="90">
        <v>3</v>
      </c>
      <c r="D103" s="220">
        <v>6</v>
      </c>
      <c r="E103" s="1"/>
      <c r="F103" s="1"/>
      <c r="G103" s="1"/>
      <c r="H103" s="90"/>
      <c r="I103" s="1"/>
    </row>
    <row r="104" spans="1:9" x14ac:dyDescent="0.25">
      <c r="A104" s="1" t="s">
        <v>224</v>
      </c>
      <c r="B104" s="90">
        <v>1</v>
      </c>
      <c r="C104" s="90">
        <v>2</v>
      </c>
      <c r="D104" s="220">
        <v>6</v>
      </c>
      <c r="E104" s="1"/>
      <c r="F104" s="1"/>
      <c r="G104" s="1"/>
      <c r="H104" s="90"/>
      <c r="I104" s="242"/>
    </row>
    <row r="105" spans="1:9" x14ac:dyDescent="0.25">
      <c r="A105" s="1" t="s">
        <v>248</v>
      </c>
      <c r="B105" s="90">
        <v>1</v>
      </c>
      <c r="C105" s="90">
        <v>2</v>
      </c>
      <c r="D105" s="220">
        <v>6</v>
      </c>
      <c r="E105" s="1"/>
      <c r="F105" s="1"/>
      <c r="G105" s="1"/>
      <c r="H105" s="90"/>
      <c r="I105" s="1"/>
    </row>
    <row r="106" spans="1:9" x14ac:dyDescent="0.25">
      <c r="A106" s="1" t="s">
        <v>221</v>
      </c>
      <c r="B106" s="90">
        <v>1</v>
      </c>
      <c r="C106" s="90">
        <v>1</v>
      </c>
      <c r="D106" s="220">
        <v>0</v>
      </c>
      <c r="E106" s="1"/>
      <c r="F106" s="1"/>
      <c r="G106" s="1"/>
      <c r="H106" s="90"/>
      <c r="I106" s="1"/>
    </row>
    <row r="107" spans="1:9" x14ac:dyDescent="0.25">
      <c r="A107" s="1" t="s">
        <v>225</v>
      </c>
      <c r="B107" s="90">
        <v>1</v>
      </c>
      <c r="C107" s="90">
        <v>2</v>
      </c>
      <c r="D107" s="220">
        <v>6</v>
      </c>
      <c r="E107" s="1"/>
      <c r="F107" s="1"/>
      <c r="G107" s="1"/>
      <c r="H107" s="90"/>
      <c r="I107" s="242"/>
    </row>
    <row r="108" spans="1:9" x14ac:dyDescent="0.25">
      <c r="A108" s="1" t="s">
        <v>432</v>
      </c>
      <c r="B108" s="90">
        <v>0</v>
      </c>
      <c r="C108" s="90">
        <v>2</v>
      </c>
      <c r="D108" s="220">
        <v>6</v>
      </c>
      <c r="E108" s="1"/>
      <c r="F108" s="1"/>
      <c r="G108" s="1"/>
      <c r="H108" s="90"/>
      <c r="I108" s="1"/>
    </row>
    <row r="109" spans="1:9" x14ac:dyDescent="0.25">
      <c r="A109" s="1" t="s">
        <v>181</v>
      </c>
      <c r="B109" s="90">
        <v>2</v>
      </c>
      <c r="C109" s="90">
        <v>2</v>
      </c>
      <c r="D109" s="220">
        <v>5</v>
      </c>
      <c r="E109" s="1"/>
      <c r="F109" s="1"/>
      <c r="G109" s="1"/>
      <c r="H109" s="90"/>
      <c r="I109" s="1"/>
    </row>
    <row r="110" spans="1:9" x14ac:dyDescent="0.25">
      <c r="A110" s="1" t="s">
        <v>216</v>
      </c>
      <c r="B110" s="90">
        <v>1</v>
      </c>
      <c r="C110" s="90">
        <v>1</v>
      </c>
      <c r="D110" s="220">
        <v>5</v>
      </c>
      <c r="E110" s="1"/>
      <c r="F110" s="1"/>
      <c r="G110" s="1"/>
      <c r="H110" s="90"/>
      <c r="I110" s="242"/>
    </row>
    <row r="111" spans="1:9" x14ac:dyDescent="0.25">
      <c r="A111" s="1" t="s">
        <v>249</v>
      </c>
      <c r="B111" s="90">
        <v>1</v>
      </c>
      <c r="C111" s="90">
        <v>1</v>
      </c>
      <c r="D111" s="220">
        <v>5</v>
      </c>
      <c r="E111" s="1"/>
      <c r="F111" s="1"/>
      <c r="G111" s="1"/>
      <c r="H111" s="90"/>
      <c r="I111" s="1"/>
    </row>
    <row r="112" spans="1:9" x14ac:dyDescent="0.25">
      <c r="A112" s="1" t="s">
        <v>550</v>
      </c>
      <c r="B112" s="90">
        <v>0</v>
      </c>
      <c r="C112" s="90">
        <v>0</v>
      </c>
      <c r="D112" s="220">
        <v>5</v>
      </c>
      <c r="E112" s="1"/>
      <c r="F112" s="1"/>
      <c r="G112" s="1"/>
      <c r="H112" s="90"/>
      <c r="I112" s="1"/>
    </row>
    <row r="113" spans="1:9" x14ac:dyDescent="0.25">
      <c r="A113" s="1" t="s">
        <v>206</v>
      </c>
      <c r="B113" s="90">
        <v>1</v>
      </c>
      <c r="C113" s="90">
        <v>1</v>
      </c>
      <c r="D113" s="220">
        <v>5</v>
      </c>
      <c r="E113" s="1"/>
      <c r="F113" s="1"/>
      <c r="G113" s="1"/>
      <c r="H113" s="90"/>
      <c r="I113" s="242"/>
    </row>
    <row r="114" spans="1:9" x14ac:dyDescent="0.25">
      <c r="A114" s="1" t="s">
        <v>254</v>
      </c>
      <c r="B114" s="90">
        <v>1</v>
      </c>
      <c r="C114" s="90">
        <v>1</v>
      </c>
      <c r="D114" s="220">
        <v>5</v>
      </c>
      <c r="E114" s="1"/>
      <c r="F114" s="1"/>
      <c r="G114" s="1"/>
      <c r="H114" s="90"/>
      <c r="I114" s="1"/>
    </row>
    <row r="115" spans="1:9" x14ac:dyDescent="0.25">
      <c r="A115" s="1" t="s">
        <v>151</v>
      </c>
      <c r="B115" s="90">
        <v>9</v>
      </c>
      <c r="C115" s="90">
        <v>8</v>
      </c>
      <c r="D115" s="220">
        <v>5</v>
      </c>
      <c r="E115" s="1"/>
      <c r="F115" s="1"/>
      <c r="G115" s="1"/>
      <c r="H115" s="90"/>
      <c r="I115" s="1"/>
    </row>
    <row r="116" spans="1:9" x14ac:dyDescent="0.25">
      <c r="A116" s="1" t="s">
        <v>192</v>
      </c>
      <c r="B116" s="90">
        <v>2</v>
      </c>
      <c r="C116" s="90">
        <v>1</v>
      </c>
      <c r="D116" s="220">
        <v>5</v>
      </c>
      <c r="E116" s="1"/>
      <c r="F116" s="1"/>
      <c r="G116" s="1"/>
      <c r="H116" s="90"/>
      <c r="I116" s="242"/>
    </row>
    <row r="117" spans="1:9" x14ac:dyDescent="0.25">
      <c r="A117" s="1" t="s">
        <v>205</v>
      </c>
      <c r="B117" s="90">
        <v>1</v>
      </c>
      <c r="C117" s="90">
        <v>2</v>
      </c>
      <c r="D117" s="220">
        <v>5</v>
      </c>
      <c r="E117" s="1"/>
      <c r="F117" s="1"/>
      <c r="G117" s="1"/>
      <c r="H117" s="90"/>
      <c r="I117" s="1"/>
    </row>
    <row r="118" spans="1:9" x14ac:dyDescent="0.25">
      <c r="A118" s="1" t="s">
        <v>201</v>
      </c>
      <c r="B118" s="90">
        <v>1</v>
      </c>
      <c r="C118" s="90">
        <v>1</v>
      </c>
      <c r="D118" s="220">
        <v>4</v>
      </c>
      <c r="E118" s="1"/>
      <c r="F118" s="1"/>
      <c r="G118" s="1"/>
      <c r="H118" s="90"/>
      <c r="I118" s="1"/>
    </row>
    <row r="119" spans="1:9" x14ac:dyDescent="0.25">
      <c r="A119" s="1" t="s">
        <v>295</v>
      </c>
      <c r="B119" s="90">
        <v>1</v>
      </c>
      <c r="C119" s="90">
        <v>1</v>
      </c>
      <c r="D119" s="220">
        <v>4</v>
      </c>
      <c r="E119" s="1"/>
      <c r="F119" s="1"/>
      <c r="G119" s="1"/>
      <c r="H119" s="90"/>
      <c r="I119" s="242"/>
    </row>
    <row r="120" spans="1:9" x14ac:dyDescent="0.25">
      <c r="A120" s="1" t="s">
        <v>195</v>
      </c>
      <c r="B120" s="90">
        <v>2</v>
      </c>
      <c r="C120" s="90">
        <v>4</v>
      </c>
      <c r="D120" s="220">
        <v>4</v>
      </c>
      <c r="E120" s="1"/>
      <c r="F120" s="1"/>
      <c r="G120" s="1"/>
      <c r="H120" s="90"/>
      <c r="I120" s="1"/>
    </row>
    <row r="121" spans="1:9" x14ac:dyDescent="0.25">
      <c r="A121" s="1" t="s">
        <v>434</v>
      </c>
      <c r="B121" s="90">
        <v>0</v>
      </c>
      <c r="C121" s="90">
        <v>1</v>
      </c>
      <c r="D121" s="220">
        <v>4</v>
      </c>
      <c r="E121" s="1"/>
      <c r="F121" s="1"/>
      <c r="G121" s="1"/>
      <c r="H121" s="90"/>
      <c r="I121" s="1"/>
    </row>
    <row r="122" spans="1:9" x14ac:dyDescent="0.25">
      <c r="A122" s="1" t="s">
        <v>900</v>
      </c>
      <c r="B122" s="90">
        <v>0</v>
      </c>
      <c r="C122" s="90">
        <v>0</v>
      </c>
      <c r="D122" s="220">
        <v>4</v>
      </c>
      <c r="E122" s="1"/>
      <c r="F122" s="1"/>
      <c r="G122" s="1"/>
      <c r="H122" s="90"/>
      <c r="I122" s="242"/>
    </row>
    <row r="123" spans="1:9" x14ac:dyDescent="0.25">
      <c r="A123" s="1" t="s">
        <v>293</v>
      </c>
      <c r="B123" s="90">
        <v>1</v>
      </c>
      <c r="C123" s="90">
        <v>1</v>
      </c>
      <c r="D123" s="220">
        <v>4</v>
      </c>
      <c r="E123" s="1"/>
      <c r="F123" s="1"/>
      <c r="G123" s="1"/>
      <c r="H123" s="90"/>
      <c r="I123" s="1"/>
    </row>
    <row r="124" spans="1:9" x14ac:dyDescent="0.25">
      <c r="A124" s="1" t="s">
        <v>215</v>
      </c>
      <c r="B124" s="90">
        <v>1</v>
      </c>
      <c r="C124" s="90">
        <v>3</v>
      </c>
      <c r="D124" s="220">
        <v>4</v>
      </c>
      <c r="E124" s="1"/>
      <c r="F124" s="1"/>
      <c r="G124" s="1"/>
      <c r="H124" s="90"/>
      <c r="I124" s="1"/>
    </row>
    <row r="125" spans="1:9" x14ac:dyDescent="0.25">
      <c r="A125" s="1" t="s">
        <v>267</v>
      </c>
      <c r="B125" s="90">
        <v>1</v>
      </c>
      <c r="C125" s="90">
        <v>1</v>
      </c>
      <c r="D125" s="220">
        <v>4</v>
      </c>
      <c r="E125" s="1"/>
      <c r="F125" s="1"/>
      <c r="G125" s="1"/>
      <c r="H125" s="90"/>
      <c r="I125" s="242"/>
    </row>
    <row r="126" spans="1:9" x14ac:dyDescent="0.25">
      <c r="A126" s="1" t="s">
        <v>901</v>
      </c>
      <c r="B126" s="90">
        <v>0</v>
      </c>
      <c r="C126" s="90">
        <v>0</v>
      </c>
      <c r="D126" s="220">
        <v>4</v>
      </c>
      <c r="E126" s="1"/>
      <c r="F126" s="1"/>
      <c r="G126" s="1"/>
      <c r="H126" s="90"/>
      <c r="I126" s="1"/>
    </row>
    <row r="127" spans="1:9" x14ac:dyDescent="0.25">
      <c r="A127" s="1" t="s">
        <v>551</v>
      </c>
      <c r="B127" s="90">
        <v>0</v>
      </c>
      <c r="C127" s="90">
        <v>1</v>
      </c>
      <c r="D127" s="220">
        <v>4</v>
      </c>
      <c r="E127" s="1"/>
      <c r="F127" s="1"/>
      <c r="G127" s="1"/>
      <c r="H127" s="90"/>
      <c r="I127" s="1"/>
    </row>
    <row r="128" spans="1:9" x14ac:dyDescent="0.25">
      <c r="A128" s="1" t="s">
        <v>231</v>
      </c>
      <c r="B128" s="90">
        <v>1</v>
      </c>
      <c r="C128" s="90">
        <v>2</v>
      </c>
      <c r="D128" s="220">
        <v>4</v>
      </c>
      <c r="E128" s="1"/>
      <c r="F128" s="1"/>
      <c r="G128" s="1"/>
      <c r="H128" s="90"/>
      <c r="I128" s="242"/>
    </row>
    <row r="129" spans="1:9" x14ac:dyDescent="0.25">
      <c r="A129" s="1" t="s">
        <v>266</v>
      </c>
      <c r="B129" s="90">
        <v>1</v>
      </c>
      <c r="C129" s="90">
        <v>1</v>
      </c>
      <c r="D129" s="220">
        <v>3</v>
      </c>
      <c r="E129" s="1"/>
      <c r="F129" s="1"/>
      <c r="G129" s="1"/>
      <c r="H129" s="90"/>
      <c r="I129" s="1"/>
    </row>
    <row r="130" spans="1:9" x14ac:dyDescent="0.25">
      <c r="A130" s="1" t="s">
        <v>237</v>
      </c>
      <c r="B130" s="90">
        <v>1</v>
      </c>
      <c r="C130" s="90">
        <v>3</v>
      </c>
      <c r="D130" s="220">
        <v>3</v>
      </c>
      <c r="E130" s="1"/>
      <c r="F130" s="1"/>
      <c r="G130" s="1"/>
      <c r="H130" s="90"/>
      <c r="I130" s="1"/>
    </row>
    <row r="131" spans="1:9" x14ac:dyDescent="0.25">
      <c r="A131" s="1" t="s">
        <v>292</v>
      </c>
      <c r="B131" s="90">
        <v>1</v>
      </c>
      <c r="C131" s="90">
        <v>0</v>
      </c>
      <c r="D131" s="220">
        <v>3</v>
      </c>
      <c r="E131" s="1"/>
      <c r="F131" s="1"/>
      <c r="G131" s="1"/>
      <c r="H131" s="90"/>
      <c r="I131" s="242"/>
    </row>
    <row r="132" spans="1:9" x14ac:dyDescent="0.25">
      <c r="A132" s="1" t="s">
        <v>437</v>
      </c>
      <c r="B132" s="90">
        <v>0</v>
      </c>
      <c r="C132" s="90">
        <v>1</v>
      </c>
      <c r="D132" s="220">
        <v>3</v>
      </c>
      <c r="E132" s="1"/>
      <c r="F132" s="1"/>
      <c r="G132" s="1"/>
      <c r="H132" s="90"/>
      <c r="I132" s="1"/>
    </row>
    <row r="133" spans="1:9" x14ac:dyDescent="0.25">
      <c r="A133" s="1" t="s">
        <v>257</v>
      </c>
      <c r="B133" s="90">
        <v>1</v>
      </c>
      <c r="C133" s="90">
        <v>0</v>
      </c>
      <c r="D133" s="220">
        <v>3</v>
      </c>
      <c r="E133" s="1"/>
      <c r="F133" s="1"/>
      <c r="G133" s="1"/>
      <c r="H133" s="90"/>
      <c r="I133" s="1"/>
    </row>
    <row r="134" spans="1:9" x14ac:dyDescent="0.25">
      <c r="A134" s="1" t="s">
        <v>210</v>
      </c>
      <c r="B134" s="90">
        <v>1</v>
      </c>
      <c r="C134" s="90">
        <v>1</v>
      </c>
      <c r="D134" s="220">
        <v>3</v>
      </c>
      <c r="E134" s="1"/>
      <c r="F134" s="1"/>
      <c r="G134" s="1"/>
      <c r="H134" s="90"/>
      <c r="I134" s="242"/>
    </row>
    <row r="135" spans="1:9" x14ac:dyDescent="0.25">
      <c r="A135" s="1" t="s">
        <v>187</v>
      </c>
      <c r="B135" s="90">
        <v>3</v>
      </c>
      <c r="C135" s="90">
        <v>2</v>
      </c>
      <c r="D135" s="220">
        <v>3</v>
      </c>
      <c r="E135" s="1"/>
      <c r="F135" s="1"/>
      <c r="G135" s="1"/>
      <c r="H135" s="90"/>
      <c r="I135" s="1"/>
    </row>
    <row r="136" spans="1:9" x14ac:dyDescent="0.25">
      <c r="A136" s="1" t="s">
        <v>217</v>
      </c>
      <c r="B136" s="90">
        <v>1</v>
      </c>
      <c r="C136" s="90">
        <v>1</v>
      </c>
      <c r="D136" s="220">
        <v>3</v>
      </c>
      <c r="E136" s="1"/>
      <c r="F136" s="1"/>
      <c r="G136" s="1"/>
      <c r="H136" s="90"/>
      <c r="I136" s="1"/>
    </row>
    <row r="137" spans="1:9" x14ac:dyDescent="0.25">
      <c r="A137" s="1" t="s">
        <v>252</v>
      </c>
      <c r="B137" s="90">
        <v>1</v>
      </c>
      <c r="C137" s="90">
        <v>1</v>
      </c>
      <c r="D137" s="220">
        <v>2</v>
      </c>
      <c r="E137" s="1"/>
      <c r="F137" s="1"/>
      <c r="G137" s="1"/>
      <c r="H137" s="90"/>
      <c r="I137" s="1"/>
    </row>
    <row r="138" spans="1:9" x14ac:dyDescent="0.25">
      <c r="A138" s="1" t="s">
        <v>182</v>
      </c>
      <c r="B138" s="90">
        <v>2</v>
      </c>
      <c r="C138" s="90">
        <v>2</v>
      </c>
      <c r="D138" s="220">
        <v>2</v>
      </c>
      <c r="E138" s="1"/>
      <c r="F138" s="1"/>
      <c r="G138" s="1"/>
      <c r="H138" s="90"/>
      <c r="I138" s="242"/>
    </row>
    <row r="139" spans="1:9" x14ac:dyDescent="0.25">
      <c r="A139" s="1" t="s">
        <v>435</v>
      </c>
      <c r="B139" s="90">
        <v>0</v>
      </c>
      <c r="C139" s="90">
        <v>1</v>
      </c>
      <c r="D139" s="220">
        <v>2</v>
      </c>
      <c r="E139" s="1"/>
      <c r="F139" s="1"/>
      <c r="G139" s="1"/>
      <c r="H139" s="90"/>
      <c r="I139" s="1"/>
    </row>
    <row r="140" spans="1:9" x14ac:dyDescent="0.25">
      <c r="A140" s="1" t="s">
        <v>902</v>
      </c>
      <c r="B140" s="90">
        <v>0</v>
      </c>
      <c r="C140" s="90">
        <v>0</v>
      </c>
      <c r="D140" s="220">
        <v>2</v>
      </c>
      <c r="E140" s="1"/>
      <c r="F140" s="1"/>
      <c r="G140" s="1"/>
      <c r="H140" s="90"/>
      <c r="I140" s="1"/>
    </row>
    <row r="141" spans="1:9" x14ac:dyDescent="0.25">
      <c r="A141" s="1" t="s">
        <v>207</v>
      </c>
      <c r="B141" s="90">
        <v>1</v>
      </c>
      <c r="C141" s="90">
        <v>0</v>
      </c>
      <c r="D141" s="220">
        <v>2</v>
      </c>
      <c r="E141" s="1"/>
      <c r="F141" s="1"/>
      <c r="G141" s="1"/>
      <c r="H141" s="90"/>
      <c r="I141" s="242"/>
    </row>
    <row r="142" spans="1:9" x14ac:dyDescent="0.25">
      <c r="A142" s="1" t="s">
        <v>305</v>
      </c>
      <c r="B142" s="90">
        <v>1</v>
      </c>
      <c r="C142" s="90">
        <v>1</v>
      </c>
      <c r="D142" s="220">
        <v>2</v>
      </c>
      <c r="E142" s="1"/>
      <c r="F142" s="1"/>
      <c r="G142" s="1"/>
      <c r="H142" s="90"/>
      <c r="I142" s="1"/>
    </row>
    <row r="143" spans="1:9" x14ac:dyDescent="0.25">
      <c r="A143" s="1" t="s">
        <v>162</v>
      </c>
      <c r="B143" s="90">
        <v>3</v>
      </c>
      <c r="C143" s="90">
        <v>1</v>
      </c>
      <c r="D143" s="220">
        <v>2</v>
      </c>
      <c r="E143" s="1"/>
      <c r="F143" s="1"/>
      <c r="G143" s="1"/>
      <c r="H143" s="90"/>
      <c r="I143" s="1"/>
    </row>
    <row r="144" spans="1:9" x14ac:dyDescent="0.25">
      <c r="A144" s="1" t="s">
        <v>186</v>
      </c>
      <c r="B144" s="90">
        <v>2</v>
      </c>
      <c r="C144" s="90">
        <v>3</v>
      </c>
      <c r="D144" s="220">
        <v>2</v>
      </c>
      <c r="E144" s="1"/>
      <c r="F144" s="1"/>
      <c r="G144" s="1"/>
      <c r="H144" s="90"/>
      <c r="I144" s="242"/>
    </row>
    <row r="145" spans="1:9" x14ac:dyDescent="0.25">
      <c r="A145" s="1" t="s">
        <v>436</v>
      </c>
      <c r="B145" s="90">
        <v>0</v>
      </c>
      <c r="C145" s="90">
        <v>0</v>
      </c>
      <c r="D145" s="220">
        <v>2</v>
      </c>
      <c r="E145" s="1"/>
      <c r="F145" s="1"/>
      <c r="G145" s="1"/>
      <c r="H145" s="90"/>
      <c r="I145" s="1"/>
    </row>
    <row r="146" spans="1:9" x14ac:dyDescent="0.25">
      <c r="A146" s="1" t="s">
        <v>259</v>
      </c>
      <c r="B146" s="90">
        <v>1</v>
      </c>
      <c r="C146" s="90">
        <v>0</v>
      </c>
      <c r="D146" s="220">
        <v>2</v>
      </c>
      <c r="E146" s="1"/>
      <c r="F146" s="1"/>
      <c r="G146" s="1"/>
      <c r="H146" s="90"/>
      <c r="I146" s="1"/>
    </row>
    <row r="147" spans="1:9" x14ac:dyDescent="0.25">
      <c r="A147" s="1" t="s">
        <v>553</v>
      </c>
      <c r="B147" s="90">
        <v>0</v>
      </c>
      <c r="C147" s="90">
        <v>0</v>
      </c>
      <c r="D147" s="220">
        <v>2</v>
      </c>
      <c r="E147" s="1"/>
      <c r="F147" s="1"/>
      <c r="G147" s="1"/>
      <c r="H147" s="90"/>
      <c r="I147" s="242"/>
    </row>
    <row r="148" spans="1:9" x14ac:dyDescent="0.25">
      <c r="A148" s="1" t="s">
        <v>256</v>
      </c>
      <c r="B148" s="90">
        <v>1</v>
      </c>
      <c r="C148" s="90">
        <v>1</v>
      </c>
      <c r="D148" s="220">
        <v>1</v>
      </c>
      <c r="E148" s="1"/>
      <c r="F148" s="1"/>
      <c r="G148" s="1"/>
      <c r="H148" s="90"/>
      <c r="I148" s="1"/>
    </row>
    <row r="149" spans="1:9" x14ac:dyDescent="0.25">
      <c r="A149" s="1" t="s">
        <v>294</v>
      </c>
      <c r="B149" s="90">
        <v>1</v>
      </c>
      <c r="C149" s="90">
        <v>1</v>
      </c>
      <c r="D149" s="220">
        <v>1</v>
      </c>
      <c r="E149" s="1"/>
      <c r="F149" s="1"/>
      <c r="G149" s="1"/>
      <c r="H149" s="90"/>
      <c r="I149" s="1"/>
    </row>
    <row r="150" spans="1:9" x14ac:dyDescent="0.25">
      <c r="A150" s="1" t="s">
        <v>269</v>
      </c>
      <c r="B150" s="90">
        <v>1</v>
      </c>
      <c r="C150" s="90">
        <v>0</v>
      </c>
      <c r="D150" s="220">
        <v>1</v>
      </c>
      <c r="E150" s="1"/>
      <c r="F150" s="1"/>
      <c r="G150" s="1"/>
      <c r="H150" s="90"/>
      <c r="I150" s="242"/>
    </row>
    <row r="151" spans="1:9" x14ac:dyDescent="0.25">
      <c r="A151" s="1" t="s">
        <v>313</v>
      </c>
      <c r="B151" s="90">
        <v>1</v>
      </c>
      <c r="C151" s="90">
        <v>1</v>
      </c>
      <c r="D151" s="220">
        <v>1</v>
      </c>
      <c r="E151" s="1"/>
      <c r="F151" s="1"/>
      <c r="G151" s="1"/>
      <c r="H151" s="90"/>
      <c r="I151" s="1"/>
    </row>
    <row r="152" spans="1:9" x14ac:dyDescent="0.25">
      <c r="A152" s="1" t="s">
        <v>264</v>
      </c>
      <c r="B152" s="90">
        <v>1</v>
      </c>
      <c r="C152" s="90">
        <v>1</v>
      </c>
      <c r="D152" s="220">
        <v>1</v>
      </c>
      <c r="E152" s="1"/>
      <c r="F152" s="1"/>
      <c r="G152" s="1"/>
      <c r="H152" s="90"/>
      <c r="I152" s="1"/>
    </row>
    <row r="153" spans="1:9" x14ac:dyDescent="0.25">
      <c r="A153" s="1" t="s">
        <v>291</v>
      </c>
      <c r="B153" s="90">
        <v>1</v>
      </c>
      <c r="C153" s="90">
        <v>1</v>
      </c>
      <c r="D153" s="220">
        <v>1</v>
      </c>
      <c r="E153" s="1"/>
      <c r="F153" s="1"/>
      <c r="G153" s="1"/>
      <c r="H153" s="90"/>
      <c r="I153" s="242"/>
    </row>
    <row r="154" spans="1:9" x14ac:dyDescent="0.25">
      <c r="A154" s="1" t="s">
        <v>214</v>
      </c>
      <c r="B154" s="90">
        <v>1</v>
      </c>
      <c r="C154" s="90">
        <v>1</v>
      </c>
      <c r="D154" s="220">
        <v>1</v>
      </c>
      <c r="E154" s="1"/>
      <c r="F154" s="1"/>
      <c r="G154" s="1"/>
      <c r="H154" s="90"/>
      <c r="I154" s="1"/>
    </row>
    <row r="155" spans="1:9" x14ac:dyDescent="0.25">
      <c r="A155" s="1" t="s">
        <v>307</v>
      </c>
      <c r="B155" s="90">
        <v>1</v>
      </c>
      <c r="C155" s="90">
        <v>1</v>
      </c>
      <c r="D155" s="220">
        <v>1</v>
      </c>
      <c r="E155" s="1"/>
      <c r="F155" s="1"/>
      <c r="G155" s="1"/>
      <c r="H155" s="90"/>
      <c r="I155" s="1"/>
    </row>
    <row r="156" spans="1:9" x14ac:dyDescent="0.25">
      <c r="A156" s="1" t="s">
        <v>233</v>
      </c>
      <c r="B156" s="90">
        <v>1</v>
      </c>
      <c r="C156" s="90">
        <v>1</v>
      </c>
      <c r="D156" s="220">
        <v>1</v>
      </c>
      <c r="E156" s="1"/>
      <c r="F156" s="1"/>
      <c r="G156" s="1"/>
      <c r="H156" s="90"/>
      <c r="I156" s="242"/>
    </row>
    <row r="157" spans="1:9" x14ac:dyDescent="0.25">
      <c r="A157" s="1" t="s">
        <v>175</v>
      </c>
      <c r="B157" s="90">
        <v>3</v>
      </c>
      <c r="C157" s="90">
        <v>3</v>
      </c>
      <c r="D157" s="220">
        <v>1</v>
      </c>
      <c r="E157" s="1"/>
      <c r="F157" s="1"/>
      <c r="G157" s="1"/>
      <c r="H157" s="90"/>
      <c r="I157" s="1"/>
    </row>
    <row r="158" spans="1:9" x14ac:dyDescent="0.25">
      <c r="A158" s="1" t="s">
        <v>321</v>
      </c>
      <c r="B158" s="90">
        <v>1</v>
      </c>
      <c r="C158" s="90">
        <v>1</v>
      </c>
      <c r="D158" s="220">
        <v>1</v>
      </c>
      <c r="E158" s="1"/>
      <c r="F158" s="1"/>
      <c r="G158" s="1"/>
      <c r="H158" s="90"/>
      <c r="I158" s="1"/>
    </row>
    <row r="159" spans="1:9" x14ac:dyDescent="0.25">
      <c r="A159" s="1" t="s">
        <v>239</v>
      </c>
      <c r="B159" s="90">
        <v>1</v>
      </c>
      <c r="C159" s="90">
        <v>3</v>
      </c>
      <c r="D159" s="220">
        <v>1</v>
      </c>
      <c r="E159" s="1"/>
      <c r="F159" s="1"/>
      <c r="G159" s="1"/>
      <c r="H159" s="90"/>
      <c r="I159" s="242"/>
    </row>
    <row r="160" spans="1:9" x14ac:dyDescent="0.25">
      <c r="A160" s="1" t="s">
        <v>469</v>
      </c>
      <c r="B160" s="90">
        <v>0</v>
      </c>
      <c r="C160" s="90">
        <v>0</v>
      </c>
      <c r="D160" s="220">
        <v>1</v>
      </c>
      <c r="E160" s="1"/>
      <c r="F160" s="1"/>
      <c r="G160" s="1"/>
      <c r="H160" s="90"/>
      <c r="I160" s="1"/>
    </row>
    <row r="161" spans="1:9" x14ac:dyDescent="0.25">
      <c r="A161" s="1" t="s">
        <v>315</v>
      </c>
      <c r="B161" s="90">
        <v>1</v>
      </c>
      <c r="C161" s="90">
        <v>0</v>
      </c>
      <c r="D161" s="220">
        <v>1</v>
      </c>
      <c r="E161" s="1"/>
      <c r="F161" s="1"/>
      <c r="G161" s="1"/>
      <c r="H161" s="90"/>
      <c r="I161" s="1"/>
    </row>
    <row r="162" spans="1:9" x14ac:dyDescent="0.25">
      <c r="A162" s="1" t="s">
        <v>212</v>
      </c>
      <c r="B162" s="90">
        <v>2</v>
      </c>
      <c r="C162" s="90">
        <v>2</v>
      </c>
      <c r="D162" s="220">
        <v>1</v>
      </c>
      <c r="E162" s="1"/>
      <c r="F162" s="1"/>
      <c r="G162" s="1"/>
      <c r="H162" s="90"/>
      <c r="I162" s="1"/>
    </row>
    <row r="163" spans="1:9" x14ac:dyDescent="0.25">
      <c r="A163" s="1" t="s">
        <v>243</v>
      </c>
      <c r="B163" s="90">
        <v>1</v>
      </c>
      <c r="C163" s="90">
        <v>0</v>
      </c>
      <c r="D163" s="220">
        <v>1</v>
      </c>
      <c r="E163" s="1"/>
      <c r="F163" s="1"/>
      <c r="G163" s="1"/>
      <c r="H163" s="90"/>
      <c r="I163" s="1"/>
    </row>
    <row r="164" spans="1:9" x14ac:dyDescent="0.25">
      <c r="A164" s="1" t="s">
        <v>903</v>
      </c>
      <c r="B164" s="90">
        <v>0</v>
      </c>
      <c r="C164" s="90">
        <v>0</v>
      </c>
      <c r="D164" s="220">
        <v>1</v>
      </c>
      <c r="E164" s="1"/>
      <c r="F164" s="1"/>
      <c r="G164" s="1"/>
      <c r="H164" s="90"/>
      <c r="I164" s="1"/>
    </row>
    <row r="165" spans="1:9" x14ac:dyDescent="0.25">
      <c r="A165" s="1" t="s">
        <v>179</v>
      </c>
      <c r="B165" s="90">
        <v>3</v>
      </c>
      <c r="C165" s="90">
        <v>3</v>
      </c>
      <c r="D165" s="220">
        <v>1</v>
      </c>
      <c r="E165" s="1"/>
      <c r="F165" s="1"/>
      <c r="G165" s="1"/>
      <c r="H165" s="90"/>
      <c r="I165" s="1"/>
    </row>
    <row r="166" spans="1:9" x14ac:dyDescent="0.25">
      <c r="A166" s="1" t="s">
        <v>218</v>
      </c>
      <c r="B166" s="90">
        <v>1</v>
      </c>
      <c r="C166" s="90">
        <v>2</v>
      </c>
      <c r="D166" s="220">
        <v>1</v>
      </c>
      <c r="E166" s="1"/>
      <c r="F166" s="1"/>
      <c r="G166" s="1"/>
      <c r="H166" s="90"/>
      <c r="I166" s="1"/>
    </row>
    <row r="167" spans="1:9" x14ac:dyDescent="0.25">
      <c r="A167" s="1" t="s">
        <v>554</v>
      </c>
      <c r="B167" s="90">
        <v>1</v>
      </c>
      <c r="C167" s="90">
        <v>0</v>
      </c>
      <c r="D167" s="220">
        <v>1</v>
      </c>
      <c r="E167" s="1"/>
      <c r="F167" s="1"/>
      <c r="G167" s="1"/>
      <c r="H167" s="90"/>
      <c r="I167" s="1"/>
    </row>
    <row r="168" spans="1:9" x14ac:dyDescent="0.25">
      <c r="A168" s="1" t="s">
        <v>296</v>
      </c>
      <c r="B168" s="90">
        <v>0</v>
      </c>
      <c r="C168" s="90">
        <v>0</v>
      </c>
      <c r="D168" s="220">
        <v>1</v>
      </c>
      <c r="E168" s="1"/>
      <c r="F168" s="1"/>
      <c r="G168" s="1"/>
      <c r="H168" s="90"/>
      <c r="I168" s="1"/>
    </row>
    <row r="169" spans="1:9" x14ac:dyDescent="0.25">
      <c r="A169" s="1" t="s">
        <v>258</v>
      </c>
      <c r="B169" s="90">
        <v>1</v>
      </c>
      <c r="C169" s="90">
        <v>1</v>
      </c>
      <c r="D169" s="220">
        <v>1</v>
      </c>
      <c r="E169" s="1"/>
      <c r="F169" s="1"/>
      <c r="G169" s="1"/>
      <c r="H169" s="90"/>
      <c r="I169" s="1"/>
    </row>
    <row r="170" spans="1:9" x14ac:dyDescent="0.25">
      <c r="A170" s="1" t="s">
        <v>262</v>
      </c>
      <c r="B170" s="90">
        <v>1</v>
      </c>
      <c r="C170" s="90">
        <v>2</v>
      </c>
      <c r="D170" s="220">
        <v>1</v>
      </c>
      <c r="E170" s="1"/>
      <c r="F170" s="1"/>
      <c r="G170" s="1"/>
      <c r="H170" s="90"/>
      <c r="I170" s="1"/>
    </row>
    <row r="171" spans="1:9" x14ac:dyDescent="0.25">
      <c r="A171" s="1" t="s">
        <v>219</v>
      </c>
      <c r="B171" s="90">
        <v>1</v>
      </c>
      <c r="C171" s="90">
        <v>1</v>
      </c>
      <c r="D171" s="220">
        <v>1</v>
      </c>
      <c r="E171" s="1"/>
      <c r="F171" s="1"/>
      <c r="G171" s="1"/>
      <c r="H171" s="90"/>
      <c r="I171" s="1"/>
    </row>
    <row r="172" spans="1:9" x14ac:dyDescent="0.25">
      <c r="A172" s="1" t="s">
        <v>286</v>
      </c>
      <c r="B172" s="90">
        <v>1</v>
      </c>
      <c r="C172" s="90">
        <v>1</v>
      </c>
      <c r="D172" s="220">
        <v>1</v>
      </c>
      <c r="E172" s="1"/>
      <c r="F172" s="1"/>
      <c r="G172" s="1"/>
      <c r="H172" s="90"/>
      <c r="I172" s="1"/>
    </row>
    <row r="173" spans="1:9" x14ac:dyDescent="0.25">
      <c r="A173" s="1" t="s">
        <v>445</v>
      </c>
      <c r="B173" s="90">
        <v>0</v>
      </c>
      <c r="C173" s="90">
        <v>0</v>
      </c>
      <c r="D173" s="220">
        <v>1</v>
      </c>
      <c r="E173" s="1"/>
      <c r="F173" s="1"/>
      <c r="G173" s="1"/>
      <c r="H173" s="90"/>
      <c r="I173" s="1"/>
    </row>
    <row r="174" spans="1:9" x14ac:dyDescent="0.25">
      <c r="A174" s="1" t="s">
        <v>306</v>
      </c>
      <c r="B174" s="90">
        <v>1</v>
      </c>
      <c r="C174" s="90">
        <v>1</v>
      </c>
      <c r="D174" s="220">
        <v>1</v>
      </c>
      <c r="E174" s="1"/>
      <c r="F174" s="1"/>
      <c r="G174" s="1"/>
      <c r="H174" s="90"/>
      <c r="I174" s="1"/>
    </row>
    <row r="175" spans="1:9" x14ac:dyDescent="0.25">
      <c r="A175" s="1" t="s">
        <v>202</v>
      </c>
      <c r="B175" s="90">
        <v>2</v>
      </c>
      <c r="C175" s="90">
        <v>3</v>
      </c>
      <c r="D175" s="220">
        <v>1</v>
      </c>
      <c r="E175" s="1"/>
      <c r="F175" s="1"/>
      <c r="G175" s="1"/>
      <c r="H175" s="90"/>
      <c r="I175" s="1"/>
    </row>
    <row r="176" spans="1:9" x14ac:dyDescent="0.25">
      <c r="A176" s="1" t="s">
        <v>273</v>
      </c>
      <c r="B176" s="90">
        <v>1</v>
      </c>
      <c r="C176" s="90">
        <v>1</v>
      </c>
      <c r="D176" s="220">
        <v>1</v>
      </c>
      <c r="E176" s="1"/>
      <c r="F176" s="1"/>
      <c r="G176" s="1"/>
      <c r="H176" s="90"/>
      <c r="I176" s="1"/>
    </row>
    <row r="177" spans="1:13" x14ac:dyDescent="0.25">
      <c r="A177" s="1" t="s">
        <v>246</v>
      </c>
      <c r="B177" s="90">
        <v>1</v>
      </c>
      <c r="C177" s="90">
        <v>0</v>
      </c>
      <c r="D177" s="220">
        <v>1</v>
      </c>
      <c r="E177" s="1"/>
      <c r="F177" s="1"/>
      <c r="G177" s="1"/>
      <c r="H177" s="90"/>
      <c r="I177" s="1"/>
    </row>
    <row r="178" spans="1:13" x14ac:dyDescent="0.25">
      <c r="A178" s="1" t="s">
        <v>838</v>
      </c>
      <c r="B178" s="90">
        <v>1</v>
      </c>
      <c r="C178" s="90">
        <v>0</v>
      </c>
      <c r="D178" s="220">
        <v>1</v>
      </c>
      <c r="E178" s="1"/>
      <c r="F178" s="1"/>
      <c r="G178" s="1"/>
      <c r="H178" s="90"/>
      <c r="I178" s="1"/>
    </row>
    <row r="179" spans="1:13" x14ac:dyDescent="0.25">
      <c r="A179" s="1" t="s">
        <v>814</v>
      </c>
      <c r="B179" s="90">
        <v>0</v>
      </c>
      <c r="C179" s="90">
        <v>0</v>
      </c>
      <c r="D179" s="220">
        <v>1</v>
      </c>
      <c r="E179" s="1"/>
      <c r="F179" s="1"/>
      <c r="G179" s="1"/>
      <c r="H179" s="90"/>
      <c r="I179" s="1"/>
    </row>
    <row r="180" spans="1:13" x14ac:dyDescent="0.25">
      <c r="A180" s="1" t="s">
        <v>470</v>
      </c>
      <c r="B180" s="90">
        <v>0</v>
      </c>
      <c r="C180" s="90">
        <v>0</v>
      </c>
      <c r="D180" s="220">
        <v>0</v>
      </c>
      <c r="E180" s="1"/>
      <c r="F180" s="1"/>
      <c r="G180" s="1"/>
      <c r="H180" s="90"/>
      <c r="I180" s="1"/>
    </row>
    <row r="181" spans="1:13" x14ac:dyDescent="0.25">
      <c r="A181" s="1" t="s">
        <v>472</v>
      </c>
      <c r="B181" s="90">
        <v>0</v>
      </c>
      <c r="C181" s="90">
        <v>0</v>
      </c>
      <c r="D181" s="220">
        <v>0</v>
      </c>
      <c r="E181" s="1"/>
      <c r="F181" s="1"/>
      <c r="G181" s="1"/>
      <c r="H181" s="90"/>
      <c r="I181" s="1"/>
    </row>
    <row r="182" spans="1:13" x14ac:dyDescent="0.25">
      <c r="A182" s="1" t="s">
        <v>580</v>
      </c>
      <c r="B182" s="90">
        <v>0</v>
      </c>
      <c r="C182" s="90">
        <v>0</v>
      </c>
      <c r="D182" s="220">
        <v>0</v>
      </c>
      <c r="E182" s="1"/>
      <c r="F182" s="1"/>
      <c r="G182" s="1"/>
      <c r="H182" s="90"/>
      <c r="I182" s="1"/>
    </row>
    <row r="183" spans="1:13" x14ac:dyDescent="0.25">
      <c r="A183" s="1" t="s">
        <v>263</v>
      </c>
      <c r="B183" s="90">
        <v>1</v>
      </c>
      <c r="C183" s="90">
        <v>1</v>
      </c>
      <c r="D183" s="220">
        <v>0</v>
      </c>
      <c r="E183" s="1"/>
      <c r="F183" s="1"/>
      <c r="G183" s="1"/>
      <c r="H183" s="90"/>
      <c r="I183" s="1"/>
    </row>
    <row r="184" spans="1:13" x14ac:dyDescent="0.25">
      <c r="A184" s="1" t="s">
        <v>245</v>
      </c>
      <c r="B184" s="90">
        <v>2</v>
      </c>
      <c r="C184" s="90">
        <v>0</v>
      </c>
      <c r="D184" s="220">
        <v>0</v>
      </c>
      <c r="E184" s="1"/>
      <c r="F184" s="1"/>
      <c r="G184" s="1"/>
      <c r="H184" s="90"/>
      <c r="I184" s="1"/>
    </row>
    <row r="185" spans="1:13" x14ac:dyDescent="0.25">
      <c r="A185" s="1" t="s">
        <v>468</v>
      </c>
      <c r="B185" s="90">
        <v>0</v>
      </c>
      <c r="C185" s="90">
        <v>0</v>
      </c>
      <c r="D185" s="220">
        <v>0</v>
      </c>
      <c r="E185" s="1"/>
      <c r="F185" s="1"/>
      <c r="G185" s="1"/>
      <c r="H185" s="90"/>
      <c r="I185" s="1"/>
    </row>
    <row r="186" spans="1:13" x14ac:dyDescent="0.25">
      <c r="A186" s="1" t="s">
        <v>475</v>
      </c>
      <c r="B186" s="90">
        <v>0</v>
      </c>
      <c r="C186" s="90">
        <v>0</v>
      </c>
      <c r="D186" s="220">
        <v>0</v>
      </c>
      <c r="E186" s="1"/>
      <c r="F186" s="1"/>
      <c r="G186" s="1"/>
      <c r="H186" s="90"/>
      <c r="I186" s="1"/>
    </row>
    <row r="187" spans="1:13" x14ac:dyDescent="0.25">
      <c r="A187" s="1" t="s">
        <v>279</v>
      </c>
      <c r="B187" s="90">
        <v>1</v>
      </c>
      <c r="C187" s="90">
        <v>0</v>
      </c>
      <c r="D187" s="220">
        <v>0</v>
      </c>
      <c r="E187" s="1"/>
      <c r="F187" s="1"/>
      <c r="G187" s="1"/>
      <c r="H187" s="90"/>
      <c r="I187" s="1"/>
    </row>
    <row r="188" spans="1:13" x14ac:dyDescent="0.25">
      <c r="A188" s="1" t="s">
        <v>448</v>
      </c>
      <c r="B188" s="90">
        <v>0</v>
      </c>
      <c r="C188" s="90">
        <v>0</v>
      </c>
      <c r="D188" s="220">
        <v>0</v>
      </c>
      <c r="E188" s="1"/>
      <c r="F188" s="1"/>
      <c r="G188" s="1"/>
      <c r="H188" s="90"/>
      <c r="I188" s="1"/>
    </row>
    <row r="189" spans="1:13" x14ac:dyDescent="0.25">
      <c r="A189" s="1" t="s">
        <v>461</v>
      </c>
      <c r="B189" s="90">
        <v>0</v>
      </c>
      <c r="C189" s="90">
        <v>0</v>
      </c>
      <c r="D189" s="220">
        <v>0</v>
      </c>
      <c r="E189" s="1"/>
      <c r="F189" s="1"/>
      <c r="G189" s="1"/>
      <c r="H189" s="90"/>
      <c r="I189" s="1"/>
    </row>
    <row r="190" spans="1:13" x14ac:dyDescent="0.25">
      <c r="A190" s="1" t="s">
        <v>586</v>
      </c>
      <c r="B190" s="90">
        <v>0</v>
      </c>
      <c r="C190" s="90">
        <v>0</v>
      </c>
      <c r="D190" s="220">
        <v>0</v>
      </c>
      <c r="E190" s="1"/>
      <c r="F190" s="1"/>
      <c r="G190" s="1"/>
      <c r="H190" s="90"/>
      <c r="I190" s="1"/>
    </row>
    <row r="191" spans="1:13" x14ac:dyDescent="0.25">
      <c r="A191" s="1" t="s">
        <v>897</v>
      </c>
      <c r="B191" s="90">
        <v>1</v>
      </c>
      <c r="C191" s="90">
        <v>1</v>
      </c>
      <c r="D191" s="220">
        <v>0</v>
      </c>
      <c r="E191" s="1"/>
      <c r="F191" s="1"/>
      <c r="G191" s="1"/>
      <c r="H191" s="90"/>
      <c r="I191" s="1"/>
    </row>
    <row r="192" spans="1:13" x14ac:dyDescent="0.25">
      <c r="A192" s="1" t="s">
        <v>290</v>
      </c>
      <c r="B192" s="90">
        <v>1</v>
      </c>
      <c r="C192" s="90">
        <v>0</v>
      </c>
      <c r="D192" s="220">
        <v>0</v>
      </c>
      <c r="E192" s="1"/>
      <c r="F192" s="1"/>
      <c r="G192" s="1"/>
      <c r="H192" s="90"/>
      <c r="I192" s="1"/>
      <c r="J192" s="1"/>
      <c r="K192" s="1"/>
      <c r="L192" s="1"/>
      <c r="M192" s="1"/>
    </row>
    <row r="193" spans="1:13" x14ac:dyDescent="0.25">
      <c r="A193" s="1" t="s">
        <v>571</v>
      </c>
      <c r="B193" s="90">
        <v>0</v>
      </c>
      <c r="C193" s="90">
        <v>0</v>
      </c>
      <c r="D193" s="220">
        <v>0</v>
      </c>
      <c r="E193" s="1"/>
      <c r="F193" s="1"/>
      <c r="G193" s="1"/>
      <c r="H193" s="90"/>
      <c r="I193" s="1"/>
      <c r="J193" s="1"/>
      <c r="K193" s="1"/>
      <c r="L193" s="1"/>
      <c r="M193" s="1"/>
    </row>
    <row r="194" spans="1:13" x14ac:dyDescent="0.25">
      <c r="A194" s="1" t="s">
        <v>213</v>
      </c>
      <c r="B194" s="90">
        <v>1</v>
      </c>
      <c r="C194" s="90">
        <v>0</v>
      </c>
      <c r="D194" s="220">
        <v>0</v>
      </c>
      <c r="E194" s="1"/>
      <c r="F194" s="1"/>
      <c r="G194" s="1"/>
      <c r="H194" s="90"/>
      <c r="I194" s="1"/>
      <c r="J194" s="1"/>
      <c r="K194" s="1"/>
      <c r="L194" s="1"/>
      <c r="M194" s="1"/>
    </row>
    <row r="195" spans="1:13" x14ac:dyDescent="0.25">
      <c r="A195" s="1" t="s">
        <v>298</v>
      </c>
      <c r="B195" s="90">
        <v>1</v>
      </c>
      <c r="C195" s="90">
        <v>1</v>
      </c>
      <c r="D195" s="220">
        <v>0</v>
      </c>
      <c r="E195" s="1"/>
      <c r="F195" s="1"/>
      <c r="G195" s="1"/>
      <c r="H195" s="90"/>
      <c r="I195" s="1"/>
      <c r="J195" s="1"/>
      <c r="K195" s="1"/>
      <c r="L195" s="1"/>
      <c r="M195" s="1"/>
    </row>
    <row r="196" spans="1:13" x14ac:dyDescent="0.25">
      <c r="A196" s="1" t="s">
        <v>478</v>
      </c>
      <c r="B196" s="90">
        <v>0</v>
      </c>
      <c r="C196" s="90">
        <v>0</v>
      </c>
      <c r="D196" s="220">
        <v>0</v>
      </c>
      <c r="E196" s="1"/>
      <c r="F196" s="1"/>
      <c r="G196" s="1"/>
      <c r="H196" s="90"/>
      <c r="I196" s="1"/>
      <c r="J196" s="1"/>
      <c r="K196" s="1"/>
      <c r="L196" s="1"/>
      <c r="M196" s="1"/>
    </row>
    <row r="197" spans="1:13" x14ac:dyDescent="0.25">
      <c r="A197" s="1" t="s">
        <v>536</v>
      </c>
      <c r="B197" s="90">
        <v>0</v>
      </c>
      <c r="C197" s="90">
        <v>0</v>
      </c>
      <c r="D197" s="220">
        <v>0</v>
      </c>
      <c r="E197" s="1"/>
      <c r="F197" s="1"/>
      <c r="G197" s="1"/>
      <c r="H197" s="90"/>
      <c r="I197" s="1"/>
      <c r="J197" s="1"/>
      <c r="K197" s="1"/>
      <c r="L197" s="1"/>
      <c r="M197" s="1"/>
    </row>
    <row r="198" spans="1:13" x14ac:dyDescent="0.25">
      <c r="A198" s="1" t="s">
        <v>289</v>
      </c>
      <c r="B198" s="90">
        <v>1</v>
      </c>
      <c r="C198" s="90">
        <v>1</v>
      </c>
      <c r="D198" s="220">
        <v>0</v>
      </c>
      <c r="E198" s="1"/>
      <c r="F198" s="1"/>
      <c r="G198" s="1"/>
      <c r="H198" s="90"/>
      <c r="I198" s="1"/>
      <c r="J198" s="1"/>
      <c r="K198" s="1"/>
      <c r="L198" s="1"/>
      <c r="M198" s="1"/>
    </row>
    <row r="199" spans="1:13" x14ac:dyDescent="0.25">
      <c r="A199" s="1" t="s">
        <v>462</v>
      </c>
      <c r="B199" s="90">
        <v>0</v>
      </c>
      <c r="C199" s="90">
        <v>0</v>
      </c>
      <c r="D199" s="220">
        <v>0</v>
      </c>
      <c r="E199" s="1"/>
      <c r="F199" s="1"/>
      <c r="G199" s="1"/>
      <c r="H199" s="90"/>
      <c r="I199" s="1"/>
      <c r="J199" s="1"/>
      <c r="K199" s="1"/>
      <c r="L199" s="1"/>
      <c r="M199" s="1"/>
    </row>
    <row r="200" spans="1:13" x14ac:dyDescent="0.25">
      <c r="A200" s="1" t="s">
        <v>563</v>
      </c>
      <c r="B200" s="90">
        <v>0</v>
      </c>
      <c r="C200" s="90">
        <v>0</v>
      </c>
      <c r="D200" s="220">
        <v>0</v>
      </c>
      <c r="E200" s="1"/>
      <c r="F200" s="1"/>
      <c r="G200" s="1"/>
      <c r="H200" s="90"/>
      <c r="I200" s="1"/>
      <c r="J200" s="1"/>
      <c r="K200" s="1"/>
      <c r="L200" s="1"/>
      <c r="M200" s="1"/>
    </row>
    <row r="201" spans="1:13" x14ac:dyDescent="0.25">
      <c r="A201" s="1" t="s">
        <v>309</v>
      </c>
      <c r="B201" s="90">
        <v>1</v>
      </c>
      <c r="C201" s="90">
        <v>0</v>
      </c>
      <c r="D201" s="220">
        <v>0</v>
      </c>
      <c r="E201" s="1"/>
      <c r="F201" s="1"/>
      <c r="G201" s="1"/>
      <c r="H201" s="90"/>
      <c r="I201" s="1"/>
      <c r="J201" s="1"/>
      <c r="K201" s="1"/>
      <c r="L201" s="1"/>
      <c r="M201" s="1"/>
    </row>
    <row r="202" spans="1:13" x14ac:dyDescent="0.25">
      <c r="A202" s="1" t="s">
        <v>377</v>
      </c>
      <c r="B202" s="90">
        <v>0</v>
      </c>
      <c r="C202" s="90">
        <v>0</v>
      </c>
      <c r="D202" s="220">
        <v>0</v>
      </c>
      <c r="E202" s="1"/>
      <c r="F202" s="1"/>
      <c r="G202" s="1"/>
      <c r="H202" s="90"/>
      <c r="I202" s="1"/>
      <c r="J202" s="1"/>
      <c r="K202" s="1"/>
      <c r="L202" s="1"/>
      <c r="M202" s="1"/>
    </row>
    <row r="203" spans="1:13" x14ac:dyDescent="0.25">
      <c r="A203" s="1" t="s">
        <v>316</v>
      </c>
      <c r="B203" s="90">
        <v>1</v>
      </c>
      <c r="C203" s="90">
        <v>0</v>
      </c>
      <c r="D203" s="220">
        <v>0</v>
      </c>
      <c r="E203" s="1"/>
      <c r="F203" s="1"/>
      <c r="G203" s="1"/>
      <c r="H203" s="90"/>
      <c r="I203" s="1"/>
      <c r="J203" s="1"/>
      <c r="K203" s="1"/>
      <c r="L203" s="1"/>
      <c r="M203" s="1"/>
    </row>
    <row r="204" spans="1:13" x14ac:dyDescent="0.25">
      <c r="A204" s="1" t="s">
        <v>253</v>
      </c>
      <c r="B204" s="90">
        <v>1</v>
      </c>
      <c r="C204" s="90">
        <v>3</v>
      </c>
      <c r="D204" s="220">
        <v>0</v>
      </c>
      <c r="E204" s="1"/>
      <c r="F204" s="1"/>
      <c r="G204" s="1"/>
      <c r="H204" s="90"/>
      <c r="I204" s="1"/>
      <c r="J204" s="1"/>
      <c r="K204" s="1"/>
      <c r="L204" s="1"/>
      <c r="M204" s="1"/>
    </row>
    <row r="205" spans="1:13" x14ac:dyDescent="0.25">
      <c r="A205" s="1" t="s">
        <v>251</v>
      </c>
      <c r="B205" s="90">
        <v>1</v>
      </c>
      <c r="C205" s="90">
        <v>2</v>
      </c>
      <c r="D205" s="220">
        <v>0</v>
      </c>
      <c r="E205" s="1"/>
      <c r="F205" s="1"/>
      <c r="G205" s="1"/>
      <c r="H205" s="90"/>
      <c r="I205" s="1"/>
      <c r="J205" s="1"/>
      <c r="K205" s="1"/>
      <c r="L205" s="1"/>
      <c r="M205" s="1"/>
    </row>
    <row r="206" spans="1:13" x14ac:dyDescent="0.25">
      <c r="A206" s="1" t="s">
        <v>595</v>
      </c>
      <c r="B206" s="90">
        <v>0</v>
      </c>
      <c r="C206" s="90">
        <v>0</v>
      </c>
      <c r="D206" s="220">
        <v>0</v>
      </c>
      <c r="E206" s="1"/>
      <c r="F206" s="1"/>
      <c r="G206" s="1"/>
      <c r="H206" s="242"/>
      <c r="I206" s="1"/>
      <c r="J206" s="1"/>
      <c r="K206" s="1"/>
      <c r="L206" s="1"/>
      <c r="M206" s="1"/>
    </row>
    <row r="207" spans="1:13" x14ac:dyDescent="0.25">
      <c r="A207" s="1" t="s">
        <v>715</v>
      </c>
      <c r="B207" s="90">
        <v>0</v>
      </c>
      <c r="C207" s="90">
        <v>0</v>
      </c>
      <c r="D207" s="220">
        <v>0</v>
      </c>
      <c r="E207" s="1"/>
      <c r="F207" s="1"/>
      <c r="G207" s="1"/>
      <c r="H207" s="242"/>
      <c r="I207" s="90"/>
      <c r="J207" s="1"/>
      <c r="K207" s="1"/>
      <c r="L207" s="1"/>
      <c r="M207" s="1"/>
    </row>
    <row r="208" spans="1:13" x14ac:dyDescent="0.25">
      <c r="A208" s="1" t="s">
        <v>839</v>
      </c>
      <c r="B208" s="90">
        <v>0</v>
      </c>
      <c r="C208" s="90">
        <v>0</v>
      </c>
      <c r="D208" s="220">
        <v>0</v>
      </c>
      <c r="E208" s="1"/>
      <c r="F208" s="1"/>
      <c r="G208" s="1"/>
      <c r="H208" s="242"/>
      <c r="I208" s="90"/>
      <c r="J208" s="1"/>
    </row>
    <row r="209" spans="1:10" x14ac:dyDescent="0.25">
      <c r="A209" s="1" t="s">
        <v>308</v>
      </c>
      <c r="B209" s="90">
        <v>1</v>
      </c>
      <c r="C209" s="90">
        <v>0</v>
      </c>
      <c r="D209" s="220">
        <v>0</v>
      </c>
      <c r="E209" s="1"/>
      <c r="F209" s="1"/>
      <c r="G209" s="1"/>
      <c r="H209" s="242"/>
      <c r="I209" s="90"/>
      <c r="J209" s="1"/>
    </row>
    <row r="210" spans="1:10" x14ac:dyDescent="0.25">
      <c r="A210" s="1" t="s">
        <v>459</v>
      </c>
      <c r="B210" s="90">
        <v>0</v>
      </c>
      <c r="C210" s="90">
        <v>0</v>
      </c>
      <c r="D210" s="220">
        <v>0</v>
      </c>
      <c r="E210" s="1"/>
      <c r="F210" s="1"/>
      <c r="G210" s="1"/>
      <c r="H210" s="242"/>
      <c r="I210" s="90"/>
      <c r="J210" s="1"/>
    </row>
    <row r="211" spans="1:10" x14ac:dyDescent="0.25">
      <c r="A211" s="1" t="s">
        <v>467</v>
      </c>
      <c r="B211" s="90">
        <v>0</v>
      </c>
      <c r="C211" s="90">
        <v>0</v>
      </c>
      <c r="D211" s="220">
        <v>0</v>
      </c>
      <c r="E211" s="1"/>
      <c r="F211" s="1"/>
      <c r="G211" s="1"/>
      <c r="H211" s="242"/>
      <c r="I211" s="90"/>
      <c r="J211" s="1"/>
    </row>
    <row r="212" spans="1:10" x14ac:dyDescent="0.25">
      <c r="A212" s="1" t="s">
        <v>904</v>
      </c>
      <c r="B212" s="90">
        <v>0</v>
      </c>
      <c r="C212" s="90">
        <v>0</v>
      </c>
      <c r="D212" s="220">
        <v>0</v>
      </c>
      <c r="E212" s="1"/>
      <c r="F212" s="1"/>
      <c r="G212" s="1"/>
      <c r="H212" s="242"/>
      <c r="I212" s="90"/>
      <c r="J212" s="1"/>
    </row>
    <row r="213" spans="1:10" x14ac:dyDescent="0.25">
      <c r="A213" s="1" t="s">
        <v>842</v>
      </c>
      <c r="B213" s="90">
        <v>0</v>
      </c>
      <c r="C213" s="90">
        <v>0</v>
      </c>
      <c r="D213" s="220">
        <v>0</v>
      </c>
      <c r="E213" s="1"/>
      <c r="F213" s="1"/>
      <c r="G213" s="1"/>
      <c r="H213" s="242"/>
      <c r="I213" s="90"/>
      <c r="J213" s="1"/>
    </row>
    <row r="214" spans="1:10" x14ac:dyDescent="0.25">
      <c r="A214" s="1" t="s">
        <v>386</v>
      </c>
      <c r="B214" s="90">
        <v>0</v>
      </c>
      <c r="C214" s="90">
        <v>0</v>
      </c>
      <c r="D214" s="220">
        <v>0</v>
      </c>
      <c r="E214" s="1"/>
      <c r="F214" s="1"/>
      <c r="G214" s="1"/>
      <c r="H214" s="242"/>
      <c r="I214" s="90"/>
      <c r="J214" s="1"/>
    </row>
    <row r="215" spans="1:10" x14ac:dyDescent="0.25">
      <c r="A215" s="1" t="s">
        <v>280</v>
      </c>
      <c r="B215" s="90">
        <v>1</v>
      </c>
      <c r="C215" s="90">
        <v>1</v>
      </c>
      <c r="D215" s="220">
        <v>0</v>
      </c>
      <c r="E215" s="1"/>
      <c r="F215" s="1"/>
      <c r="G215" s="1"/>
      <c r="H215" s="242"/>
      <c r="I215" s="90"/>
      <c r="J215" s="1"/>
    </row>
    <row r="216" spans="1:10" x14ac:dyDescent="0.25">
      <c r="A216" s="1" t="s">
        <v>573</v>
      </c>
      <c r="B216" s="90">
        <v>1</v>
      </c>
      <c r="C216" s="90">
        <v>0</v>
      </c>
      <c r="D216" s="220">
        <v>0</v>
      </c>
      <c r="E216" s="1"/>
      <c r="F216" s="1"/>
      <c r="G216" s="1"/>
      <c r="H216" s="242"/>
      <c r="I216" s="90"/>
      <c r="J216" s="1"/>
    </row>
    <row r="217" spans="1:10" x14ac:dyDescent="0.25">
      <c r="A217" s="1" t="s">
        <v>562</v>
      </c>
      <c r="B217" s="90">
        <v>0</v>
      </c>
      <c r="C217" s="90">
        <v>0</v>
      </c>
      <c r="D217" s="220">
        <v>0</v>
      </c>
      <c r="E217" s="1"/>
      <c r="F217" s="1"/>
      <c r="G217" s="1"/>
      <c r="H217" s="242"/>
      <c r="I217" s="90"/>
      <c r="J217" s="1"/>
    </row>
    <row r="218" spans="1:10" x14ac:dyDescent="0.25">
      <c r="A218" s="1" t="s">
        <v>447</v>
      </c>
      <c r="B218" s="90">
        <v>0</v>
      </c>
      <c r="C218" s="90">
        <v>0</v>
      </c>
      <c r="D218" s="220">
        <v>0</v>
      </c>
      <c r="E218" s="1"/>
      <c r="F218" s="1"/>
      <c r="G218" s="1"/>
      <c r="H218" s="242"/>
      <c r="I218" s="90"/>
      <c r="J218" s="1"/>
    </row>
    <row r="219" spans="1:10" x14ac:dyDescent="0.25">
      <c r="A219" s="1" t="s">
        <v>282</v>
      </c>
      <c r="B219" s="90">
        <v>1</v>
      </c>
      <c r="C219" s="90">
        <v>0</v>
      </c>
      <c r="D219" s="220">
        <v>0</v>
      </c>
      <c r="E219" s="1"/>
      <c r="F219" s="1"/>
      <c r="G219" s="1"/>
      <c r="H219" s="242"/>
      <c r="I219" s="90"/>
      <c r="J219" s="1"/>
    </row>
    <row r="220" spans="1:10" x14ac:dyDescent="0.25">
      <c r="A220" s="1" t="s">
        <v>450</v>
      </c>
      <c r="B220" s="90">
        <v>0</v>
      </c>
      <c r="C220" s="90">
        <v>0</v>
      </c>
      <c r="D220" s="220">
        <v>0</v>
      </c>
      <c r="E220" s="1"/>
      <c r="F220" s="1"/>
      <c r="G220" s="1"/>
      <c r="H220" s="242"/>
      <c r="I220" s="90"/>
      <c r="J220" s="1"/>
    </row>
    <row r="221" spans="1:10" x14ac:dyDescent="0.25">
      <c r="A221" s="1" t="s">
        <v>905</v>
      </c>
      <c r="B221" s="90">
        <v>0</v>
      </c>
      <c r="C221" s="90">
        <v>0</v>
      </c>
      <c r="D221" s="220">
        <v>0</v>
      </c>
      <c r="E221" s="1"/>
      <c r="F221" s="1"/>
      <c r="G221" s="1"/>
      <c r="H221" s="242"/>
      <c r="I221" s="90"/>
      <c r="J221" s="1"/>
    </row>
    <row r="222" spans="1:10" x14ac:dyDescent="0.25">
      <c r="A222" s="1" t="s">
        <v>203</v>
      </c>
      <c r="B222" s="90">
        <v>3</v>
      </c>
      <c r="C222" s="90">
        <v>4</v>
      </c>
      <c r="D222" s="220">
        <v>0</v>
      </c>
      <c r="E222" s="1"/>
      <c r="F222" s="1"/>
      <c r="G222" s="1"/>
      <c r="H222" s="242"/>
      <c r="I222" s="90"/>
      <c r="J222" s="1"/>
    </row>
    <row r="223" spans="1:10" x14ac:dyDescent="0.25">
      <c r="A223" s="1" t="s">
        <v>277</v>
      </c>
      <c r="B223" s="90">
        <v>1</v>
      </c>
      <c r="C223" s="90">
        <v>0</v>
      </c>
      <c r="D223" s="220">
        <v>0</v>
      </c>
      <c r="E223" s="1"/>
      <c r="F223" s="1"/>
      <c r="G223" s="1"/>
      <c r="H223" s="242"/>
      <c r="I223" s="90"/>
      <c r="J223" s="1"/>
    </row>
    <row r="224" spans="1:10" x14ac:dyDescent="0.25">
      <c r="A224" s="1" t="s">
        <v>441</v>
      </c>
      <c r="B224" s="90">
        <v>0</v>
      </c>
      <c r="C224" s="90">
        <v>0</v>
      </c>
      <c r="D224" s="220">
        <v>0</v>
      </c>
      <c r="E224" s="1"/>
      <c r="F224" s="1"/>
      <c r="G224" s="1"/>
      <c r="H224" s="242"/>
      <c r="I224" s="90"/>
      <c r="J224" s="1"/>
    </row>
    <row r="225" spans="1:10" x14ac:dyDescent="0.25">
      <c r="A225" s="1" t="s">
        <v>906</v>
      </c>
      <c r="B225" s="90">
        <v>0</v>
      </c>
      <c r="C225" s="90">
        <v>0</v>
      </c>
      <c r="D225" s="220">
        <v>0</v>
      </c>
      <c r="E225" s="1"/>
      <c r="F225" s="1"/>
      <c r="G225" s="1"/>
      <c r="H225" s="242"/>
      <c r="I225" s="90"/>
      <c r="J225" s="1"/>
    </row>
    <row r="226" spans="1:10" x14ac:dyDescent="0.25">
      <c r="A226" s="1" t="s">
        <v>907</v>
      </c>
      <c r="B226" s="90">
        <v>0</v>
      </c>
      <c r="C226" s="90">
        <v>0</v>
      </c>
      <c r="D226" s="220">
        <v>0</v>
      </c>
      <c r="E226" s="1"/>
      <c r="F226" s="1"/>
      <c r="G226" s="1"/>
      <c r="H226" s="242"/>
      <c r="I226" s="90"/>
      <c r="J226" s="1"/>
    </row>
    <row r="227" spans="1:10" x14ac:dyDescent="0.25">
      <c r="A227" s="1" t="s">
        <v>261</v>
      </c>
      <c r="B227" s="90">
        <v>1</v>
      </c>
      <c r="C227" s="90">
        <v>2</v>
      </c>
      <c r="D227" s="220">
        <v>0</v>
      </c>
      <c r="E227" s="1"/>
      <c r="F227" s="1"/>
      <c r="G227" s="1"/>
      <c r="H227" s="242"/>
      <c r="I227" s="90"/>
      <c r="J227" s="1"/>
    </row>
    <row r="228" spans="1:10" x14ac:dyDescent="0.25">
      <c r="A228" s="1" t="s">
        <v>837</v>
      </c>
      <c r="B228" s="90">
        <v>0</v>
      </c>
      <c r="C228" s="90">
        <v>0</v>
      </c>
      <c r="D228" s="220">
        <v>0</v>
      </c>
      <c r="E228" s="1"/>
      <c r="F228" s="1"/>
      <c r="G228" s="1"/>
      <c r="H228" s="242"/>
      <c r="I228" s="90"/>
      <c r="J228" s="1"/>
    </row>
    <row r="229" spans="1:10" x14ac:dyDescent="0.25">
      <c r="A229" s="1" t="s">
        <v>557</v>
      </c>
      <c r="B229" s="90">
        <v>1</v>
      </c>
      <c r="C229" s="90">
        <v>0</v>
      </c>
      <c r="D229" s="220">
        <v>0</v>
      </c>
      <c r="E229" s="1"/>
      <c r="F229" s="1"/>
      <c r="G229" s="1"/>
      <c r="H229" s="242"/>
      <c r="I229" s="90"/>
      <c r="J229" s="1"/>
    </row>
    <row r="230" spans="1:10" x14ac:dyDescent="0.25">
      <c r="A230" s="1" t="s">
        <v>449</v>
      </c>
      <c r="B230" s="90">
        <v>0</v>
      </c>
      <c r="C230" s="90">
        <v>0</v>
      </c>
      <c r="D230" s="220">
        <v>0</v>
      </c>
      <c r="E230" s="1"/>
      <c r="F230" s="1"/>
      <c r="G230" s="1"/>
      <c r="H230" s="242"/>
      <c r="I230" s="90"/>
      <c r="J230" s="1"/>
    </row>
    <row r="231" spans="1:10" x14ac:dyDescent="0.25">
      <c r="A231" s="1" t="s">
        <v>908</v>
      </c>
      <c r="B231" s="90">
        <v>0</v>
      </c>
      <c r="C231" s="90">
        <v>0</v>
      </c>
      <c r="D231" s="220">
        <v>0</v>
      </c>
      <c r="E231" s="1"/>
      <c r="F231" s="1"/>
      <c r="G231" s="1"/>
      <c r="H231" s="242"/>
      <c r="I231" s="90"/>
      <c r="J231" s="1"/>
    </row>
    <row r="232" spans="1:10" x14ac:dyDescent="0.25">
      <c r="A232" s="1" t="s">
        <v>452</v>
      </c>
      <c r="B232" s="90">
        <v>0</v>
      </c>
      <c r="C232" s="90">
        <v>0</v>
      </c>
      <c r="D232" s="220">
        <v>0</v>
      </c>
      <c r="E232" s="1"/>
      <c r="F232" s="1"/>
      <c r="G232" s="1"/>
      <c r="H232" s="242"/>
      <c r="I232" s="90"/>
      <c r="J232" s="1"/>
    </row>
    <row r="233" spans="1:10" x14ac:dyDescent="0.25">
      <c r="A233" s="1" t="s">
        <v>492</v>
      </c>
      <c r="B233" s="90">
        <v>0</v>
      </c>
      <c r="C233" s="90">
        <v>0</v>
      </c>
      <c r="D233" s="220">
        <v>0</v>
      </c>
      <c r="E233" s="1"/>
      <c r="F233" s="1"/>
      <c r="G233" s="1"/>
      <c r="H233" s="242"/>
      <c r="I233" s="90"/>
      <c r="J233" s="1"/>
    </row>
    <row r="234" spans="1:10" x14ac:dyDescent="0.25">
      <c r="A234" s="1" t="s">
        <v>909</v>
      </c>
      <c r="B234" s="90">
        <v>0</v>
      </c>
      <c r="C234" s="90">
        <v>0</v>
      </c>
      <c r="D234" s="220">
        <v>0</v>
      </c>
      <c r="E234" s="1"/>
      <c r="F234" s="1"/>
      <c r="G234" s="1"/>
      <c r="H234" s="242"/>
      <c r="I234" s="90"/>
      <c r="J234" s="1"/>
    </row>
    <row r="235" spans="1:10" x14ac:dyDescent="0.25">
      <c r="A235" s="1" t="s">
        <v>283</v>
      </c>
      <c r="B235" s="90">
        <v>1</v>
      </c>
      <c r="C235" s="90">
        <v>1</v>
      </c>
      <c r="D235" s="220">
        <v>0</v>
      </c>
      <c r="E235" s="1"/>
      <c r="F235" s="1"/>
      <c r="G235" s="1"/>
      <c r="H235" s="242"/>
      <c r="I235" s="90"/>
      <c r="J235" s="1"/>
    </row>
    <row r="236" spans="1:10" x14ac:dyDescent="0.25">
      <c r="A236" s="1" t="s">
        <v>840</v>
      </c>
      <c r="B236" s="90">
        <v>0</v>
      </c>
      <c r="C236" s="90">
        <v>0</v>
      </c>
      <c r="D236" s="220">
        <v>0</v>
      </c>
      <c r="E236" s="1"/>
      <c r="F236" s="1"/>
      <c r="G236" s="1"/>
      <c r="H236" s="242"/>
      <c r="I236" s="90"/>
      <c r="J236" s="1"/>
    </row>
    <row r="237" spans="1:10" x14ac:dyDescent="0.25">
      <c r="A237" s="1" t="s">
        <v>234</v>
      </c>
      <c r="B237" s="90">
        <v>1</v>
      </c>
      <c r="C237" s="90">
        <v>1</v>
      </c>
      <c r="D237" s="220">
        <v>0</v>
      </c>
      <c r="E237" s="1"/>
      <c r="F237" s="1"/>
      <c r="G237" s="1"/>
      <c r="H237" s="242"/>
      <c r="I237" s="90"/>
      <c r="J237" s="1"/>
    </row>
    <row r="238" spans="1:10" x14ac:dyDescent="0.25">
      <c r="A238" s="1" t="s">
        <v>442</v>
      </c>
      <c r="B238" s="90">
        <v>0</v>
      </c>
      <c r="C238" s="90">
        <v>0</v>
      </c>
      <c r="D238" s="220">
        <v>0</v>
      </c>
      <c r="E238" s="1"/>
      <c r="F238" s="1"/>
      <c r="G238" s="1"/>
      <c r="H238" s="242"/>
      <c r="I238" s="90"/>
      <c r="J238" s="242"/>
    </row>
    <row r="239" spans="1:10" x14ac:dyDescent="0.25">
      <c r="A239" s="1" t="s">
        <v>220</v>
      </c>
      <c r="B239" s="90">
        <v>1</v>
      </c>
      <c r="C239" s="90">
        <v>0</v>
      </c>
      <c r="D239" s="220">
        <v>0</v>
      </c>
      <c r="E239" s="1"/>
      <c r="F239" s="1"/>
      <c r="G239" s="1"/>
      <c r="H239" s="242"/>
      <c r="I239" s="90"/>
      <c r="J239" s="242"/>
    </row>
    <row r="240" spans="1:10" x14ac:dyDescent="0.25">
      <c r="A240" s="1" t="s">
        <v>454</v>
      </c>
      <c r="B240" s="90">
        <v>0</v>
      </c>
      <c r="C240" s="90">
        <v>0</v>
      </c>
      <c r="D240" s="220">
        <v>0</v>
      </c>
      <c r="E240" s="1"/>
      <c r="F240" s="1"/>
      <c r="G240" s="1"/>
      <c r="H240" s="242"/>
      <c r="I240" s="90"/>
      <c r="J240" s="242"/>
    </row>
    <row r="241" spans="1:10" x14ac:dyDescent="0.25">
      <c r="A241" s="1" t="s">
        <v>488</v>
      </c>
      <c r="B241" s="90">
        <v>0</v>
      </c>
      <c r="C241" s="90">
        <v>0</v>
      </c>
      <c r="D241" s="220">
        <v>0</v>
      </c>
      <c r="E241" s="1"/>
      <c r="F241" s="1"/>
      <c r="G241" s="1"/>
      <c r="H241" s="242"/>
      <c r="I241" s="90"/>
      <c r="J241" s="242"/>
    </row>
    <row r="242" spans="1:10" x14ac:dyDescent="0.25">
      <c r="A242" s="1" t="s">
        <v>301</v>
      </c>
      <c r="B242" s="90">
        <v>1</v>
      </c>
      <c r="C242" s="90">
        <v>0</v>
      </c>
      <c r="D242" s="220">
        <v>0</v>
      </c>
      <c r="E242" s="1"/>
      <c r="F242" s="1"/>
      <c r="G242" s="1"/>
      <c r="H242" s="242"/>
      <c r="I242" s="90"/>
      <c r="J242" s="242"/>
    </row>
    <row r="243" spans="1:10" x14ac:dyDescent="0.25">
      <c r="A243" s="1" t="s">
        <v>379</v>
      </c>
      <c r="B243" s="90">
        <v>0</v>
      </c>
      <c r="C243" s="90">
        <v>0</v>
      </c>
      <c r="D243" s="220">
        <v>0</v>
      </c>
      <c r="E243" s="1"/>
      <c r="F243" s="1"/>
      <c r="G243" s="1"/>
      <c r="H243" s="242"/>
      <c r="I243" s="90"/>
      <c r="J243" s="242"/>
    </row>
    <row r="244" spans="1:10" x14ac:dyDescent="0.25">
      <c r="A244" s="1" t="s">
        <v>818</v>
      </c>
      <c r="B244" s="90">
        <v>0</v>
      </c>
      <c r="C244" s="90">
        <v>0</v>
      </c>
      <c r="D244" s="220">
        <v>0</v>
      </c>
      <c r="E244" s="1"/>
      <c r="F244" s="1"/>
      <c r="G244" s="1"/>
      <c r="H244" s="242"/>
      <c r="I244" s="90"/>
      <c r="J244" s="242"/>
    </row>
    <row r="245" spans="1:10" x14ac:dyDescent="0.25">
      <c r="A245" s="1" t="s">
        <v>896</v>
      </c>
      <c r="B245" s="90">
        <v>1</v>
      </c>
      <c r="C245" s="90">
        <v>0</v>
      </c>
      <c r="D245" s="220">
        <v>0</v>
      </c>
      <c r="E245" s="1"/>
      <c r="F245" s="1"/>
      <c r="G245" s="1"/>
      <c r="H245" s="242"/>
      <c r="I245" s="90"/>
      <c r="J245" s="242"/>
    </row>
    <row r="246" spans="1:10" x14ac:dyDescent="0.25">
      <c r="A246" s="1" t="s">
        <v>577</v>
      </c>
      <c r="B246" s="90">
        <v>0</v>
      </c>
      <c r="C246" s="90">
        <v>0</v>
      </c>
      <c r="D246" s="220">
        <v>0</v>
      </c>
      <c r="E246" s="1"/>
      <c r="F246" s="1"/>
      <c r="G246" s="1"/>
      <c r="H246" s="242"/>
      <c r="I246" s="90"/>
      <c r="J246" s="242"/>
    </row>
    <row r="247" spans="1:10" x14ac:dyDescent="0.25">
      <c r="A247" s="1" t="s">
        <v>463</v>
      </c>
      <c r="B247" s="90">
        <v>0</v>
      </c>
      <c r="C247" s="90">
        <v>0</v>
      </c>
      <c r="D247" s="220">
        <v>0</v>
      </c>
      <c r="E247" s="1"/>
      <c r="F247" s="1"/>
      <c r="G247" s="1"/>
      <c r="H247" s="242"/>
      <c r="I247" s="90"/>
      <c r="J247" s="242"/>
    </row>
    <row r="248" spans="1:10" x14ac:dyDescent="0.25">
      <c r="A248" s="1" t="s">
        <v>444</v>
      </c>
      <c r="B248" s="90">
        <v>0</v>
      </c>
      <c r="C248" s="90">
        <v>0</v>
      </c>
      <c r="D248" s="220">
        <v>0</v>
      </c>
      <c r="E248" s="1"/>
      <c r="F248" s="1"/>
      <c r="G248" s="1"/>
      <c r="H248" s="242"/>
      <c r="I248" s="90"/>
      <c r="J248" s="242"/>
    </row>
    <row r="249" spans="1:10" x14ac:dyDescent="0.25">
      <c r="A249" s="1" t="s">
        <v>716</v>
      </c>
      <c r="B249" s="90">
        <v>0</v>
      </c>
      <c r="C249" s="90">
        <v>0</v>
      </c>
      <c r="D249" s="220">
        <v>0</v>
      </c>
      <c r="E249" s="1"/>
      <c r="F249" s="1"/>
      <c r="G249" s="1"/>
      <c r="H249" s="242"/>
      <c r="I249" s="90"/>
      <c r="J249" s="242"/>
    </row>
    <row r="250" spans="1:10" x14ac:dyDescent="0.25">
      <c r="A250" s="1" t="s">
        <v>572</v>
      </c>
      <c r="B250" s="90">
        <v>0</v>
      </c>
      <c r="C250" s="90">
        <v>0</v>
      </c>
      <c r="D250" s="220">
        <v>0</v>
      </c>
      <c r="E250" s="1"/>
      <c r="F250" s="1"/>
      <c r="G250" s="1"/>
      <c r="H250" s="242"/>
      <c r="I250" s="90"/>
      <c r="J250" s="242"/>
    </row>
    <row r="251" spans="1:10" x14ac:dyDescent="0.25">
      <c r="A251" s="1" t="s">
        <v>317</v>
      </c>
      <c r="B251" s="90">
        <v>1</v>
      </c>
      <c r="C251" s="90">
        <v>0</v>
      </c>
      <c r="D251" s="220">
        <v>0</v>
      </c>
      <c r="E251" s="1"/>
      <c r="F251" s="1"/>
      <c r="G251" s="1"/>
      <c r="H251" s="242"/>
      <c r="I251" s="90"/>
      <c r="J251" s="242"/>
    </row>
    <row r="252" spans="1:10" x14ac:dyDescent="0.25">
      <c r="A252" s="1" t="s">
        <v>229</v>
      </c>
      <c r="B252" s="90">
        <v>1</v>
      </c>
      <c r="C252" s="90">
        <v>0</v>
      </c>
      <c r="D252" s="220">
        <v>0</v>
      </c>
      <c r="E252" s="1"/>
      <c r="F252" s="1"/>
      <c r="G252" s="1"/>
      <c r="H252" s="242"/>
      <c r="I252" s="90"/>
      <c r="J252" s="242"/>
    </row>
    <row r="253" spans="1:10" x14ac:dyDescent="0.25">
      <c r="A253" s="1" t="s">
        <v>191</v>
      </c>
      <c r="B253" s="90">
        <v>2</v>
      </c>
      <c r="C253" s="90">
        <v>0</v>
      </c>
      <c r="D253" s="220">
        <v>0</v>
      </c>
      <c r="E253" s="1"/>
      <c r="F253" s="1"/>
      <c r="G253" s="1"/>
      <c r="H253" s="242"/>
      <c r="I253" s="90"/>
      <c r="J253" s="242"/>
    </row>
    <row r="254" spans="1:10" x14ac:dyDescent="0.25">
      <c r="A254" s="1" t="s">
        <v>476</v>
      </c>
      <c r="B254" s="90">
        <v>0</v>
      </c>
      <c r="C254" s="90">
        <v>0</v>
      </c>
      <c r="D254" s="220">
        <v>0</v>
      </c>
      <c r="E254" s="1"/>
      <c r="F254" s="1"/>
      <c r="G254" s="1"/>
      <c r="H254" s="242"/>
      <c r="I254" s="90"/>
      <c r="J254" s="242"/>
    </row>
    <row r="255" spans="1:10" x14ac:dyDescent="0.25">
      <c r="A255" s="1" t="s">
        <v>228</v>
      </c>
      <c r="B255" s="90">
        <v>1</v>
      </c>
      <c r="C255" s="90">
        <v>1</v>
      </c>
      <c r="D255" s="220">
        <v>0</v>
      </c>
      <c r="E255" s="1"/>
      <c r="F255" s="1"/>
      <c r="G255" s="1"/>
      <c r="H255" s="242"/>
      <c r="I255" s="90"/>
      <c r="J255" s="242"/>
    </row>
    <row r="256" spans="1:10" x14ac:dyDescent="0.25">
      <c r="A256" t="s">
        <v>443</v>
      </c>
      <c r="B256" s="90">
        <v>0</v>
      </c>
      <c r="C256" s="90">
        <v>0</v>
      </c>
      <c r="D256" s="220">
        <v>0</v>
      </c>
      <c r="H256" s="242"/>
      <c r="I256" s="90"/>
      <c r="J256" s="242"/>
    </row>
    <row r="257" spans="1:10" x14ac:dyDescent="0.25">
      <c r="A257" t="s">
        <v>910</v>
      </c>
      <c r="B257" s="90">
        <v>0</v>
      </c>
      <c r="C257" s="90">
        <v>0</v>
      </c>
      <c r="D257" s="220">
        <v>0</v>
      </c>
      <c r="H257" s="242"/>
      <c r="I257" s="90"/>
      <c r="J257" s="242"/>
    </row>
    <row r="258" spans="1:10" x14ac:dyDescent="0.25">
      <c r="A258" t="s">
        <v>911</v>
      </c>
      <c r="B258" s="90">
        <v>0</v>
      </c>
      <c r="C258" s="90">
        <v>0</v>
      </c>
      <c r="D258" s="220">
        <v>0</v>
      </c>
      <c r="H258" s="242"/>
      <c r="I258" s="90"/>
      <c r="J258" s="242"/>
    </row>
    <row r="259" spans="1:10" x14ac:dyDescent="0.25">
      <c r="A259" t="s">
        <v>276</v>
      </c>
      <c r="B259" s="90">
        <v>1</v>
      </c>
      <c r="C259" s="90">
        <v>1</v>
      </c>
      <c r="D259" s="220">
        <v>0</v>
      </c>
      <c r="H259" s="242"/>
      <c r="I259" s="90"/>
      <c r="J259" s="242"/>
    </row>
    <row r="260" spans="1:10" x14ac:dyDescent="0.25">
      <c r="A260" t="s">
        <v>318</v>
      </c>
      <c r="B260" s="90">
        <v>0</v>
      </c>
      <c r="C260" s="90">
        <v>0</v>
      </c>
      <c r="D260" s="220">
        <v>0</v>
      </c>
      <c r="H260" s="242"/>
      <c r="I260" s="90"/>
      <c r="J260" s="242"/>
    </row>
    <row r="261" spans="1:10" x14ac:dyDescent="0.25">
      <c r="A261" t="s">
        <v>381</v>
      </c>
      <c r="B261" s="90">
        <v>0</v>
      </c>
      <c r="C261" s="90">
        <v>0</v>
      </c>
      <c r="D261" s="220">
        <v>0</v>
      </c>
      <c r="H261" s="242"/>
      <c r="I261" s="90"/>
      <c r="J261" s="242"/>
    </row>
    <row r="262" spans="1:10" x14ac:dyDescent="0.25">
      <c r="A262" t="s">
        <v>274</v>
      </c>
      <c r="B262" s="90">
        <v>1</v>
      </c>
      <c r="C262" s="90">
        <v>0</v>
      </c>
      <c r="D262" s="220">
        <v>0</v>
      </c>
      <c r="H262" s="242"/>
      <c r="I262" s="90"/>
      <c r="J262" s="242"/>
    </row>
    <row r="263" spans="1:10" x14ac:dyDescent="0.25">
      <c r="A263" t="s">
        <v>816</v>
      </c>
      <c r="B263" s="90">
        <v>0</v>
      </c>
      <c r="C263" s="90">
        <v>0</v>
      </c>
      <c r="D263" s="220">
        <v>0</v>
      </c>
      <c r="H263" s="242"/>
      <c r="I263" s="90"/>
      <c r="J263" s="242"/>
    </row>
    <row r="264" spans="1:10" x14ac:dyDescent="0.25">
      <c r="A264" t="s">
        <v>591</v>
      </c>
      <c r="B264" s="90">
        <v>0</v>
      </c>
      <c r="C264" s="90">
        <v>0</v>
      </c>
      <c r="D264" s="220">
        <v>0</v>
      </c>
      <c r="H264" s="242"/>
      <c r="I264" s="90"/>
      <c r="J264" s="242"/>
    </row>
    <row r="265" spans="1:10" x14ac:dyDescent="0.25">
      <c r="A265" t="s">
        <v>912</v>
      </c>
      <c r="B265" s="90">
        <v>0</v>
      </c>
      <c r="C265" s="90">
        <v>0</v>
      </c>
      <c r="D265" s="220">
        <v>0</v>
      </c>
      <c r="H265" s="242"/>
      <c r="I265" s="90"/>
      <c r="J265" s="242"/>
    </row>
    <row r="266" spans="1:10" x14ac:dyDescent="0.25">
      <c r="A266" t="s">
        <v>913</v>
      </c>
      <c r="B266" s="90">
        <v>0</v>
      </c>
      <c r="C266" s="90">
        <v>0</v>
      </c>
      <c r="D266" s="220">
        <v>0</v>
      </c>
      <c r="H266" s="242"/>
      <c r="I266" s="90"/>
      <c r="J266" s="242"/>
    </row>
    <row r="267" spans="1:10" x14ac:dyDescent="0.25">
      <c r="A267" t="s">
        <v>575</v>
      </c>
      <c r="B267" s="90">
        <v>0</v>
      </c>
      <c r="C267" s="90">
        <v>0</v>
      </c>
      <c r="D267" s="220">
        <v>0</v>
      </c>
      <c r="H267" s="242"/>
      <c r="I267" s="90"/>
      <c r="J267" s="242"/>
    </row>
    <row r="268" spans="1:10" x14ac:dyDescent="0.25">
      <c r="A268" t="s">
        <v>490</v>
      </c>
      <c r="B268" s="90">
        <v>0</v>
      </c>
      <c r="C268" s="90">
        <v>0</v>
      </c>
      <c r="D268" s="220">
        <v>0</v>
      </c>
      <c r="H268" s="242"/>
      <c r="I268" s="90"/>
      <c r="J268" s="242"/>
    </row>
    <row r="269" spans="1:10" x14ac:dyDescent="0.25">
      <c r="A269" t="s">
        <v>473</v>
      </c>
      <c r="B269" s="90">
        <v>0</v>
      </c>
      <c r="C269" s="90">
        <v>0</v>
      </c>
      <c r="D269" s="220">
        <v>0</v>
      </c>
      <c r="H269" s="242"/>
      <c r="I269" s="90"/>
      <c r="J269" s="242"/>
    </row>
    <row r="270" spans="1:10" x14ac:dyDescent="0.25">
      <c r="A270" t="s">
        <v>565</v>
      </c>
      <c r="B270" s="90">
        <v>1</v>
      </c>
      <c r="C270" s="90">
        <v>0</v>
      </c>
      <c r="D270" s="220">
        <v>0</v>
      </c>
      <c r="H270" s="242"/>
      <c r="I270" s="90"/>
      <c r="J270" s="242"/>
    </row>
    <row r="271" spans="1:10" x14ac:dyDescent="0.25">
      <c r="A271" t="s">
        <v>455</v>
      </c>
      <c r="B271" s="90">
        <v>0</v>
      </c>
      <c r="C271" s="90">
        <v>0</v>
      </c>
      <c r="D271" s="220">
        <v>0</v>
      </c>
      <c r="H271" s="242"/>
      <c r="I271" s="90"/>
      <c r="J271" s="242"/>
    </row>
    <row r="272" spans="1:10" x14ac:dyDescent="0.25">
      <c r="A272" t="s">
        <v>465</v>
      </c>
      <c r="B272" s="90">
        <v>0</v>
      </c>
      <c r="C272" s="90">
        <v>0</v>
      </c>
      <c r="D272" s="220">
        <v>0</v>
      </c>
      <c r="H272" s="242"/>
      <c r="I272" s="90"/>
      <c r="J272" s="242"/>
    </row>
    <row r="273" spans="1:10" x14ac:dyDescent="0.25">
      <c r="A273" t="s">
        <v>275</v>
      </c>
      <c r="B273" s="90">
        <v>1</v>
      </c>
      <c r="C273" s="90">
        <v>1</v>
      </c>
      <c r="D273" s="220">
        <v>0</v>
      </c>
      <c r="H273" s="242"/>
      <c r="I273" s="90"/>
      <c r="J273" s="242"/>
    </row>
    <row r="274" spans="1:10" x14ac:dyDescent="0.25">
      <c r="A274" t="s">
        <v>460</v>
      </c>
      <c r="B274" s="90">
        <v>0</v>
      </c>
      <c r="C274" s="90">
        <v>0</v>
      </c>
      <c r="D274" s="220">
        <v>0</v>
      </c>
      <c r="H274" s="242"/>
      <c r="I274" s="90"/>
      <c r="J274" s="242"/>
    </row>
    <row r="275" spans="1:10" x14ac:dyDescent="0.25">
      <c r="A275" t="s">
        <v>466</v>
      </c>
      <c r="B275" s="90">
        <v>0</v>
      </c>
      <c r="C275" s="90">
        <v>0</v>
      </c>
      <c r="D275" s="220">
        <v>0</v>
      </c>
      <c r="H275" s="242"/>
      <c r="I275" s="90"/>
      <c r="J275" s="242"/>
    </row>
    <row r="276" spans="1:10" x14ac:dyDescent="0.25">
      <c r="A276" t="s">
        <v>230</v>
      </c>
      <c r="B276" s="90">
        <v>1</v>
      </c>
      <c r="C276" s="90">
        <v>1</v>
      </c>
      <c r="D276" s="220">
        <v>0</v>
      </c>
      <c r="H276" s="242"/>
      <c r="I276" s="90"/>
      <c r="J276" s="242"/>
    </row>
    <row r="277" spans="1:10" x14ac:dyDescent="0.25">
      <c r="A277" t="s">
        <v>457</v>
      </c>
      <c r="B277" s="90">
        <v>0</v>
      </c>
      <c r="C277" s="90">
        <v>0</v>
      </c>
      <c r="D277" s="220">
        <v>0</v>
      </c>
      <c r="H277" s="242"/>
      <c r="I277" s="90"/>
      <c r="J277" s="242"/>
    </row>
    <row r="278" spans="1:10" x14ac:dyDescent="0.25">
      <c r="A278" t="s">
        <v>281</v>
      </c>
      <c r="B278" s="90">
        <v>0</v>
      </c>
      <c r="C278" s="90">
        <v>0</v>
      </c>
      <c r="D278" s="220">
        <v>0</v>
      </c>
      <c r="H278" s="242"/>
      <c r="I278" s="90"/>
      <c r="J278" s="242"/>
    </row>
    <row r="279" spans="1:10" x14ac:dyDescent="0.25">
      <c r="A279" t="s">
        <v>560</v>
      </c>
      <c r="B279" s="90">
        <v>0</v>
      </c>
      <c r="C279" s="90">
        <v>0</v>
      </c>
      <c r="D279" s="220">
        <v>0</v>
      </c>
      <c r="H279" s="242"/>
      <c r="I279" s="90"/>
      <c r="J279" s="242"/>
    </row>
    <row r="280" spans="1:10" x14ac:dyDescent="0.25">
      <c r="A280" t="s">
        <v>561</v>
      </c>
      <c r="B280" s="90">
        <v>0</v>
      </c>
      <c r="C280" s="90">
        <v>0</v>
      </c>
      <c r="D280" s="220">
        <v>0</v>
      </c>
      <c r="H280" s="242"/>
      <c r="I280" s="90"/>
      <c r="J280" s="242"/>
    </row>
    <row r="281" spans="1:10" x14ac:dyDescent="0.25">
      <c r="A281" t="s">
        <v>567</v>
      </c>
      <c r="B281" s="90">
        <v>0</v>
      </c>
      <c r="C281" s="90">
        <v>0</v>
      </c>
      <c r="D281" s="220">
        <v>0</v>
      </c>
      <c r="H281" s="242"/>
      <c r="I281" s="90"/>
      <c r="J281" s="242"/>
    </row>
    <row r="282" spans="1:10" x14ac:dyDescent="0.25">
      <c r="A282" t="s">
        <v>312</v>
      </c>
      <c r="B282" s="90">
        <v>1</v>
      </c>
      <c r="C282" s="90">
        <v>1</v>
      </c>
      <c r="D282" s="220">
        <v>0</v>
      </c>
      <c r="H282" s="242"/>
      <c r="I282" s="90"/>
      <c r="J282" s="242"/>
    </row>
    <row r="283" spans="1:10" x14ac:dyDescent="0.25">
      <c r="A283" t="s">
        <v>196</v>
      </c>
      <c r="B283" s="90">
        <v>1</v>
      </c>
      <c r="C283" s="90">
        <v>0</v>
      </c>
      <c r="D283" s="220">
        <v>0</v>
      </c>
      <c r="H283" s="242"/>
      <c r="I283" s="90"/>
      <c r="J283" s="242"/>
    </row>
    <row r="284" spans="1:10" x14ac:dyDescent="0.25">
      <c r="A284" t="s">
        <v>375</v>
      </c>
      <c r="B284" s="90">
        <v>0</v>
      </c>
      <c r="C284" s="90">
        <v>0</v>
      </c>
      <c r="D284" s="220">
        <v>0</v>
      </c>
      <c r="H284" s="242"/>
      <c r="I284" s="90"/>
      <c r="J284" s="242"/>
    </row>
    <row r="285" spans="1:10" x14ac:dyDescent="0.25">
      <c r="A285" t="s">
        <v>829</v>
      </c>
      <c r="B285" s="90">
        <v>0</v>
      </c>
      <c r="C285" s="90">
        <v>0</v>
      </c>
      <c r="D285" s="220">
        <v>0</v>
      </c>
      <c r="H285" s="242"/>
      <c r="I285" s="90"/>
      <c r="J285" s="242"/>
    </row>
    <row r="286" spans="1:10" x14ac:dyDescent="0.25">
      <c r="A286" t="s">
        <v>464</v>
      </c>
      <c r="B286" s="90">
        <v>0</v>
      </c>
      <c r="C286" s="90">
        <v>0</v>
      </c>
      <c r="D286" s="220">
        <v>0</v>
      </c>
      <c r="H286" s="242"/>
      <c r="I286" s="90"/>
      <c r="J286" s="242"/>
    </row>
    <row r="287" spans="1:10" x14ac:dyDescent="0.25">
      <c r="A287" t="s">
        <v>310</v>
      </c>
      <c r="B287" s="90">
        <v>1</v>
      </c>
      <c r="C287" s="90">
        <v>1</v>
      </c>
      <c r="D287" s="220">
        <v>0</v>
      </c>
      <c r="H287" s="242"/>
      <c r="I287" s="90"/>
      <c r="J287" s="242"/>
    </row>
    <row r="288" spans="1:10" x14ac:dyDescent="0.25">
      <c r="A288" t="s">
        <v>843</v>
      </c>
      <c r="B288" s="90">
        <v>0</v>
      </c>
      <c r="C288" s="90">
        <v>0</v>
      </c>
      <c r="D288" s="220">
        <v>0</v>
      </c>
      <c r="H288" s="242"/>
      <c r="I288" s="90"/>
      <c r="J288" s="242"/>
    </row>
    <row r="289" spans="1:10" x14ac:dyDescent="0.25">
      <c r="A289" t="s">
        <v>299</v>
      </c>
      <c r="B289" s="90">
        <v>1</v>
      </c>
      <c r="C289" s="90">
        <v>1</v>
      </c>
      <c r="D289" s="220">
        <v>0</v>
      </c>
      <c r="H289" s="242"/>
      <c r="I289" s="90"/>
      <c r="J289" s="242"/>
    </row>
    <row r="290" spans="1:10" x14ac:dyDescent="0.25">
      <c r="A290" t="s">
        <v>314</v>
      </c>
      <c r="B290" s="90">
        <v>0</v>
      </c>
      <c r="C290" s="90">
        <v>0</v>
      </c>
      <c r="D290" s="220">
        <v>0</v>
      </c>
      <c r="H290" s="242"/>
      <c r="I290" s="90"/>
      <c r="J290" s="242"/>
    </row>
    <row r="291" spans="1:10" x14ac:dyDescent="0.25">
      <c r="A291" t="s">
        <v>320</v>
      </c>
      <c r="B291" s="90">
        <v>4</v>
      </c>
      <c r="C291" s="90">
        <v>0</v>
      </c>
      <c r="D291" s="220">
        <v>0</v>
      </c>
      <c r="H291" s="242"/>
      <c r="I291" s="90"/>
      <c r="J291" s="242"/>
    </row>
    <row r="292" spans="1:10" x14ac:dyDescent="0.25">
      <c r="A292" t="s">
        <v>235</v>
      </c>
      <c r="B292" s="90">
        <v>1</v>
      </c>
      <c r="C292" s="90">
        <v>1</v>
      </c>
      <c r="D292" s="220">
        <v>0</v>
      </c>
      <c r="H292" s="242"/>
      <c r="I292" s="90"/>
      <c r="J292" s="242"/>
    </row>
    <row r="293" spans="1:10" x14ac:dyDescent="0.25">
      <c r="A293" t="s">
        <v>304</v>
      </c>
      <c r="B293" s="90">
        <v>1</v>
      </c>
      <c r="C293" s="90">
        <v>0</v>
      </c>
      <c r="D293" s="220">
        <v>0</v>
      </c>
      <c r="H293" s="242"/>
      <c r="I293" s="90"/>
      <c r="J293" s="242"/>
    </row>
    <row r="294" spans="1:10" x14ac:dyDescent="0.25">
      <c r="A294" t="s">
        <v>285</v>
      </c>
      <c r="B294" s="90">
        <v>1</v>
      </c>
      <c r="C294" s="90">
        <v>0</v>
      </c>
      <c r="D294" s="220">
        <v>0</v>
      </c>
      <c r="H294" s="242"/>
      <c r="I294" s="90"/>
      <c r="J294" s="242"/>
    </row>
    <row r="295" spans="1:10" x14ac:dyDescent="0.25">
      <c r="A295" t="s">
        <v>574</v>
      </c>
      <c r="B295" s="90">
        <v>0</v>
      </c>
      <c r="C295" s="90">
        <v>0</v>
      </c>
      <c r="D295" s="220">
        <v>0</v>
      </c>
      <c r="H295" s="242"/>
      <c r="I295" s="90"/>
      <c r="J295" s="242"/>
    </row>
    <row r="296" spans="1:10" x14ac:dyDescent="0.25">
      <c r="A296" t="s">
        <v>222</v>
      </c>
      <c r="B296" s="90">
        <v>1</v>
      </c>
      <c r="C296" s="90">
        <v>6</v>
      </c>
      <c r="D296" s="220">
        <v>0</v>
      </c>
      <c r="H296" s="242"/>
      <c r="I296" s="90"/>
      <c r="J296" s="242"/>
    </row>
    <row r="297" spans="1:10" x14ac:dyDescent="0.25">
      <c r="A297" t="s">
        <v>300</v>
      </c>
      <c r="B297" s="90">
        <v>1</v>
      </c>
      <c r="C297" s="90">
        <v>1</v>
      </c>
      <c r="D297" s="220">
        <v>0</v>
      </c>
      <c r="H297" s="242"/>
      <c r="I297" s="90"/>
      <c r="J297" s="242"/>
    </row>
    <row r="298" spans="1:10" x14ac:dyDescent="0.25">
      <c r="A298" t="s">
        <v>240</v>
      </c>
      <c r="B298" s="90">
        <v>1</v>
      </c>
      <c r="C298" s="90">
        <v>0</v>
      </c>
      <c r="D298" s="220">
        <v>0</v>
      </c>
      <c r="H298" s="242"/>
      <c r="I298" s="90"/>
      <c r="J298" s="242"/>
    </row>
    <row r="299" spans="1:10" x14ac:dyDescent="0.25">
      <c r="A299" t="s">
        <v>815</v>
      </c>
      <c r="B299" s="90">
        <v>0</v>
      </c>
      <c r="C299" s="90">
        <v>0</v>
      </c>
      <c r="D299" s="220">
        <v>0</v>
      </c>
      <c r="H299" s="242"/>
      <c r="I299" s="90"/>
      <c r="J299" s="242"/>
    </row>
    <row r="300" spans="1:10" x14ac:dyDescent="0.25">
      <c r="A300" t="s">
        <v>438</v>
      </c>
      <c r="B300" s="90">
        <v>1</v>
      </c>
      <c r="C300" s="90">
        <v>1</v>
      </c>
      <c r="D300" s="220">
        <v>0</v>
      </c>
      <c r="H300" s="242"/>
      <c r="I300" s="90"/>
      <c r="J300" s="242"/>
    </row>
    <row r="301" spans="1:10" x14ac:dyDescent="0.25">
      <c r="A301" t="s">
        <v>555</v>
      </c>
      <c r="B301" s="90">
        <v>0</v>
      </c>
      <c r="C301" s="90">
        <v>0</v>
      </c>
      <c r="D301" s="220">
        <v>0</v>
      </c>
      <c r="H301" s="242"/>
      <c r="I301" s="90"/>
      <c r="J301" s="242"/>
    </row>
    <row r="302" spans="1:10" x14ac:dyDescent="0.25">
      <c r="A302" t="s">
        <v>914</v>
      </c>
      <c r="B302" s="90">
        <v>0</v>
      </c>
      <c r="C302" s="90">
        <v>0</v>
      </c>
      <c r="D302" s="220">
        <v>0</v>
      </c>
      <c r="H302" s="242"/>
      <c r="I302" s="90"/>
      <c r="J302" s="242"/>
    </row>
    <row r="303" spans="1:10" x14ac:dyDescent="0.25">
      <c r="A303" t="s">
        <v>439</v>
      </c>
      <c r="B303" s="90">
        <v>0</v>
      </c>
      <c r="C303" s="90">
        <v>0</v>
      </c>
      <c r="D303" s="220">
        <v>0</v>
      </c>
      <c r="H303" s="242"/>
      <c r="I303" s="90"/>
      <c r="J303" s="242"/>
    </row>
    <row r="304" spans="1:10" x14ac:dyDescent="0.25">
      <c r="A304" t="s">
        <v>556</v>
      </c>
      <c r="B304" s="90">
        <v>0</v>
      </c>
      <c r="C304" s="90">
        <v>1</v>
      </c>
      <c r="D304" s="220">
        <v>0</v>
      </c>
      <c r="H304" s="242"/>
      <c r="I304" s="90"/>
      <c r="J304" s="242"/>
    </row>
    <row r="305" spans="1:10" x14ac:dyDescent="0.25">
      <c r="A305" t="s">
        <v>817</v>
      </c>
      <c r="B305" s="90">
        <v>0</v>
      </c>
      <c r="C305" s="90">
        <v>0</v>
      </c>
      <c r="D305" s="220">
        <v>0</v>
      </c>
      <c r="H305" s="242"/>
      <c r="I305" s="90"/>
      <c r="J305" s="242"/>
    </row>
    <row r="306" spans="1:10" x14ac:dyDescent="0.25">
      <c r="A306" t="s">
        <v>548</v>
      </c>
      <c r="B306" s="90">
        <v>0</v>
      </c>
      <c r="C306" s="90">
        <v>0</v>
      </c>
      <c r="D306" s="220">
        <v>0</v>
      </c>
      <c r="H306" s="242"/>
      <c r="I306" s="90"/>
      <c r="J306" s="242"/>
    </row>
    <row r="307" spans="1:10" x14ac:dyDescent="0.25">
      <c r="A307" t="s">
        <v>915</v>
      </c>
      <c r="B307" s="90">
        <v>0</v>
      </c>
      <c r="C307" s="90">
        <v>0</v>
      </c>
      <c r="D307" s="220">
        <v>0</v>
      </c>
      <c r="H307" s="242"/>
      <c r="I307" s="90"/>
      <c r="J307" s="242"/>
    </row>
    <row r="308" spans="1:10" x14ac:dyDescent="0.25">
      <c r="A308" t="s">
        <v>271</v>
      </c>
      <c r="B308" s="90">
        <v>0</v>
      </c>
      <c r="C308" s="90">
        <v>0</v>
      </c>
      <c r="D308" s="220">
        <v>0</v>
      </c>
      <c r="H308" s="242"/>
      <c r="I308" s="90"/>
      <c r="J308" s="242"/>
    </row>
    <row r="309" spans="1:10" x14ac:dyDescent="0.25">
      <c r="A309" t="s">
        <v>260</v>
      </c>
      <c r="B309" s="90">
        <v>1</v>
      </c>
      <c r="C309" s="90">
        <v>0</v>
      </c>
      <c r="D309" s="220">
        <v>0</v>
      </c>
      <c r="H309" s="242"/>
      <c r="I309" s="90"/>
      <c r="J309" s="242"/>
    </row>
    <row r="310" spans="1:10" x14ac:dyDescent="0.25">
      <c r="A310" t="s">
        <v>841</v>
      </c>
      <c r="B310" s="90">
        <v>0</v>
      </c>
      <c r="C310" s="90">
        <v>0</v>
      </c>
      <c r="D310" s="220">
        <v>0</v>
      </c>
      <c r="H310" s="242"/>
      <c r="I310" s="90"/>
      <c r="J310" s="242"/>
    </row>
    <row r="311" spans="1:10" x14ac:dyDescent="0.25">
      <c r="A311" t="s">
        <v>564</v>
      </c>
      <c r="B311" s="90">
        <v>0</v>
      </c>
      <c r="C311" s="90">
        <v>0</v>
      </c>
      <c r="D311" s="220">
        <v>0</v>
      </c>
      <c r="H311" s="242"/>
      <c r="I311" s="90"/>
      <c r="J311" s="242"/>
    </row>
    <row r="312" spans="1:10" x14ac:dyDescent="0.25">
      <c r="A312" t="s">
        <v>916</v>
      </c>
      <c r="B312" s="90">
        <v>0</v>
      </c>
      <c r="C312" s="90">
        <v>0</v>
      </c>
      <c r="D312" s="220">
        <v>0</v>
      </c>
      <c r="H312" s="242"/>
      <c r="I312" s="90"/>
      <c r="J312" s="242"/>
    </row>
    <row r="313" spans="1:10" x14ac:dyDescent="0.25">
      <c r="A313" t="s">
        <v>302</v>
      </c>
      <c r="B313" s="90">
        <v>0</v>
      </c>
      <c r="C313" s="90">
        <v>0</v>
      </c>
      <c r="D313" s="220">
        <v>0</v>
      </c>
      <c r="H313" s="242"/>
      <c r="I313" s="90"/>
      <c r="J313" s="242"/>
    </row>
    <row r="314" spans="1:10" x14ac:dyDescent="0.25">
      <c r="A314" t="s">
        <v>499</v>
      </c>
      <c r="B314" s="90">
        <v>0</v>
      </c>
      <c r="C314" s="90">
        <v>0</v>
      </c>
      <c r="D314" s="220">
        <v>0</v>
      </c>
      <c r="H314" s="242"/>
      <c r="I314" s="90"/>
      <c r="J314" s="242"/>
    </row>
    <row r="315" spans="1:10" x14ac:dyDescent="0.25">
      <c r="A315" t="s">
        <v>440</v>
      </c>
      <c r="B315" s="90">
        <v>0</v>
      </c>
      <c r="C315" s="90">
        <v>0</v>
      </c>
      <c r="D315" s="220">
        <v>0</v>
      </c>
      <c r="H315" s="242"/>
      <c r="I315" s="90"/>
      <c r="J315" s="242"/>
    </row>
    <row r="316" spans="1:10" x14ac:dyDescent="0.25">
      <c r="A316" t="s">
        <v>456</v>
      </c>
      <c r="B316" s="90">
        <v>0</v>
      </c>
      <c r="C316" s="90">
        <v>0</v>
      </c>
      <c r="D316" s="220">
        <v>0</v>
      </c>
      <c r="H316" s="242"/>
      <c r="I316" s="90"/>
      <c r="J316" s="242"/>
    </row>
    <row r="317" spans="1:10" x14ac:dyDescent="0.25">
      <c r="A317" t="s">
        <v>552</v>
      </c>
      <c r="B317" s="90">
        <v>1</v>
      </c>
      <c r="C317" s="90">
        <v>0</v>
      </c>
      <c r="D317" s="220">
        <v>0</v>
      </c>
      <c r="H317" s="242"/>
      <c r="I317" s="90"/>
      <c r="J317" s="242"/>
    </row>
    <row r="318" spans="1:10" x14ac:dyDescent="0.25">
      <c r="A318" t="s">
        <v>558</v>
      </c>
      <c r="B318" s="90">
        <v>0</v>
      </c>
      <c r="C318" s="90">
        <v>0</v>
      </c>
      <c r="D318" s="220">
        <v>0</v>
      </c>
      <c r="H318" s="242"/>
      <c r="I318" s="90"/>
      <c r="J318" s="242"/>
    </row>
    <row r="319" spans="1:10" x14ac:dyDescent="0.25">
      <c r="A319" t="s">
        <v>242</v>
      </c>
      <c r="B319" s="90">
        <v>2</v>
      </c>
      <c r="C319" s="90">
        <v>1</v>
      </c>
      <c r="D319" s="220">
        <v>0</v>
      </c>
      <c r="H319" s="242"/>
      <c r="I319" s="90"/>
      <c r="J319" s="242"/>
    </row>
    <row r="320" spans="1:10" x14ac:dyDescent="0.25">
      <c r="A320" t="s">
        <v>446</v>
      </c>
      <c r="B320" s="90">
        <v>0</v>
      </c>
      <c r="C320" s="90">
        <v>0</v>
      </c>
      <c r="D320" s="220">
        <v>0</v>
      </c>
      <c r="H320" s="242"/>
      <c r="I320" s="90"/>
      <c r="J320" s="242"/>
    </row>
    <row r="321" spans="1:10" x14ac:dyDescent="0.25">
      <c r="A321" t="s">
        <v>917</v>
      </c>
      <c r="B321" s="90">
        <v>0</v>
      </c>
      <c r="C321" s="90">
        <v>0</v>
      </c>
      <c r="D321" s="220">
        <v>0</v>
      </c>
      <c r="H321" s="242"/>
      <c r="I321" s="90"/>
      <c r="J321" s="242"/>
    </row>
    <row r="322" spans="1:10" x14ac:dyDescent="0.25">
      <c r="A322" t="s">
        <v>566</v>
      </c>
      <c r="B322" s="90">
        <v>0</v>
      </c>
      <c r="C322" s="90">
        <v>0</v>
      </c>
      <c r="D322" s="220">
        <v>0</v>
      </c>
      <c r="H322" s="242"/>
      <c r="I322" s="90"/>
      <c r="J322" s="242"/>
    </row>
    <row r="323" spans="1:10" x14ac:dyDescent="0.25">
      <c r="A323" t="s">
        <v>918</v>
      </c>
      <c r="B323" s="90">
        <v>0</v>
      </c>
      <c r="C323" s="90">
        <v>0</v>
      </c>
      <c r="D323" s="220">
        <v>0</v>
      </c>
      <c r="H323" s="242"/>
      <c r="I323" s="90"/>
      <c r="J323" s="242"/>
    </row>
    <row r="324" spans="1:10" x14ac:dyDescent="0.25">
      <c r="A324" t="s">
        <v>383</v>
      </c>
      <c r="B324" s="90">
        <v>0</v>
      </c>
      <c r="C324" s="90">
        <v>0</v>
      </c>
      <c r="D324" s="220">
        <v>0</v>
      </c>
      <c r="H324" s="242"/>
      <c r="I324" s="90"/>
      <c r="J324" s="242"/>
    </row>
    <row r="325" spans="1:10" x14ac:dyDescent="0.25">
      <c r="A325" t="s">
        <v>270</v>
      </c>
      <c r="B325" s="90">
        <v>1</v>
      </c>
      <c r="C325" s="90">
        <v>0</v>
      </c>
      <c r="D325" s="220">
        <v>0</v>
      </c>
      <c r="H325" s="242"/>
      <c r="I325" s="90"/>
      <c r="J325" s="242"/>
    </row>
    <row r="326" spans="1:10" x14ac:dyDescent="0.25">
      <c r="A326" t="s">
        <v>209</v>
      </c>
      <c r="B326" s="90">
        <v>2</v>
      </c>
      <c r="C326" s="90">
        <v>1</v>
      </c>
      <c r="D326" s="220">
        <v>0</v>
      </c>
      <c r="H326" s="242"/>
      <c r="I326" s="90"/>
      <c r="J326" s="242"/>
    </row>
    <row r="327" spans="1:10" x14ac:dyDescent="0.25">
      <c r="A327" t="s">
        <v>718</v>
      </c>
      <c r="B327" s="90">
        <v>0</v>
      </c>
      <c r="C327" s="90">
        <v>0</v>
      </c>
      <c r="D327" s="220">
        <v>0</v>
      </c>
      <c r="H327" s="242"/>
      <c r="I327" s="90"/>
      <c r="J327" s="242"/>
    </row>
    <row r="328" spans="1:10" x14ac:dyDescent="0.25">
      <c r="A328" t="s">
        <v>458</v>
      </c>
      <c r="B328" s="90">
        <v>0</v>
      </c>
      <c r="C328" s="90">
        <v>0</v>
      </c>
      <c r="D328" s="220">
        <v>0</v>
      </c>
    </row>
    <row r="329" spans="1:10" x14ac:dyDescent="0.25">
      <c r="A329" t="s">
        <v>451</v>
      </c>
      <c r="B329" s="90">
        <v>0</v>
      </c>
      <c r="C329" s="90">
        <v>0</v>
      </c>
      <c r="D329" s="220">
        <v>0</v>
      </c>
    </row>
    <row r="330" spans="1:10" x14ac:dyDescent="0.25">
      <c r="A330" t="s">
        <v>581</v>
      </c>
      <c r="B330" s="90">
        <v>0</v>
      </c>
      <c r="C330" s="90">
        <v>0</v>
      </c>
      <c r="D330" s="220">
        <v>0</v>
      </c>
    </row>
    <row r="331" spans="1:10" x14ac:dyDescent="0.25">
      <c r="A331" t="s">
        <v>297</v>
      </c>
      <c r="B331" s="90">
        <v>1</v>
      </c>
      <c r="C331" s="90">
        <v>0</v>
      </c>
      <c r="D331" s="220">
        <v>0</v>
      </c>
    </row>
    <row r="332" spans="1:10" x14ac:dyDescent="0.25">
      <c r="A332" t="s">
        <v>453</v>
      </c>
      <c r="B332" s="90">
        <v>0</v>
      </c>
      <c r="C332" s="90">
        <v>0</v>
      </c>
      <c r="D332" s="220">
        <v>0</v>
      </c>
    </row>
    <row r="333" spans="1:10" x14ac:dyDescent="0.25">
      <c r="A333" t="s">
        <v>278</v>
      </c>
      <c r="B333" s="90">
        <v>1</v>
      </c>
      <c r="C333" s="90">
        <v>1</v>
      </c>
      <c r="D333" s="220">
        <v>0</v>
      </c>
    </row>
    <row r="334" spans="1:10" x14ac:dyDescent="0.25">
      <c r="A334" t="s">
        <v>549</v>
      </c>
      <c r="B334" s="90">
        <v>21</v>
      </c>
      <c r="C334" s="90">
        <v>22</v>
      </c>
      <c r="D334" s="220">
        <v>11</v>
      </c>
    </row>
    <row r="335" spans="1:10" x14ac:dyDescent="0.25">
      <c r="A335" t="s">
        <v>232</v>
      </c>
      <c r="B335" s="90">
        <v>1</v>
      </c>
      <c r="C335" s="90">
        <v>1</v>
      </c>
      <c r="D335" s="220">
        <v>0</v>
      </c>
    </row>
    <row r="336" spans="1:10" x14ac:dyDescent="0.25">
      <c r="A336" t="s">
        <v>193</v>
      </c>
      <c r="B336" s="90">
        <v>2</v>
      </c>
      <c r="C336" s="90">
        <v>2</v>
      </c>
      <c r="D336" s="220">
        <v>0</v>
      </c>
    </row>
    <row r="337" spans="1:4" x14ac:dyDescent="0.25">
      <c r="A337" t="s">
        <v>325</v>
      </c>
      <c r="B337" s="90">
        <v>0</v>
      </c>
      <c r="C337" s="90">
        <v>0</v>
      </c>
      <c r="D337" s="220">
        <v>0</v>
      </c>
    </row>
    <row r="338" spans="1:4" x14ac:dyDescent="0.25">
      <c r="A338" t="s">
        <v>833</v>
      </c>
      <c r="B338" s="90">
        <v>1</v>
      </c>
      <c r="C338" s="90">
        <v>1</v>
      </c>
      <c r="D338" s="220">
        <v>0</v>
      </c>
    </row>
    <row r="339" spans="1:4" x14ac:dyDescent="0.25">
      <c r="A339" t="s">
        <v>922</v>
      </c>
      <c r="B339" s="90">
        <v>1</v>
      </c>
      <c r="C339" s="90">
        <v>0</v>
      </c>
      <c r="D339" s="220">
        <v>0</v>
      </c>
    </row>
    <row r="340" spans="1:4" x14ac:dyDescent="0.25">
      <c r="A340" t="s">
        <v>150</v>
      </c>
      <c r="B340" s="90">
        <v>5</v>
      </c>
      <c r="C340" s="90">
        <v>0</v>
      </c>
      <c r="D340" s="220">
        <v>0</v>
      </c>
    </row>
    <row r="341" spans="1:4" x14ac:dyDescent="0.25">
      <c r="A341" t="s">
        <v>322</v>
      </c>
      <c r="B341" s="90">
        <v>1</v>
      </c>
      <c r="C341" s="90">
        <v>0</v>
      </c>
      <c r="D341" s="220">
        <v>0</v>
      </c>
    </row>
    <row r="342" spans="1:4" x14ac:dyDescent="0.25">
      <c r="A342" t="s">
        <v>324</v>
      </c>
      <c r="B342" s="90">
        <v>0</v>
      </c>
      <c r="C342" s="90">
        <v>0</v>
      </c>
      <c r="D342" s="220">
        <v>0</v>
      </c>
    </row>
    <row r="343" spans="1:4" x14ac:dyDescent="0.25">
      <c r="A343" t="s">
        <v>323</v>
      </c>
      <c r="B343" s="90">
        <v>0</v>
      </c>
      <c r="C343" s="90">
        <v>0</v>
      </c>
      <c r="D343" s="220">
        <v>0</v>
      </c>
    </row>
    <row r="344" spans="1:4" x14ac:dyDescent="0.25">
      <c r="A344" t="s">
        <v>288</v>
      </c>
      <c r="B344" s="90">
        <v>1</v>
      </c>
      <c r="C344" s="90">
        <v>0</v>
      </c>
      <c r="D344" s="220">
        <v>0</v>
      </c>
    </row>
    <row r="345" spans="1:4" x14ac:dyDescent="0.25">
      <c r="A345" t="s">
        <v>250</v>
      </c>
      <c r="B345" s="90">
        <v>1</v>
      </c>
      <c r="C345" s="90">
        <v>0</v>
      </c>
      <c r="D345" s="220">
        <v>0</v>
      </c>
    </row>
    <row r="346" spans="1:4" x14ac:dyDescent="0.25">
      <c r="A346" t="s">
        <v>255</v>
      </c>
      <c r="B346" s="90">
        <v>1</v>
      </c>
      <c r="C346" s="90">
        <v>1</v>
      </c>
      <c r="D346" s="220">
        <v>0</v>
      </c>
    </row>
    <row r="347" spans="1:4" x14ac:dyDescent="0.25">
      <c r="A347" t="s">
        <v>272</v>
      </c>
      <c r="B347" s="90">
        <v>1</v>
      </c>
      <c r="C347" s="90">
        <v>1</v>
      </c>
      <c r="D347" s="220">
        <v>0</v>
      </c>
    </row>
    <row r="348" spans="1:4" x14ac:dyDescent="0.25">
      <c r="A348" t="s">
        <v>197</v>
      </c>
      <c r="B348" s="90">
        <v>2</v>
      </c>
      <c r="C348" s="90">
        <v>0</v>
      </c>
      <c r="D348" s="220">
        <v>0</v>
      </c>
    </row>
    <row r="349" spans="1:4" x14ac:dyDescent="0.25">
      <c r="A349" t="s">
        <v>287</v>
      </c>
      <c r="B349" s="90">
        <v>1</v>
      </c>
      <c r="C349" s="90">
        <v>0</v>
      </c>
      <c r="D349" s="220">
        <v>0</v>
      </c>
    </row>
    <row r="350" spans="1:4" x14ac:dyDescent="0.25">
      <c r="A350" t="s">
        <v>311</v>
      </c>
      <c r="B350" s="90">
        <v>1</v>
      </c>
      <c r="C350" s="90">
        <v>0</v>
      </c>
      <c r="D350" s="220">
        <v>0</v>
      </c>
    </row>
    <row r="351" spans="1:4" x14ac:dyDescent="0.25">
      <c r="A351" t="s">
        <v>319</v>
      </c>
      <c r="B351" s="90">
        <v>1</v>
      </c>
      <c r="C351" s="90">
        <v>0</v>
      </c>
      <c r="D351" s="220">
        <v>0</v>
      </c>
    </row>
    <row r="352" spans="1:4" x14ac:dyDescent="0.25">
      <c r="A352" t="s">
        <v>284</v>
      </c>
      <c r="B352" s="90">
        <v>1</v>
      </c>
      <c r="C352" s="90">
        <v>1</v>
      </c>
      <c r="D352" s="220">
        <v>0</v>
      </c>
    </row>
    <row r="353" spans="1:4" x14ac:dyDescent="0.25">
      <c r="A353" t="s">
        <v>303</v>
      </c>
      <c r="B353" s="90">
        <v>1</v>
      </c>
      <c r="C353" s="90">
        <v>0</v>
      </c>
      <c r="D353" s="220">
        <v>0</v>
      </c>
    </row>
    <row r="354" spans="1:4" x14ac:dyDescent="0.25">
      <c r="A354" t="s">
        <v>600</v>
      </c>
      <c r="B354" s="90">
        <v>0</v>
      </c>
      <c r="C354" s="90">
        <v>0</v>
      </c>
      <c r="D354" s="220">
        <v>0</v>
      </c>
    </row>
    <row r="355" spans="1:4" x14ac:dyDescent="0.25">
      <c r="A355" t="s">
        <v>244</v>
      </c>
      <c r="B355" s="90">
        <v>0</v>
      </c>
      <c r="C355" s="90">
        <v>0</v>
      </c>
      <c r="D355" s="220">
        <v>0</v>
      </c>
    </row>
    <row r="356" spans="1:4" x14ac:dyDescent="0.25">
      <c r="A356" t="s">
        <v>559</v>
      </c>
      <c r="B356" s="90">
        <v>0</v>
      </c>
      <c r="C356" s="90">
        <v>0</v>
      </c>
      <c r="D356" s="220">
        <v>0</v>
      </c>
    </row>
    <row r="357" spans="1:4" x14ac:dyDescent="0.25">
      <c r="A357" t="s">
        <v>589</v>
      </c>
      <c r="B357" s="90">
        <v>0</v>
      </c>
      <c r="C357" s="90">
        <v>0</v>
      </c>
      <c r="D357" s="220">
        <v>0</v>
      </c>
    </row>
    <row r="358" spans="1:4" x14ac:dyDescent="0.25">
      <c r="A358" t="s">
        <v>722</v>
      </c>
      <c r="B358" s="90">
        <v>0</v>
      </c>
      <c r="C358" s="90">
        <v>0</v>
      </c>
      <c r="D358" s="220">
        <v>0</v>
      </c>
    </row>
    <row r="359" spans="1:4" x14ac:dyDescent="0.25">
      <c r="A359" t="s">
        <v>597</v>
      </c>
      <c r="B359" s="90">
        <v>0</v>
      </c>
      <c r="C359" s="90">
        <v>0</v>
      </c>
      <c r="D359" s="220">
        <v>0</v>
      </c>
    </row>
  </sheetData>
  <sortState ref="A2:D345">
    <sortCondition descending="1" ref="B2:B345"/>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78"/>
  <sheetViews>
    <sheetView workbookViewId="0">
      <selection activeCell="A3" sqref="A3:V78"/>
    </sheetView>
  </sheetViews>
  <sheetFormatPr defaultColWidth="8.85546875" defaultRowHeight="15" x14ac:dyDescent="0.25"/>
  <cols>
    <col min="1" max="1" width="4.85546875" style="1" bestFit="1" customWidth="1"/>
    <col min="2" max="2" width="24.42578125" bestFit="1" customWidth="1"/>
    <col min="3" max="3" width="4.42578125" style="1" customWidth="1"/>
    <col min="4" max="4" width="4.140625" style="1" bestFit="1" customWidth="1"/>
    <col min="5" max="5" width="5.140625" style="1" customWidth="1"/>
    <col min="6" max="7" width="5.42578125" bestFit="1" customWidth="1"/>
    <col min="8" max="8" width="6.42578125" bestFit="1" customWidth="1"/>
    <col min="9" max="10" width="4.42578125" bestFit="1" customWidth="1"/>
    <col min="11" max="11" width="6.42578125" bestFit="1" customWidth="1"/>
    <col min="12" max="12" width="5.42578125" bestFit="1" customWidth="1"/>
    <col min="13" max="13" width="4" bestFit="1" customWidth="1"/>
    <col min="14" max="14" width="3.42578125" bestFit="1" customWidth="1"/>
    <col min="15" max="15" width="6.42578125" bestFit="1" customWidth="1"/>
    <col min="16" max="16" width="10.85546875" customWidth="1"/>
    <col min="19" max="20" width="8.42578125" bestFit="1" customWidth="1"/>
    <col min="21" max="21" width="7.42578125" style="25" bestFit="1" customWidth="1"/>
    <col min="22" max="22" width="8.85546875" customWidth="1"/>
    <col min="23" max="23" width="8.85546875" hidden="1" customWidth="1"/>
    <col min="24" max="24" width="0" hidden="1" customWidth="1"/>
    <col min="27" max="27" width="8.85546875" style="1"/>
  </cols>
  <sheetData>
    <row r="1" spans="1:29" s="1" customFormat="1" x14ac:dyDescent="0.25">
      <c r="F1" s="274" t="s">
        <v>326</v>
      </c>
      <c r="G1" s="275"/>
      <c r="H1" s="275"/>
      <c r="I1" s="275"/>
      <c r="J1" s="276"/>
      <c r="K1" s="274" t="s">
        <v>327</v>
      </c>
      <c r="L1" s="275"/>
      <c r="M1" s="275"/>
      <c r="N1" s="276"/>
      <c r="U1" s="25"/>
    </row>
    <row r="2" spans="1:29" ht="23.25" x14ac:dyDescent="0.25">
      <c r="A2" s="127" t="s">
        <v>328</v>
      </c>
      <c r="B2" s="127" t="s">
        <v>89</v>
      </c>
      <c r="C2" s="127" t="s">
        <v>329</v>
      </c>
      <c r="D2" s="127" t="s">
        <v>330</v>
      </c>
      <c r="E2" s="127" t="s">
        <v>331</v>
      </c>
      <c r="F2" s="127" t="s">
        <v>332</v>
      </c>
      <c r="G2" s="127" t="s">
        <v>333</v>
      </c>
      <c r="H2" s="127" t="s">
        <v>334</v>
      </c>
      <c r="I2" s="127" t="s">
        <v>335</v>
      </c>
      <c r="J2" s="127" t="s">
        <v>336</v>
      </c>
      <c r="K2" s="127" t="s">
        <v>332</v>
      </c>
      <c r="L2" s="127" t="s">
        <v>334</v>
      </c>
      <c r="M2" s="127" t="s">
        <v>335</v>
      </c>
      <c r="N2" s="127" t="s">
        <v>337</v>
      </c>
      <c r="O2" s="127" t="s">
        <v>338</v>
      </c>
      <c r="P2" s="127" t="s">
        <v>339</v>
      </c>
      <c r="Q2" s="127" t="s">
        <v>340</v>
      </c>
      <c r="R2" s="127" t="s">
        <v>341</v>
      </c>
      <c r="S2" s="127" t="s">
        <v>342</v>
      </c>
      <c r="T2" s="127" t="s">
        <v>343</v>
      </c>
      <c r="U2" s="127" t="s">
        <v>344</v>
      </c>
      <c r="V2" s="127" t="s">
        <v>345</v>
      </c>
      <c r="W2" s="127"/>
      <c r="X2" s="127" t="s">
        <v>346</v>
      </c>
      <c r="Y2" s="127" t="s">
        <v>347</v>
      </c>
      <c r="Z2" s="127" t="s">
        <v>348</v>
      </c>
      <c r="AA2" s="127" t="s">
        <v>349</v>
      </c>
      <c r="AB2" s="1"/>
      <c r="AC2" s="1"/>
    </row>
    <row r="3" spans="1:29" s="1" customFormat="1" x14ac:dyDescent="0.25">
      <c r="A3" s="1">
        <f>RANK(O3,O$3:O$77)</f>
        <v>1</v>
      </c>
      <c r="B3" s="1" t="s">
        <v>122</v>
      </c>
      <c r="C3" s="1" t="s">
        <v>33</v>
      </c>
      <c r="D3" s="1">
        <f>VLOOKUP(E3,BYEs!$A$2:$B$34,2,FALSE)</f>
        <v>8</v>
      </c>
      <c r="E3" s="1" t="s">
        <v>350</v>
      </c>
      <c r="F3" s="245">
        <v>604.20000000000005</v>
      </c>
      <c r="G3" s="247">
        <v>392.9</v>
      </c>
      <c r="H3" s="247">
        <v>4431.3</v>
      </c>
      <c r="I3" s="247">
        <v>35.6</v>
      </c>
      <c r="J3" s="247">
        <v>8.3000000000000007</v>
      </c>
      <c r="K3" s="249">
        <v>60.1</v>
      </c>
      <c r="L3" s="247">
        <v>332.3</v>
      </c>
      <c r="M3" s="247">
        <v>2.5</v>
      </c>
      <c r="N3" s="250">
        <v>4</v>
      </c>
      <c r="O3" s="253">
        <f>(F3*QBPassAtt)+(H3*PassingYds)+(I3*PassingTD)+(J3*PassingINT)+(L3*QBRushingYd)+(M3*QBRushingTD)+(N3*QBFuml)+(G3*QBCompletion)+(K3*QBRushAtt)</f>
        <v>351.58200000000005</v>
      </c>
      <c r="P3" s="1" t="str">
        <f ca="1">IF(A3&lt;=QBStarter,"Starter",IF(A3&gt;QBStarter+QBBench,"Undrafted","Bench"))</f>
        <v>Starter</v>
      </c>
      <c r="Q3" s="47">
        <f ca="1">IFERROR(MAX(O3-LARGE(O$3:O$77,QBStarter),0),0)</f>
        <v>73.448000000000036</v>
      </c>
      <c r="R3" s="47">
        <f ca="1">IFERROR(IF(AllowNegative="Yes",O3-LARGE(O$3:O$77,QBCount),MAX(O3-LARGE(O$3:O$77,QBCount),0)),0)</f>
        <v>123.87200000000004</v>
      </c>
      <c r="S3" s="108">
        <f ca="1">(R3-Q3)*BenchPF+Q3*StarterPF</f>
        <v>44.164651898880066</v>
      </c>
      <c r="T3" s="108">
        <f ca="1">S3*Auction!$A$2</f>
        <v>44.164651898880066</v>
      </c>
      <c r="U3" s="25" t="str">
        <f>IF(OR(INDEX(Auction!$H$13:$H$683,MATCH(B3,Auction!$A$13:$A$683,0))&gt;0,IFERROR(INDEX(CheatSheet!$D$5:$D$34,MATCH(B3,CheatSheet!$A$5:$A$34,0)),"")&lt;&gt;""),"Yes","No")</f>
        <v>No</v>
      </c>
      <c r="V3" s="219"/>
      <c r="X3" s="100">
        <f t="shared" ref="X3:X34" ca="1" si="0">SUMIFS($Y$3:$Y$77,$Y$3:$Y$77,"&gt;0",$U$3:$U$77,"No")/SUMIF($Y$3:$Y$77,"&gt;0")</f>
        <v>1</v>
      </c>
      <c r="Y3" s="1">
        <f ca="1">AVERAGE(Q3:R3)</f>
        <v>98.660000000000039</v>
      </c>
      <c r="Z3" s="1" t="str">
        <f t="shared" ref="Z3:Z34" ca="1" si="1">CONCATENATE("QB",ROUND((LARGE($Y$3:$Y$77,1)-$Y3)/(STDEVA($Y$3:$Y$77)/2)+1,0))</f>
        <v>QB1</v>
      </c>
      <c r="AA3" s="1">
        <f ca="1">Y3*LeagueInfo!$H$5</f>
        <v>45.121255978298649</v>
      </c>
    </row>
    <row r="4" spans="1:29" x14ac:dyDescent="0.25">
      <c r="A4" s="1">
        <f>RANK(O4,O$3:O$77)</f>
        <v>2</v>
      </c>
      <c r="B4" s="1" t="s">
        <v>125</v>
      </c>
      <c r="C4" s="1" t="s">
        <v>33</v>
      </c>
      <c r="D4" s="1">
        <f>VLOOKUP(E4,BYEs!$A$2:$B$34,2,FALSE)</f>
        <v>9</v>
      </c>
      <c r="E4" s="1" t="s">
        <v>351</v>
      </c>
      <c r="F4" s="249">
        <v>597.20000000000005</v>
      </c>
      <c r="G4" s="247">
        <v>390.3</v>
      </c>
      <c r="H4" s="247">
        <v>4686.2</v>
      </c>
      <c r="I4" s="247">
        <v>35.299999999999997</v>
      </c>
      <c r="J4" s="250">
        <v>8.1</v>
      </c>
      <c r="K4" s="249">
        <v>35.1</v>
      </c>
      <c r="L4" s="247">
        <v>62.3</v>
      </c>
      <c r="M4" s="247">
        <v>1.4</v>
      </c>
      <c r="N4" s="250">
        <v>2.9</v>
      </c>
      <c r="O4" s="253">
        <f>(F4*QBPassAtt)+(H4*PassingYds)+(I4*PassingTD)+(J4*PassingINT)+(L4*QBRushingYd)+(M4*QBRushingTD)+(N4*QBFuml)+(G4*QBCompletion)+(K4*QBRushAtt)</f>
        <v>329.37799999999999</v>
      </c>
      <c r="P4" s="1" t="str">
        <f ca="1">IF(A4&lt;=QBStarter,"Starter",IF(A4&gt;QBStarter+QBBench,"Undrafted","Bench"))</f>
        <v>Starter</v>
      </c>
      <c r="Q4" s="47">
        <f ca="1">IFERROR(MAX(O4-LARGE(O$3:O$77,QBStarter),0),0)</f>
        <v>51.243999999999971</v>
      </c>
      <c r="R4" s="47">
        <f ca="1">IFERROR(IF(AllowNegative="Yes",O4-LARGE(O$3:O$77,QBCount),MAX(O4-LARGE(O$3:O$77,QBCount),0)),0)</f>
        <v>101.66799999999998</v>
      </c>
      <c r="S4" s="108">
        <f ca="1">(R4-Q4)*BenchPF+Q4*StarterPF</f>
        <v>34.464062279942326</v>
      </c>
      <c r="T4" s="108">
        <f ca="1">S4*Auction!$A$2</f>
        <v>34.464062279942326</v>
      </c>
      <c r="U4" s="25" t="str">
        <f>IF(OR(INDEX(Auction!$H$13:$H$683,MATCH(B4,Auction!$A$13:$A$683,0))&gt;0,IFERROR(INDEX(CheatSheet!$D$5:$D$34,MATCH(B4,CheatSheet!$A$5:$A$34,0)),"")&lt;&gt;""),"Yes","No")</f>
        <v>No</v>
      </c>
      <c r="V4" s="219"/>
      <c r="W4" s="1"/>
      <c r="X4" s="100">
        <f t="shared" ca="1" si="0"/>
        <v>1</v>
      </c>
      <c r="Y4" s="1">
        <f t="shared" ref="Y4:Y67" ca="1" si="2">AVERAGE(Q4:R4)</f>
        <v>76.455999999999975</v>
      </c>
      <c r="Z4" s="1" t="str">
        <f t="shared" ca="1" si="1"/>
        <v>QB2</v>
      </c>
      <c r="AA4" s="1">
        <f ca="1">Y4*LeagueInfo!$H$5</f>
        <v>34.966458008076216</v>
      </c>
      <c r="AB4" s="1"/>
      <c r="AC4" s="1"/>
    </row>
    <row r="5" spans="1:29" x14ac:dyDescent="0.25">
      <c r="A5" s="1">
        <f>RANK(O5,O$3:O$77)</f>
        <v>3</v>
      </c>
      <c r="B5" s="1" t="s">
        <v>134</v>
      </c>
      <c r="C5" s="1" t="s">
        <v>33</v>
      </c>
      <c r="D5" s="47">
        <f>VLOOKUP(E5,BYEs!$A$2:$B$34,2,FALSE)</f>
        <v>5</v>
      </c>
      <c r="E5" s="1" t="s">
        <v>352</v>
      </c>
      <c r="F5" s="249">
        <v>646.29999999999995</v>
      </c>
      <c r="G5" s="247">
        <v>439.7</v>
      </c>
      <c r="H5" s="247">
        <v>4927.2</v>
      </c>
      <c r="I5" s="247">
        <v>33.6</v>
      </c>
      <c r="J5" s="250">
        <v>14.7</v>
      </c>
      <c r="K5" s="249">
        <v>22.8</v>
      </c>
      <c r="L5" s="247">
        <v>33.1</v>
      </c>
      <c r="M5" s="247">
        <v>1.2</v>
      </c>
      <c r="N5" s="250">
        <v>3.4</v>
      </c>
      <c r="O5" s="253">
        <f>(F5*QBPassAtt)+(H5*PassingYds)+(I5*PassingTD)+(J5*PassingINT)+(L5*QBRushingYd)+(M5*QBRushingTD)+(N5*QBFuml)+(G5*QBCompletion)+(K5*QBRushAtt)</f>
        <v>320.49799999999999</v>
      </c>
      <c r="P5" s="47" t="str">
        <f ca="1">IF(A5&lt;=QBStarter,"Starter",IF(A5&gt;QBStarter+QBBench,"Undrafted","Bench"))</f>
        <v>Starter</v>
      </c>
      <c r="Q5" s="47">
        <f ca="1">IFERROR(MAX(O5-LARGE(O$3:O$77,QBStarter),0),0)</f>
        <v>42.363999999999976</v>
      </c>
      <c r="R5" s="47">
        <f ca="1">IFERROR(IF(AllowNegative="Yes",O5-LARGE(O$3:O$77,QBCount),MAX(O5-LARGE(O$3:O$77,QBCount),0)),0)</f>
        <v>92.787999999999982</v>
      </c>
      <c r="S5" s="128">
        <f ca="1">(R5-Q5)*BenchPF+Q5*StarterPF</f>
        <v>30.584525448012638</v>
      </c>
      <c r="T5" s="128">
        <f ca="1">S5*Auction!$A$2</f>
        <v>30.584525448012638</v>
      </c>
      <c r="U5" s="263" t="str">
        <f>IF(OR(INDEX(Auction!$H$13:$H$683,MATCH(B5,Auction!$A$13:$A$683,0))&gt;0,IFERROR(INDEX(CheatSheet!$D$5:$D$34,MATCH(B5,CheatSheet!$A$5:$A$34,0)),"")&lt;&gt;""),"Yes","No")</f>
        <v>No</v>
      </c>
      <c r="V5" s="219"/>
      <c r="W5" s="1"/>
      <c r="X5" s="100">
        <f t="shared" ca="1" si="0"/>
        <v>1</v>
      </c>
      <c r="Y5" s="1">
        <f t="shared" ca="1" si="2"/>
        <v>67.575999999999979</v>
      </c>
      <c r="Z5" s="1" t="str">
        <f t="shared" ca="1" si="1"/>
        <v>QB2</v>
      </c>
      <c r="AA5" s="1">
        <f ca="1">Y5*LeagueInfo!$H$5</f>
        <v>30.905270565472406</v>
      </c>
      <c r="AB5" s="1"/>
      <c r="AC5" s="1"/>
    </row>
    <row r="6" spans="1:29" x14ac:dyDescent="0.25">
      <c r="A6" s="1">
        <f>RANK(O6,O$3:O$77)</f>
        <v>4</v>
      </c>
      <c r="B6" s="1" t="s">
        <v>153</v>
      </c>
      <c r="C6" s="1" t="s">
        <v>33</v>
      </c>
      <c r="D6" s="1">
        <f>VLOOKUP(E6,BYEs!$A$2:$B$34,2,FALSE)</f>
        <v>5</v>
      </c>
      <c r="E6" s="1" t="s">
        <v>353</v>
      </c>
      <c r="F6" s="249">
        <v>560.4</v>
      </c>
      <c r="G6" s="251">
        <v>377.4</v>
      </c>
      <c r="H6" s="251">
        <v>4655.6000000000004</v>
      </c>
      <c r="I6" s="251">
        <v>32.6</v>
      </c>
      <c r="J6" s="250">
        <v>11</v>
      </c>
      <c r="K6" s="249">
        <v>34.299999999999997</v>
      </c>
      <c r="L6" s="251">
        <v>100.3</v>
      </c>
      <c r="M6" s="251">
        <v>0.7</v>
      </c>
      <c r="N6" s="250">
        <v>3</v>
      </c>
      <c r="O6" s="253">
        <f>(F6*QBPassAtt)+(H6*PassingYds)+(I6*PassingTD)+(J6*PassingINT)+(L6*QBRushingYd)+(M6*QBRushingTD)+(N6*QBFuml)+(G6*QBCompletion)+(K6*QBRushAtt)</f>
        <v>313.85399999999998</v>
      </c>
      <c r="P6" s="1" t="str">
        <f ca="1">IF(A6&lt;=QBStarter,"Starter",IF(A6&gt;QBStarter+QBBench,"Undrafted","Bench"))</f>
        <v>Starter</v>
      </c>
      <c r="Q6" s="47">
        <f ca="1">IFERROR(MAX(O6-LARGE(O$3:O$77,QBStarter),0),0)</f>
        <v>35.71999999999997</v>
      </c>
      <c r="R6" s="47">
        <f ca="1">IFERROR(IF(AllowNegative="Yes",O6-LARGE(O$3:O$77,QBCount),MAX(O6-LARGE(O$3:O$77,QBCount),0)),0)</f>
        <v>86.143999999999977</v>
      </c>
      <c r="S6" s="108">
        <f ca="1">(R6-Q6)*BenchPF+Q6*StarterPF</f>
        <v>27.681862980519295</v>
      </c>
      <c r="T6" s="108">
        <f ca="1">S6*Auction!$A$2</f>
        <v>27.681862980519295</v>
      </c>
      <c r="U6" s="25" t="str">
        <f>IF(OR(INDEX(Auction!$H$13:$H$683,MATCH(B6,Auction!$A$13:$A$683,0))&gt;0,IFERROR(INDEX(CheatSheet!$D$5:$D$34,MATCH(B6,CheatSheet!$A$5:$A$34,0)),"")&lt;&gt;""),"Yes","No")</f>
        <v>No</v>
      </c>
      <c r="V6" s="219"/>
      <c r="W6" s="1"/>
      <c r="X6" s="100">
        <f t="shared" ca="1" si="0"/>
        <v>1</v>
      </c>
      <c r="Y6" s="1">
        <f t="shared" ca="1" si="2"/>
        <v>60.931999999999974</v>
      </c>
      <c r="Z6" s="1" t="str">
        <f t="shared" ca="1" si="1"/>
        <v>QB2</v>
      </c>
      <c r="AA6" s="1">
        <f ca="1">Y6*LeagueInfo!$H$5</f>
        <v>27.866697438371084</v>
      </c>
      <c r="AB6" s="1"/>
      <c r="AC6" s="1"/>
    </row>
    <row r="7" spans="1:29" x14ac:dyDescent="0.25">
      <c r="A7" s="1">
        <f>RANK(O7,O$3:O$77)</f>
        <v>5</v>
      </c>
      <c r="B7" s="1" t="s">
        <v>165</v>
      </c>
      <c r="C7" s="1" t="s">
        <v>33</v>
      </c>
      <c r="D7" s="1">
        <f>VLOOKUP(E7,BYEs!$A$2:$B$34,2,FALSE)</f>
        <v>6</v>
      </c>
      <c r="E7" s="1" t="s">
        <v>354</v>
      </c>
      <c r="F7" s="249">
        <v>533.20000000000005</v>
      </c>
      <c r="G7" s="247">
        <v>343</v>
      </c>
      <c r="H7" s="247">
        <v>4095</v>
      </c>
      <c r="I7" s="247">
        <v>27</v>
      </c>
      <c r="J7" s="250">
        <v>11.5</v>
      </c>
      <c r="K7" s="249">
        <v>82.5</v>
      </c>
      <c r="L7" s="247">
        <v>386.3</v>
      </c>
      <c r="M7" s="247">
        <v>2.1</v>
      </c>
      <c r="N7" s="250">
        <v>2.9</v>
      </c>
      <c r="O7" s="253">
        <f>(F7*QBPassAtt)+(H7*PassingYds)+(I7*PassingTD)+(J7*PassingINT)+(L7*QBRushingYd)+(M7*QBRushingTD)+(N7*QBFuml)+(G7*QBCompletion)+(K7*QBRushAtt)</f>
        <v>305.73</v>
      </c>
      <c r="P7" s="1" t="str">
        <f ca="1">IF(A7&lt;=QBStarter,"Starter",IF(A7&gt;QBStarter+QBBench,"Undrafted","Bench"))</f>
        <v>Starter</v>
      </c>
      <c r="Q7" s="47">
        <f ca="1">IFERROR(MAX(O7-LARGE(O$3:O$77,QBStarter),0),0)</f>
        <v>27.596000000000004</v>
      </c>
      <c r="R7" s="47">
        <f ca="1">IFERROR(IF(AllowNegative="Yes",O7-LARGE(O$3:O$77,QBCount),MAX(O7-LARGE(O$3:O$77,QBCount),0)),0)</f>
        <v>78.02000000000001</v>
      </c>
      <c r="S7" s="108">
        <f ca="1">(R7-Q7)*BenchPF+Q7*StarterPF</f>
        <v>24.132611041037688</v>
      </c>
      <c r="T7" s="108">
        <f ca="1">S7*Auction!$A$2</f>
        <v>24.132611041037688</v>
      </c>
      <c r="U7" s="25" t="str">
        <f>IF(OR(INDEX(Auction!$H$13:$H$683,MATCH(B7,Auction!$A$13:$A$683,0))&gt;0,IFERROR(INDEX(CheatSheet!$D$5:$D$34,MATCH(B7,CheatSheet!$A$5:$A$34,0)),"")&lt;&gt;""),"Yes","No")</f>
        <v>No</v>
      </c>
      <c r="V7" s="219"/>
      <c r="W7" s="1"/>
      <c r="X7" s="100">
        <f t="shared" ca="1" si="0"/>
        <v>1</v>
      </c>
      <c r="Y7" s="1">
        <f t="shared" ca="1" si="2"/>
        <v>52.808000000000007</v>
      </c>
      <c r="Z7" s="1" t="str">
        <f t="shared" ca="1" si="1"/>
        <v>QB2</v>
      </c>
      <c r="AA7" s="1">
        <f ca="1">Y7*LeagueInfo!$H$5</f>
        <v>24.151259737502478</v>
      </c>
      <c r="AB7" s="1"/>
      <c r="AC7" s="1"/>
    </row>
    <row r="8" spans="1:29" x14ac:dyDescent="0.25">
      <c r="A8" s="1">
        <f>RANK(O8,O$3:O$77)</f>
        <v>6</v>
      </c>
      <c r="B8" s="1" t="s">
        <v>171</v>
      </c>
      <c r="C8" s="1" t="s">
        <v>33</v>
      </c>
      <c r="D8" s="1">
        <f>VLOOKUP(E8,BYEs!$A$2:$B$34,2,FALSE)</f>
        <v>11</v>
      </c>
      <c r="E8" s="1" t="s">
        <v>357</v>
      </c>
      <c r="F8" s="249">
        <v>528.9</v>
      </c>
      <c r="G8" s="247">
        <v>306</v>
      </c>
      <c r="H8" s="247">
        <v>3774.4</v>
      </c>
      <c r="I8" s="247">
        <v>24.4</v>
      </c>
      <c r="J8" s="250">
        <v>13.6</v>
      </c>
      <c r="K8" s="249">
        <v>84.5</v>
      </c>
      <c r="L8" s="247">
        <v>403.3</v>
      </c>
      <c r="M8" s="247">
        <v>4.9000000000000004</v>
      </c>
      <c r="N8" s="250">
        <v>4.0999999999999996</v>
      </c>
      <c r="O8" s="253">
        <f>(F8*QBPassAtt)+(H8*PassingYds)+(I8*PassingTD)+(J8*PassingINT)+(L8*QBRushingYd)+(M8*QBRushingTD)+(N8*QBFuml)+(G8*QBCompletion)+(K8*QBRushAtt)</f>
        <v>296.50599999999997</v>
      </c>
      <c r="P8" s="1" t="str">
        <f ca="1">IF(A8&lt;=QBStarter,"Starter",IF(A8&gt;QBStarter+QBBench,"Undrafted","Bench"))</f>
        <v>Starter</v>
      </c>
      <c r="Q8" s="47">
        <f ca="1">IFERROR(MAX(O8-LARGE(O$3:O$77,QBStarter),0),0)</f>
        <v>18.371999999999957</v>
      </c>
      <c r="R8" s="47">
        <f ca="1">IFERROR(IF(AllowNegative="Yes",O8-LARGE(O$3:O$77,QBCount),MAX(O8-LARGE(O$3:O$77,QBCount),0)),0)</f>
        <v>68.795999999999964</v>
      </c>
      <c r="S8" s="108">
        <f ca="1">(R8-Q8)*BenchPF+Q8*StarterPF</f>
        <v>20.102785845348539</v>
      </c>
      <c r="T8" s="108">
        <f ca="1">S8*Auction!$A$2</f>
        <v>20.102785845348539</v>
      </c>
      <c r="U8" s="25" t="str">
        <f>IF(OR(INDEX(Auction!$H$13:$H$683,MATCH(B8,Auction!$A$13:$A$683,0))&gt;0,IFERROR(INDEX(CheatSheet!$D$5:$D$34,MATCH(B8,CheatSheet!$A$5:$A$34,0)),"")&lt;&gt;""),"Yes","No")</f>
        <v>No</v>
      </c>
      <c r="V8" s="219"/>
      <c r="W8" s="1"/>
      <c r="X8" s="100">
        <f t="shared" ca="1" si="0"/>
        <v>1</v>
      </c>
      <c r="Y8" s="1">
        <f t="shared" ca="1" si="2"/>
        <v>43.583999999999961</v>
      </c>
      <c r="Z8" s="1" t="str">
        <f t="shared" ca="1" si="1"/>
        <v>QB3</v>
      </c>
      <c r="AA8" s="1">
        <f ca="1">Y8*LeagueInfo!$H$5</f>
        <v>19.932747015590571</v>
      </c>
      <c r="AB8" s="1"/>
      <c r="AC8" s="1"/>
    </row>
    <row r="9" spans="1:29" x14ac:dyDescent="0.25">
      <c r="A9" s="1">
        <f>RANK(O9,O$3:O$77)</f>
        <v>7</v>
      </c>
      <c r="B9" s="1" t="s">
        <v>188</v>
      </c>
      <c r="C9" s="1" t="s">
        <v>33</v>
      </c>
      <c r="D9" s="1">
        <f>VLOOKUP(E9,BYEs!$A$2:$B$34,2,FALSE)</f>
        <v>11</v>
      </c>
      <c r="E9" s="1" t="s">
        <v>356</v>
      </c>
      <c r="F9" s="249">
        <v>573.20000000000005</v>
      </c>
      <c r="G9" s="247">
        <v>356.2</v>
      </c>
      <c r="H9" s="247">
        <v>4290.3</v>
      </c>
      <c r="I9" s="247">
        <v>28.2</v>
      </c>
      <c r="J9" s="250">
        <v>16.3</v>
      </c>
      <c r="K9" s="249">
        <v>51.3</v>
      </c>
      <c r="L9" s="247">
        <v>185.9</v>
      </c>
      <c r="M9" s="247">
        <v>2.6</v>
      </c>
      <c r="N9" s="250">
        <v>3.5</v>
      </c>
      <c r="O9" s="253">
        <f>(F9*QBPassAtt)+(H9*PassingYds)+(I9*PassingTD)+(J9*PassingINT)+(L9*QBRushingYd)+(M9*QBRushingTD)+(N9*QBFuml)+(G9*QBCompletion)+(K9*QBRushAtt)</f>
        <v>295.30200000000002</v>
      </c>
      <c r="P9" s="1" t="str">
        <f ca="1">IF(A9&lt;=QBStarter,"Starter",IF(A9&gt;QBStarter+QBBench,"Undrafted","Bench"))</f>
        <v>Starter</v>
      </c>
      <c r="Q9" s="47">
        <f ca="1">IFERROR(MAX(O9-LARGE(O$3:O$77,QBStarter),0),0)</f>
        <v>17.168000000000006</v>
      </c>
      <c r="R9" s="47">
        <f ca="1">IFERROR(IF(AllowNegative="Yes",O9-LARGE(O$3:O$77,QBCount),MAX(O9-LARGE(O$3:O$77,QBCount),0)),0)</f>
        <v>67.592000000000013</v>
      </c>
      <c r="S9" s="108">
        <f ca="1">(R9-Q9)*BenchPF+Q9*StarterPF</f>
        <v>19.576776572190525</v>
      </c>
      <c r="T9" s="108">
        <f ca="1">S9*Auction!$A$2</f>
        <v>19.576776572190525</v>
      </c>
      <c r="U9" s="25" t="str">
        <f>IF(OR(INDEX(Auction!$H$13:$H$683,MATCH(B9,Auction!$A$13:$A$683,0))&gt;0,IFERROR(INDEX(CheatSheet!$D$5:$D$34,MATCH(B9,CheatSheet!$A$5:$A$34,0)),"")&lt;&gt;""),"Yes","No")</f>
        <v>No</v>
      </c>
      <c r="V9" s="219"/>
      <c r="W9" s="1"/>
      <c r="X9" s="100">
        <f t="shared" ca="1" si="0"/>
        <v>1</v>
      </c>
      <c r="Y9" s="1">
        <f t="shared" ca="1" si="2"/>
        <v>42.38000000000001</v>
      </c>
      <c r="Z9" s="1" t="str">
        <f t="shared" ca="1" si="1"/>
        <v>QB3</v>
      </c>
      <c r="AA9" s="1">
        <f ca="1">Y9*LeagueInfo!$H$5</f>
        <v>19.382108538012332</v>
      </c>
      <c r="AB9" s="1"/>
      <c r="AC9" s="1"/>
    </row>
    <row r="10" spans="1:29" x14ac:dyDescent="0.25">
      <c r="A10" s="1">
        <f>RANK(O10,O$3:O$77)</f>
        <v>8</v>
      </c>
      <c r="B10" s="1" t="s">
        <v>164</v>
      </c>
      <c r="C10" s="1" t="s">
        <v>33</v>
      </c>
      <c r="D10" s="1">
        <f>VLOOKUP(E10,BYEs!$A$2:$B$34,2,FALSE)</f>
        <v>8</v>
      </c>
      <c r="E10" s="1" t="s">
        <v>359</v>
      </c>
      <c r="F10" s="249">
        <v>517.20000000000005</v>
      </c>
      <c r="G10" s="247">
        <v>320.7</v>
      </c>
      <c r="H10" s="247">
        <v>3821</v>
      </c>
      <c r="I10" s="247">
        <v>26.5</v>
      </c>
      <c r="J10" s="250">
        <v>12.2</v>
      </c>
      <c r="K10" s="249">
        <v>58.7</v>
      </c>
      <c r="L10" s="247">
        <v>323.8</v>
      </c>
      <c r="M10" s="247">
        <v>2.1</v>
      </c>
      <c r="N10" s="250">
        <v>3.8</v>
      </c>
      <c r="O10" s="253">
        <f>(F10*QBPassAtt)+(H10*PassingYds)+(I10*PassingTD)+(J10*PassingINT)+(L10*QBRushingYd)+(M10*QBRushingTD)+(N10*QBFuml)+(G10*QBCompletion)+(K10*QBRushAtt)</f>
        <v>284.02000000000004</v>
      </c>
      <c r="P10" s="1" t="str">
        <f ca="1">IF(A10&lt;=QBStarter,"Starter",IF(A10&gt;QBStarter+QBBench,"Undrafted","Bench"))</f>
        <v>Starter</v>
      </c>
      <c r="Q10" s="47">
        <f ca="1">IFERROR(MAX(O10-LARGE(O$3:O$77,QBStarter),0),0)</f>
        <v>5.8860000000000241</v>
      </c>
      <c r="R10" s="47">
        <f ca="1">IFERROR(IF(AllowNegative="Yes",O10-LARGE(O$3:O$77,QBCount),MAX(O10-LARGE(O$3:O$77,QBCount),0)),0)</f>
        <v>56.310000000000031</v>
      </c>
      <c r="S10" s="108">
        <f ca="1">(R10-Q10)*BenchPF+Q10*StarterPF</f>
        <v>14.647842502614997</v>
      </c>
      <c r="T10" s="108">
        <f ca="1">S10*Auction!$A$2</f>
        <v>14.647842502614997</v>
      </c>
      <c r="U10" s="25" t="str">
        <f>IF(OR(INDEX(Auction!$H$13:$H$683,MATCH(B10,Auction!$A$13:$A$683,0))&gt;0,IFERROR(INDEX(CheatSheet!$D$5:$D$34,MATCH(B10,CheatSheet!$A$5:$A$34,0)),"")&lt;&gt;""),"Yes","No")</f>
        <v>No</v>
      </c>
      <c r="V10" s="219"/>
      <c r="W10" s="1"/>
      <c r="X10" s="100">
        <f t="shared" ca="1" si="0"/>
        <v>1</v>
      </c>
      <c r="Y10" s="1">
        <f t="shared" ca="1" si="2"/>
        <v>31.098000000000027</v>
      </c>
      <c r="Z10" s="1" t="str">
        <f t="shared" ca="1" si="1"/>
        <v>QB3</v>
      </c>
      <c r="AA10" s="1">
        <f ca="1">Y10*LeagueInfo!$H$5</f>
        <v>14.222388185821327</v>
      </c>
      <c r="AB10" s="1"/>
      <c r="AC10" s="1"/>
    </row>
    <row r="11" spans="1:29" x14ac:dyDescent="0.25">
      <c r="A11" s="1">
        <f>RANK(O11,O$3:O$77)</f>
        <v>9</v>
      </c>
      <c r="B11" s="1" t="s">
        <v>198</v>
      </c>
      <c r="C11" s="1" t="s">
        <v>33</v>
      </c>
      <c r="D11" s="1">
        <f>VLOOKUP(E11,BYEs!$A$2:$B$34,2,FALSE)</f>
        <v>5</v>
      </c>
      <c r="E11" s="1" t="s">
        <v>358</v>
      </c>
      <c r="F11" s="249">
        <v>593.1</v>
      </c>
      <c r="G11" s="247">
        <v>385.9</v>
      </c>
      <c r="H11" s="247">
        <v>4523.3</v>
      </c>
      <c r="I11" s="247">
        <v>25.1</v>
      </c>
      <c r="J11" s="250">
        <v>13.3</v>
      </c>
      <c r="K11" s="249">
        <v>32.799999999999997</v>
      </c>
      <c r="L11" s="247">
        <v>87.1</v>
      </c>
      <c r="M11" s="247">
        <v>2.4</v>
      </c>
      <c r="N11" s="250">
        <v>4.2</v>
      </c>
      <c r="O11" s="253">
        <f>(F11*QBPassAtt)+(H11*PassingYds)+(I11*PassingTD)+(J11*PassingINT)+(L11*QBRushingYd)+(M11*QBRushingTD)+(N11*QBFuml)+(G11*QBCompletion)+(K11*QBRushAtt)</f>
        <v>282.74199999999996</v>
      </c>
      <c r="P11" s="1" t="str">
        <f ca="1">IF(A11&lt;=QBStarter,"Starter",IF(A11&gt;QBStarter+QBBench,"Undrafted","Bench"))</f>
        <v>Starter</v>
      </c>
      <c r="Q11" s="47">
        <f ca="1">IFERROR(MAX(O11-LARGE(O$3:O$77,QBStarter),0),0)</f>
        <v>4.6079999999999472</v>
      </c>
      <c r="R11" s="47">
        <f ca="1">IFERROR(IF(AllowNegative="Yes",O11-LARGE(O$3:O$77,QBCount),MAX(O11-LARGE(O$3:O$77,QBCount),0)),0)</f>
        <v>55.031999999999954</v>
      </c>
      <c r="S11" s="108">
        <f ca="1">(R11-Q11)*BenchPF+Q11*StarterPF</f>
        <v>14.089503755857516</v>
      </c>
      <c r="T11" s="108">
        <f ca="1">S11*Auction!$A$2</f>
        <v>14.089503755857516</v>
      </c>
      <c r="U11" s="25" t="str">
        <f>IF(OR(INDEX(Auction!$H$13:$H$683,MATCH(B11,Auction!$A$13:$A$683,0))&gt;0,IFERROR(INDEX(CheatSheet!$D$5:$D$34,MATCH(B11,CheatSheet!$A$5:$A$34,0)),"")&lt;&gt;""),"Yes","No")</f>
        <v>No</v>
      </c>
      <c r="V11" s="219"/>
      <c r="W11" s="1"/>
      <c r="X11" s="100">
        <f t="shared" ca="1" si="0"/>
        <v>1</v>
      </c>
      <c r="Y11" s="1">
        <f t="shared" ca="1" si="2"/>
        <v>29.819999999999951</v>
      </c>
      <c r="Z11" s="1" t="str">
        <f t="shared" ca="1" si="1"/>
        <v>QB3</v>
      </c>
      <c r="AA11" s="1">
        <f ca="1">Y11*LeagueInfo!$H$5</f>
        <v>13.637906479554664</v>
      </c>
      <c r="AB11" s="1"/>
      <c r="AC11" s="1"/>
    </row>
    <row r="12" spans="1:29" x14ac:dyDescent="0.25">
      <c r="A12" s="1">
        <f>RANK(O12,O$3:O$77)</f>
        <v>10</v>
      </c>
      <c r="B12" s="1" t="s">
        <v>142</v>
      </c>
      <c r="C12" s="1" t="s">
        <v>33</v>
      </c>
      <c r="D12" s="1">
        <f>VLOOKUP(E12,BYEs!$A$2:$B$34,2,FALSE)</f>
        <v>11</v>
      </c>
      <c r="E12" s="1" t="s">
        <v>355</v>
      </c>
      <c r="F12" s="249">
        <v>526.29999999999995</v>
      </c>
      <c r="G12" s="247">
        <v>324.2</v>
      </c>
      <c r="H12" s="247">
        <v>3848.3</v>
      </c>
      <c r="I12" s="247">
        <v>27.3</v>
      </c>
      <c r="J12" s="250">
        <v>14.5</v>
      </c>
      <c r="K12" s="249">
        <v>58</v>
      </c>
      <c r="L12" s="247">
        <v>284.60000000000002</v>
      </c>
      <c r="M12" s="247">
        <v>2</v>
      </c>
      <c r="N12" s="250">
        <v>3.6</v>
      </c>
      <c r="O12" s="253">
        <f>(F12*QBPassAtt)+(H12*PassingYds)+(I12*PassingTD)+(J12*PassingINT)+(L12*QBRushingYd)+(M12*QBRushingTD)+(N12*QBFuml)+(G12*QBCompletion)+(K12*QBRushAtt)</f>
        <v>281.892</v>
      </c>
      <c r="P12" s="1" t="str">
        <f ca="1">IF(A12&lt;=QBStarter,"Starter",IF(A12&gt;QBStarter+QBBench,"Undrafted","Bench"))</f>
        <v>Starter</v>
      </c>
      <c r="Q12" s="47">
        <f ca="1">IFERROR(MAX(O12-LARGE(O$3:O$77,QBStarter),0),0)</f>
        <v>3.7579999999999814</v>
      </c>
      <c r="R12" s="47">
        <f ca="1">IFERROR(IF(AllowNegative="Yes",O12-LARGE(O$3:O$77,QBCount),MAX(O12-LARGE(O$3:O$77,QBCount),0)),0)</f>
        <v>54.181999999999988</v>
      </c>
      <c r="S12" s="108">
        <f ca="1">(R12-Q12)*BenchPF+Q12*StarterPF</f>
        <v>13.718151694242639</v>
      </c>
      <c r="T12" s="108">
        <f ca="1">S12*Auction!$A$2</f>
        <v>13.718151694242639</v>
      </c>
      <c r="U12" s="25" t="str">
        <f>IF(OR(INDEX(Auction!$H$13:$H$683,MATCH(B12,Auction!$A$13:$A$683,0))&gt;0,IFERROR(INDEX(CheatSheet!$D$5:$D$34,MATCH(B12,CheatSheet!$A$5:$A$34,0)),"")&lt;&gt;""),"Yes","No")</f>
        <v>No</v>
      </c>
      <c r="V12" s="219"/>
      <c r="W12" s="1"/>
      <c r="X12" s="100">
        <f t="shared" ca="1" si="0"/>
        <v>1</v>
      </c>
      <c r="Y12" s="1">
        <f t="shared" ca="1" si="2"/>
        <v>28.969999999999985</v>
      </c>
      <c r="Z12" s="1" t="str">
        <f t="shared" ca="1" si="1"/>
        <v>QB3</v>
      </c>
      <c r="AA12" s="1">
        <f ca="1">Y12*LeagueInfo!$H$5</f>
        <v>13.249166690566701</v>
      </c>
      <c r="AB12" s="1"/>
      <c r="AC12" s="1"/>
    </row>
    <row r="13" spans="1:29" x14ac:dyDescent="0.25">
      <c r="A13" s="1">
        <f>RANK(O13,O$3:O$77)</f>
        <v>11</v>
      </c>
      <c r="B13" s="1" t="s">
        <v>190</v>
      </c>
      <c r="C13" s="1" t="s">
        <v>33</v>
      </c>
      <c r="D13" s="1">
        <f>VLOOKUP(E13,BYEs!$A$2:$B$34,2,FALSE)</f>
        <v>6</v>
      </c>
      <c r="E13" s="1" t="s">
        <v>360</v>
      </c>
      <c r="F13" s="249">
        <v>491.8</v>
      </c>
      <c r="G13" s="247">
        <v>317.8</v>
      </c>
      <c r="H13" s="247">
        <v>3737.8</v>
      </c>
      <c r="I13" s="247">
        <v>24.5</v>
      </c>
      <c r="J13" s="250">
        <v>9.1999999999999993</v>
      </c>
      <c r="K13" s="249">
        <v>58.5</v>
      </c>
      <c r="L13" s="247">
        <v>281.60000000000002</v>
      </c>
      <c r="M13" s="247">
        <v>3.4</v>
      </c>
      <c r="N13" s="250">
        <v>3.5</v>
      </c>
      <c r="O13" s="253">
        <f>(F13*QBPassAtt)+(H13*PassingYds)+(I13*PassingTD)+(J13*PassingINT)+(L13*QBRushingYd)+(M13*QBRushingTD)+(N13*QBFuml)+(G13*QBCompletion)+(K13*QBRushAtt)</f>
        <v>279.87200000000001</v>
      </c>
      <c r="P13" s="1" t="str">
        <f ca="1">IF(A13&lt;=QBStarter,"Starter",IF(A13&gt;QBStarter+QBBench,"Undrafted","Bench"))</f>
        <v>Starter</v>
      </c>
      <c r="Q13" s="47">
        <f ca="1">IFERROR(MAX(O13-LARGE(O$3:O$77,QBStarter),0),0)</f>
        <v>1.7379999999999995</v>
      </c>
      <c r="R13" s="47">
        <f ca="1">IFERROR(IF(AllowNegative="Yes",O13-LARGE(O$3:O$77,QBCount),MAX(O13-LARGE(O$3:O$77,QBCount),0)),0)</f>
        <v>52.162000000000006</v>
      </c>
      <c r="S13" s="108">
        <f ca="1">(R13-Q13)*BenchPF+Q13*StarterPF</f>
        <v>12.835644441934317</v>
      </c>
      <c r="T13" s="108">
        <f ca="1">S13*Auction!$A$2</f>
        <v>12.835644441934317</v>
      </c>
      <c r="U13" s="25" t="str">
        <f>IF(OR(INDEX(Auction!$H$13:$H$683,MATCH(B13,Auction!$A$13:$A$683,0))&gt;0,IFERROR(INDEX(CheatSheet!$D$5:$D$34,MATCH(B13,CheatSheet!$A$5:$A$34,0)),"")&lt;&gt;""),"Yes","No")</f>
        <v>No</v>
      </c>
      <c r="V13" s="219"/>
      <c r="W13" s="1"/>
      <c r="X13" s="100">
        <f t="shared" ca="1" si="0"/>
        <v>1</v>
      </c>
      <c r="Y13" s="1">
        <f t="shared" ca="1" si="2"/>
        <v>26.950000000000003</v>
      </c>
      <c r="Z13" s="1" t="str">
        <f t="shared" ca="1" si="1"/>
        <v>QB3</v>
      </c>
      <c r="AA13" s="1">
        <f ca="1">Y13*LeagueInfo!$H$5</f>
        <v>12.325338015559987</v>
      </c>
      <c r="AB13" s="1"/>
      <c r="AC13" s="1"/>
    </row>
    <row r="14" spans="1:29" x14ac:dyDescent="0.25">
      <c r="A14" s="1">
        <f>RANK(O14,O$3:O$77)</f>
        <v>12</v>
      </c>
      <c r="B14" s="1" t="s">
        <v>224</v>
      </c>
      <c r="C14" s="1" t="s">
        <v>33</v>
      </c>
      <c r="D14" s="1">
        <f>VLOOKUP(E14,BYEs!$A$2:$B$34,2,FALSE)</f>
        <v>7</v>
      </c>
      <c r="E14" s="1" t="s">
        <v>362</v>
      </c>
      <c r="F14" s="249">
        <v>587.6</v>
      </c>
      <c r="G14" s="247">
        <v>380.6</v>
      </c>
      <c r="H14" s="247">
        <v>4191.1000000000004</v>
      </c>
      <c r="I14" s="247">
        <v>25.5</v>
      </c>
      <c r="J14" s="250">
        <v>12.3</v>
      </c>
      <c r="K14" s="249">
        <v>37.4</v>
      </c>
      <c r="L14" s="247">
        <v>157.9</v>
      </c>
      <c r="M14" s="247">
        <v>1.8</v>
      </c>
      <c r="N14" s="250">
        <v>2.9</v>
      </c>
      <c r="O14" s="253">
        <f>(F14*QBPassAtt)+(H14*PassingYds)+(I14*PassingTD)+(J14*PassingINT)+(L14*QBRushingYd)+(M14*QBRushingTD)+(N14*QBFuml)+(G14*QBCompletion)+(K14*QBRushAtt)</f>
        <v>278.13400000000001</v>
      </c>
      <c r="P14" s="1" t="str">
        <f ca="1">IF(A14&lt;=QBStarter,"Starter",IF(A14&gt;QBStarter+QBBench,"Undrafted","Bench"))</f>
        <v>Starter</v>
      </c>
      <c r="Q14" s="47">
        <f ca="1">IFERROR(MAX(O14-LARGE(O$3:O$77,QBStarter),0),0)</f>
        <v>0</v>
      </c>
      <c r="R14" s="47">
        <f ca="1">IFERROR(IF(AllowNegative="Yes",O14-LARGE(O$3:O$77,QBCount),MAX(O14-LARGE(O$3:O$77,QBCount),0)),0)</f>
        <v>50.424000000000007</v>
      </c>
      <c r="S14" s="108">
        <f ca="1">(R14-Q14)*BenchPF+Q14*StarterPF</f>
        <v>12.076338697126456</v>
      </c>
      <c r="T14" s="108">
        <f ca="1">S14*Auction!$A$2</f>
        <v>12.076338697126456</v>
      </c>
      <c r="U14" s="25" t="str">
        <f>IF(OR(INDEX(Auction!$H$13:$H$683,MATCH(B14,Auction!$A$13:$A$683,0))&gt;0,IFERROR(INDEX(CheatSheet!$D$5:$D$34,MATCH(B14,CheatSheet!$A$5:$A$34,0)),"")&lt;&gt;""),"Yes","No")</f>
        <v>No</v>
      </c>
      <c r="V14" s="219"/>
      <c r="W14" s="1"/>
      <c r="X14" s="100">
        <f t="shared" ca="1" si="0"/>
        <v>1</v>
      </c>
      <c r="Y14" s="1">
        <f t="shared" ca="1" si="2"/>
        <v>25.212000000000003</v>
      </c>
      <c r="Z14" s="1" t="str">
        <f t="shared" ca="1" si="1"/>
        <v>QB3</v>
      </c>
      <c r="AA14" s="1">
        <f ca="1">Y14*LeagueInfo!$H$5</f>
        <v>11.530479482311629</v>
      </c>
      <c r="AB14" s="1"/>
      <c r="AC14" s="1"/>
    </row>
    <row r="15" spans="1:29" x14ac:dyDescent="0.25">
      <c r="A15" s="1">
        <f>RANK(O15,O$3:O$77)</f>
        <v>13</v>
      </c>
      <c r="B15" s="1" t="s">
        <v>181</v>
      </c>
      <c r="C15" s="1" t="s">
        <v>33</v>
      </c>
      <c r="D15" s="1">
        <f>VLOOKUP(E15,BYEs!$A$2:$B$34,2,FALSE)</f>
        <v>9</v>
      </c>
      <c r="E15" s="1" t="s">
        <v>363</v>
      </c>
      <c r="F15" s="249">
        <v>553.20000000000005</v>
      </c>
      <c r="G15" s="251">
        <v>361.6</v>
      </c>
      <c r="H15" s="251">
        <v>4259</v>
      </c>
      <c r="I15" s="251">
        <v>29.5</v>
      </c>
      <c r="J15" s="250">
        <v>14.2</v>
      </c>
      <c r="K15" s="249">
        <v>22</v>
      </c>
      <c r="L15" s="251">
        <v>39.4</v>
      </c>
      <c r="M15" s="251">
        <v>0.6</v>
      </c>
      <c r="N15" s="250">
        <v>2.6</v>
      </c>
      <c r="O15" s="253">
        <f>(F15*QBPassAtt)+(H15*PassingYds)+(I15*PassingTD)+(J15*PassingINT)+(L15*QBRushingYd)+(M15*QBRushingTD)+(N15*QBFuml)+(G15*QBCompletion)+(K15*QBRushAtt)</f>
        <v>276.50000000000006</v>
      </c>
      <c r="P15" s="1" t="str">
        <f ca="1">IF(A15&lt;=QBStarter,"Starter",IF(A15&gt;QBStarter+QBBench,"Undrafted","Bench"))</f>
        <v>Bench</v>
      </c>
      <c r="Q15" s="47">
        <f ca="1">IFERROR(MAX(O15-LARGE(O$3:O$77,QBStarter),0),0)</f>
        <v>0</v>
      </c>
      <c r="R15" s="47">
        <f ca="1">IFERROR(IF(AllowNegative="Yes",O15-LARGE(O$3:O$77,QBCount),MAX(O15-LARGE(O$3:O$77,QBCount),0)),0)</f>
        <v>48.790000000000049</v>
      </c>
      <c r="S15" s="108">
        <f ca="1">(R15-Q15)*BenchPF+Q15*StarterPF</f>
        <v>11.685002479628755</v>
      </c>
      <c r="T15" s="108">
        <f ca="1">S15*Auction!$A$2</f>
        <v>11.685002479628755</v>
      </c>
      <c r="U15" s="25" t="str">
        <f>IF(OR(INDEX(Auction!$H$13:$H$683,MATCH(B15,Auction!$A$13:$A$683,0))&gt;0,IFERROR(INDEX(CheatSheet!$D$5:$D$34,MATCH(B15,CheatSheet!$A$5:$A$34,0)),"")&lt;&gt;""),"Yes","No")</f>
        <v>No</v>
      </c>
      <c r="V15" s="219"/>
      <c r="W15" s="1"/>
      <c r="X15" s="100">
        <f t="shared" ca="1" si="0"/>
        <v>1</v>
      </c>
      <c r="Y15" s="1">
        <f t="shared" ca="1" si="2"/>
        <v>24.395000000000024</v>
      </c>
      <c r="Z15" s="1" t="str">
        <f t="shared" ca="1" si="1"/>
        <v>QB3</v>
      </c>
      <c r="AA15" s="1">
        <f ca="1">Y15*LeagueInfo!$H$5</f>
        <v>11.156831943954959</v>
      </c>
      <c r="AB15" s="1"/>
      <c r="AC15" s="1"/>
    </row>
    <row r="16" spans="1:29" x14ac:dyDescent="0.25">
      <c r="A16" s="1">
        <f>RANK(O16,O$3:O$77)</f>
        <v>14</v>
      </c>
      <c r="B16" s="1" t="s">
        <v>231</v>
      </c>
      <c r="C16" s="1" t="s">
        <v>33</v>
      </c>
      <c r="D16" s="1">
        <f>VLOOKUP(E16,BYEs!$A$2:$B$34,2,FALSE)</f>
        <v>9</v>
      </c>
      <c r="E16" s="1" t="s">
        <v>361</v>
      </c>
      <c r="F16" s="249">
        <v>584.5</v>
      </c>
      <c r="G16" s="247">
        <v>363.1</v>
      </c>
      <c r="H16" s="247">
        <v>4332.2</v>
      </c>
      <c r="I16" s="247">
        <v>30.6</v>
      </c>
      <c r="J16" s="250">
        <v>15.8</v>
      </c>
      <c r="K16" s="249">
        <v>16.7</v>
      </c>
      <c r="L16" s="247">
        <v>38.9</v>
      </c>
      <c r="M16" s="247">
        <v>0.2</v>
      </c>
      <c r="N16" s="250">
        <v>4.3</v>
      </c>
      <c r="O16" s="253">
        <f>(F16*QBPassAtt)+(H16*PassingYds)+(I16*PassingTD)+(J16*PassingINT)+(L16*QBRushingYd)+(M16*QBRushingTD)+(N16*QBFuml)+(G16*QBCompletion)+(K16*QBRushAtt)</f>
        <v>276.37799999999993</v>
      </c>
      <c r="P16" s="1" t="str">
        <f ca="1">IF(A16&lt;=QBStarter,"Starter",IF(A16&gt;QBStarter+QBBench,"Undrafted","Bench"))</f>
        <v>Bench</v>
      </c>
      <c r="Q16" s="47">
        <f ca="1">IFERROR(MAX(O16-LARGE(O$3:O$77,QBStarter),0),0)</f>
        <v>0</v>
      </c>
      <c r="R16" s="47">
        <f ca="1">IFERROR(IF(AllowNegative="Yes",O16-LARGE(O$3:O$77,QBCount),MAX(O16-LARGE(O$3:O$77,QBCount),0)),0)</f>
        <v>48.667999999999921</v>
      </c>
      <c r="S16" s="108">
        <f ca="1">(R16-Q16)*BenchPF+Q16*StarterPF</f>
        <v>11.655783986033423</v>
      </c>
      <c r="T16" s="108">
        <f ca="1">S16*Auction!$A$2</f>
        <v>11.655783986033423</v>
      </c>
      <c r="U16" s="25" t="str">
        <f>IF(OR(INDEX(Auction!$H$13:$H$683,MATCH(B16,Auction!$A$13:$A$683,0))&gt;0,IFERROR(INDEX(CheatSheet!$D$5:$D$34,MATCH(B16,CheatSheet!$A$5:$A$34,0)),"")&lt;&gt;""),"Yes","No")</f>
        <v>No</v>
      </c>
      <c r="V16" s="219"/>
      <c r="W16" s="1"/>
      <c r="X16" s="100">
        <f t="shared" ca="1" si="0"/>
        <v>1</v>
      </c>
      <c r="Y16" s="1">
        <f t="shared" ca="1" si="2"/>
        <v>24.333999999999961</v>
      </c>
      <c r="Z16" s="1" t="str">
        <f t="shared" ca="1" si="1"/>
        <v>QB3</v>
      </c>
      <c r="AA16" s="1">
        <f ca="1">Y16*LeagueInfo!$H$5</f>
        <v>11.128934147333441</v>
      </c>
      <c r="AB16" s="1"/>
      <c r="AC16" s="1"/>
    </row>
    <row r="17" spans="1:29" x14ac:dyDescent="0.25">
      <c r="A17" s="1">
        <f>RANK(O17,O$3:O$77)</f>
        <v>15</v>
      </c>
      <c r="B17" s="1" t="s">
        <v>195</v>
      </c>
      <c r="C17" s="1" t="s">
        <v>33</v>
      </c>
      <c r="D17" s="1">
        <f>VLOOKUP(E17,BYEs!$A$2:$B$34,2,FALSE)</f>
        <v>10</v>
      </c>
      <c r="E17" s="1" t="s">
        <v>365</v>
      </c>
      <c r="F17" s="249">
        <v>592.70000000000005</v>
      </c>
      <c r="G17" s="247">
        <v>365.5</v>
      </c>
      <c r="H17" s="247">
        <v>4118.6000000000004</v>
      </c>
      <c r="I17" s="247">
        <v>28.6</v>
      </c>
      <c r="J17" s="250">
        <v>11.1</v>
      </c>
      <c r="K17" s="249">
        <v>35.4</v>
      </c>
      <c r="L17" s="247">
        <v>86.4</v>
      </c>
      <c r="M17" s="247">
        <v>0.5</v>
      </c>
      <c r="N17" s="250">
        <v>3.4</v>
      </c>
      <c r="O17" s="253">
        <f>(F17*QBPassAtt)+(H17*PassingYds)+(I17*PassingTD)+(J17*PassingINT)+(L17*QBRushingYd)+(M17*QBRushingTD)+(N17*QBFuml)+(G17*QBCompletion)+(K17*QBRushAtt)</f>
        <v>272.88399999999996</v>
      </c>
      <c r="P17" s="1" t="str">
        <f ca="1">IF(A17&lt;=QBStarter,"Starter",IF(A17&gt;QBStarter+QBBench,"Undrafted","Bench"))</f>
        <v>Bench</v>
      </c>
      <c r="Q17" s="47">
        <f ca="1">IFERROR(MAX(O17-LARGE(O$3:O$77,QBStarter),0),0)</f>
        <v>0</v>
      </c>
      <c r="R17" s="47">
        <f ca="1">IFERROR(IF(AllowNegative="Yes",O17-LARGE(O$3:O$77,QBCount),MAX(O17-LARGE(O$3:O$77,QBCount),0)),0)</f>
        <v>45.17399999999995</v>
      </c>
      <c r="S17" s="108">
        <f ca="1">(R17-Q17)*BenchPF+Q17*StarterPF</f>
        <v>10.818985489131958</v>
      </c>
      <c r="T17" s="108">
        <f ca="1">S17*Auction!$A$2</f>
        <v>10.818985489131958</v>
      </c>
      <c r="U17" s="25" t="str">
        <f>IF(OR(INDEX(Auction!$H$13:$H$683,MATCH(B17,Auction!$A$13:$A$683,0))&gt;0,IFERROR(INDEX(CheatSheet!$D$5:$D$34,MATCH(B17,CheatSheet!$A$5:$A$34,0)),"")&lt;&gt;""),"Yes","No")</f>
        <v>No</v>
      </c>
      <c r="V17" s="219"/>
      <c r="W17" s="1"/>
      <c r="X17" s="100">
        <f t="shared" ca="1" si="0"/>
        <v>1</v>
      </c>
      <c r="Y17" s="1">
        <f t="shared" ca="1" si="2"/>
        <v>22.586999999999975</v>
      </c>
      <c r="Z17" s="1" t="str">
        <f t="shared" ca="1" si="1"/>
        <v>QB3</v>
      </c>
      <c r="AA17" s="1">
        <f ca="1">Y17*LeagueInfo!$H$5</f>
        <v>10.329959545731098</v>
      </c>
      <c r="AB17" s="1"/>
      <c r="AC17" s="1"/>
    </row>
    <row r="18" spans="1:29" x14ac:dyDescent="0.25">
      <c r="A18" s="1">
        <f>RANK(O18,O$3:O$77)</f>
        <v>16</v>
      </c>
      <c r="B18" s="1" t="s">
        <v>237</v>
      </c>
      <c r="C18" s="1" t="s">
        <v>33</v>
      </c>
      <c r="D18" s="1">
        <f>VLOOKUP(E18,BYEs!$A$2:$B$34,2,FALSE)</f>
        <v>6</v>
      </c>
      <c r="E18" s="1" t="s">
        <v>366</v>
      </c>
      <c r="F18" s="249">
        <v>541</v>
      </c>
      <c r="G18" s="247">
        <v>347.1</v>
      </c>
      <c r="H18" s="247">
        <v>4008.2</v>
      </c>
      <c r="I18" s="247">
        <v>24.1</v>
      </c>
      <c r="J18" s="250">
        <v>11.1</v>
      </c>
      <c r="K18" s="249">
        <v>48.3</v>
      </c>
      <c r="L18" s="247">
        <v>161.6</v>
      </c>
      <c r="M18" s="247">
        <v>2.5</v>
      </c>
      <c r="N18" s="250">
        <v>3.4</v>
      </c>
      <c r="O18" s="253">
        <f>(F18*QBPassAtt)+(H18*PassingYds)+(I18*PassingTD)+(J18*PassingINT)+(L18*QBRushingYd)+(M18*QBRushingTD)+(N18*QBFuml)+(G18*QBCompletion)+(K18*QBRushAtt)</f>
        <v>269.988</v>
      </c>
      <c r="P18" s="1" t="str">
        <f ca="1">IF(A18&lt;=QBStarter,"Starter",IF(A18&gt;QBStarter+QBBench,"Undrafted","Bench"))</f>
        <v>Bench</v>
      </c>
      <c r="Q18" s="47">
        <f ca="1">IFERROR(MAX(O18-LARGE(O$3:O$77,QBStarter),0),0)</f>
        <v>0</v>
      </c>
      <c r="R18" s="47">
        <f ca="1">IFERROR(IF(AllowNegative="Yes",O18-LARGE(O$3:O$77,QBCount),MAX(O18-LARGE(O$3:O$77,QBCount),0)),0)</f>
        <v>42.277999999999992</v>
      </c>
      <c r="S18" s="108">
        <f ca="1">(R18-Q18)*BenchPF+Q18*StarterPF</f>
        <v>10.125405510017297</v>
      </c>
      <c r="T18" s="108">
        <f ca="1">S18*Auction!$A$2</f>
        <v>10.125405510017297</v>
      </c>
      <c r="U18" s="25" t="str">
        <f>IF(OR(INDEX(Auction!$H$13:$H$683,MATCH(B18,Auction!$A$13:$A$683,0))&gt;0,IFERROR(INDEX(CheatSheet!$D$5:$D$34,MATCH(B18,CheatSheet!$A$5:$A$34,0)),"")&lt;&gt;""),"Yes","No")</f>
        <v>No</v>
      </c>
      <c r="V18" s="219"/>
      <c r="W18" s="1"/>
      <c r="X18" s="100">
        <f t="shared" ca="1" si="0"/>
        <v>1</v>
      </c>
      <c r="Y18" s="1">
        <f t="shared" ca="1" si="2"/>
        <v>21.138999999999996</v>
      </c>
      <c r="Z18" s="1" t="str">
        <f t="shared" ca="1" si="1"/>
        <v>QB3</v>
      </c>
      <c r="AA18" s="1">
        <f ca="1">Y18*LeagueInfo!$H$5</f>
        <v>9.6677298816668831</v>
      </c>
      <c r="AB18" s="1"/>
      <c r="AC18" s="1"/>
    </row>
    <row r="19" spans="1:29" x14ac:dyDescent="0.25">
      <c r="A19" s="1">
        <f>RANK(O19,O$3:O$77)</f>
        <v>17</v>
      </c>
      <c r="B19" s="1" t="s">
        <v>238</v>
      </c>
      <c r="C19" s="1" t="s">
        <v>33</v>
      </c>
      <c r="D19" s="1">
        <f>VLOOKUP(E19,BYEs!$A$2:$B$34,2,FALSE)</f>
        <v>6</v>
      </c>
      <c r="E19" s="1" t="s">
        <v>364</v>
      </c>
      <c r="F19" s="249">
        <v>446.7</v>
      </c>
      <c r="G19" s="247">
        <v>276</v>
      </c>
      <c r="H19" s="247">
        <v>3131.8</v>
      </c>
      <c r="I19" s="247">
        <v>19.399999999999999</v>
      </c>
      <c r="J19" s="250">
        <v>8.8000000000000007</v>
      </c>
      <c r="K19" s="249">
        <v>92</v>
      </c>
      <c r="L19" s="247">
        <v>544</v>
      </c>
      <c r="M19" s="247">
        <v>4.3</v>
      </c>
      <c r="N19" s="250">
        <v>3.1</v>
      </c>
      <c r="O19" s="253">
        <f>(F19*QBPassAtt)+(H19*PassingYds)+(I19*PassingTD)+(J19*PassingINT)+(L19*QBRushingYd)+(M19*QBRushingTD)+(N19*QBFuml)+(G19*QBCompletion)+(K19*QBRushAtt)</f>
        <v>268.072</v>
      </c>
      <c r="P19" s="1" t="str">
        <f ca="1">IF(A19&lt;=QBStarter,"Starter",IF(A19&gt;QBStarter+QBBench,"Undrafted","Bench"))</f>
        <v>Bench</v>
      </c>
      <c r="Q19" s="47">
        <f ca="1">IFERROR(MAX(O19-LARGE(O$3:O$77,QBStarter),0),0)</f>
        <v>0</v>
      </c>
      <c r="R19" s="47">
        <f ca="1">IFERROR(IF(AllowNegative="Yes",O19-LARGE(O$3:O$77,QBCount),MAX(O19-LARGE(O$3:O$77,QBCount),0)),0)</f>
        <v>40.361999999999995</v>
      </c>
      <c r="S19" s="108">
        <f ca="1">(R19-Q19)*BenchPF+Q19*StarterPF</f>
        <v>9.6665314630615953</v>
      </c>
      <c r="T19" s="108">
        <f ca="1">S19*Auction!$A$2</f>
        <v>9.6665314630615953</v>
      </c>
      <c r="U19" s="25" t="str">
        <f>IF(OR(INDEX(Auction!$H$13:$H$683,MATCH(B19,Auction!$A$13:$A$683,0))&gt;0,IFERROR(INDEX(CheatSheet!$D$5:$D$34,MATCH(B19,CheatSheet!$A$5:$A$34,0)),"")&lt;&gt;""),"Yes","No")</f>
        <v>No</v>
      </c>
      <c r="V19" s="219"/>
      <c r="W19" s="1"/>
      <c r="X19" s="100">
        <f t="shared" ca="1" si="0"/>
        <v>1</v>
      </c>
      <c r="Y19" s="1">
        <f t="shared" ca="1" si="2"/>
        <v>20.180999999999997</v>
      </c>
      <c r="Z19" s="1" t="str">
        <f t="shared" ca="1" si="1"/>
        <v>QB3</v>
      </c>
      <c r="AA19" s="1">
        <f ca="1">Y19*LeagueInfo!$H$5</f>
        <v>9.2295972724310218</v>
      </c>
      <c r="AB19" s="1"/>
      <c r="AC19" s="1"/>
    </row>
    <row r="20" spans="1:29" x14ac:dyDescent="0.25">
      <c r="A20" s="1">
        <f>RANK(O20,O$3:O$77)</f>
        <v>18</v>
      </c>
      <c r="B20" s="1" t="s">
        <v>239</v>
      </c>
      <c r="C20" s="1" t="s">
        <v>33</v>
      </c>
      <c r="D20" s="1">
        <f>VLOOKUP(E20,BYEs!$A$2:$B$34,2,FALSE)</f>
        <v>8</v>
      </c>
      <c r="E20" s="1" t="s">
        <v>368</v>
      </c>
      <c r="F20" s="249">
        <v>593.29999999999995</v>
      </c>
      <c r="G20" s="247">
        <v>369.1</v>
      </c>
      <c r="H20" s="247">
        <v>4177.8</v>
      </c>
      <c r="I20" s="247">
        <v>27.7</v>
      </c>
      <c r="J20" s="250">
        <v>15.4</v>
      </c>
      <c r="K20" s="249">
        <v>18.899999999999999</v>
      </c>
      <c r="L20" s="247">
        <v>29.6</v>
      </c>
      <c r="M20" s="247">
        <v>0.2</v>
      </c>
      <c r="N20" s="250">
        <v>4.2</v>
      </c>
      <c r="O20" s="253">
        <f>(F20*QBPassAtt)+(H20*PassingYds)+(I20*PassingTD)+(J20*PassingINT)+(L20*QBRushingYd)+(M20*QBRushingTD)+(N20*QBFuml)+(G20*QBCompletion)+(K20*QBRushAtt)</f>
        <v>258.27200000000005</v>
      </c>
      <c r="P20" s="1" t="str">
        <f ca="1">IF(A20&lt;=QBStarter,"Starter",IF(A20&gt;QBStarter+QBBench,"Undrafted","Bench"))</f>
        <v>Bench</v>
      </c>
      <c r="Q20" s="47">
        <f ca="1">IFERROR(MAX(O20-LARGE(O$3:O$77,QBStarter),0),0)</f>
        <v>0</v>
      </c>
      <c r="R20" s="47">
        <f ca="1">IFERROR(IF(AllowNegative="Yes",O20-LARGE(O$3:O$77,QBCount),MAX(O20-LARGE(O$3:O$77,QBCount),0)),0)</f>
        <v>30.56200000000004</v>
      </c>
      <c r="S20" s="108">
        <f ca="1">(R20-Q20)*BenchPF+Q20*StarterPF</f>
        <v>7.3194721414719019</v>
      </c>
      <c r="T20" s="108">
        <f ca="1">S20*Auction!$A$2</f>
        <v>7.3194721414719019</v>
      </c>
      <c r="U20" s="25" t="str">
        <f>IF(OR(INDEX(Auction!$H$13:$H$683,MATCH(B20,Auction!$A$13:$A$683,0))&gt;0,IFERROR(INDEX(CheatSheet!$D$5:$D$34,MATCH(B20,CheatSheet!$A$5:$A$34,0)),"")&lt;&gt;""),"Yes","No")</f>
        <v>No</v>
      </c>
      <c r="V20" s="219"/>
      <c r="W20" s="1"/>
      <c r="X20" s="100">
        <f t="shared" ca="1" si="0"/>
        <v>1</v>
      </c>
      <c r="Y20" s="1">
        <f t="shared" ca="1" si="2"/>
        <v>15.28100000000002</v>
      </c>
      <c r="Z20" s="1" t="str">
        <f t="shared" ca="1" si="1"/>
        <v>QB4</v>
      </c>
      <c r="AA20" s="1">
        <f ca="1">Y20*LeagueInfo!$H$5</f>
        <v>6.9886267241473981</v>
      </c>
      <c r="AB20" s="1"/>
      <c r="AC20" s="1"/>
    </row>
    <row r="21" spans="1:29" x14ac:dyDescent="0.25">
      <c r="A21" s="1">
        <f>RANK(O21,O$3:O$77)</f>
        <v>19</v>
      </c>
      <c r="B21" s="1" t="s">
        <v>251</v>
      </c>
      <c r="C21" s="1" t="s">
        <v>33</v>
      </c>
      <c r="D21" s="1">
        <f>VLOOKUP(E21,BYEs!$A$2:$B$34,2,FALSE)</f>
        <v>10</v>
      </c>
      <c r="E21" s="1" t="s">
        <v>369</v>
      </c>
      <c r="F21" s="249">
        <v>584.4</v>
      </c>
      <c r="G21" s="247">
        <v>356.6</v>
      </c>
      <c r="H21" s="247">
        <v>3912.2</v>
      </c>
      <c r="I21" s="247">
        <v>22.6</v>
      </c>
      <c r="J21" s="250">
        <v>14.2</v>
      </c>
      <c r="K21" s="249">
        <v>46.9</v>
      </c>
      <c r="L21" s="247">
        <v>165.3</v>
      </c>
      <c r="M21" s="247">
        <v>1.9</v>
      </c>
      <c r="N21" s="250">
        <v>3.3</v>
      </c>
      <c r="O21" s="253">
        <f>(F21*QBPassAtt)+(H21*PassingYds)+(I21*PassingTD)+(J21*PassingINT)+(L21*QBRushingYd)+(M21*QBRushingTD)+(N21*QBFuml)+(G21*QBCompletion)+(K21*QBRushAtt)</f>
        <v>254.018</v>
      </c>
      <c r="P21" s="1" t="str">
        <f ca="1">IF(A21&lt;=QBStarter,"Starter",IF(A21&gt;QBStarter+QBBench,"Undrafted","Bench"))</f>
        <v>Bench</v>
      </c>
      <c r="Q21" s="47">
        <f ca="1">IFERROR(MAX(O21-LARGE(O$3:O$77,QBStarter),0),0)</f>
        <v>0</v>
      </c>
      <c r="R21" s="47">
        <f ca="1">IFERROR(IF(AllowNegative="Yes",O21-LARGE(O$3:O$77,QBCount),MAX(O21-LARGE(O$3:O$77,QBCount),0)),0)</f>
        <v>26.307999999999993</v>
      </c>
      <c r="S21" s="108">
        <f ca="1">(R21-Q21)*BenchPF+Q21*StarterPF</f>
        <v>6.3006567992226454</v>
      </c>
      <c r="T21" s="108">
        <f ca="1">S21*Auction!$A$2</f>
        <v>6.3006567992226454</v>
      </c>
      <c r="U21" s="25" t="str">
        <f>IF(OR(INDEX(Auction!$H$13:$H$683,MATCH(B21,Auction!$A$13:$A$683,0))&gt;0,IFERROR(INDEX(CheatSheet!$D$5:$D$34,MATCH(B21,CheatSheet!$A$5:$A$34,0)),"")&lt;&gt;""),"Yes","No")</f>
        <v>No</v>
      </c>
      <c r="V21" s="219"/>
      <c r="W21" s="1"/>
      <c r="X21" s="100">
        <f t="shared" ca="1" si="0"/>
        <v>1</v>
      </c>
      <c r="Y21" s="1">
        <f t="shared" ca="1" si="2"/>
        <v>13.153999999999996</v>
      </c>
      <c r="Z21" s="1" t="str">
        <f t="shared" ca="1" si="1"/>
        <v>QB4</v>
      </c>
      <c r="AA21" s="1">
        <f ca="1">Y21*LeagueInfo!$H$5</f>
        <v>6.0158625698210022</v>
      </c>
      <c r="AB21" s="1"/>
      <c r="AC21" s="1"/>
    </row>
    <row r="22" spans="1:29" x14ac:dyDescent="0.25">
      <c r="A22" s="1">
        <f>RANK(O22,O$3:O$77)</f>
        <v>20</v>
      </c>
      <c r="B22" s="1" t="s">
        <v>253</v>
      </c>
      <c r="C22" s="1" t="s">
        <v>33</v>
      </c>
      <c r="D22" s="1">
        <f>VLOOKUP(E22,BYEs!$A$2:$B$34,2,FALSE)</f>
        <v>8</v>
      </c>
      <c r="E22" s="1" t="s">
        <v>370</v>
      </c>
      <c r="F22" s="249">
        <v>584.4</v>
      </c>
      <c r="G22" s="247">
        <v>360.5</v>
      </c>
      <c r="H22" s="247">
        <v>4167.7</v>
      </c>
      <c r="I22" s="247">
        <v>25.5</v>
      </c>
      <c r="J22" s="250">
        <v>15.2</v>
      </c>
      <c r="K22" s="249">
        <v>16.5</v>
      </c>
      <c r="L22" s="247">
        <v>35</v>
      </c>
      <c r="M22" s="247">
        <v>0.3</v>
      </c>
      <c r="N22" s="250">
        <v>3.7</v>
      </c>
      <c r="O22" s="253">
        <f>(F22*QBPassAtt)+(H22*PassingYds)+(I22*PassingTD)+(J22*PassingINT)+(L22*QBRushingYd)+(M22*QBRushingTD)+(N22*QBFuml)+(G22*QBCompletion)+(K22*QBRushAtt)</f>
        <v>251.40799999999999</v>
      </c>
      <c r="P22" s="1" t="str">
        <f ca="1">IF(A22&lt;=QBStarter,"Starter",IF(A22&gt;QBStarter+QBBench,"Undrafted","Bench"))</f>
        <v>Bench</v>
      </c>
      <c r="Q22" s="47">
        <f ca="1">IFERROR(MAX(O22-LARGE(O$3:O$77,QBStarter),0),0)</f>
        <v>0</v>
      </c>
      <c r="R22" s="47">
        <f ca="1">IFERROR(IF(AllowNegative="Yes",O22-LARGE(O$3:O$77,QBCount),MAX(O22-LARGE(O$3:O$77,QBCount),0)),0)</f>
        <v>23.697999999999979</v>
      </c>
      <c r="S22" s="108">
        <f ca="1">(R22-Q22)*BenchPF+Q22*StarterPF</f>
        <v>5.6755726329625276</v>
      </c>
      <c r="T22" s="108">
        <f ca="1">S22*Auction!$A$2</f>
        <v>5.6755726329625276</v>
      </c>
      <c r="U22" s="25" t="str">
        <f>IF(OR(INDEX(Auction!$H$13:$H$683,MATCH(B22,Auction!$A$13:$A$683,0))&gt;0,IFERROR(INDEX(CheatSheet!$D$5:$D$34,MATCH(B22,CheatSheet!$A$5:$A$34,0)),"")&lt;&gt;""),"Yes","No")</f>
        <v>No</v>
      </c>
      <c r="V22" s="219"/>
      <c r="W22" s="1"/>
      <c r="X22" s="100">
        <f t="shared" ca="1" si="0"/>
        <v>1</v>
      </c>
      <c r="Y22" s="1">
        <f t="shared" ca="1" si="2"/>
        <v>11.84899999999999</v>
      </c>
      <c r="Z22" s="1" t="str">
        <f t="shared" ca="1" si="1"/>
        <v>QB4</v>
      </c>
      <c r="AA22" s="1">
        <f ca="1">Y22*LeagueInfo!$H$5</f>
        <v>5.4190326584923989</v>
      </c>
      <c r="AB22" s="1"/>
      <c r="AC22" s="1"/>
    </row>
    <row r="23" spans="1:29" x14ac:dyDescent="0.25">
      <c r="A23" s="1">
        <f>RANK(O23,O$3:O$77)</f>
        <v>21</v>
      </c>
      <c r="B23" s="1" t="s">
        <v>229</v>
      </c>
      <c r="C23" s="1" t="s">
        <v>33</v>
      </c>
      <c r="D23" s="1">
        <f>VLOOKUP(E23,BYEs!$A$2:$B$34,2,FALSE)</f>
        <v>10</v>
      </c>
      <c r="E23" s="1" t="s">
        <v>371</v>
      </c>
      <c r="F23" s="249">
        <v>620.70000000000005</v>
      </c>
      <c r="G23" s="247">
        <v>390.1</v>
      </c>
      <c r="H23" s="247">
        <v>4077.7</v>
      </c>
      <c r="I23" s="247">
        <v>22.1</v>
      </c>
      <c r="J23" s="250">
        <v>15.4</v>
      </c>
      <c r="K23" s="249">
        <v>23.4</v>
      </c>
      <c r="L23" s="247">
        <v>51.6</v>
      </c>
      <c r="M23" s="247">
        <v>1.7</v>
      </c>
      <c r="N23" s="250">
        <v>3</v>
      </c>
      <c r="O23" s="253">
        <f>(F23*QBPassAtt)+(H23*PassingYds)+(I23*PassingTD)+(J23*PassingINT)+(L23*QBRushingYd)+(M23*QBRushingTD)+(N23*QBFuml)+(G23*QBCompletion)+(K23*QBRushAtt)</f>
        <v>245.46799999999999</v>
      </c>
      <c r="P23" s="1" t="str">
        <f ca="1">IF(A23&lt;=QBStarter,"Starter",IF(A23&gt;QBStarter+QBBench,"Undrafted","Bench"))</f>
        <v>Bench</v>
      </c>
      <c r="Q23" s="47">
        <f ca="1">IFERROR(MAX(O23-LARGE(O$3:O$77,QBStarter),0),0)</f>
        <v>0</v>
      </c>
      <c r="R23" s="47">
        <f ca="1">IFERROR(IF(AllowNegative="Yes",O23-LARGE(O$3:O$77,QBCount),MAX(O23-LARGE(O$3:O$77,QBCount),0)),0)</f>
        <v>17.757999999999981</v>
      </c>
      <c r="S23" s="108">
        <f ca="1">(R23-Q23)*BenchPF+Q23*StarterPF</f>
        <v>4.2529672890601971</v>
      </c>
      <c r="T23" s="108">
        <f ca="1">S23*Auction!$A$2</f>
        <v>4.2529672890601971</v>
      </c>
      <c r="U23" s="25" t="str">
        <f>IF(OR(INDEX(Auction!$H$13:$H$683,MATCH(B23,Auction!$A$13:$A$683,0))&gt;0,IFERROR(INDEX(CheatSheet!$D$5:$D$34,MATCH(B23,CheatSheet!$A$5:$A$34,0)),"")&lt;&gt;""),"Yes","No")</f>
        <v>No</v>
      </c>
      <c r="V23" s="219"/>
      <c r="W23" s="1"/>
      <c r="X23" s="100">
        <f t="shared" ca="1" si="0"/>
        <v>1</v>
      </c>
      <c r="Y23" s="1">
        <f t="shared" ca="1" si="2"/>
        <v>8.8789999999999907</v>
      </c>
      <c r="Z23" s="1" t="str">
        <f t="shared" ca="1" si="1"/>
        <v>QB4</v>
      </c>
      <c r="AA23" s="1">
        <f ca="1">Y23*LeagueInfo!$H$5</f>
        <v>4.0607301016755839</v>
      </c>
      <c r="AB23" s="1"/>
      <c r="AC23" s="1"/>
    </row>
    <row r="24" spans="1:29" x14ac:dyDescent="0.25">
      <c r="A24" s="1">
        <f>RANK(O24,O$3:O$77)</f>
        <v>22</v>
      </c>
      <c r="B24" s="1" t="s">
        <v>245</v>
      </c>
      <c r="C24" s="1" t="s">
        <v>33</v>
      </c>
      <c r="D24" s="1">
        <f>VLOOKUP(E24,BYEs!$A$2:$B$34,2,FALSE)</f>
        <v>10</v>
      </c>
      <c r="E24" s="1" t="s">
        <v>372</v>
      </c>
      <c r="F24" s="249">
        <v>491.7</v>
      </c>
      <c r="G24" s="247">
        <v>319.39999999999998</v>
      </c>
      <c r="H24" s="247">
        <v>3445.7</v>
      </c>
      <c r="I24" s="247">
        <v>19.5</v>
      </c>
      <c r="J24" s="250">
        <v>9.5</v>
      </c>
      <c r="K24" s="249">
        <v>54</v>
      </c>
      <c r="L24" s="247">
        <v>214.7</v>
      </c>
      <c r="M24" s="247">
        <v>2.2999999999999998</v>
      </c>
      <c r="N24" s="250">
        <v>3.6</v>
      </c>
      <c r="O24" s="253">
        <f>(F24*QBPassAtt)+(H24*PassingYds)+(I24*PassingTD)+(J24*PassingINT)+(L24*QBRushingYd)+(M24*QBRushingTD)+(N24*QBFuml)+(G24*QBCompletion)+(K24*QBRushAtt)</f>
        <v>234.39800000000002</v>
      </c>
      <c r="P24" s="1" t="str">
        <f ca="1">IF(A24&lt;=QBStarter,"Starter",IF(A24&gt;QBStarter+QBBench,"Undrafted","Bench"))</f>
        <v>Bench</v>
      </c>
      <c r="Q24" s="47">
        <f ca="1">IFERROR(MAX(O24-LARGE(O$3:O$77,QBStarter),0),0)</f>
        <v>0</v>
      </c>
      <c r="R24" s="47">
        <f ca="1">IFERROR(IF(AllowNegative="Yes",O24-LARGE(O$3:O$77,QBCount),MAX(O24-LARGE(O$3:O$77,QBCount),0)),0)</f>
        <v>6.6880000000000166</v>
      </c>
      <c r="S24" s="108">
        <f ca="1">(R24-Q24)*BenchPF+Q24*StarterPF</f>
        <v>1.6017482390604063</v>
      </c>
      <c r="T24" s="108">
        <f ca="1">S24*Auction!$A$2</f>
        <v>1.6017482390604063</v>
      </c>
      <c r="U24" s="25" t="str">
        <f>IF(OR(INDEX(Auction!$H$13:$H$683,MATCH(B24,Auction!$A$13:$A$683,0))&gt;0,IFERROR(INDEX(CheatSheet!$D$5:$D$34,MATCH(B24,CheatSheet!$A$5:$A$34,0)),"")&lt;&gt;""),"Yes","No")</f>
        <v>No</v>
      </c>
      <c r="V24" s="219"/>
      <c r="W24" s="1"/>
      <c r="X24" s="100">
        <f t="shared" ca="1" si="0"/>
        <v>1</v>
      </c>
      <c r="Y24" s="1">
        <f t="shared" ca="1" si="2"/>
        <v>3.3440000000000083</v>
      </c>
      <c r="Z24" s="1" t="str">
        <f t="shared" ca="1" si="1"/>
        <v>QB4</v>
      </c>
      <c r="AA24" s="1">
        <f ca="1">Y24*LeagueInfo!$H$5</f>
        <v>1.5293480639715284</v>
      </c>
      <c r="AB24" s="1"/>
      <c r="AC24" s="1"/>
    </row>
    <row r="25" spans="1:29" x14ac:dyDescent="0.25">
      <c r="A25" s="1">
        <f>RANK(O25,O$3:O$77)</f>
        <v>23</v>
      </c>
      <c r="B25" s="1" t="s">
        <v>260</v>
      </c>
      <c r="C25" s="1" t="s">
        <v>33</v>
      </c>
      <c r="D25" s="1">
        <f>VLOOKUP(E25,BYEs!$A$2:$B$34,2,FALSE)</f>
        <v>9</v>
      </c>
      <c r="E25" s="1" t="s">
        <v>373</v>
      </c>
      <c r="F25" s="249">
        <v>541.5</v>
      </c>
      <c r="G25" s="247">
        <v>358</v>
      </c>
      <c r="H25" s="247">
        <v>3783.5</v>
      </c>
      <c r="I25" s="247">
        <v>21.9</v>
      </c>
      <c r="J25" s="250">
        <v>10.199999999999999</v>
      </c>
      <c r="K25" s="249">
        <v>21.5</v>
      </c>
      <c r="L25" s="247">
        <v>47.7</v>
      </c>
      <c r="M25" s="247">
        <v>0.2</v>
      </c>
      <c r="N25" s="250">
        <v>3.5</v>
      </c>
      <c r="O25" s="253">
        <f>(F25*QBPassAtt)+(H25*PassingYds)+(I25*PassingTD)+(J25*PassingINT)+(L25*QBRushingYd)+(M25*QBRushingTD)+(N25*QBFuml)+(G25*QBCompletion)+(K25*QBRushAtt)</f>
        <v>227.71</v>
      </c>
      <c r="P25" s="1" t="str">
        <f ca="1">IF(A25&lt;=QBStarter,"Starter",IF(A25&gt;QBStarter+QBBench,"Undrafted","Bench"))</f>
        <v>Undrafted</v>
      </c>
      <c r="Q25" s="47">
        <f ca="1">IFERROR(MAX(O25-LARGE(O$3:O$77,QBStarter),0),0)</f>
        <v>0</v>
      </c>
      <c r="R25" s="47">
        <f ca="1">IFERROR(IF(AllowNegative="Yes",O25-LARGE(O$3:O$77,QBCount),MAX(O25-LARGE(O$3:O$77,QBCount),0)),0)</f>
        <v>0</v>
      </c>
      <c r="S25" s="108">
        <f ca="1">(R25-Q25)*BenchPF+Q25*StarterPF</f>
        <v>0</v>
      </c>
      <c r="T25" s="108">
        <f ca="1">S25*Auction!$A$2</f>
        <v>0</v>
      </c>
      <c r="U25" s="25" t="str">
        <f>IF(OR(INDEX(Auction!$H$13:$H$683,MATCH(B25,Auction!$A$13:$A$683,0))&gt;0,IFERROR(INDEX(CheatSheet!$D$5:$D$34,MATCH(B25,CheatSheet!$A$5:$A$34,0)),"")&lt;&gt;""),"Yes","No")</f>
        <v>No</v>
      </c>
      <c r="V25" s="219"/>
      <c r="W25" s="1"/>
      <c r="X25" s="100">
        <f t="shared" ca="1" si="0"/>
        <v>1</v>
      </c>
      <c r="Y25" s="1">
        <f t="shared" ca="1" si="2"/>
        <v>0</v>
      </c>
      <c r="Z25" s="1" t="str">
        <f t="shared" ca="1" si="1"/>
        <v>QB4</v>
      </c>
      <c r="AA25" s="1">
        <f ca="1">Y25*LeagueInfo!$H$5</f>
        <v>0</v>
      </c>
      <c r="AB25" s="1"/>
      <c r="AC25" s="1"/>
    </row>
    <row r="26" spans="1:29" x14ac:dyDescent="0.25">
      <c r="A26" s="1">
        <f>RANK(O26,O$3:O$77)</f>
        <v>24</v>
      </c>
      <c r="B26" s="1" t="s">
        <v>896</v>
      </c>
      <c r="C26" s="1" t="s">
        <v>33</v>
      </c>
      <c r="D26" s="1">
        <f>VLOOKUP(E26,BYEs!$A$2:$B$34,2,FALSE)</f>
        <v>11</v>
      </c>
      <c r="E26" s="1" t="s">
        <v>374</v>
      </c>
      <c r="F26" s="249">
        <v>464.3</v>
      </c>
      <c r="G26" s="247">
        <v>291.7</v>
      </c>
      <c r="H26" s="247">
        <v>3361.3</v>
      </c>
      <c r="I26" s="247">
        <v>21.9</v>
      </c>
      <c r="J26" s="250">
        <v>14.2</v>
      </c>
      <c r="K26" s="249">
        <v>32.299999999999997</v>
      </c>
      <c r="L26" s="247">
        <v>129.1</v>
      </c>
      <c r="M26" s="247">
        <v>1</v>
      </c>
      <c r="N26" s="250">
        <v>3.5</v>
      </c>
      <c r="O26" s="253">
        <f>(F26*QBPassAtt)+(H26*PassingYds)+(I26*PassingTD)+(J26*PassingINT)+(L26*QBRushingYd)+(M26*QBRushingTD)+(N26*QBFuml)+(G26*QBCompletion)+(K26*QBRushAtt)</f>
        <v>219.762</v>
      </c>
      <c r="P26" s="1" t="str">
        <f ca="1">IF(A26&lt;=QBStarter,"Starter",IF(A26&gt;QBStarter+QBBench,"Undrafted","Bench"))</f>
        <v>Undrafted</v>
      </c>
      <c r="Q26" s="47">
        <f ca="1">IFERROR(MAX(O26-LARGE(O$3:O$77,QBStarter),0),0)</f>
        <v>0</v>
      </c>
      <c r="R26" s="47">
        <f ca="1">IFERROR(IF(AllowNegative="Yes",O26-LARGE(O$3:O$77,QBCount),MAX(O26-LARGE(O$3:O$77,QBCount),0)),0)</f>
        <v>-7.9480000000000075</v>
      </c>
      <c r="S26" s="108">
        <f ca="1">(R26-Q26)*BenchPF+Q26*StarterPF</f>
        <v>-1.9035130089790804</v>
      </c>
      <c r="T26" s="108">
        <f ca="1">S26*Auction!$A$2</f>
        <v>-1.9035130089790804</v>
      </c>
      <c r="U26" s="25" t="str">
        <f>IF(OR(INDEX(Auction!$H$13:$H$683,MATCH(B26,Auction!$A$13:$A$683,0))&gt;0,IFERROR(INDEX(CheatSheet!$D$5:$D$34,MATCH(B26,CheatSheet!$A$5:$A$34,0)),"")&lt;&gt;""),"Yes","No")</f>
        <v>No</v>
      </c>
      <c r="V26" s="219"/>
      <c r="W26" s="1"/>
      <c r="X26" s="100">
        <f t="shared" ca="1" si="0"/>
        <v>1</v>
      </c>
      <c r="Y26" s="1">
        <f t="shared" ca="1" si="2"/>
        <v>-3.9740000000000038</v>
      </c>
      <c r="Z26" s="1" t="str">
        <f t="shared" ca="1" si="1"/>
        <v>QB4</v>
      </c>
      <c r="AA26" s="1">
        <f ca="1">Y26*LeagueInfo!$H$5</f>
        <v>-1.8174728487508509</v>
      </c>
      <c r="AB26" s="1"/>
      <c r="AC26" s="1"/>
    </row>
    <row r="27" spans="1:29" x14ac:dyDescent="0.25">
      <c r="A27" s="1">
        <f>RANK(O27,O$3:O$77)</f>
        <v>25</v>
      </c>
      <c r="B27" s="1" t="s">
        <v>269</v>
      </c>
      <c r="C27" s="1" t="s">
        <v>33</v>
      </c>
      <c r="D27" s="1">
        <f>VLOOKUP(E27,BYEs!$A$2:$B$34,2,FALSE)</f>
        <v>8</v>
      </c>
      <c r="E27" s="1" t="s">
        <v>367</v>
      </c>
      <c r="F27" s="249">
        <v>458.7</v>
      </c>
      <c r="G27" s="247">
        <v>267.7</v>
      </c>
      <c r="H27" s="247">
        <v>2975</v>
      </c>
      <c r="I27" s="247">
        <v>18.7</v>
      </c>
      <c r="J27" s="250">
        <v>13</v>
      </c>
      <c r="K27" s="249">
        <v>45.2</v>
      </c>
      <c r="L27" s="247">
        <v>256.8</v>
      </c>
      <c r="M27" s="247">
        <v>1.8</v>
      </c>
      <c r="N27" s="250">
        <v>4</v>
      </c>
      <c r="O27" s="253">
        <f>(F27*QBPassAtt)+(H27*PassingYds)+(I27*PassingTD)+(J27*PassingINT)+(L27*QBRushingYd)+(M27*QBRushingTD)+(N27*QBFuml)+(G27*QBCompletion)+(K27*QBRushAtt)</f>
        <v>209.28000000000003</v>
      </c>
      <c r="P27" s="1" t="str">
        <f ca="1">IF(A27&lt;=QBStarter,"Starter",IF(A27&gt;QBStarter+QBBench,"Undrafted","Bench"))</f>
        <v>Undrafted</v>
      </c>
      <c r="Q27" s="47">
        <f ca="1">IFERROR(MAX(O27-LARGE(O$3:O$77,QBStarter),0),0)</f>
        <v>0</v>
      </c>
      <c r="R27" s="47">
        <f ca="1">IFERROR(IF(AllowNegative="Yes",O27-LARGE(O$3:O$77,QBCount),MAX(O27-LARGE(O$3:O$77,QBCount),0)),0)</f>
        <v>-18.429999999999978</v>
      </c>
      <c r="S27" s="108">
        <f ca="1">(R27-Q27)*BenchPF+Q27*StarterPF</f>
        <v>-4.4139084996834903</v>
      </c>
      <c r="T27" s="108">
        <f ca="1">S27*Auction!$A$2</f>
        <v>-4.4139084996834903</v>
      </c>
      <c r="U27" s="25" t="str">
        <f>IF(OR(INDEX(Auction!$H$13:$H$683,MATCH(B27,Auction!$A$13:$A$683,0))&gt;0,IFERROR(INDEX(CheatSheet!$D$5:$D$34,MATCH(B27,CheatSheet!$A$5:$A$34,0)),"")&lt;&gt;""),"Yes","No")</f>
        <v>No</v>
      </c>
      <c r="V27" s="219"/>
      <c r="W27" s="1"/>
      <c r="X27" s="100">
        <f t="shared" ca="1" si="0"/>
        <v>1</v>
      </c>
      <c r="Y27" s="1">
        <f t="shared" ca="1" si="2"/>
        <v>-9.2149999999999892</v>
      </c>
      <c r="Z27" s="1" t="str">
        <f t="shared" ca="1" si="1"/>
        <v>QB4</v>
      </c>
      <c r="AA27" s="1">
        <f ca="1">Y27*LeagueInfo!$H$5</f>
        <v>-4.2143966535578903</v>
      </c>
      <c r="AB27" s="1"/>
      <c r="AC27" s="1"/>
    </row>
    <row r="28" spans="1:29" x14ac:dyDescent="0.25">
      <c r="A28" s="1">
        <f>RANK(O28,O$3:O$77)</f>
        <v>26</v>
      </c>
      <c r="B28" s="1" t="s">
        <v>379</v>
      </c>
      <c r="C28" s="1" t="s">
        <v>33</v>
      </c>
      <c r="D28" s="1">
        <f>VLOOKUP(E28,BYEs!$A$2:$B$34,2,FALSE)</f>
        <v>8</v>
      </c>
      <c r="E28" s="1" t="s">
        <v>380</v>
      </c>
      <c r="F28" s="249">
        <v>525</v>
      </c>
      <c r="G28" s="247">
        <v>304.3</v>
      </c>
      <c r="H28" s="247">
        <v>3333.7</v>
      </c>
      <c r="I28" s="247">
        <v>17.7</v>
      </c>
      <c r="J28" s="250">
        <v>15.7</v>
      </c>
      <c r="K28" s="249">
        <v>24.6</v>
      </c>
      <c r="L28" s="247">
        <v>67</v>
      </c>
      <c r="M28" s="247">
        <v>0.9</v>
      </c>
      <c r="N28" s="250">
        <v>3.3</v>
      </c>
      <c r="O28" s="253">
        <f>(F28*QBPassAtt)+(H28*PassingYds)+(I28*PassingTD)+(J28*PassingINT)+(L28*QBRushingYd)+(M28*QBRushingTD)+(N28*QBFuml)+(G28*QBCompletion)+(K28*QBRushAtt)</f>
        <v>193.94799999999998</v>
      </c>
      <c r="P28" s="1" t="str">
        <f ca="1">IF(A28&lt;=QBStarter,"Starter",IF(A28&gt;QBStarter+QBBench,"Undrafted","Bench"))</f>
        <v>Undrafted</v>
      </c>
      <c r="Q28" s="47">
        <f ca="1">IFERROR(MAX(O28-LARGE(O$3:O$77,QBStarter),0),0)</f>
        <v>0</v>
      </c>
      <c r="R28" s="47">
        <f ca="1">IFERROR(IF(AllowNegative="Yes",O28-LARGE(O$3:O$77,QBCount),MAX(O28-LARGE(O$3:O$77,QBCount),0)),0)</f>
        <v>-33.762000000000029</v>
      </c>
      <c r="S28" s="108">
        <f ca="1">(R28-Q28)*BenchPF+Q28*StarterPF</f>
        <v>-8.0858588587256808</v>
      </c>
      <c r="T28" s="108">
        <f ca="1">S28*Auction!$A$2</f>
        <v>-8.0858588587256808</v>
      </c>
      <c r="U28" s="25" t="str">
        <f>IF(OR(INDEX(Auction!$H$13:$H$683,MATCH(B28,Auction!$A$13:$A$683,0))&gt;0,IFERROR(INDEX(CheatSheet!$D$5:$D$34,MATCH(B28,CheatSheet!$A$5:$A$34,0)),"")&lt;&gt;""),"Yes","No")</f>
        <v>No</v>
      </c>
      <c r="V28" s="219"/>
      <c r="W28" s="1"/>
      <c r="X28" s="100">
        <f t="shared" ca="1" si="0"/>
        <v>1</v>
      </c>
      <c r="Y28" s="1">
        <f t="shared" ca="1" si="2"/>
        <v>-16.881000000000014</v>
      </c>
      <c r="Z28" s="1" t="str">
        <f t="shared" ca="1" si="1"/>
        <v>QB5</v>
      </c>
      <c r="AA28" s="1">
        <f ca="1">Y28*LeagueInfo!$H$5</f>
        <v>-7.7203722093012352</v>
      </c>
      <c r="AB28" s="1"/>
      <c r="AC28" s="1"/>
    </row>
    <row r="29" spans="1:29" x14ac:dyDescent="0.25">
      <c r="A29" s="1">
        <f>RANK(O29,O$3:O$77)</f>
        <v>27</v>
      </c>
      <c r="B29" s="1" t="s">
        <v>383</v>
      </c>
      <c r="C29" s="1" t="s">
        <v>33</v>
      </c>
      <c r="D29" s="1">
        <f>VLOOKUP(E29,BYEs!$A$2:$B$34,2,FALSE)</f>
        <v>5</v>
      </c>
      <c r="E29" s="1" t="s">
        <v>384</v>
      </c>
      <c r="F29" s="249">
        <v>468.9</v>
      </c>
      <c r="G29" s="247">
        <v>281</v>
      </c>
      <c r="H29" s="247">
        <v>3204.4</v>
      </c>
      <c r="I29" s="247">
        <v>17.600000000000001</v>
      </c>
      <c r="J29" s="250">
        <v>12.1</v>
      </c>
      <c r="K29" s="249">
        <v>25.4</v>
      </c>
      <c r="L29" s="247">
        <v>66.400000000000006</v>
      </c>
      <c r="M29" s="247">
        <v>0.6</v>
      </c>
      <c r="N29" s="250">
        <v>2.8</v>
      </c>
      <c r="O29" s="253">
        <f>(F29*QBPassAtt)+(H29*PassingYds)+(I29*PassingTD)+(J29*PassingINT)+(L29*QBRushingYd)+(M29*QBRushingTD)+(N29*QBFuml)+(G29*QBCompletion)+(K29*QBRushAtt)</f>
        <v>191.11600000000004</v>
      </c>
      <c r="P29" s="1" t="str">
        <f ca="1">IF(A29&lt;=QBStarter,"Starter",IF(A29&gt;QBStarter+QBBench,"Undrafted","Bench"))</f>
        <v>Undrafted</v>
      </c>
      <c r="Q29" s="47">
        <f ca="1">IFERROR(MAX(O29-LARGE(O$3:O$77,QBStarter),0),0)</f>
        <v>0</v>
      </c>
      <c r="R29" s="47">
        <f ca="1">IFERROR(IF(AllowNegative="Yes",O29-LARGE(O$3:O$77,QBCount),MAX(O29-LARGE(O$3:O$77,QBCount),0)),0)</f>
        <v>-36.593999999999966</v>
      </c>
      <c r="S29" s="108">
        <f ca="1">(R29-Q29)*BenchPF+Q29*StarterPF</f>
        <v>-8.7641111034952619</v>
      </c>
      <c r="T29" s="108">
        <f ca="1">S29*Auction!$A$2</f>
        <v>-8.7641111034952619</v>
      </c>
      <c r="U29" s="25" t="str">
        <f>IF(OR(INDEX(Auction!$H$13:$H$683,MATCH(B29,Auction!$A$13:$A$683,0))&gt;0,IFERROR(INDEX(CheatSheet!$D$5:$D$34,MATCH(B29,CheatSheet!$A$5:$A$34,0)),"")&lt;&gt;""),"Yes","No")</f>
        <v>No</v>
      </c>
      <c r="V29" s="219"/>
      <c r="W29" s="1"/>
      <c r="X29" s="100">
        <f t="shared" ca="1" si="0"/>
        <v>1</v>
      </c>
      <c r="Y29" s="1">
        <f t="shared" ca="1" si="2"/>
        <v>-18.296999999999983</v>
      </c>
      <c r="Z29" s="1" t="str">
        <f t="shared" ca="1" si="1"/>
        <v>QB5</v>
      </c>
      <c r="AA29" s="1">
        <f ca="1">Y29*LeagueInfo!$H$5</f>
        <v>-8.3679669636623686</v>
      </c>
      <c r="AB29" s="1"/>
      <c r="AC29" s="1"/>
    </row>
    <row r="30" spans="1:29" x14ac:dyDescent="0.25">
      <c r="A30" s="1">
        <f>RANK(O30,O$3:O$77)</f>
        <v>28</v>
      </c>
      <c r="B30" s="1" t="s">
        <v>377</v>
      </c>
      <c r="C30" s="1" t="s">
        <v>33</v>
      </c>
      <c r="D30" s="1">
        <f>VLOOKUP(E30,BYEs!$A$2:$B$34,2,FALSE)</f>
        <v>11</v>
      </c>
      <c r="E30" s="1" t="s">
        <v>378</v>
      </c>
      <c r="F30" s="249">
        <v>466.3</v>
      </c>
      <c r="G30" s="251">
        <v>283.5</v>
      </c>
      <c r="H30" s="251">
        <v>3187.4</v>
      </c>
      <c r="I30" s="251">
        <v>17.3</v>
      </c>
      <c r="J30" s="250">
        <v>11.5</v>
      </c>
      <c r="K30" s="249">
        <v>27.7</v>
      </c>
      <c r="L30" s="251">
        <v>56.6</v>
      </c>
      <c r="M30" s="251">
        <v>0.4</v>
      </c>
      <c r="N30" s="250">
        <v>3.8</v>
      </c>
      <c r="O30" s="253">
        <f>(F30*QBPassAtt)+(H30*PassingYds)+(I30*PassingTD)+(J30*PassingINT)+(L30*QBRushingYd)+(M30*QBRushingTD)+(N30*QBFuml)+(G30*QBCompletion)+(K30*QBRushAtt)</f>
        <v>185.65600000000003</v>
      </c>
      <c r="P30" s="1" t="str">
        <f ca="1">IF(A30&lt;=QBStarter,"Starter",IF(A30&gt;QBStarter+QBBench,"Undrafted","Bench"))</f>
        <v>Undrafted</v>
      </c>
      <c r="Q30" s="47">
        <f ca="1">IFERROR(MAX(O30-LARGE(O$3:O$77,QBStarter),0),0)</f>
        <v>0</v>
      </c>
      <c r="R30" s="47">
        <f ca="1">IFERROR(IF(AllowNegative="Yes",O30-LARGE(O$3:O$77,QBCount),MAX(O30-LARGE(O$3:O$77,QBCount),0)),0)</f>
        <v>-42.053999999999974</v>
      </c>
      <c r="S30" s="108">
        <f ca="1">(R30-Q30)*BenchPF+Q30*StarterPF</f>
        <v>-10.071758439809528</v>
      </c>
      <c r="T30" s="108">
        <f ca="1">S30*Auction!$A$2</f>
        <v>-10.071758439809528</v>
      </c>
      <c r="U30" s="25" t="str">
        <f>IF(OR(INDEX(Auction!$H$13:$H$683,MATCH(B30,Auction!$A$13:$A$683,0))&gt;0,IFERROR(INDEX(CheatSheet!$D$5:$D$34,MATCH(B30,CheatSheet!$A$5:$A$34,0)),"")&lt;&gt;""),"Yes","No")</f>
        <v>No</v>
      </c>
      <c r="V30" s="219"/>
      <c r="W30" s="1"/>
      <c r="X30" s="100">
        <f t="shared" ca="1" si="0"/>
        <v>1</v>
      </c>
      <c r="Y30" s="1">
        <f t="shared" ca="1" si="2"/>
        <v>-21.026999999999987</v>
      </c>
      <c r="Z30" s="1" t="str">
        <f t="shared" ca="1" si="1"/>
        <v>QB5</v>
      </c>
      <c r="AA30" s="1">
        <f ca="1">Y30*LeagueInfo!$H$5</f>
        <v>-9.6165076977061101</v>
      </c>
      <c r="AB30" s="1"/>
      <c r="AC30" s="1"/>
    </row>
    <row r="31" spans="1:29" x14ac:dyDescent="0.25">
      <c r="A31" s="1">
        <f>RANK(O31,O$3:O$77)</f>
        <v>29</v>
      </c>
      <c r="B31" s="1" t="s">
        <v>375</v>
      </c>
      <c r="C31" s="1" t="s">
        <v>33</v>
      </c>
      <c r="D31" s="1">
        <f>VLOOKUP(E31,BYEs!$A$2:$B$34,2,FALSE)</f>
        <v>9</v>
      </c>
      <c r="E31" s="1" t="s">
        <v>376</v>
      </c>
      <c r="F31" s="249">
        <v>399.7</v>
      </c>
      <c r="G31" s="251">
        <v>244.4</v>
      </c>
      <c r="H31" s="251">
        <v>2810</v>
      </c>
      <c r="I31" s="251">
        <v>16.8</v>
      </c>
      <c r="J31" s="250">
        <v>12.7</v>
      </c>
      <c r="K31" s="249">
        <v>26.6</v>
      </c>
      <c r="L31" s="251">
        <v>89.7</v>
      </c>
      <c r="M31" s="251">
        <v>0.6</v>
      </c>
      <c r="N31" s="250">
        <v>2.8</v>
      </c>
      <c r="O31" s="253">
        <f>(F31*QBPassAtt)+(H31*PassingYds)+(I31*PassingTD)+(J31*PassingINT)+(L31*QBRushingYd)+(M31*QBRushingTD)+(N31*QBFuml)+(G31*QBCompletion)+(K31*QBRushAtt)</f>
        <v>173.87000000000003</v>
      </c>
      <c r="P31" s="1" t="str">
        <f ca="1">IF(A31&lt;=QBStarter,"Starter",IF(A31&gt;QBStarter+QBBench,"Undrafted","Bench"))</f>
        <v>Undrafted</v>
      </c>
      <c r="Q31" s="47">
        <f ca="1">IFERROR(MAX(O31-LARGE(O$3:O$77,QBStarter),0),0)</f>
        <v>0</v>
      </c>
      <c r="R31" s="47">
        <f ca="1">IFERROR(IF(AllowNegative="Yes",O31-LARGE(O$3:O$77,QBCount),MAX(O31-LARGE(O$3:O$77,QBCount),0)),0)</f>
        <v>-53.839999999999975</v>
      </c>
      <c r="S31" s="108">
        <f ca="1">(R31-Q31)*BenchPF+Q31*StarterPF</f>
        <v>-12.894456517794859</v>
      </c>
      <c r="T31" s="108">
        <f ca="1">S31*Auction!$A$2</f>
        <v>-12.894456517794859</v>
      </c>
      <c r="U31" s="25" t="str">
        <f>IF(OR(INDEX(Auction!$H$13:$H$683,MATCH(B31,Auction!$A$13:$A$683,0))&gt;0,IFERROR(INDEX(CheatSheet!$D$5:$D$34,MATCH(B31,CheatSheet!$A$5:$A$34,0)),"")&lt;&gt;""),"Yes","No")</f>
        <v>No</v>
      </c>
      <c r="V31" s="219"/>
      <c r="W31" s="1"/>
      <c r="X31" s="100">
        <f t="shared" ca="1" si="0"/>
        <v>1</v>
      </c>
      <c r="Y31" s="1">
        <f t="shared" ca="1" si="2"/>
        <v>-26.919999999999987</v>
      </c>
      <c r="Z31" s="1" t="str">
        <f t="shared" ca="1" si="1"/>
        <v>QB5</v>
      </c>
      <c r="AA31" s="1">
        <f ca="1">Y31*LeagueInfo!$H$5</f>
        <v>-12.311617787713345</v>
      </c>
      <c r="AB31" s="1"/>
      <c r="AC31" s="1"/>
    </row>
    <row r="32" spans="1:29" x14ac:dyDescent="0.25">
      <c r="A32" s="1">
        <f>RANK(O32,O$3:O$77)</f>
        <v>30</v>
      </c>
      <c r="B32" s="1" t="s">
        <v>388</v>
      </c>
      <c r="C32" s="1" t="s">
        <v>33</v>
      </c>
      <c r="D32" s="1">
        <f>VLOOKUP(E32,BYEs!$A$2:$B$34,2,FALSE)</f>
        <v>9</v>
      </c>
      <c r="E32" s="1" t="s">
        <v>387</v>
      </c>
      <c r="F32" s="249">
        <v>397.1</v>
      </c>
      <c r="G32" s="247">
        <v>234.7</v>
      </c>
      <c r="H32" s="247">
        <v>2604</v>
      </c>
      <c r="I32" s="247">
        <v>12.8</v>
      </c>
      <c r="J32" s="250">
        <v>12</v>
      </c>
      <c r="K32" s="249">
        <v>50.2</v>
      </c>
      <c r="L32" s="247">
        <v>220.5</v>
      </c>
      <c r="M32" s="247">
        <v>1.5</v>
      </c>
      <c r="N32" s="250">
        <v>2.5</v>
      </c>
      <c r="O32" s="253">
        <f>(F32*QBPassAtt)+(H32*PassingYds)+(I32*PassingTD)+(J32*PassingINT)+(L32*QBRushingYd)+(M32*QBRushingTD)+(N32*QBFuml)+(G32*QBCompletion)+(K32*QBRushAtt)</f>
        <v>169.41000000000003</v>
      </c>
      <c r="P32" s="1" t="str">
        <f ca="1">IF(A32&lt;=QBStarter,"Starter",IF(A32&gt;QBStarter+QBBench,"Undrafted","Bench"))</f>
        <v>Undrafted</v>
      </c>
      <c r="Q32" s="47">
        <f ca="1">IFERROR(MAX(O32-LARGE(O$3:O$77,QBStarter),0),0)</f>
        <v>0</v>
      </c>
      <c r="R32" s="47">
        <f ca="1">IFERROR(IF(AllowNegative="Yes",O32-LARGE(O$3:O$77,QBCount),MAX(O32-LARGE(O$3:O$77,QBCount),0)),0)</f>
        <v>-58.299999999999983</v>
      </c>
      <c r="S32" s="108">
        <f ca="1">(R32-Q32)*BenchPF+Q32*StarterPF</f>
        <v>-13.96260800496732</v>
      </c>
      <c r="T32" s="108">
        <f ca="1">S32*Auction!$A$2</f>
        <v>-13.96260800496732</v>
      </c>
      <c r="U32" s="25" t="str">
        <f>IF(OR(INDEX(Auction!$H$13:$H$683,MATCH(B32,Auction!$A$13:$A$683,0))&gt;0,IFERROR(INDEX(CheatSheet!$D$5:$D$34,MATCH(B32,CheatSheet!$A$5:$A$34,0)),"")&lt;&gt;""),"Yes","No")</f>
        <v>No</v>
      </c>
      <c r="V32" s="219"/>
      <c r="W32" s="1"/>
      <c r="X32" s="100">
        <f t="shared" ca="1" si="0"/>
        <v>1</v>
      </c>
      <c r="Y32" s="1">
        <f t="shared" ca="1" si="2"/>
        <v>-29.149999999999991</v>
      </c>
      <c r="Z32" s="1" t="str">
        <f t="shared" ca="1" si="1"/>
        <v>QB5</v>
      </c>
      <c r="AA32" s="1">
        <f ca="1">Y32*LeagueInfo!$H$5</f>
        <v>-13.331488057646512</v>
      </c>
      <c r="AB32" s="1"/>
      <c r="AC32" s="1"/>
    </row>
    <row r="33" spans="1:29" x14ac:dyDescent="0.25">
      <c r="A33" s="1">
        <f>RANK(O33,O$3:O$77)</f>
        <v>31</v>
      </c>
      <c r="B33" s="1" t="s">
        <v>381</v>
      </c>
      <c r="C33" s="1" t="s">
        <v>33</v>
      </c>
      <c r="D33" s="1">
        <f>VLOOKUP(E33,BYEs!$A$2:$B$34,2,FALSE)</f>
        <v>11</v>
      </c>
      <c r="E33" s="1" t="s">
        <v>382</v>
      </c>
      <c r="F33" s="249">
        <v>393.1</v>
      </c>
      <c r="G33" s="247">
        <v>228.7</v>
      </c>
      <c r="H33" s="247">
        <v>2552.1</v>
      </c>
      <c r="I33" s="247">
        <v>12.9</v>
      </c>
      <c r="J33" s="250">
        <v>12.1</v>
      </c>
      <c r="K33" s="249">
        <v>28.8</v>
      </c>
      <c r="L33" s="247">
        <v>105.1</v>
      </c>
      <c r="M33" s="247">
        <v>0.9</v>
      </c>
      <c r="N33" s="250">
        <v>2.2999999999999998</v>
      </c>
      <c r="O33" s="253">
        <f>(F33*QBPassAtt)+(H33*PassingYds)+(I33*PassingTD)+(J33*PassingINT)+(L33*QBRushingYd)+(M33*QBRushingTD)+(N33*QBFuml)+(G33*QBCompletion)+(K33*QBRushAtt)</f>
        <v>152.89400000000001</v>
      </c>
      <c r="P33" s="1" t="str">
        <f ca="1">IF(A33&lt;=QBStarter,"Starter",IF(A33&gt;QBStarter+QBBench,"Undrafted","Bench"))</f>
        <v>Undrafted</v>
      </c>
      <c r="Q33" s="47">
        <f ca="1">IFERROR(MAX(O33-LARGE(O$3:O$77,QBStarter),0),0)</f>
        <v>0</v>
      </c>
      <c r="R33" s="47">
        <f ca="1">IFERROR(IF(AllowNegative="Yes",O33-LARGE(O$3:O$77,QBCount),MAX(O33-LARGE(O$3:O$77,QBCount),0)),0)</f>
        <v>-74.816000000000003</v>
      </c>
      <c r="S33" s="108">
        <f ca="1">(R33-Q33)*BenchPF+Q33*StarterPF</f>
        <v>-17.9181214493934</v>
      </c>
      <c r="T33" s="108">
        <f ca="1">S33*Auction!$A$2</f>
        <v>-17.9181214493934</v>
      </c>
      <c r="U33" s="25" t="str">
        <f>IF(OR(INDEX(Auction!$H$13:$H$683,MATCH(B33,Auction!$A$13:$A$683,0))&gt;0,IFERROR(INDEX(CheatSheet!$D$5:$D$34,MATCH(B33,CheatSheet!$A$5:$A$34,0)),"")&lt;&gt;""),"Yes","No")</f>
        <v>No</v>
      </c>
      <c r="V33" s="219"/>
      <c r="W33" s="1"/>
      <c r="X33" s="100">
        <f t="shared" ca="1" si="0"/>
        <v>1</v>
      </c>
      <c r="Y33" s="1">
        <f t="shared" ca="1" si="2"/>
        <v>-37.408000000000001</v>
      </c>
      <c r="Z33" s="1" t="str">
        <f t="shared" ca="1" si="1"/>
        <v>QB5</v>
      </c>
      <c r="AA33" s="1">
        <f ca="1">Y33*LeagueInfo!$H$5</f>
        <v>-17.108209442896769</v>
      </c>
      <c r="AB33" s="1"/>
      <c r="AC33" s="1"/>
    </row>
    <row r="34" spans="1:29" x14ac:dyDescent="0.25">
      <c r="A34" s="1">
        <f>RANK(O34,O$3:O$77)</f>
        <v>32</v>
      </c>
      <c r="B34" s="1" t="s">
        <v>261</v>
      </c>
      <c r="C34" s="1" t="s">
        <v>33</v>
      </c>
      <c r="D34" s="1">
        <f>VLOOKUP(E34,BYEs!$A$2:$B$34,2,FALSE)</f>
        <v>7</v>
      </c>
      <c r="E34" s="1" t="s">
        <v>385</v>
      </c>
      <c r="F34" s="249">
        <v>317.7</v>
      </c>
      <c r="G34" s="247">
        <v>186.9</v>
      </c>
      <c r="H34" s="247">
        <v>2063</v>
      </c>
      <c r="I34" s="247">
        <v>11.3</v>
      </c>
      <c r="J34" s="250">
        <v>9.5</v>
      </c>
      <c r="K34" s="249">
        <v>38.299999999999997</v>
      </c>
      <c r="L34" s="247">
        <v>168.2</v>
      </c>
      <c r="M34" s="247">
        <v>1.4</v>
      </c>
      <c r="N34" s="250">
        <v>2.1</v>
      </c>
      <c r="O34" s="253">
        <f>(F34*QBPassAtt)+(H34*PassingYds)+(I34*PassingTD)+(J34*PassingINT)+(L34*QBRushingYd)+(M34*QBRushingTD)+(N34*QBFuml)+(G34*QBCompletion)+(K34*QBRushAtt)</f>
        <v>139.24</v>
      </c>
      <c r="P34" s="1" t="str">
        <f ca="1">IF(A34&lt;=QBStarter,"Starter",IF(A34&gt;QBStarter+QBBench,"Undrafted","Bench"))</f>
        <v>Undrafted</v>
      </c>
      <c r="Q34" s="47">
        <f ca="1">IFERROR(MAX(O34-LARGE(O$3:O$77,QBStarter),0),0)</f>
        <v>0</v>
      </c>
      <c r="R34" s="47">
        <f ca="1">IFERROR(IF(AllowNegative="Yes",O34-LARGE(O$3:O$77,QBCount),MAX(O34-LARGE(O$3:O$77,QBCount),0)),0)</f>
        <v>-88.47</v>
      </c>
      <c r="S34" s="108">
        <f ca="1">(R34-Q34)*BenchPF+Q34*StarterPF</f>
        <v>-21.188197773575627</v>
      </c>
      <c r="T34" s="108">
        <f ca="1">S34*Auction!$A$2</f>
        <v>-21.188197773575627</v>
      </c>
      <c r="U34" s="25" t="str">
        <f>IF(OR(INDEX(Auction!$H$13:$H$683,MATCH(B34,Auction!$A$13:$A$683,0))&gt;0,IFERROR(INDEX(CheatSheet!$D$5:$D$34,MATCH(B34,CheatSheet!$A$5:$A$34,0)),"")&lt;&gt;""),"Yes","No")</f>
        <v>No</v>
      </c>
      <c r="V34" s="219"/>
      <c r="W34" s="1"/>
      <c r="X34" s="100">
        <f t="shared" ca="1" si="0"/>
        <v>1</v>
      </c>
      <c r="Y34" s="1">
        <f t="shared" ca="1" si="2"/>
        <v>-44.234999999999999</v>
      </c>
      <c r="Z34" s="1" t="str">
        <f t="shared" ca="1" si="1"/>
        <v>QB5</v>
      </c>
      <c r="AA34" s="1">
        <f ca="1">Y34*LeagueInfo!$H$5</f>
        <v>-20.230475959862559</v>
      </c>
      <c r="AB34" s="1"/>
      <c r="AC34" s="1"/>
    </row>
    <row r="35" spans="1:29" x14ac:dyDescent="0.25">
      <c r="A35" s="1">
        <f>RANK(O35,O$3:O$77)</f>
        <v>33</v>
      </c>
      <c r="B35" s="1" t="s">
        <v>390</v>
      </c>
      <c r="C35" s="1" t="s">
        <v>33</v>
      </c>
      <c r="D35" s="1">
        <f>VLOOKUP(E35,BYEs!$A$2:$B$34,2,FALSE)</f>
        <v>7</v>
      </c>
      <c r="E35" s="1" t="s">
        <v>385</v>
      </c>
      <c r="F35" s="249">
        <v>236.9</v>
      </c>
      <c r="G35" s="247">
        <v>138.5</v>
      </c>
      <c r="H35" s="247">
        <v>1493.2</v>
      </c>
      <c r="I35" s="247">
        <v>8.4</v>
      </c>
      <c r="J35" s="250">
        <v>6.2</v>
      </c>
      <c r="K35" s="249">
        <v>15</v>
      </c>
      <c r="L35" s="247">
        <v>50.6</v>
      </c>
      <c r="M35" s="247">
        <v>0.3</v>
      </c>
      <c r="N35" s="250">
        <v>1.4</v>
      </c>
      <c r="O35" s="253">
        <f>(F35*QBPassAtt)+(H35*PassingYds)+(I35*PassingTD)+(J35*PassingINT)+(L35*QBRushingYd)+(M35*QBRushingTD)+(N35*QBFuml)+(G35*QBCompletion)+(K35*QBRushAtt)</f>
        <v>91.188000000000002</v>
      </c>
      <c r="P35" s="1" t="str">
        <f ca="1">IF(A35&lt;=QBStarter,"Starter",IF(A35&gt;QBStarter+QBBench,"Undrafted","Bench"))</f>
        <v>Undrafted</v>
      </c>
      <c r="Q35" s="47">
        <f ca="1">IFERROR(MAX(O35-LARGE(O$3:O$77,QBStarter),0),0)</f>
        <v>0</v>
      </c>
      <c r="R35" s="47">
        <f ca="1">IFERROR(IF(AllowNegative="Yes",O35-LARGE(O$3:O$77,QBCount),MAX(O35-LARGE(O$3:O$77,QBCount),0)),0)</f>
        <v>-136.52199999999999</v>
      </c>
      <c r="S35" s="108">
        <f ca="1">(R35-Q35)*BenchPF+Q35*StarterPF</f>
        <v>-32.696452316537716</v>
      </c>
      <c r="T35" s="108">
        <f ca="1">S35*Auction!$A$2</f>
        <v>-32.696452316537716</v>
      </c>
      <c r="U35" s="25" t="str">
        <f>IF(OR(INDEX(Auction!$H$13:$H$683,MATCH(B35,Auction!$A$13:$A$683,0))&gt;0,IFERROR(INDEX(CheatSheet!$D$5:$D$34,MATCH(B35,CheatSheet!$A$5:$A$34,0)),"")&lt;&gt;""),"Yes","No")</f>
        <v>No</v>
      </c>
      <c r="V35" s="219"/>
      <c r="W35" s="1"/>
      <c r="X35" s="100">
        <f t="shared" ref="X35:X66" ca="1" si="3">SUMIFS($Y$3:$Y$77,$Y$3:$Y$77,"&gt;0",$U$3:$U$77,"No")/SUMIF($Y$3:$Y$77,"&gt;0")</f>
        <v>1</v>
      </c>
      <c r="Y35" s="1">
        <f t="shared" ca="1" si="2"/>
        <v>-68.260999999999996</v>
      </c>
      <c r="Z35" s="1" t="str">
        <f t="shared" ref="Z35:Z66" ca="1" si="4">CONCATENATE("QB",ROUND((LARGE($Y$3:$Y$77,1)-$Y35)/(STDEVA($Y$3:$Y$77)/2)+1,0))</f>
        <v>QB6</v>
      </c>
      <c r="AA35" s="1">
        <f ca="1">Y35*LeagueInfo!$H$5</f>
        <v>-31.2185491013039</v>
      </c>
      <c r="AB35" s="1"/>
      <c r="AC35" s="1"/>
    </row>
    <row r="36" spans="1:29" x14ac:dyDescent="0.25">
      <c r="A36" s="1">
        <f>RANK(O36,O$3:O$77)</f>
        <v>34</v>
      </c>
      <c r="B36" s="1" t="s">
        <v>392</v>
      </c>
      <c r="C36" s="1" t="s">
        <v>33</v>
      </c>
      <c r="D36" s="1">
        <f>VLOOKUP(E36,BYEs!$A$2:$B$34,2,FALSE)</f>
        <v>9</v>
      </c>
      <c r="E36" s="1" t="s">
        <v>376</v>
      </c>
      <c r="F36" s="249">
        <v>127.9</v>
      </c>
      <c r="G36" s="251">
        <v>75.8</v>
      </c>
      <c r="H36" s="251">
        <v>866.2</v>
      </c>
      <c r="I36" s="251">
        <v>5.2</v>
      </c>
      <c r="J36" s="250">
        <v>3.9</v>
      </c>
      <c r="K36" s="249">
        <v>10.3</v>
      </c>
      <c r="L36" s="251">
        <v>38.4</v>
      </c>
      <c r="M36" s="251">
        <v>0.2</v>
      </c>
      <c r="N36" s="250">
        <v>0.6</v>
      </c>
      <c r="O36" s="253">
        <f>(F36*QBPassAtt)+(H36*PassingYds)+(I36*PassingTD)+(J36*PassingINT)+(L36*QBRushingYd)+(M36*QBRushingTD)+(N36*QBFuml)+(G36*QBCompletion)+(K36*QBRushAtt)</f>
        <v>55.388000000000005</v>
      </c>
      <c r="P36" s="1" t="str">
        <f ca="1">IF(A36&lt;=QBStarter,"Starter",IF(A36&gt;QBStarter+QBBench,"Undrafted","Bench"))</f>
        <v>Undrafted</v>
      </c>
      <c r="Q36" s="47">
        <f ca="1">IFERROR(MAX(O36-LARGE(O$3:O$77,QBStarter),0),0)</f>
        <v>0</v>
      </c>
      <c r="R36" s="47">
        <f ca="1">IFERROR(IF(AllowNegative="Yes",O36-LARGE(O$3:O$77,QBCount),MAX(O36-LARGE(O$3:O$77,QBCount),0)),0)</f>
        <v>-172.322</v>
      </c>
      <c r="S36" s="108">
        <f ca="1">(R36-Q36)*BenchPF+Q36*StarterPF</f>
        <v>-41.270403715814396</v>
      </c>
      <c r="T36" s="108">
        <f ca="1">S36*Auction!$A$2</f>
        <v>-41.270403715814396</v>
      </c>
      <c r="U36" s="25" t="str">
        <f>IF(OR(INDEX(Auction!$H$13:$H$683,MATCH(B36,Auction!$A$13:$A$683,0))&gt;0,IFERROR(INDEX(CheatSheet!$D$5:$D$34,MATCH(B36,CheatSheet!$A$5:$A$34,0)),"")&lt;&gt;""),"Yes","No")</f>
        <v>No</v>
      </c>
      <c r="V36" s="219"/>
      <c r="W36" s="1"/>
      <c r="X36" s="100">
        <f t="shared" ca="1" si="3"/>
        <v>1</v>
      </c>
      <c r="Y36" s="1">
        <f t="shared" ca="1" si="2"/>
        <v>-86.161000000000001</v>
      </c>
      <c r="Z36" s="1" t="str">
        <f t="shared" ca="1" si="4"/>
        <v>QB7</v>
      </c>
      <c r="AA36" s="1">
        <f ca="1">Y36*LeagueInfo!$H$5</f>
        <v>-39.404951716462485</v>
      </c>
      <c r="AB36" s="1"/>
      <c r="AC36" s="1"/>
    </row>
    <row r="37" spans="1:29" x14ac:dyDescent="0.25">
      <c r="A37" s="1">
        <f>RANK(O37,O$3:O$77)</f>
        <v>35</v>
      </c>
      <c r="B37" s="1" t="s">
        <v>408</v>
      </c>
      <c r="C37" s="1" t="s">
        <v>33</v>
      </c>
      <c r="D37" s="1">
        <f>VLOOKUP(E37,BYEs!$A$2:$B$34,2,FALSE)</f>
        <v>8</v>
      </c>
      <c r="E37" s="1" t="s">
        <v>367</v>
      </c>
      <c r="F37" s="249">
        <v>115</v>
      </c>
      <c r="G37" s="247">
        <v>68.099999999999994</v>
      </c>
      <c r="H37" s="247">
        <v>778.5</v>
      </c>
      <c r="I37" s="247">
        <v>4.0999999999999996</v>
      </c>
      <c r="J37" s="250">
        <v>3.4</v>
      </c>
      <c r="K37" s="249">
        <v>6.9</v>
      </c>
      <c r="L37" s="247">
        <v>21.9</v>
      </c>
      <c r="M37" s="247">
        <v>0.1</v>
      </c>
      <c r="N37" s="250">
        <v>0.2</v>
      </c>
      <c r="O37" s="253">
        <f>(F37*QBPassAtt)+(H37*PassingYds)+(I37*PassingTD)+(J37*PassingINT)+(L37*QBRushingYd)+(M37*QBRushingTD)+(N37*QBFuml)+(G37*QBCompletion)+(K37*QBRushAtt)</f>
        <v>46.53</v>
      </c>
      <c r="P37" s="1" t="str">
        <f ca="1">IF(A37&lt;=QBStarter,"Starter",IF(A37&gt;QBStarter+QBBench,"Undrafted","Bench"))</f>
        <v>Undrafted</v>
      </c>
      <c r="Q37" s="47">
        <f ca="1">IFERROR(MAX(O37-LARGE(O$3:O$77,QBStarter),0),0)</f>
        <v>0</v>
      </c>
      <c r="R37" s="47">
        <f ca="1">IFERROR(IF(AllowNegative="Yes",O37-LARGE(O$3:O$77,QBCount),MAX(O37-LARGE(O$3:O$77,QBCount),0)),0)</f>
        <v>-181.18</v>
      </c>
      <c r="S37" s="108">
        <f ca="1">(R37-Q37)*BenchPF+Q37*StarterPF</f>
        <v>-43.39185794751252</v>
      </c>
      <c r="T37" s="108">
        <f ca="1">S37*Auction!$A$2</f>
        <v>-43.39185794751252</v>
      </c>
      <c r="U37" s="25" t="str">
        <f>IF(OR(INDEX(Auction!$H$13:$H$683,MATCH(B37,Auction!$A$13:$A$683,0))&gt;0,IFERROR(INDEX(CheatSheet!$D$5:$D$34,MATCH(B37,CheatSheet!$A$5:$A$34,0)),"")&lt;&gt;""),"Yes","No")</f>
        <v>No</v>
      </c>
      <c r="V37" s="219"/>
      <c r="W37" s="1"/>
      <c r="X37" s="100">
        <f t="shared" ca="1" si="3"/>
        <v>1</v>
      </c>
      <c r="Y37" s="1">
        <f t="shared" ca="1" si="2"/>
        <v>-90.59</v>
      </c>
      <c r="Z37" s="1" t="str">
        <f t="shared" ca="1" si="4"/>
        <v>QB7</v>
      </c>
      <c r="AA37" s="1">
        <f ca="1">Y37*LeagueInfo!$H$5</f>
        <v>-41.430514687553959</v>
      </c>
      <c r="AB37" s="1"/>
      <c r="AC37" s="1"/>
    </row>
    <row r="38" spans="1:29" x14ac:dyDescent="0.25">
      <c r="A38" s="1">
        <f>RANK(O38,O$3:O$77)</f>
        <v>36</v>
      </c>
      <c r="B38" s="1" t="s">
        <v>389</v>
      </c>
      <c r="C38" s="1" t="s">
        <v>33</v>
      </c>
      <c r="D38" s="1">
        <f>VLOOKUP(E38,BYEs!$A$2:$B$34,2,FALSE)</f>
        <v>5</v>
      </c>
      <c r="E38" s="1" t="s">
        <v>384</v>
      </c>
      <c r="F38" s="249">
        <v>102.4</v>
      </c>
      <c r="G38" s="247">
        <v>60.2</v>
      </c>
      <c r="H38" s="247">
        <v>696.5</v>
      </c>
      <c r="I38" s="247">
        <v>3.6</v>
      </c>
      <c r="J38" s="250">
        <v>2.8</v>
      </c>
      <c r="K38" s="249">
        <v>9.5</v>
      </c>
      <c r="L38" s="247">
        <v>26.3</v>
      </c>
      <c r="M38" s="247">
        <v>0.2</v>
      </c>
      <c r="N38" s="250">
        <v>0.6</v>
      </c>
      <c r="O38" s="253">
        <f>(F38*QBPassAtt)+(H38*PassingYds)+(I38*PassingTD)+(J38*PassingINT)+(L38*QBRushingYd)+(M38*QBRushingTD)+(N38*QBFuml)+(G38*QBCompletion)+(K38*QBRushAtt)</f>
        <v>42.09</v>
      </c>
      <c r="P38" s="1" t="str">
        <f ca="1">IF(A38&lt;=QBStarter,"Starter",IF(A38&gt;QBStarter+QBBench,"Undrafted","Bench"))</f>
        <v>Undrafted</v>
      </c>
      <c r="Q38" s="47">
        <f ca="1">IFERROR(MAX(O38-LARGE(O$3:O$77,QBStarter),0),0)</f>
        <v>0</v>
      </c>
      <c r="R38" s="47">
        <f ca="1">IFERROR(IF(AllowNegative="Yes",O38-LARGE(O$3:O$77,QBCount),MAX(O38-LARGE(O$3:O$77,QBCount),0)),0)</f>
        <v>-185.62</v>
      </c>
      <c r="S38" s="108">
        <f ca="1">(R38-Q38)*BenchPF+Q38*StarterPF</f>
        <v>-44.45521951770214</v>
      </c>
      <c r="T38" s="108">
        <f ca="1">S38*Auction!$A$2</f>
        <v>-44.45521951770214</v>
      </c>
      <c r="U38" s="25" t="str">
        <f>IF(OR(INDEX(Auction!$H$13:$H$683,MATCH(B38,Auction!$A$13:$A$683,0))&gt;0,IFERROR(INDEX(CheatSheet!$D$5:$D$34,MATCH(B38,CheatSheet!$A$5:$A$34,0)),"")&lt;&gt;""),"Yes","No")</f>
        <v>No</v>
      </c>
      <c r="V38" s="219"/>
      <c r="W38" s="1"/>
      <c r="X38" s="100">
        <f t="shared" ca="1" si="3"/>
        <v>1</v>
      </c>
      <c r="Y38" s="1">
        <f t="shared" ca="1" si="2"/>
        <v>-92.81</v>
      </c>
      <c r="Z38" s="1" t="str">
        <f t="shared" ca="1" si="4"/>
        <v>QB7</v>
      </c>
      <c r="AA38" s="1">
        <f ca="1">Y38*LeagueInfo!$H$5</f>
        <v>-42.445811548204908</v>
      </c>
      <c r="AB38" s="1"/>
      <c r="AC38" s="1"/>
    </row>
    <row r="39" spans="1:29" x14ac:dyDescent="0.25">
      <c r="A39" s="1">
        <f>RANK(O39,O$3:O$77)</f>
        <v>37</v>
      </c>
      <c r="B39" s="1" t="s">
        <v>386</v>
      </c>
      <c r="C39" s="1" t="s">
        <v>33</v>
      </c>
      <c r="D39" s="1">
        <f>VLOOKUP(E39,BYEs!$A$2:$B$34,2,FALSE)</f>
        <v>9</v>
      </c>
      <c r="E39" s="1" t="s">
        <v>387</v>
      </c>
      <c r="F39" s="249">
        <v>108.9</v>
      </c>
      <c r="G39" s="247">
        <v>66.900000000000006</v>
      </c>
      <c r="H39" s="247">
        <v>733.6</v>
      </c>
      <c r="I39" s="247">
        <v>3.8</v>
      </c>
      <c r="J39" s="250">
        <v>2.9</v>
      </c>
      <c r="K39" s="249">
        <v>7.3</v>
      </c>
      <c r="L39" s="247">
        <v>15.3</v>
      </c>
      <c r="M39" s="247">
        <v>0.2</v>
      </c>
      <c r="N39" s="250">
        <v>1.7</v>
      </c>
      <c r="O39" s="253">
        <f>(F39*QBPassAtt)+(H39*PassingYds)+(I39*PassingTD)+(J39*PassingINT)+(L39*QBRushingYd)+(M39*QBRushingTD)+(N39*QBFuml)+(G39*QBCompletion)+(K39*QBRushAtt)</f>
        <v>40.974000000000004</v>
      </c>
      <c r="P39" s="1" t="str">
        <f ca="1">IF(A39&lt;=QBStarter,"Starter",IF(A39&gt;QBStarter+QBBench,"Undrafted","Bench"))</f>
        <v>Undrafted</v>
      </c>
      <c r="Q39" s="47">
        <f ca="1">IFERROR(MAX(O39-LARGE(O$3:O$77,QBStarter),0),0)</f>
        <v>0</v>
      </c>
      <c r="R39" s="47">
        <f ca="1">IFERROR(IF(AllowNegative="Yes",O39-LARGE(O$3:O$77,QBCount),MAX(O39-LARGE(O$3:O$77,QBCount),0)),0)</f>
        <v>-186.73599999999999</v>
      </c>
      <c r="S39" s="108">
        <f ca="1">(R39-Q39)*BenchPF+Q39*StarterPF</f>
        <v>-44.722496885344391</v>
      </c>
      <c r="T39" s="108">
        <f ca="1">S39*Auction!$A$2</f>
        <v>-44.722496885344391</v>
      </c>
      <c r="U39" s="25" t="str">
        <f>IF(OR(INDEX(Auction!$H$13:$H$683,MATCH(B39,Auction!$A$13:$A$683,0))&gt;0,IFERROR(INDEX(CheatSheet!$D$5:$D$34,MATCH(B39,CheatSheet!$A$5:$A$34,0)),"")&lt;&gt;""),"Yes","No")</f>
        <v>No</v>
      </c>
      <c r="V39" s="219"/>
      <c r="W39" s="1"/>
      <c r="X39" s="100">
        <f t="shared" ca="1" si="3"/>
        <v>1</v>
      </c>
      <c r="Y39" s="1">
        <f t="shared" ca="1" si="2"/>
        <v>-93.367999999999995</v>
      </c>
      <c r="Z39" s="1" t="str">
        <f t="shared" ca="1" si="4"/>
        <v>QB7</v>
      </c>
      <c r="AA39" s="1">
        <f ca="1">Y39*LeagueInfo!$H$5</f>
        <v>-42.70100778615231</v>
      </c>
      <c r="AB39" s="1"/>
      <c r="AC39" s="1"/>
    </row>
    <row r="40" spans="1:29" x14ac:dyDescent="0.25">
      <c r="A40" s="1">
        <f>RANK(O40,O$3:O$77)</f>
        <v>38</v>
      </c>
      <c r="B40" s="1" t="s">
        <v>394</v>
      </c>
      <c r="C40" s="1" t="s">
        <v>33</v>
      </c>
      <c r="D40" s="1">
        <f>VLOOKUP(E40,BYEs!$A$2:$B$34,2,FALSE)</f>
        <v>11</v>
      </c>
      <c r="E40" s="1" t="s">
        <v>382</v>
      </c>
      <c r="F40" s="249">
        <v>111.3</v>
      </c>
      <c r="G40" s="247">
        <v>63.8</v>
      </c>
      <c r="H40" s="247">
        <v>702.8</v>
      </c>
      <c r="I40" s="247">
        <v>3.2</v>
      </c>
      <c r="J40" s="250">
        <v>4.5999999999999996</v>
      </c>
      <c r="K40" s="249">
        <v>5.7</v>
      </c>
      <c r="L40" s="247">
        <v>14.2</v>
      </c>
      <c r="M40" s="247">
        <v>0.1</v>
      </c>
      <c r="N40" s="250">
        <v>0.6</v>
      </c>
      <c r="O40" s="253">
        <f>(F40*QBPassAtt)+(H40*PassingYds)+(I40*PassingTD)+(J40*PassingINT)+(L40*QBRushingYd)+(M40*QBRushingTD)+(N40*QBFuml)+(G40*QBCompletion)+(K40*QBRushAtt)</f>
        <v>37.131999999999998</v>
      </c>
      <c r="P40" s="1" t="str">
        <f ca="1">IF(A40&lt;=QBStarter,"Starter",IF(A40&gt;QBStarter+QBBench,"Undrafted","Bench"))</f>
        <v>Undrafted</v>
      </c>
      <c r="Q40" s="47">
        <f ca="1">IFERROR(MAX(O40-LARGE(O$3:O$77,QBStarter),0),0)</f>
        <v>0</v>
      </c>
      <c r="R40" s="47">
        <f ca="1">IFERROR(IF(AllowNegative="Yes",O40-LARGE(O$3:O$77,QBCount),MAX(O40-LARGE(O$3:O$77,QBCount),0)),0)</f>
        <v>-190.578</v>
      </c>
      <c r="S40" s="108">
        <f ca="1">(R40-Q40)*BenchPF+Q40*StarterPF</f>
        <v>-45.642639937747212</v>
      </c>
      <c r="T40" s="108">
        <f ca="1">S40*Auction!$A$2</f>
        <v>-45.642639937747212</v>
      </c>
      <c r="U40" s="25" t="str">
        <f>IF(OR(INDEX(Auction!$H$13:$H$683,MATCH(B40,Auction!$A$13:$A$683,0))&gt;0,IFERROR(INDEX(CheatSheet!$D$5:$D$34,MATCH(B40,CheatSheet!$A$5:$A$34,0)),"")&lt;&gt;""),"Yes","No")</f>
        <v>No</v>
      </c>
      <c r="V40" s="219"/>
      <c r="W40" s="1"/>
      <c r="X40" s="100">
        <f t="shared" ca="1" si="3"/>
        <v>1</v>
      </c>
      <c r="Y40" s="1">
        <f t="shared" ca="1" si="2"/>
        <v>-95.289000000000001</v>
      </c>
      <c r="Z40" s="1" t="str">
        <f t="shared" ca="1" si="4"/>
        <v>QB7</v>
      </c>
      <c r="AA40" s="1">
        <f ca="1">Y40*LeagueInfo!$H$5</f>
        <v>-43.579559709265141</v>
      </c>
      <c r="AB40" s="1"/>
      <c r="AC40" s="1"/>
    </row>
    <row r="41" spans="1:29" x14ac:dyDescent="0.25">
      <c r="A41" s="1">
        <f>RANK(O41,O$3:O$77)</f>
        <v>39</v>
      </c>
      <c r="B41" s="1" t="s">
        <v>396</v>
      </c>
      <c r="C41" s="1" t="s">
        <v>33</v>
      </c>
      <c r="D41" s="1">
        <f>VLOOKUP(E41,BYEs!$A$2:$B$34,2,FALSE)</f>
        <v>11</v>
      </c>
      <c r="E41" s="1" t="s">
        <v>378</v>
      </c>
      <c r="F41" s="249">
        <v>66.8</v>
      </c>
      <c r="G41" s="247">
        <v>39.9</v>
      </c>
      <c r="H41" s="247">
        <v>459.5</v>
      </c>
      <c r="I41" s="247">
        <v>2.7</v>
      </c>
      <c r="J41" s="250">
        <v>2.2000000000000002</v>
      </c>
      <c r="K41" s="249">
        <v>2.9</v>
      </c>
      <c r="L41" s="247">
        <v>6.6</v>
      </c>
      <c r="M41" s="247">
        <v>0</v>
      </c>
      <c r="N41" s="250">
        <v>0</v>
      </c>
      <c r="O41" s="253">
        <f>(F41*QBPassAtt)+(H41*PassingYds)+(I41*PassingTD)+(J41*PassingINT)+(L41*QBRushingYd)+(M41*QBRushingTD)+(N41*QBFuml)+(G41*QBCompletion)+(K41*QBRushAtt)</f>
        <v>27.64</v>
      </c>
      <c r="P41" s="1" t="str">
        <f ca="1">IF(A41&lt;=QBStarter,"Starter",IF(A41&gt;QBStarter+QBBench,"Undrafted","Bench"))</f>
        <v>Undrafted</v>
      </c>
      <c r="Q41" s="47">
        <f ca="1">IFERROR(MAX(O41-LARGE(O$3:O$77,QBStarter),0),0)</f>
        <v>0</v>
      </c>
      <c r="R41" s="47">
        <f ca="1">IFERROR(IF(AllowNegative="Yes",O41-LARGE(O$3:O$77,QBCount),MAX(O41-LARGE(O$3:O$77,QBCount),0)),0)</f>
        <v>-200.07</v>
      </c>
      <c r="S41" s="108">
        <f ca="1">(R41-Q41)*BenchPF+Q41*StarterPF</f>
        <v>-47.915934537801242</v>
      </c>
      <c r="T41" s="108">
        <f ca="1">S41*Auction!$A$2</f>
        <v>-47.915934537801242</v>
      </c>
      <c r="U41" s="25" t="str">
        <f>IF(OR(INDEX(Auction!$H$13:$H$683,MATCH(B41,Auction!$A$13:$A$683,0))&gt;0,IFERROR(INDEX(CheatSheet!$D$5:$D$34,MATCH(B41,CheatSheet!$A$5:$A$34,0)),"")&lt;&gt;""),"Yes","No")</f>
        <v>No</v>
      </c>
      <c r="V41" s="219"/>
      <c r="W41" s="1"/>
      <c r="X41" s="100">
        <f t="shared" ca="1" si="3"/>
        <v>1</v>
      </c>
      <c r="Y41" s="1">
        <f t="shared" ca="1" si="2"/>
        <v>-100.035</v>
      </c>
      <c r="Z41" s="1" t="str">
        <f t="shared" ca="1" si="4"/>
        <v>QB7</v>
      </c>
      <c r="AA41" s="1">
        <f ca="1">Y41*LeagueInfo!$H$5</f>
        <v>-45.750099754602715</v>
      </c>
      <c r="AB41" s="1"/>
      <c r="AC41" s="1"/>
    </row>
    <row r="42" spans="1:29" x14ac:dyDescent="0.25">
      <c r="A42" s="1">
        <f>RANK(O42,O$3:O$77)</f>
        <v>40</v>
      </c>
      <c r="B42" s="1" t="s">
        <v>393</v>
      </c>
      <c r="C42" s="1" t="s">
        <v>33</v>
      </c>
      <c r="D42" s="1">
        <f>VLOOKUP(E42,BYEs!$A$2:$B$34,2,FALSE)</f>
        <v>11</v>
      </c>
      <c r="E42" s="1" t="s">
        <v>382</v>
      </c>
      <c r="F42" s="249">
        <v>74.5</v>
      </c>
      <c r="G42" s="247">
        <v>42.9</v>
      </c>
      <c r="H42" s="247">
        <v>479.2</v>
      </c>
      <c r="I42" s="247">
        <v>2.2999999999999998</v>
      </c>
      <c r="J42" s="250">
        <v>3</v>
      </c>
      <c r="K42" s="249">
        <v>4.8</v>
      </c>
      <c r="L42" s="247">
        <v>13.9</v>
      </c>
      <c r="M42" s="247">
        <v>0</v>
      </c>
      <c r="N42" s="250">
        <v>0</v>
      </c>
      <c r="O42" s="253">
        <f>(F42*QBPassAtt)+(H42*PassingYds)+(I42*PassingTD)+(J42*PassingINT)+(L42*QBRushingYd)+(M42*QBRushingTD)+(N42*QBFuml)+(G42*QBCompletion)+(K42*QBRushAtt)</f>
        <v>26.757999999999999</v>
      </c>
      <c r="P42" s="1" t="str">
        <f ca="1">IF(A42&lt;=QBStarter,"Starter",IF(A42&gt;QBStarter+QBBench,"Undrafted","Bench"))</f>
        <v>Undrafted</v>
      </c>
      <c r="Q42" s="47">
        <f ca="1">IFERROR(MAX(O42-LARGE(O$3:O$77,QBStarter),0),0)</f>
        <v>0</v>
      </c>
      <c r="R42" s="47">
        <f ca="1">IFERROR(IF(AllowNegative="Yes",O42-LARGE(O$3:O$77,QBCount),MAX(O42-LARGE(O$3:O$77,QBCount),0)),0)</f>
        <v>-200.952</v>
      </c>
      <c r="S42" s="108">
        <f ca="1">(R42-Q42)*BenchPF+Q42*StarterPF</f>
        <v>-48.127169876744318</v>
      </c>
      <c r="T42" s="108">
        <f ca="1">S42*Auction!$A$2</f>
        <v>-48.127169876744318</v>
      </c>
      <c r="U42" s="25" t="str">
        <f>IF(OR(INDEX(Auction!$H$13:$H$683,MATCH(B42,Auction!$A$13:$A$683,0))&gt;0,IFERROR(INDEX(CheatSheet!$D$5:$D$34,MATCH(B42,CheatSheet!$A$5:$A$34,0)),"")&lt;&gt;""),"Yes","No")</f>
        <v>No</v>
      </c>
      <c r="V42" s="219"/>
      <c r="W42" s="1"/>
      <c r="X42" s="100">
        <f t="shared" ca="1" si="3"/>
        <v>1</v>
      </c>
      <c r="Y42" s="1">
        <f t="shared" ca="1" si="2"/>
        <v>-100.476</v>
      </c>
      <c r="Z42" s="1" t="str">
        <f t="shared" ca="1" si="4"/>
        <v>QB7</v>
      </c>
      <c r="AA42" s="1">
        <f ca="1">Y42*LeagueInfo!$H$5</f>
        <v>-45.951787103948242</v>
      </c>
      <c r="AB42" s="1"/>
      <c r="AC42" s="1"/>
    </row>
    <row r="43" spans="1:29" x14ac:dyDescent="0.25">
      <c r="A43" s="1">
        <f>RANK(O43,O$3:O$77)</f>
        <v>41</v>
      </c>
      <c r="B43" s="1" t="s">
        <v>406</v>
      </c>
      <c r="C43" s="1" t="s">
        <v>33</v>
      </c>
      <c r="D43" s="1">
        <f>VLOOKUP(E43,BYEs!$A$2:$B$34,2,FALSE)</f>
        <v>11</v>
      </c>
      <c r="E43" s="1" t="s">
        <v>355</v>
      </c>
      <c r="F43" s="249">
        <v>65.099999999999994</v>
      </c>
      <c r="G43" s="247">
        <v>38.299999999999997</v>
      </c>
      <c r="H43" s="247">
        <v>420.9</v>
      </c>
      <c r="I43" s="247">
        <v>2.2999999999999998</v>
      </c>
      <c r="J43" s="250">
        <v>1.8</v>
      </c>
      <c r="K43" s="249">
        <v>4</v>
      </c>
      <c r="L43" s="247">
        <v>9.1999999999999993</v>
      </c>
      <c r="M43" s="247">
        <v>0</v>
      </c>
      <c r="N43" s="250">
        <v>0</v>
      </c>
      <c r="O43" s="253">
        <f>(F43*QBPassAtt)+(H43*PassingYds)+(I43*PassingTD)+(J43*PassingINT)+(L43*QBRushingYd)+(M43*QBRushingTD)+(N43*QBFuml)+(G43*QBCompletion)+(K43*QBRushAtt)</f>
        <v>25.155999999999999</v>
      </c>
      <c r="P43" s="1" t="str">
        <f ca="1">IF(A43&lt;=QBStarter,"Starter",IF(A43&gt;QBStarter+QBBench,"Undrafted","Bench"))</f>
        <v>Undrafted</v>
      </c>
      <c r="Q43" s="47">
        <f ca="1">IFERROR(MAX(O43-LARGE(O$3:O$77,QBStarter),0),0)</f>
        <v>0</v>
      </c>
      <c r="R43" s="47">
        <f ca="1">IFERROR(IF(AllowNegative="Yes",O43-LARGE(O$3:O$77,QBCount),MAX(O43-LARGE(O$3:O$77,QBCount),0)),0)</f>
        <v>-202.554</v>
      </c>
      <c r="S43" s="108">
        <f ca="1">(R43-Q43)*BenchPF+Q43*StarterPF</f>
        <v>-48.510842227069489</v>
      </c>
      <c r="T43" s="108">
        <f ca="1">S43*Auction!$A$2</f>
        <v>-48.510842227069489</v>
      </c>
      <c r="U43" s="25" t="str">
        <f>IF(OR(INDEX(Auction!$H$13:$H$683,MATCH(B43,Auction!$A$13:$A$683,0))&gt;0,IFERROR(INDEX(CheatSheet!$D$5:$D$34,MATCH(B43,CheatSheet!$A$5:$A$34,0)),"")&lt;&gt;""),"Yes","No")</f>
        <v>No</v>
      </c>
      <c r="V43" s="219"/>
      <c r="W43" s="1"/>
      <c r="X43" s="100">
        <f t="shared" ca="1" si="3"/>
        <v>1</v>
      </c>
      <c r="Y43" s="1">
        <f t="shared" ca="1" si="2"/>
        <v>-101.277</v>
      </c>
      <c r="Z43" s="1" t="str">
        <f t="shared" ca="1" si="4"/>
        <v>QB7</v>
      </c>
      <c r="AA43" s="1">
        <f ca="1">Y43*LeagueInfo!$H$5</f>
        <v>-46.318117187453382</v>
      </c>
      <c r="AB43" s="1"/>
      <c r="AC43" s="1"/>
    </row>
    <row r="44" spans="1:29" x14ac:dyDescent="0.25">
      <c r="A44" s="1">
        <f>RANK(O44,O$3:O$77)</f>
        <v>42</v>
      </c>
      <c r="B44" s="1" t="s">
        <v>391</v>
      </c>
      <c r="C44" s="1" t="s">
        <v>33</v>
      </c>
      <c r="D44" s="1">
        <f>VLOOKUP(E44,BYEs!$A$2:$B$34,2,FALSE)</f>
        <v>11</v>
      </c>
      <c r="E44" s="1" t="s">
        <v>374</v>
      </c>
      <c r="F44" s="249">
        <v>50.6</v>
      </c>
      <c r="G44" s="247">
        <v>30.9</v>
      </c>
      <c r="H44" s="247">
        <v>354.5</v>
      </c>
      <c r="I44" s="247">
        <v>2</v>
      </c>
      <c r="J44" s="250">
        <v>1.2</v>
      </c>
      <c r="K44" s="249">
        <v>3.3</v>
      </c>
      <c r="L44" s="247">
        <v>6.7</v>
      </c>
      <c r="M44" s="247">
        <v>0</v>
      </c>
      <c r="N44" s="250">
        <v>0.5</v>
      </c>
      <c r="O44" s="253">
        <f>(F44*QBPassAtt)+(H44*PassingYds)+(I44*PassingTD)+(J44*PassingINT)+(L44*QBRushingYd)+(M44*QBRushingTD)+(N44*QBFuml)+(G44*QBCompletion)+(K44*QBRushAtt)</f>
        <v>20.650000000000002</v>
      </c>
      <c r="P44" s="1" t="str">
        <f ca="1">IF(A44&lt;=QBStarter,"Starter",IF(A44&gt;QBStarter+QBBench,"Undrafted","Bench"))</f>
        <v>Undrafted</v>
      </c>
      <c r="Q44" s="47">
        <f ca="1">IFERROR(MAX(O44-LARGE(O$3:O$77,QBStarter),0),0)</f>
        <v>0</v>
      </c>
      <c r="R44" s="47">
        <f ca="1">IFERROR(IF(AllowNegative="Yes",O44-LARGE(O$3:O$77,QBCount),MAX(O44-LARGE(O$3:O$77,QBCount),0)),0)</f>
        <v>-207.06</v>
      </c>
      <c r="S44" s="108">
        <f ca="1">(R44-Q44)*BenchPF+Q44*StarterPF</f>
        <v>-49.590010523302468</v>
      </c>
      <c r="T44" s="108">
        <f ca="1">S44*Auction!$A$2</f>
        <v>-49.590010523302468</v>
      </c>
      <c r="U44" s="25" t="str">
        <f>IF(OR(INDEX(Auction!$H$13:$H$683,MATCH(B44,Auction!$A$13:$A$683,0))&gt;0,IFERROR(INDEX(CheatSheet!$D$5:$D$34,MATCH(B44,CheatSheet!$A$5:$A$34,0)),"")&lt;&gt;""),"Yes","No")</f>
        <v>No</v>
      </c>
      <c r="V44" s="219"/>
      <c r="W44" s="1"/>
      <c r="X44" s="100">
        <f t="shared" ca="1" si="3"/>
        <v>1</v>
      </c>
      <c r="Y44" s="1">
        <f t="shared" ca="1" si="2"/>
        <v>-103.53</v>
      </c>
      <c r="Z44" s="1" t="str">
        <f t="shared" ca="1" si="4"/>
        <v>QB7</v>
      </c>
      <c r="AA44" s="1">
        <f ca="1">Y44*LeagueInfo!$H$5</f>
        <v>-47.348506298735636</v>
      </c>
      <c r="AB44" s="1"/>
      <c r="AC44" s="1"/>
    </row>
    <row r="45" spans="1:29" x14ac:dyDescent="0.25">
      <c r="A45" s="1">
        <f>RANK(O45,O$3:O$77)</f>
        <v>43</v>
      </c>
      <c r="B45" s="1" t="s">
        <v>397</v>
      </c>
      <c r="C45" s="1" t="s">
        <v>33</v>
      </c>
      <c r="D45" s="1">
        <f>VLOOKUP(E45,BYEs!$A$2:$B$34,2,FALSE)</f>
        <v>8</v>
      </c>
      <c r="E45" s="1" t="s">
        <v>380</v>
      </c>
      <c r="F45" s="249">
        <v>44.2</v>
      </c>
      <c r="G45" s="247">
        <v>25.2</v>
      </c>
      <c r="H45" s="247">
        <v>280.10000000000002</v>
      </c>
      <c r="I45" s="247">
        <v>1.8</v>
      </c>
      <c r="J45" s="250">
        <v>1</v>
      </c>
      <c r="K45" s="249">
        <v>3.3</v>
      </c>
      <c r="L45" s="247">
        <v>8.1999999999999993</v>
      </c>
      <c r="M45" s="247">
        <v>0</v>
      </c>
      <c r="N45" s="250">
        <v>0</v>
      </c>
      <c r="O45" s="253">
        <f>(F45*QBPassAtt)+(H45*PassingYds)+(I45*PassingTD)+(J45*PassingINT)+(L45*QBRushingYd)+(M45*QBRushingTD)+(N45*QBFuml)+(G45*QBCompletion)+(K45*QBRushAtt)</f>
        <v>18.224</v>
      </c>
      <c r="P45" s="1" t="str">
        <f ca="1">IF(A45&lt;=QBStarter,"Starter",IF(A45&gt;QBStarter+QBBench,"Undrafted","Bench"))</f>
        <v>Undrafted</v>
      </c>
      <c r="Q45" s="47">
        <f ca="1">IFERROR(MAX(O45-LARGE(O$3:O$77,QBStarter),0),0)</f>
        <v>0</v>
      </c>
      <c r="R45" s="47">
        <f ca="1">IFERROR(IF(AllowNegative="Yes",O45-LARGE(O$3:O$77,QBCount),MAX(O45-LARGE(O$3:O$77,QBCount),0)),0)</f>
        <v>-209.48600000000002</v>
      </c>
      <c r="S45" s="108">
        <f ca="1">(R45-Q45)*BenchPF+Q45*StarterPF</f>
        <v>-50.171027453320498</v>
      </c>
      <c r="T45" s="108">
        <f ca="1">S45*Auction!$A$2</f>
        <v>-50.171027453320498</v>
      </c>
      <c r="U45" s="25" t="str">
        <f>IF(OR(INDEX(Auction!$H$13:$H$683,MATCH(B45,Auction!$A$13:$A$683,0))&gt;0,IFERROR(INDEX(CheatSheet!$D$5:$D$34,MATCH(B45,CheatSheet!$A$5:$A$34,0)),"")&lt;&gt;""),"Yes","No")</f>
        <v>No</v>
      </c>
      <c r="V45" s="219"/>
      <c r="W45" s="1"/>
      <c r="X45" s="100">
        <f t="shared" ca="1" si="3"/>
        <v>1</v>
      </c>
      <c r="Y45" s="1">
        <f t="shared" ca="1" si="2"/>
        <v>-104.74300000000001</v>
      </c>
      <c r="Z45" s="1" t="str">
        <f t="shared" ca="1" si="4"/>
        <v>QB7</v>
      </c>
      <c r="AA45" s="1">
        <f ca="1">Y45*LeagueInfo!$H$5</f>
        <v>-47.903260844667891</v>
      </c>
      <c r="AB45" s="1"/>
      <c r="AC45" s="1"/>
    </row>
    <row r="46" spans="1:29" x14ac:dyDescent="0.25">
      <c r="A46" s="1">
        <f>RANK(O46,O$3:O$77)</f>
        <v>44</v>
      </c>
      <c r="B46" s="1" t="s">
        <v>395</v>
      </c>
      <c r="C46" s="1" t="s">
        <v>33</v>
      </c>
      <c r="D46" s="1">
        <f>VLOOKUP(E46,BYEs!$A$2:$B$34,2,FALSE)</f>
        <v>9</v>
      </c>
      <c r="E46" s="1" t="s">
        <v>387</v>
      </c>
      <c r="F46" s="249">
        <v>43.8</v>
      </c>
      <c r="G46" s="247">
        <v>26.4</v>
      </c>
      <c r="H46" s="247">
        <v>295</v>
      </c>
      <c r="I46" s="247">
        <v>1.4</v>
      </c>
      <c r="J46" s="250">
        <v>1</v>
      </c>
      <c r="K46" s="249">
        <v>3</v>
      </c>
      <c r="L46" s="247">
        <v>11</v>
      </c>
      <c r="M46" s="247">
        <v>0</v>
      </c>
      <c r="N46" s="250">
        <v>0</v>
      </c>
      <c r="O46" s="253">
        <f>(F46*QBPassAtt)+(H46*PassingYds)+(I46*PassingTD)+(J46*PassingINT)+(L46*QBRushingYd)+(M46*QBRushingTD)+(N46*QBFuml)+(G46*QBCompletion)+(K46*QBRushAtt)</f>
        <v>17.5</v>
      </c>
      <c r="P46" s="1" t="str">
        <f ca="1">IF(A46&lt;=QBStarter,"Starter",IF(A46&gt;QBStarter+QBBench,"Undrafted","Bench"))</f>
        <v>Undrafted</v>
      </c>
      <c r="Q46" s="47">
        <f ca="1">IFERROR(MAX(O46-LARGE(O$3:O$77,QBStarter),0),0)</f>
        <v>0</v>
      </c>
      <c r="R46" s="47">
        <f ca="1">IFERROR(IF(AllowNegative="Yes",O46-LARGE(O$3:O$77,QBCount),MAX(O46-LARGE(O$3:O$77,QBCount),0)),0)</f>
        <v>-210.21</v>
      </c>
      <c r="S46" s="108">
        <f ca="1">(R46-Q46)*BenchPF+Q46*StarterPF</f>
        <v>-50.344422448099159</v>
      </c>
      <c r="T46" s="108">
        <f ca="1">S46*Auction!$A$2</f>
        <v>-50.344422448099159</v>
      </c>
      <c r="U46" s="25" t="str">
        <f>IF(OR(INDEX(Auction!$H$13:$H$683,MATCH(B46,Auction!$A$13:$A$683,0))&gt;0,IFERROR(INDEX(CheatSheet!$D$5:$D$34,MATCH(B46,CheatSheet!$A$5:$A$34,0)),"")&lt;&gt;""),"Yes","No")</f>
        <v>No</v>
      </c>
      <c r="V46" s="219"/>
      <c r="W46" s="1"/>
      <c r="X46" s="100">
        <f t="shared" ca="1" si="3"/>
        <v>1</v>
      </c>
      <c r="Y46" s="1">
        <f t="shared" ca="1" si="2"/>
        <v>-105.105</v>
      </c>
      <c r="Z46" s="1" t="str">
        <f t="shared" ca="1" si="4"/>
        <v>QB7</v>
      </c>
      <c r="AA46" s="1">
        <f ca="1">Y46*LeagueInfo!$H$5</f>
        <v>-48.068818260683948</v>
      </c>
      <c r="AB46" s="1"/>
      <c r="AC46" s="1"/>
    </row>
    <row r="47" spans="1:29" x14ac:dyDescent="0.25">
      <c r="A47" s="1">
        <f>RANK(O47,O$3:O$77)</f>
        <v>45</v>
      </c>
      <c r="B47" s="1" t="s">
        <v>919</v>
      </c>
      <c r="C47" s="1" t="s">
        <v>33</v>
      </c>
      <c r="D47" s="1">
        <f>VLOOKUP(E47,BYEs!$A$2:$B$34,2,FALSE)</f>
        <v>6</v>
      </c>
      <c r="E47" s="1" t="s">
        <v>364</v>
      </c>
      <c r="F47" s="249">
        <v>34.799999999999997</v>
      </c>
      <c r="G47" s="247">
        <v>22.1</v>
      </c>
      <c r="H47" s="247">
        <v>245.8</v>
      </c>
      <c r="I47" s="247">
        <v>1.7</v>
      </c>
      <c r="J47" s="250">
        <v>1.2</v>
      </c>
      <c r="K47" s="249">
        <v>3.8</v>
      </c>
      <c r="L47" s="247">
        <v>13.1</v>
      </c>
      <c r="M47" s="247">
        <v>0.1</v>
      </c>
      <c r="N47" s="250">
        <v>0</v>
      </c>
      <c r="O47" s="253">
        <f>(F47*QBPassAtt)+(H47*PassingYds)+(I47*PassingTD)+(J47*PassingINT)+(L47*QBRushingYd)+(M47*QBRushingTD)+(N47*QBFuml)+(G47*QBCompletion)+(K47*QBRushAtt)</f>
        <v>17.342000000000002</v>
      </c>
      <c r="P47" s="1" t="str">
        <f ca="1">IF(A47&lt;=QBStarter,"Starter",IF(A47&gt;QBStarter+QBBench,"Undrafted","Bench"))</f>
        <v>Undrafted</v>
      </c>
      <c r="Q47" s="47">
        <f ca="1">IFERROR(MAX(O47-LARGE(O$3:O$77,QBStarter),0),0)</f>
        <v>0</v>
      </c>
      <c r="R47" s="47">
        <f ca="1">IFERROR(IF(AllowNegative="Yes",O47-LARGE(O$3:O$77,QBCount),MAX(O47-LARGE(O$3:O$77,QBCount),0)),0)</f>
        <v>-210.36799999999999</v>
      </c>
      <c r="S47" s="108">
        <f ca="1">(R47-Q47)*BenchPF+Q47*StarterPF</f>
        <v>-50.382262792263568</v>
      </c>
      <c r="T47" s="108">
        <f ca="1">S47*Auction!$A$2</f>
        <v>-50.382262792263568</v>
      </c>
      <c r="U47" s="25" t="str">
        <f>IF(OR(INDEX(Auction!$H$13:$H$683,MATCH(B47,Auction!$A$13:$A$683,0))&gt;0,IFERROR(INDEX(CheatSheet!$D$5:$D$34,MATCH(B47,CheatSheet!$A$5:$A$34,0)),"")&lt;&gt;""),"Yes","No")</f>
        <v>No</v>
      </c>
      <c r="V47" s="219"/>
      <c r="W47" s="1"/>
      <c r="X47" s="100">
        <f t="shared" ca="1" si="3"/>
        <v>1</v>
      </c>
      <c r="Y47" s="1">
        <f t="shared" ca="1" si="2"/>
        <v>-105.184</v>
      </c>
      <c r="Z47" s="1" t="str">
        <f t="shared" ca="1" si="4"/>
        <v>QB7</v>
      </c>
      <c r="AA47" s="1">
        <f ca="1">Y47*LeagueInfo!$H$5</f>
        <v>-48.104948194013417</v>
      </c>
      <c r="AB47" s="1"/>
      <c r="AC47" s="1"/>
    </row>
    <row r="48" spans="1:29" x14ac:dyDescent="0.25">
      <c r="A48" s="1">
        <f>RANK(O48,O$3:O$77)</f>
        <v>46</v>
      </c>
      <c r="B48" s="1" t="s">
        <v>398</v>
      </c>
      <c r="C48" s="1" t="s">
        <v>33</v>
      </c>
      <c r="D48" s="1">
        <f>VLOOKUP(E48,BYEs!$A$2:$B$34,2,FALSE)</f>
        <v>10</v>
      </c>
      <c r="E48" s="1" t="s">
        <v>372</v>
      </c>
      <c r="F48" s="249">
        <v>39.799999999999997</v>
      </c>
      <c r="G48" s="247">
        <v>24.1</v>
      </c>
      <c r="H48" s="247">
        <v>265.60000000000002</v>
      </c>
      <c r="I48" s="247">
        <v>1.4</v>
      </c>
      <c r="J48" s="250">
        <v>1.1000000000000001</v>
      </c>
      <c r="K48" s="249">
        <v>3.8</v>
      </c>
      <c r="L48" s="247">
        <v>14.8</v>
      </c>
      <c r="M48" s="247">
        <v>0.1</v>
      </c>
      <c r="N48" s="250">
        <v>0.1</v>
      </c>
      <c r="O48" s="253">
        <f>(F48*QBPassAtt)+(H48*PassingYds)+(I48*PassingTD)+(J48*PassingINT)+(L48*QBRushingYd)+(M48*QBRushingTD)+(N48*QBFuml)+(G48*QBCompletion)+(K48*QBRushAtt)</f>
        <v>17.004000000000001</v>
      </c>
      <c r="P48" s="1" t="str">
        <f ca="1">IF(A48&lt;=QBStarter,"Starter",IF(A48&gt;QBStarter+QBBench,"Undrafted","Bench"))</f>
        <v>Undrafted</v>
      </c>
      <c r="Q48" s="47">
        <f ca="1">IFERROR(MAX(O48-LARGE(O$3:O$77,QBStarter),0),0)</f>
        <v>0</v>
      </c>
      <c r="R48" s="47">
        <f ca="1">IFERROR(IF(AllowNegative="Yes",O48-LARGE(O$3:O$77,QBCount),MAX(O48-LARGE(O$3:O$77,QBCount),0)),0)</f>
        <v>-210.70600000000002</v>
      </c>
      <c r="S48" s="108">
        <f ca="1">(R48-Q48)*BenchPF+Q48*StarterPF</f>
        <v>-50.463212389273501</v>
      </c>
      <c r="T48" s="108">
        <f ca="1">S48*Auction!$A$2</f>
        <v>-50.463212389273501</v>
      </c>
      <c r="U48" s="25" t="str">
        <f>IF(OR(INDEX(Auction!$H$13:$H$683,MATCH(B48,Auction!$A$13:$A$683,0))&gt;0,IFERROR(INDEX(CheatSheet!$D$5:$D$34,MATCH(B48,CheatSheet!$A$5:$A$34,0)),"")&lt;&gt;""),"Yes","No")</f>
        <v>No</v>
      </c>
      <c r="V48" s="219"/>
      <c r="W48" s="1"/>
      <c r="X48" s="100">
        <f t="shared" ca="1" si="3"/>
        <v>1</v>
      </c>
      <c r="Y48" s="1">
        <f t="shared" ca="1" si="2"/>
        <v>-105.35300000000001</v>
      </c>
      <c r="Z48" s="1" t="str">
        <f t="shared" ca="1" si="4"/>
        <v>QB7</v>
      </c>
      <c r="AA48" s="1">
        <f ca="1">Y48*LeagueInfo!$H$5</f>
        <v>-48.182238810882794</v>
      </c>
      <c r="AB48" s="1"/>
      <c r="AC48" s="1"/>
    </row>
    <row r="49" spans="1:29" x14ac:dyDescent="0.25">
      <c r="A49" s="1">
        <f>RANK(O49,O$3:O$77)</f>
        <v>47</v>
      </c>
      <c r="B49" s="1" t="s">
        <v>399</v>
      </c>
      <c r="C49" s="1" t="s">
        <v>33</v>
      </c>
      <c r="D49" s="1">
        <f>VLOOKUP(E49,BYEs!$A$2:$B$34,2,FALSE)</f>
        <v>9</v>
      </c>
      <c r="E49" s="1" t="s">
        <v>373</v>
      </c>
      <c r="F49" s="249">
        <v>34.9</v>
      </c>
      <c r="G49" s="247">
        <v>22.1</v>
      </c>
      <c r="H49" s="247">
        <v>247.6</v>
      </c>
      <c r="I49" s="247">
        <v>1.5</v>
      </c>
      <c r="J49" s="250">
        <v>0.9</v>
      </c>
      <c r="K49" s="249">
        <v>3.2</v>
      </c>
      <c r="L49" s="247">
        <v>10.199999999999999</v>
      </c>
      <c r="M49" s="247">
        <v>0.1</v>
      </c>
      <c r="N49" s="250">
        <v>0</v>
      </c>
      <c r="O49" s="253">
        <f>(F49*QBPassAtt)+(H49*PassingYds)+(I49*PassingTD)+(J49*PassingINT)+(L49*QBRushingYd)+(M49*QBRushingTD)+(N49*QBFuml)+(G49*QBCompletion)+(K49*QBRushAtt)</f>
        <v>16.624000000000002</v>
      </c>
      <c r="P49" s="1" t="str">
        <f ca="1">IF(A49&lt;=QBStarter,"Starter",IF(A49&gt;QBStarter+QBBench,"Undrafted","Bench"))</f>
        <v>Undrafted</v>
      </c>
      <c r="Q49" s="47">
        <f ca="1">IFERROR(MAX(O49-LARGE(O$3:O$77,QBStarter),0),0)</f>
        <v>0</v>
      </c>
      <c r="R49" s="47">
        <f ca="1">IFERROR(IF(AllowNegative="Yes",O49-LARGE(O$3:O$77,QBCount),MAX(O49-LARGE(O$3:O$77,QBCount),0)),0)</f>
        <v>-211.08600000000001</v>
      </c>
      <c r="S49" s="108">
        <f ca="1">(R49-Q49)*BenchPF+Q49*StarterPF</f>
        <v>-50.554220811947388</v>
      </c>
      <c r="T49" s="108">
        <f ca="1">S49*Auction!$A$2</f>
        <v>-50.554220811947388</v>
      </c>
      <c r="U49" s="25" t="str">
        <f>IF(OR(INDEX(Auction!$H$13:$H$683,MATCH(B49,Auction!$A$13:$A$683,0))&gt;0,IFERROR(INDEX(CheatSheet!$D$5:$D$34,MATCH(B49,CheatSheet!$A$5:$A$34,0)),"")&lt;&gt;""),"Yes","No")</f>
        <v>No</v>
      </c>
      <c r="V49" s="219"/>
      <c r="W49" s="1"/>
      <c r="X49" s="100">
        <f t="shared" ca="1" si="3"/>
        <v>1</v>
      </c>
      <c r="Y49" s="1">
        <f t="shared" ca="1" si="2"/>
        <v>-105.54300000000001</v>
      </c>
      <c r="Z49" s="1" t="str">
        <f t="shared" ca="1" si="4"/>
        <v>QB7</v>
      </c>
      <c r="AA49" s="1">
        <f ca="1">Y49*LeagueInfo!$H$5</f>
        <v>-48.269133587244809</v>
      </c>
      <c r="AB49" s="1"/>
      <c r="AC49" s="1"/>
    </row>
    <row r="50" spans="1:29" x14ac:dyDescent="0.25">
      <c r="A50" s="1">
        <f>RANK(O50,O$3:O$77)</f>
        <v>48</v>
      </c>
      <c r="B50" s="1" t="s">
        <v>920</v>
      </c>
      <c r="C50" s="1" t="s">
        <v>33</v>
      </c>
      <c r="D50" s="1">
        <f>VLOOKUP(E50,BYEs!$A$2:$B$34,2,FALSE)</f>
        <v>8</v>
      </c>
      <c r="E50" s="1" t="s">
        <v>367</v>
      </c>
      <c r="F50" s="249">
        <v>37.5</v>
      </c>
      <c r="G50" s="247">
        <v>22.5</v>
      </c>
      <c r="H50" s="247">
        <v>243.5</v>
      </c>
      <c r="I50" s="247">
        <v>1.1000000000000001</v>
      </c>
      <c r="J50" s="250">
        <v>1</v>
      </c>
      <c r="K50" s="249">
        <v>2.9</v>
      </c>
      <c r="L50" s="247">
        <v>11</v>
      </c>
      <c r="M50" s="247">
        <v>0.1</v>
      </c>
      <c r="N50" s="250">
        <v>0</v>
      </c>
      <c r="O50" s="253">
        <f>(F50*QBPassAtt)+(H50*PassingYds)+(I50*PassingTD)+(J50*PassingINT)+(L50*QBRushingYd)+(M50*QBRushingTD)+(N50*QBFuml)+(G50*QBCompletion)+(K50*QBRushAtt)</f>
        <v>14.84</v>
      </c>
      <c r="P50" s="1" t="str">
        <f ca="1">IF(A50&lt;=QBStarter,"Starter",IF(A50&gt;QBStarter+QBBench,"Undrafted","Bench"))</f>
        <v>Undrafted</v>
      </c>
      <c r="Q50" s="47">
        <f ca="1">IFERROR(MAX(O50-LARGE(O$3:O$77,QBStarter),0),0)</f>
        <v>0</v>
      </c>
      <c r="R50" s="47">
        <f ca="1">IFERROR(IF(AllowNegative="Yes",O50-LARGE(O$3:O$77,QBCount),MAX(O50-LARGE(O$3:O$77,QBCount),0)),0)</f>
        <v>-212.87</v>
      </c>
      <c r="S50" s="108">
        <f ca="1">(R50-Q50)*BenchPF+Q50*StarterPF</f>
        <v>-50.981481406816364</v>
      </c>
      <c r="T50" s="108">
        <f ca="1">S50*Auction!$A$2</f>
        <v>-50.981481406816364</v>
      </c>
      <c r="U50" s="25" t="str">
        <f>IF(OR(INDEX(Auction!$H$13:$H$683,MATCH(B50,Auction!$A$13:$A$683,0))&gt;0,IFERROR(INDEX(CheatSheet!$D$5:$D$34,MATCH(B50,CheatSheet!$A$5:$A$34,0)),"")&lt;&gt;""),"Yes","No")</f>
        <v>No</v>
      </c>
      <c r="V50" s="219"/>
      <c r="W50" s="1"/>
      <c r="X50" s="100">
        <f t="shared" ca="1" si="3"/>
        <v>1</v>
      </c>
      <c r="Y50" s="1">
        <f t="shared" ca="1" si="2"/>
        <v>-106.435</v>
      </c>
      <c r="Z50" s="1" t="str">
        <f t="shared" ca="1" si="4"/>
        <v>QB7</v>
      </c>
      <c r="AA50" s="1">
        <f ca="1">Y50*LeagueInfo!$H$5</f>
        <v>-48.677081695218071</v>
      </c>
      <c r="AB50" s="1"/>
      <c r="AC50" s="1"/>
    </row>
    <row r="51" spans="1:29" x14ac:dyDescent="0.25">
      <c r="A51" s="1">
        <f>RANK(O51,O$3:O$77)</f>
        <v>49</v>
      </c>
      <c r="B51" s="1" t="s">
        <v>401</v>
      </c>
      <c r="C51" s="1" t="s">
        <v>33</v>
      </c>
      <c r="D51" s="1">
        <f>VLOOKUP(E51,BYEs!$A$2:$B$34,2,FALSE)</f>
        <v>7</v>
      </c>
      <c r="E51" s="1" t="s">
        <v>385</v>
      </c>
      <c r="F51" s="249">
        <v>33</v>
      </c>
      <c r="G51" s="247">
        <v>19.8</v>
      </c>
      <c r="H51" s="247">
        <v>222.1</v>
      </c>
      <c r="I51" s="247">
        <v>1.3</v>
      </c>
      <c r="J51" s="250">
        <v>1.3</v>
      </c>
      <c r="K51" s="249">
        <v>3.2</v>
      </c>
      <c r="L51" s="247">
        <v>13.6</v>
      </c>
      <c r="M51" s="247">
        <v>0.1</v>
      </c>
      <c r="N51" s="250">
        <v>0</v>
      </c>
      <c r="O51" s="253">
        <f>(F51*QBPassAtt)+(H51*PassingYds)+(I51*PassingTD)+(J51*PassingINT)+(L51*QBRushingYd)+(M51*QBRushingTD)+(N51*QBFuml)+(G51*QBCompletion)+(K51*QBRushAtt)</f>
        <v>14.743999999999998</v>
      </c>
      <c r="P51" s="1" t="str">
        <f ca="1">IF(A51&lt;=QBStarter,"Starter",IF(A51&gt;QBStarter+QBBench,"Undrafted","Bench"))</f>
        <v>Undrafted</v>
      </c>
      <c r="Q51" s="47">
        <f ca="1">IFERROR(MAX(O51-LARGE(O$3:O$77,QBStarter),0),0)</f>
        <v>0</v>
      </c>
      <c r="R51" s="47">
        <f ca="1">IFERROR(IF(AllowNegative="Yes",O51-LARGE(O$3:O$77,QBCount),MAX(O51-LARGE(O$3:O$77,QBCount),0)),0)</f>
        <v>-212.96600000000001</v>
      </c>
      <c r="S51" s="108">
        <f ca="1">(R51-Q51)*BenchPF+Q51*StarterPF</f>
        <v>-51.004473008333981</v>
      </c>
      <c r="T51" s="108">
        <f ca="1">S51*Auction!$A$2</f>
        <v>-51.004473008333981</v>
      </c>
      <c r="U51" s="25" t="str">
        <f>IF(OR(INDEX(Auction!$H$13:$H$683,MATCH(B51,Auction!$A$13:$A$683,0))&gt;0,IFERROR(INDEX(CheatSheet!$D$5:$D$34,MATCH(B51,CheatSheet!$A$5:$A$34,0)),"")&lt;&gt;""),"Yes","No")</f>
        <v>No</v>
      </c>
      <c r="V51" s="219"/>
      <c r="W51" s="1"/>
      <c r="X51" s="100">
        <f t="shared" ca="1" si="3"/>
        <v>1</v>
      </c>
      <c r="Y51" s="1">
        <f t="shared" ca="1" si="2"/>
        <v>-106.483</v>
      </c>
      <c r="Z51" s="1" t="str">
        <f t="shared" ca="1" si="4"/>
        <v>QB7</v>
      </c>
      <c r="AA51" s="1">
        <f ca="1">Y51*LeagueInfo!$H$5</f>
        <v>-48.699034059772693</v>
      </c>
      <c r="AB51" s="1"/>
      <c r="AC51" s="1"/>
    </row>
    <row r="52" spans="1:29" x14ac:dyDescent="0.25">
      <c r="A52" s="1">
        <f>RANK(O52,O$3:O$77)</f>
        <v>50</v>
      </c>
      <c r="B52" s="1" t="s">
        <v>404</v>
      </c>
      <c r="C52" s="1" t="s">
        <v>33</v>
      </c>
      <c r="D52" s="1">
        <f>VLOOKUP(E52,BYEs!$A$2:$B$34,2,FALSE)</f>
        <v>8</v>
      </c>
      <c r="E52" s="1" t="s">
        <v>370</v>
      </c>
      <c r="F52" s="249">
        <v>35.1</v>
      </c>
      <c r="G52" s="247">
        <v>20.6</v>
      </c>
      <c r="H52" s="247">
        <v>230.8</v>
      </c>
      <c r="I52" s="247">
        <v>1.4</v>
      </c>
      <c r="J52" s="250">
        <v>1.2</v>
      </c>
      <c r="K52" s="249">
        <v>1.8</v>
      </c>
      <c r="L52" s="247">
        <v>3.6</v>
      </c>
      <c r="M52" s="247">
        <v>0</v>
      </c>
      <c r="N52" s="250">
        <v>0</v>
      </c>
      <c r="O52" s="253">
        <f>(F52*QBPassAtt)+(H52*PassingYds)+(I52*PassingTD)+(J52*PassingINT)+(L52*QBRushingYd)+(M52*QBRushingTD)+(N52*QBFuml)+(G52*QBCompletion)+(K52*QBRushAtt)</f>
        <v>13.992000000000001</v>
      </c>
      <c r="P52" s="1" t="str">
        <f ca="1">IF(A52&lt;=QBStarter,"Starter",IF(A52&gt;QBStarter+QBBench,"Undrafted","Bench"))</f>
        <v>Undrafted</v>
      </c>
      <c r="Q52" s="47">
        <f ca="1">IFERROR(MAX(O52-LARGE(O$3:O$77,QBStarter),0),0)</f>
        <v>0</v>
      </c>
      <c r="R52" s="47">
        <f ca="1">IFERROR(IF(AllowNegative="Yes",O52-LARGE(O$3:O$77,QBCount),MAX(O52-LARGE(O$3:O$77,QBCount),0)),0)</f>
        <v>-213.71800000000002</v>
      </c>
      <c r="S52" s="108">
        <f ca="1">(R52-Q52)*BenchPF+Q52*StarterPF</f>
        <v>-51.184573886888622</v>
      </c>
      <c r="T52" s="108">
        <f ca="1">S52*Auction!$A$2</f>
        <v>-51.184573886888622</v>
      </c>
      <c r="U52" s="25" t="str">
        <f>IF(OR(INDEX(Auction!$H$13:$H$683,MATCH(B52,Auction!$A$13:$A$683,0))&gt;0,IFERROR(INDEX(CheatSheet!$D$5:$D$34,MATCH(B52,CheatSheet!$A$5:$A$34,0)),"")&lt;&gt;""),"Yes","No")</f>
        <v>No</v>
      </c>
      <c r="V52" s="219"/>
      <c r="W52" s="1"/>
      <c r="X52" s="100">
        <f t="shared" ca="1" si="3"/>
        <v>1</v>
      </c>
      <c r="Y52" s="1">
        <f t="shared" ca="1" si="2"/>
        <v>-106.85900000000001</v>
      </c>
      <c r="Z52" s="1" t="str">
        <f t="shared" ca="1" si="4"/>
        <v>QB7</v>
      </c>
      <c r="AA52" s="1">
        <f ca="1">Y52*LeagueInfo!$H$5</f>
        <v>-48.870994248783845</v>
      </c>
      <c r="AB52" s="1"/>
      <c r="AC52" s="1"/>
    </row>
    <row r="53" spans="1:29" x14ac:dyDescent="0.25">
      <c r="A53" s="1">
        <f>RANK(O53,O$3:O$77)</f>
        <v>51</v>
      </c>
      <c r="B53" s="1" t="s">
        <v>403</v>
      </c>
      <c r="C53" s="1" t="s">
        <v>33</v>
      </c>
      <c r="D53" s="1">
        <f>VLOOKUP(E53,BYEs!$A$2:$B$34,2,FALSE)</f>
        <v>9</v>
      </c>
      <c r="E53" s="1" t="s">
        <v>363</v>
      </c>
      <c r="F53" s="249">
        <v>32.200000000000003</v>
      </c>
      <c r="G53" s="247">
        <v>19</v>
      </c>
      <c r="H53" s="247">
        <v>217.7</v>
      </c>
      <c r="I53" s="247">
        <v>1.4</v>
      </c>
      <c r="J53" s="250">
        <v>0.9</v>
      </c>
      <c r="K53" s="249">
        <v>2.1</v>
      </c>
      <c r="L53" s="247">
        <v>5.2</v>
      </c>
      <c r="M53" s="247">
        <v>0</v>
      </c>
      <c r="N53" s="250">
        <v>0</v>
      </c>
      <c r="O53" s="253">
        <f>(F53*QBPassAtt)+(H53*PassingYds)+(I53*PassingTD)+(J53*PassingINT)+(L53*QBRushingYd)+(M53*QBRushingTD)+(N53*QBFuml)+(G53*QBCompletion)+(K53*QBRushAtt)</f>
        <v>13.927999999999999</v>
      </c>
      <c r="P53" s="1" t="str">
        <f ca="1">IF(A53&lt;=QBStarter,"Starter",IF(A53&gt;QBStarter+QBBench,"Undrafted","Bench"))</f>
        <v>Undrafted</v>
      </c>
      <c r="Q53" s="47">
        <f ca="1">IFERROR(MAX(O53-LARGE(O$3:O$77,QBStarter),0),0)</f>
        <v>0</v>
      </c>
      <c r="R53" s="47">
        <f ca="1">IFERROR(IF(AllowNegative="Yes",O53-LARGE(O$3:O$77,QBCount),MAX(O53-LARGE(O$3:O$77,QBCount),0)),0)</f>
        <v>-213.78200000000001</v>
      </c>
      <c r="S53" s="108">
        <f ca="1">(R53-Q53)*BenchPF+Q53*StarterPF</f>
        <v>-51.1999016212337</v>
      </c>
      <c r="T53" s="108">
        <f ca="1">S53*Auction!$A$2</f>
        <v>-51.1999016212337</v>
      </c>
      <c r="U53" s="25" t="str">
        <f>IF(OR(INDEX(Auction!$H$13:$H$683,MATCH(B53,Auction!$A$13:$A$683,0))&gt;0,IFERROR(INDEX(CheatSheet!$D$5:$D$34,MATCH(B53,CheatSheet!$A$5:$A$34,0)),"")&lt;&gt;""),"Yes","No")</f>
        <v>No</v>
      </c>
      <c r="V53" s="219"/>
      <c r="W53" s="1"/>
      <c r="X53" s="100">
        <f t="shared" ca="1" si="3"/>
        <v>1</v>
      </c>
      <c r="Y53" s="1">
        <f t="shared" ca="1" si="2"/>
        <v>-106.89100000000001</v>
      </c>
      <c r="Z53" s="1" t="str">
        <f t="shared" ca="1" si="4"/>
        <v>QB7</v>
      </c>
      <c r="AA53" s="1">
        <f ca="1">Y53*LeagueInfo!$H$5</f>
        <v>-48.885629158486921</v>
      </c>
      <c r="AB53" s="1"/>
      <c r="AC53" s="1"/>
    </row>
    <row r="54" spans="1:29" x14ac:dyDescent="0.25">
      <c r="A54" s="1">
        <f>RANK(O54,O$3:O$77)</f>
        <v>52</v>
      </c>
      <c r="B54" s="1" t="s">
        <v>402</v>
      </c>
      <c r="C54" s="1" t="s">
        <v>33</v>
      </c>
      <c r="D54" s="1">
        <f>VLOOKUP(E54,BYEs!$A$2:$B$34,2,FALSE)</f>
        <v>9</v>
      </c>
      <c r="E54" s="1" t="s">
        <v>387</v>
      </c>
      <c r="F54" s="249">
        <v>31.3</v>
      </c>
      <c r="G54" s="247">
        <v>17.7</v>
      </c>
      <c r="H54" s="247">
        <v>194.4</v>
      </c>
      <c r="I54" s="247">
        <v>1.1000000000000001</v>
      </c>
      <c r="J54" s="250">
        <v>0.8</v>
      </c>
      <c r="K54" s="249">
        <v>3</v>
      </c>
      <c r="L54" s="247">
        <v>19.399999999999999</v>
      </c>
      <c r="M54" s="247">
        <v>0.1</v>
      </c>
      <c r="N54" s="250">
        <v>0</v>
      </c>
      <c r="O54" s="253">
        <f>(F54*QBPassAtt)+(H54*PassingYds)+(I54*PassingTD)+(J54*PassingINT)+(L54*QBRushingYd)+(M54*QBRushingTD)+(N54*QBFuml)+(G54*QBCompletion)+(K54*QBRushAtt)</f>
        <v>13.916</v>
      </c>
      <c r="P54" s="1" t="str">
        <f ca="1">IF(A54&lt;=QBStarter,"Starter",IF(A54&gt;QBStarter+QBBench,"Undrafted","Bench"))</f>
        <v>Undrafted</v>
      </c>
      <c r="Q54" s="47">
        <f ca="1">IFERROR(MAX(O54-LARGE(O$3:O$77,QBStarter),0),0)</f>
        <v>0</v>
      </c>
      <c r="R54" s="47">
        <f ca="1">IFERROR(IF(AllowNegative="Yes",O54-LARGE(O$3:O$77,QBCount),MAX(O54-LARGE(O$3:O$77,QBCount),0)),0)</f>
        <v>-213.79400000000001</v>
      </c>
      <c r="S54" s="108">
        <f ca="1">(R54-Q54)*BenchPF+Q54*StarterPF</f>
        <v>-51.202775571423395</v>
      </c>
      <c r="T54" s="108">
        <f ca="1">S54*Auction!$A$2</f>
        <v>-51.202775571423395</v>
      </c>
      <c r="U54" s="25" t="str">
        <f>IF(OR(INDEX(Auction!$H$13:$H$683,MATCH(B54,Auction!$A$13:$A$683,0))&gt;0,IFERROR(INDEX(CheatSheet!$D$5:$D$34,MATCH(B54,CheatSheet!$A$5:$A$34,0)),"")&lt;&gt;""),"Yes","No")</f>
        <v>No</v>
      </c>
      <c r="V54" s="219"/>
      <c r="W54" s="1"/>
      <c r="X54" s="100">
        <f t="shared" ca="1" si="3"/>
        <v>1</v>
      </c>
      <c r="Y54" s="1">
        <f t="shared" ca="1" si="2"/>
        <v>-106.89700000000001</v>
      </c>
      <c r="Z54" s="1" t="str">
        <f t="shared" ca="1" si="4"/>
        <v>QB7</v>
      </c>
      <c r="AA54" s="1">
        <f ca="1">Y54*LeagueInfo!$H$5</f>
        <v>-48.888373204056244</v>
      </c>
      <c r="AB54" s="1"/>
      <c r="AC54" s="1"/>
    </row>
    <row r="55" spans="1:29" x14ac:dyDescent="0.25">
      <c r="A55" s="1">
        <f>RANK(O55,O$3:O$77)</f>
        <v>53</v>
      </c>
      <c r="B55" s="1" t="s">
        <v>410</v>
      </c>
      <c r="C55" s="1" t="s">
        <v>33</v>
      </c>
      <c r="D55" s="1">
        <f>VLOOKUP(E55,BYEs!$A$2:$B$34,2,FALSE)</f>
        <v>6</v>
      </c>
      <c r="E55" s="1" t="s">
        <v>364</v>
      </c>
      <c r="F55" s="249">
        <v>29.3</v>
      </c>
      <c r="G55" s="247">
        <v>18</v>
      </c>
      <c r="H55" s="247">
        <v>196.7</v>
      </c>
      <c r="I55" s="247">
        <v>0.7</v>
      </c>
      <c r="J55" s="250">
        <v>0.7</v>
      </c>
      <c r="K55" s="249">
        <v>1.7</v>
      </c>
      <c r="L55" s="247">
        <v>3.3</v>
      </c>
      <c r="M55" s="247">
        <v>0</v>
      </c>
      <c r="N55" s="250">
        <v>0</v>
      </c>
      <c r="O55" s="253">
        <f>(F55*QBPassAtt)+(H55*PassingYds)+(I55*PassingTD)+(J55*PassingINT)+(L55*QBRushingYd)+(M55*QBRushingTD)+(N55*QBFuml)+(G55*QBCompletion)+(K55*QBRushAtt)</f>
        <v>10.298</v>
      </c>
      <c r="P55" s="1" t="str">
        <f ca="1">IF(A55&lt;=QBStarter,"Starter",IF(A55&gt;QBStarter+QBBench,"Undrafted","Bench"))</f>
        <v>Undrafted</v>
      </c>
      <c r="Q55" s="47">
        <f ca="1">IFERROR(MAX(O55-LARGE(O$3:O$77,QBStarter),0),0)</f>
        <v>0</v>
      </c>
      <c r="R55" s="47">
        <f ca="1">IFERROR(IF(AllowNegative="Yes",O55-LARGE(O$3:O$77,QBCount),MAX(O55-LARGE(O$3:O$77,QBCount),0)),0)</f>
        <v>-217.41200000000001</v>
      </c>
      <c r="S55" s="108">
        <f ca="1">(R55-Q55)*BenchPF+Q55*StarterPF</f>
        <v>-52.069271553618456</v>
      </c>
      <c r="T55" s="108">
        <f ca="1">S55*Auction!$A$2</f>
        <v>-52.069271553618456</v>
      </c>
      <c r="U55" s="25" t="str">
        <f>IF(OR(INDEX(Auction!$H$13:$H$683,MATCH(B55,Auction!$A$13:$A$683,0))&gt;0,IFERROR(INDEX(CheatSheet!$D$5:$D$34,MATCH(B55,CheatSheet!$A$5:$A$34,0)),"")&lt;&gt;""),"Yes","No")</f>
        <v>No</v>
      </c>
      <c r="V55" s="219"/>
      <c r="W55" s="1"/>
      <c r="X55" s="100">
        <f t="shared" ca="1" si="3"/>
        <v>1</v>
      </c>
      <c r="Y55" s="1">
        <f t="shared" ca="1" si="2"/>
        <v>-108.706</v>
      </c>
      <c r="Z55" s="1" t="str">
        <f t="shared" ca="1" si="4"/>
        <v>QB7</v>
      </c>
      <c r="AA55" s="1">
        <f ca="1">Y55*LeagueInfo!$H$5</f>
        <v>-49.715702943208306</v>
      </c>
      <c r="AB55" s="1"/>
      <c r="AC55" s="1"/>
    </row>
    <row r="56" spans="1:29" x14ac:dyDescent="0.25">
      <c r="A56" s="1">
        <f>RANK(O56,O$3:O$77)</f>
        <v>54</v>
      </c>
      <c r="B56" s="1" t="s">
        <v>407</v>
      </c>
      <c r="C56" s="1" t="s">
        <v>33</v>
      </c>
      <c r="D56" s="1">
        <f>VLOOKUP(E56,BYEs!$A$2:$B$34,2,FALSE)</f>
        <v>11</v>
      </c>
      <c r="E56" s="1" t="s">
        <v>357</v>
      </c>
      <c r="F56" s="249">
        <v>24</v>
      </c>
      <c r="G56" s="247">
        <v>14.6</v>
      </c>
      <c r="H56" s="247">
        <v>172.1</v>
      </c>
      <c r="I56" s="247">
        <v>0.9</v>
      </c>
      <c r="J56" s="250">
        <v>0.7</v>
      </c>
      <c r="K56" s="249">
        <v>2.1</v>
      </c>
      <c r="L56" s="247">
        <v>3.6</v>
      </c>
      <c r="M56" s="247">
        <v>0</v>
      </c>
      <c r="N56" s="250">
        <v>0</v>
      </c>
      <c r="O56" s="253">
        <f>(F56*QBPassAtt)+(H56*PassingYds)+(I56*PassingTD)+(J56*PassingINT)+(L56*QBRushingYd)+(M56*QBRushingTD)+(N56*QBFuml)+(G56*QBCompletion)+(K56*QBRushAtt)</f>
        <v>10.144</v>
      </c>
      <c r="P56" s="1" t="str">
        <f ca="1">IF(A56&lt;=QBStarter,"Starter",IF(A56&gt;QBStarter+QBBench,"Undrafted","Bench"))</f>
        <v>Undrafted</v>
      </c>
      <c r="Q56" s="47">
        <f ca="1">IFERROR(MAX(O56-LARGE(O$3:O$77,QBStarter),0),0)</f>
        <v>0</v>
      </c>
      <c r="R56" s="47">
        <f ca="1">IFERROR(IF(AllowNegative="Yes",O56-LARGE(O$3:O$77,QBCount),MAX(O56-LARGE(O$3:O$77,QBCount),0)),0)</f>
        <v>-217.566</v>
      </c>
      <c r="S56" s="108">
        <f ca="1">(R56-Q56)*BenchPF+Q56*StarterPF</f>
        <v>-52.10615391438629</v>
      </c>
      <c r="T56" s="108">
        <f ca="1">S56*Auction!$A$2</f>
        <v>-52.10615391438629</v>
      </c>
      <c r="U56" s="25" t="str">
        <f>IF(OR(INDEX(Auction!$H$13:$H$683,MATCH(B56,Auction!$A$13:$A$683,0))&gt;0,IFERROR(INDEX(CheatSheet!$D$5:$D$34,MATCH(B56,CheatSheet!$A$5:$A$34,0)),"")&lt;&gt;""),"Yes","No")</f>
        <v>No</v>
      </c>
      <c r="V56" s="219"/>
      <c r="W56" s="1"/>
      <c r="X56" s="100">
        <f t="shared" ca="1" si="3"/>
        <v>1</v>
      </c>
      <c r="Y56" s="1">
        <f t="shared" ca="1" si="2"/>
        <v>-108.783</v>
      </c>
      <c r="Z56" s="1" t="str">
        <f t="shared" ca="1" si="4"/>
        <v>QB7</v>
      </c>
      <c r="AA56" s="1">
        <f ca="1">Y56*LeagueInfo!$H$5</f>
        <v>-49.750918194681333</v>
      </c>
      <c r="AB56" s="1"/>
      <c r="AC56" s="1"/>
    </row>
    <row r="57" spans="1:29" x14ac:dyDescent="0.25">
      <c r="A57" s="1">
        <f>RANK(O57,O$3:O$77)</f>
        <v>55</v>
      </c>
      <c r="B57" s="1" t="s">
        <v>409</v>
      </c>
      <c r="C57" s="1" t="s">
        <v>33</v>
      </c>
      <c r="D57" s="1">
        <f>VLOOKUP(E57,BYEs!$A$2:$B$34,2,FALSE)</f>
        <v>8</v>
      </c>
      <c r="E57" s="1" t="s">
        <v>359</v>
      </c>
      <c r="F57" s="249">
        <v>25.1</v>
      </c>
      <c r="G57" s="247">
        <v>14.2</v>
      </c>
      <c r="H57" s="247">
        <v>162.69999999999999</v>
      </c>
      <c r="I57" s="247">
        <v>0.7</v>
      </c>
      <c r="J57" s="250">
        <v>0.7</v>
      </c>
      <c r="K57" s="249">
        <v>1.7</v>
      </c>
      <c r="L57" s="247">
        <v>5.0999999999999996</v>
      </c>
      <c r="M57" s="247">
        <v>0</v>
      </c>
      <c r="N57" s="250">
        <v>0</v>
      </c>
      <c r="O57" s="253">
        <f>(F57*QBPassAtt)+(H57*PassingYds)+(I57*PassingTD)+(J57*PassingINT)+(L57*QBRushingYd)+(M57*QBRushingTD)+(N57*QBFuml)+(G57*QBCompletion)+(K57*QBRushAtt)</f>
        <v>9.1180000000000003</v>
      </c>
      <c r="P57" s="1" t="str">
        <f ca="1">IF(A57&lt;=QBStarter,"Starter",IF(A57&gt;QBStarter+QBBench,"Undrafted","Bench"))</f>
        <v>Undrafted</v>
      </c>
      <c r="Q57" s="47">
        <f ca="1">IFERROR(MAX(O57-LARGE(O$3:O$77,QBStarter),0),0)</f>
        <v>0</v>
      </c>
      <c r="R57" s="47">
        <f ca="1">IFERROR(IF(AllowNegative="Yes",O57-LARGE(O$3:O$77,QBCount),MAX(O57-LARGE(O$3:O$77,QBCount),0)),0)</f>
        <v>-218.59200000000001</v>
      </c>
      <c r="S57" s="108">
        <f ca="1">(R57-Q57)*BenchPF+Q57*StarterPF</f>
        <v>-52.351876655605786</v>
      </c>
      <c r="T57" s="108">
        <f ca="1">S57*Auction!$A$2</f>
        <v>-52.351876655605786</v>
      </c>
      <c r="U57" s="25" t="str">
        <f>IF(OR(INDEX(Auction!$H$13:$H$683,MATCH(B57,Auction!$A$13:$A$683,0))&gt;0,IFERROR(INDEX(CheatSheet!$D$5:$D$34,MATCH(B57,CheatSheet!$A$5:$A$34,0)),"")&lt;&gt;""),"Yes","No")</f>
        <v>No</v>
      </c>
      <c r="V57" s="219"/>
      <c r="W57" s="1"/>
      <c r="X57" s="100">
        <f t="shared" ca="1" si="3"/>
        <v>1</v>
      </c>
      <c r="Y57" s="1">
        <f t="shared" ca="1" si="2"/>
        <v>-109.29600000000001</v>
      </c>
      <c r="Z57" s="1" t="str">
        <f t="shared" ca="1" si="4"/>
        <v>QB7</v>
      </c>
      <c r="AA57" s="1">
        <f ca="1">Y57*LeagueInfo!$H$5</f>
        <v>-49.985534090858785</v>
      </c>
      <c r="AB57" s="1"/>
      <c r="AC57" s="1"/>
    </row>
    <row r="58" spans="1:29" x14ac:dyDescent="0.25">
      <c r="A58" s="1">
        <f>RANK(O58,O$3:O$77)</f>
        <v>56</v>
      </c>
      <c r="B58" s="1" t="s">
        <v>415</v>
      </c>
      <c r="C58" s="1" t="s">
        <v>33</v>
      </c>
      <c r="D58" s="1">
        <f>VLOOKUP(E58,BYEs!$A$2:$B$34,2,FALSE)</f>
        <v>9</v>
      </c>
      <c r="E58" s="1" t="s">
        <v>373</v>
      </c>
      <c r="F58" s="249">
        <v>20.6</v>
      </c>
      <c r="G58" s="247">
        <v>12.4</v>
      </c>
      <c r="H58" s="247">
        <v>138.69999999999999</v>
      </c>
      <c r="I58" s="247">
        <v>0.9</v>
      </c>
      <c r="J58" s="250">
        <v>0.5</v>
      </c>
      <c r="K58" s="249">
        <v>1.5</v>
      </c>
      <c r="L58" s="247">
        <v>3.7</v>
      </c>
      <c r="M58" s="247">
        <v>0</v>
      </c>
      <c r="N58" s="250">
        <v>0</v>
      </c>
      <c r="O58" s="253">
        <f>(F58*QBPassAtt)+(H58*PassingYds)+(I58*PassingTD)+(J58*PassingINT)+(L58*QBRushingYd)+(M58*QBRushingTD)+(N58*QBFuml)+(G58*QBCompletion)+(K58*QBRushAtt)</f>
        <v>9.0179999999999989</v>
      </c>
      <c r="P58" s="1" t="str">
        <f ca="1">IF(A58&lt;=QBStarter,"Starter",IF(A58&gt;QBStarter+QBBench,"Undrafted","Bench"))</f>
        <v>Undrafted</v>
      </c>
      <c r="Q58" s="47">
        <f ca="1">IFERROR(MAX(O58-LARGE(O$3:O$77,QBStarter),0),0)</f>
        <v>0</v>
      </c>
      <c r="R58" s="47">
        <f ca="1">IFERROR(IF(AllowNegative="Yes",O58-LARGE(O$3:O$77,QBCount),MAX(O58-LARGE(O$3:O$77,QBCount),0)),0)</f>
        <v>-218.69200000000001</v>
      </c>
      <c r="S58" s="108">
        <f ca="1">(R58-Q58)*BenchPF+Q58*StarterPF</f>
        <v>-52.375826240519963</v>
      </c>
      <c r="T58" s="108">
        <f ca="1">S58*Auction!$A$2</f>
        <v>-52.375826240519963</v>
      </c>
      <c r="U58" s="25" t="str">
        <f>IF(OR(INDEX(Auction!$H$13:$H$683,MATCH(B58,Auction!$A$13:$A$683,0))&gt;0,IFERROR(INDEX(CheatSheet!$D$5:$D$34,MATCH(B58,CheatSheet!$A$5:$A$34,0)),"")&lt;&gt;""),"Yes","No")</f>
        <v>No</v>
      </c>
      <c r="V58" s="219"/>
      <c r="W58" s="1"/>
      <c r="X58" s="100">
        <f t="shared" ca="1" si="3"/>
        <v>1</v>
      </c>
      <c r="Y58" s="1">
        <f t="shared" ca="1" si="2"/>
        <v>-109.346</v>
      </c>
      <c r="Z58" s="1" t="str">
        <f t="shared" ca="1" si="4"/>
        <v>QB7</v>
      </c>
      <c r="AA58" s="1">
        <f ca="1">Y58*LeagueInfo!$H$5</f>
        <v>-50.008401137269843</v>
      </c>
      <c r="AB58" s="1"/>
      <c r="AC58" s="1"/>
    </row>
    <row r="59" spans="1:29" x14ac:dyDescent="0.25">
      <c r="A59" s="1">
        <f>RANK(O59,O$3:O$77)</f>
        <v>57</v>
      </c>
      <c r="B59" s="1" t="s">
        <v>411</v>
      </c>
      <c r="C59" s="1" t="s">
        <v>33</v>
      </c>
      <c r="D59" s="1">
        <f>VLOOKUP(E59,BYEs!$A$2:$B$34,2,FALSE)</f>
        <v>10</v>
      </c>
      <c r="E59" s="1" t="s">
        <v>369</v>
      </c>
      <c r="F59" s="249">
        <v>20.7</v>
      </c>
      <c r="G59" s="247">
        <v>11.5</v>
      </c>
      <c r="H59" s="247">
        <v>136.1</v>
      </c>
      <c r="I59" s="247">
        <v>0.7</v>
      </c>
      <c r="J59" s="250">
        <v>0.2</v>
      </c>
      <c r="K59" s="249">
        <v>1.2</v>
      </c>
      <c r="L59" s="247">
        <v>3.6</v>
      </c>
      <c r="M59" s="247">
        <v>0</v>
      </c>
      <c r="N59" s="250">
        <v>0</v>
      </c>
      <c r="O59" s="253">
        <f>(F59*QBPassAtt)+(H59*PassingYds)+(I59*PassingTD)+(J59*PassingINT)+(L59*QBRushingYd)+(M59*QBRushingTD)+(N59*QBFuml)+(G59*QBCompletion)+(K59*QBRushAtt)</f>
        <v>8.4039999999999999</v>
      </c>
      <c r="P59" s="1" t="str">
        <f ca="1">IF(A59&lt;=QBStarter,"Starter",IF(A59&gt;QBStarter+QBBench,"Undrafted","Bench"))</f>
        <v>Undrafted</v>
      </c>
      <c r="Q59" s="47">
        <f ca="1">IFERROR(MAX(O59-LARGE(O$3:O$77,QBStarter),0),0)</f>
        <v>0</v>
      </c>
      <c r="R59" s="47">
        <f ca="1">IFERROR(IF(AllowNegative="Yes",O59-LARGE(O$3:O$77,QBCount),MAX(O59-LARGE(O$3:O$77,QBCount),0)),0)</f>
        <v>-219.30600000000001</v>
      </c>
      <c r="S59" s="108">
        <f ca="1">(R59-Q59)*BenchPF+Q59*StarterPF</f>
        <v>-52.522876691893039</v>
      </c>
      <c r="T59" s="108">
        <f ca="1">S59*Auction!$A$2</f>
        <v>-52.522876691893039</v>
      </c>
      <c r="U59" s="25" t="str">
        <f>IF(OR(INDEX(Auction!$H$13:$H$683,MATCH(B59,Auction!$A$13:$A$683,0))&gt;0,IFERROR(INDEX(CheatSheet!$D$5:$D$34,MATCH(B59,CheatSheet!$A$5:$A$34,0)),"")&lt;&gt;""),"Yes","No")</f>
        <v>No</v>
      </c>
      <c r="V59" s="219"/>
      <c r="W59" s="1"/>
      <c r="X59" s="100">
        <f t="shared" ca="1" si="3"/>
        <v>1</v>
      </c>
      <c r="Y59" s="1">
        <f t="shared" ca="1" si="2"/>
        <v>-109.65300000000001</v>
      </c>
      <c r="Z59" s="1" t="str">
        <f t="shared" ca="1" si="4"/>
        <v>QB7</v>
      </c>
      <c r="AA59" s="1">
        <f ca="1">Y59*LeagueInfo!$H$5</f>
        <v>-50.148804802233734</v>
      </c>
      <c r="AB59" s="1"/>
      <c r="AC59" s="1"/>
    </row>
    <row r="60" spans="1:29" x14ac:dyDescent="0.25">
      <c r="A60" s="1">
        <f>RANK(O60,O$3:O$77)</f>
        <v>58</v>
      </c>
      <c r="B60" s="1" t="s">
        <v>412</v>
      </c>
      <c r="C60" s="1" t="s">
        <v>33</v>
      </c>
      <c r="D60" s="1">
        <f>VLOOKUP(E60,BYEs!$A$2:$B$34,2,FALSE)</f>
        <v>8</v>
      </c>
      <c r="E60" s="1" t="s">
        <v>350</v>
      </c>
      <c r="F60" s="249">
        <v>19.100000000000001</v>
      </c>
      <c r="G60" s="247">
        <v>11.1</v>
      </c>
      <c r="H60" s="247">
        <v>127.4</v>
      </c>
      <c r="I60" s="247">
        <v>0.8</v>
      </c>
      <c r="J60" s="250">
        <v>0.4</v>
      </c>
      <c r="K60" s="249">
        <v>1.1000000000000001</v>
      </c>
      <c r="L60" s="247">
        <v>3.2</v>
      </c>
      <c r="M60" s="247">
        <v>0</v>
      </c>
      <c r="N60" s="250">
        <v>0</v>
      </c>
      <c r="O60" s="253">
        <f>(F60*QBPassAtt)+(H60*PassingYds)+(I60*PassingTD)+(J60*PassingINT)+(L60*QBRushingYd)+(M60*QBRushingTD)+(N60*QBFuml)+(G60*QBCompletion)+(K60*QBRushAtt)</f>
        <v>8.2159999999999993</v>
      </c>
      <c r="P60" s="1" t="str">
        <f ca="1">IF(A60&lt;=QBStarter,"Starter",IF(A60&gt;QBStarter+QBBench,"Undrafted","Bench"))</f>
        <v>Undrafted</v>
      </c>
      <c r="Q60" s="47">
        <f ca="1">IFERROR(MAX(O60-LARGE(O$3:O$77,QBStarter),0),0)</f>
        <v>0</v>
      </c>
      <c r="R60" s="47">
        <f ca="1">IFERROR(IF(AllowNegative="Yes",O60-LARGE(O$3:O$77,QBCount),MAX(O60-LARGE(O$3:O$77,QBCount),0)),0)</f>
        <v>-219.494</v>
      </c>
      <c r="S60" s="108">
        <f ca="1">(R60-Q60)*BenchPF+Q60*StarterPF</f>
        <v>-52.567901911531692</v>
      </c>
      <c r="T60" s="108">
        <f ca="1">S60*Auction!$A$2</f>
        <v>-52.567901911531692</v>
      </c>
      <c r="U60" s="25" t="str">
        <f>IF(OR(INDEX(Auction!$H$13:$H$683,MATCH(B60,Auction!$A$13:$A$683,0))&gt;0,IFERROR(INDEX(CheatSheet!$D$5:$D$34,MATCH(B60,CheatSheet!$A$5:$A$34,0)),"")&lt;&gt;""),"Yes","No")</f>
        <v>No</v>
      </c>
      <c r="V60" s="219"/>
      <c r="W60" s="1"/>
      <c r="X60" s="100">
        <f t="shared" ca="1" si="3"/>
        <v>1</v>
      </c>
      <c r="Y60" s="1">
        <f t="shared" ca="1" si="2"/>
        <v>-109.747</v>
      </c>
      <c r="Z60" s="1" t="str">
        <f t="shared" ca="1" si="4"/>
        <v>QB7</v>
      </c>
      <c r="AA60" s="1">
        <f ca="1">Y60*LeagueInfo!$H$5</f>
        <v>-50.19179484948652</v>
      </c>
      <c r="AB60" s="1"/>
      <c r="AC60" s="1"/>
    </row>
    <row r="61" spans="1:29" x14ac:dyDescent="0.25">
      <c r="A61" s="1">
        <f>RANK(O61,O$3:O$77)</f>
        <v>59</v>
      </c>
      <c r="B61" s="1" t="s">
        <v>414</v>
      </c>
      <c r="C61" s="1" t="s">
        <v>33</v>
      </c>
      <c r="D61" s="1">
        <f>VLOOKUP(E61,BYEs!$A$2:$B$34,2,FALSE)</f>
        <v>8</v>
      </c>
      <c r="E61" s="1" t="s">
        <v>368</v>
      </c>
      <c r="F61" s="249">
        <v>18.899999999999999</v>
      </c>
      <c r="G61" s="247">
        <v>11</v>
      </c>
      <c r="H61" s="247">
        <v>126.8</v>
      </c>
      <c r="I61" s="247">
        <v>0.8</v>
      </c>
      <c r="J61" s="250">
        <v>0.7</v>
      </c>
      <c r="K61" s="249">
        <v>1.8</v>
      </c>
      <c r="L61" s="247">
        <v>5.7</v>
      </c>
      <c r="M61" s="247">
        <v>0</v>
      </c>
      <c r="N61" s="250">
        <v>0</v>
      </c>
      <c r="O61" s="253">
        <f>(F61*QBPassAtt)+(H61*PassingYds)+(I61*PassingTD)+(J61*PassingINT)+(L61*QBRushingYd)+(M61*QBRushingTD)+(N61*QBFuml)+(G61*QBCompletion)+(K61*QBRushAtt)</f>
        <v>8.1419999999999995</v>
      </c>
      <c r="P61" s="1" t="str">
        <f ca="1">IF(A61&lt;=QBStarter,"Starter",IF(A61&gt;QBStarter+QBBench,"Undrafted","Bench"))</f>
        <v>Undrafted</v>
      </c>
      <c r="Q61" s="47">
        <f ca="1">IFERROR(MAX(O61-LARGE(O$3:O$77,QBStarter),0),0)</f>
        <v>0</v>
      </c>
      <c r="R61" s="47">
        <f ca="1">IFERROR(IF(AllowNegative="Yes",O61-LARGE(O$3:O$77,QBCount),MAX(O61-LARGE(O$3:O$77,QBCount),0)),0)</f>
        <v>-219.56800000000001</v>
      </c>
      <c r="S61" s="108">
        <f ca="1">(R61-Q61)*BenchPF+Q61*StarterPF</f>
        <v>-52.585624604368192</v>
      </c>
      <c r="T61" s="108">
        <f ca="1">S61*Auction!$A$2</f>
        <v>-52.585624604368192</v>
      </c>
      <c r="U61" s="25" t="str">
        <f>IF(OR(INDEX(Auction!$H$13:$H$683,MATCH(B61,Auction!$A$13:$A$683,0))&gt;0,IFERROR(INDEX(CheatSheet!$D$5:$D$34,MATCH(B61,CheatSheet!$A$5:$A$34,0)),"")&lt;&gt;""),"Yes","No")</f>
        <v>No</v>
      </c>
      <c r="V61" s="219"/>
      <c r="W61" s="1"/>
      <c r="X61" s="100">
        <f t="shared" ca="1" si="3"/>
        <v>1</v>
      </c>
      <c r="Y61" s="1">
        <f t="shared" ca="1" si="2"/>
        <v>-109.78400000000001</v>
      </c>
      <c r="Z61" s="1" t="str">
        <f t="shared" ca="1" si="4"/>
        <v>QB7</v>
      </c>
      <c r="AA61" s="1">
        <f ca="1">Y61*LeagueInfo!$H$5</f>
        <v>-50.208716463830704</v>
      </c>
      <c r="AB61" s="1"/>
      <c r="AC61" s="1"/>
    </row>
    <row r="62" spans="1:29" x14ac:dyDescent="0.25">
      <c r="A62" s="1">
        <f>RANK(O62,O$3:O$77)</f>
        <v>60</v>
      </c>
      <c r="B62" s="1" t="s">
        <v>413</v>
      </c>
      <c r="C62" s="1" t="s">
        <v>33</v>
      </c>
      <c r="D62" s="1">
        <f>VLOOKUP(E62,BYEs!$A$2:$B$34,2,FALSE)</f>
        <v>6</v>
      </c>
      <c r="E62" s="1" t="s">
        <v>366</v>
      </c>
      <c r="F62" s="249">
        <v>17.8</v>
      </c>
      <c r="G62" s="247">
        <v>10.7</v>
      </c>
      <c r="H62" s="247">
        <v>128.69999999999999</v>
      </c>
      <c r="I62" s="247">
        <v>0.7</v>
      </c>
      <c r="J62" s="250">
        <v>0.3</v>
      </c>
      <c r="K62" s="249">
        <v>1.6</v>
      </c>
      <c r="L62" s="247">
        <v>3.4</v>
      </c>
      <c r="M62" s="247">
        <v>0</v>
      </c>
      <c r="N62" s="250">
        <v>0</v>
      </c>
      <c r="O62" s="253">
        <f>(F62*QBPassAtt)+(H62*PassingYds)+(I62*PassingTD)+(J62*PassingINT)+(L62*QBRushingYd)+(M62*QBRushingTD)+(N62*QBFuml)+(G62*QBCompletion)+(K62*QBRushAtt)</f>
        <v>7.9879999999999995</v>
      </c>
      <c r="P62" s="1" t="str">
        <f ca="1">IF(A62&lt;=QBStarter,"Starter",IF(A62&gt;QBStarter+QBBench,"Undrafted","Bench"))</f>
        <v>Undrafted</v>
      </c>
      <c r="Q62" s="47">
        <f ca="1">IFERROR(MAX(O62-LARGE(O$3:O$77,QBStarter),0),0)</f>
        <v>0</v>
      </c>
      <c r="R62" s="47">
        <f ca="1">IFERROR(IF(AllowNegative="Yes",O62-LARGE(O$3:O$77,QBCount),MAX(O62-LARGE(O$3:O$77,QBCount),0)),0)</f>
        <v>-219.72200000000001</v>
      </c>
      <c r="S62" s="108">
        <f ca="1">(R62-Q62)*BenchPF+Q62*StarterPF</f>
        <v>-52.622506965136026</v>
      </c>
      <c r="T62" s="108">
        <f ca="1">S62*Auction!$A$2</f>
        <v>-52.622506965136026</v>
      </c>
      <c r="U62" s="25" t="str">
        <f>IF(OR(INDEX(Auction!$H$13:$H$683,MATCH(B62,Auction!$A$13:$A$683,0))&gt;0,IFERROR(INDEX(CheatSheet!$D$5:$D$34,MATCH(B62,CheatSheet!$A$5:$A$34,0)),"")&lt;&gt;""),"Yes","No")</f>
        <v>No</v>
      </c>
      <c r="V62" s="219"/>
      <c r="W62" s="1"/>
      <c r="X62" s="100">
        <f t="shared" ca="1" si="3"/>
        <v>1</v>
      </c>
      <c r="Y62" s="1">
        <f t="shared" ca="1" si="2"/>
        <v>-109.861</v>
      </c>
      <c r="Z62" s="1" t="str">
        <f t="shared" ca="1" si="4"/>
        <v>QB7</v>
      </c>
      <c r="AA62" s="1">
        <f ca="1">Y62*LeagueInfo!$H$5</f>
        <v>-50.243931715303731</v>
      </c>
      <c r="AB62" s="1"/>
      <c r="AC62" s="1"/>
    </row>
    <row r="63" spans="1:29" x14ac:dyDescent="0.25">
      <c r="A63" s="1">
        <f>RANK(O63,O$3:O$77)</f>
        <v>61</v>
      </c>
      <c r="B63" s="1" t="s">
        <v>416</v>
      </c>
      <c r="C63" s="1" t="s">
        <v>33</v>
      </c>
      <c r="D63" s="1">
        <f>VLOOKUP(E63,BYEs!$A$2:$B$34,2,FALSE)</f>
        <v>9</v>
      </c>
      <c r="E63" s="1" t="s">
        <v>351</v>
      </c>
      <c r="F63" s="249">
        <v>16.899999999999999</v>
      </c>
      <c r="G63" s="247">
        <v>10.4</v>
      </c>
      <c r="H63" s="247">
        <v>122.8</v>
      </c>
      <c r="I63" s="247">
        <v>0.7</v>
      </c>
      <c r="J63" s="250">
        <v>0.1</v>
      </c>
      <c r="K63" s="249">
        <v>0.9</v>
      </c>
      <c r="L63" s="247">
        <v>1.9</v>
      </c>
      <c r="M63" s="247">
        <v>0</v>
      </c>
      <c r="N63" s="250">
        <v>0</v>
      </c>
      <c r="O63" s="253">
        <f>(F63*QBPassAtt)+(H63*PassingYds)+(I63*PassingTD)+(J63*PassingINT)+(L63*QBRushingYd)+(M63*QBRushingTD)+(N63*QBFuml)+(G63*QBCompletion)+(K63*QBRushAtt)</f>
        <v>7.8020000000000005</v>
      </c>
      <c r="P63" s="1" t="str">
        <f ca="1">IF(A63&lt;=QBStarter,"Starter",IF(A63&gt;QBStarter+QBBench,"Undrafted","Bench"))</f>
        <v>Undrafted</v>
      </c>
      <c r="Q63" s="47">
        <f ca="1">IFERROR(MAX(O63-LARGE(O$3:O$77,QBStarter),0),0)</f>
        <v>0</v>
      </c>
      <c r="R63" s="47">
        <f ca="1">IFERROR(IF(AllowNegative="Yes",O63-LARGE(O$3:O$77,QBCount),MAX(O63-LARGE(O$3:O$77,QBCount),0)),0)</f>
        <v>-219.90800000000002</v>
      </c>
      <c r="S63" s="108">
        <f ca="1">(R63-Q63)*BenchPF+Q63*StarterPF</f>
        <v>-52.667053193076406</v>
      </c>
      <c r="T63" s="108">
        <f ca="1">S63*Auction!$A$2</f>
        <v>-52.667053193076406</v>
      </c>
      <c r="U63" s="25" t="str">
        <f>IF(OR(INDEX(Auction!$H$13:$H$683,MATCH(B63,Auction!$A$13:$A$683,0))&gt;0,IFERROR(INDEX(CheatSheet!$D$5:$D$34,MATCH(B63,CheatSheet!$A$5:$A$34,0)),"")&lt;&gt;""),"Yes","No")</f>
        <v>No</v>
      </c>
      <c r="V63" s="219"/>
      <c r="W63" s="1"/>
      <c r="X63" s="100">
        <f t="shared" ca="1" si="3"/>
        <v>1</v>
      </c>
      <c r="Y63" s="1">
        <f t="shared" ca="1" si="2"/>
        <v>-109.95400000000001</v>
      </c>
      <c r="Z63" s="1" t="str">
        <f t="shared" ca="1" si="4"/>
        <v>QB7</v>
      </c>
      <c r="AA63" s="1">
        <f ca="1">Y63*LeagueInfo!$H$5</f>
        <v>-50.286464421628303</v>
      </c>
      <c r="AB63" s="1"/>
      <c r="AC63" s="1"/>
    </row>
    <row r="64" spans="1:29" x14ac:dyDescent="0.25">
      <c r="A64" s="1">
        <f>RANK(O64,O$3:O$77)</f>
        <v>62</v>
      </c>
      <c r="B64" s="1" t="s">
        <v>419</v>
      </c>
      <c r="C64" s="1" t="s">
        <v>33</v>
      </c>
      <c r="D64" s="1">
        <f>VLOOKUP(E64,BYEs!$A$2:$B$34,2,FALSE)</f>
        <v>6</v>
      </c>
      <c r="E64" s="1" t="s">
        <v>354</v>
      </c>
      <c r="F64" s="249">
        <v>17.399999999999999</v>
      </c>
      <c r="G64" s="247">
        <v>10.5</v>
      </c>
      <c r="H64" s="247">
        <v>122.7</v>
      </c>
      <c r="I64" s="247">
        <v>0.6</v>
      </c>
      <c r="J64" s="250">
        <v>0.3</v>
      </c>
      <c r="K64" s="249">
        <v>1.9</v>
      </c>
      <c r="L64" s="247">
        <v>6.4</v>
      </c>
      <c r="M64" s="247">
        <v>0</v>
      </c>
      <c r="N64" s="250">
        <v>0</v>
      </c>
      <c r="O64" s="253">
        <f>(F64*QBPassAtt)+(H64*PassingYds)+(I64*PassingTD)+(J64*PassingINT)+(L64*QBRushingYd)+(M64*QBRushingTD)+(N64*QBFuml)+(G64*QBCompletion)+(K64*QBRushAtt)</f>
        <v>7.6479999999999997</v>
      </c>
      <c r="P64" s="1" t="str">
        <f ca="1">IF(A64&lt;=QBStarter,"Starter",IF(A64&gt;QBStarter+QBBench,"Undrafted","Bench"))</f>
        <v>Undrafted</v>
      </c>
      <c r="Q64" s="47">
        <f ca="1">IFERROR(MAX(O64-LARGE(O$3:O$77,QBStarter),0),0)</f>
        <v>0</v>
      </c>
      <c r="R64" s="47">
        <f ca="1">IFERROR(IF(AllowNegative="Yes",O64-LARGE(O$3:O$77,QBCount),MAX(O64-LARGE(O$3:O$77,QBCount),0)),0)</f>
        <v>-220.06200000000001</v>
      </c>
      <c r="S64" s="108">
        <f ca="1">(R64-Q64)*BenchPF+Q64*StarterPF</f>
        <v>-52.703935553844239</v>
      </c>
      <c r="T64" s="108">
        <f ca="1">S64*Auction!$A$2</f>
        <v>-52.703935553844239</v>
      </c>
      <c r="U64" s="25" t="str">
        <f>IF(OR(INDEX(Auction!$H$13:$H$683,MATCH(B64,Auction!$A$13:$A$683,0))&gt;0,IFERROR(INDEX(CheatSheet!$D$5:$D$34,MATCH(B64,CheatSheet!$A$5:$A$34,0)),"")&lt;&gt;""),"Yes","No")</f>
        <v>No</v>
      </c>
      <c r="V64" s="219"/>
      <c r="W64" s="1"/>
      <c r="X64" s="100">
        <f t="shared" ca="1" si="3"/>
        <v>1</v>
      </c>
      <c r="Y64" s="1">
        <f t="shared" ca="1" si="2"/>
        <v>-110.03100000000001</v>
      </c>
      <c r="Z64" s="1" t="str">
        <f t="shared" ca="1" si="4"/>
        <v>QB7</v>
      </c>
      <c r="AA64" s="1">
        <f ca="1">Y64*LeagueInfo!$H$5</f>
        <v>-50.321679673101329</v>
      </c>
      <c r="AB64" s="1"/>
      <c r="AC64" s="1"/>
    </row>
    <row r="65" spans="1:29" x14ac:dyDescent="0.25">
      <c r="A65" s="1">
        <f>RANK(O65,O$3:O$77)</f>
        <v>63</v>
      </c>
      <c r="B65" s="1" t="s">
        <v>418</v>
      </c>
      <c r="C65" s="1" t="s">
        <v>33</v>
      </c>
      <c r="D65" s="1">
        <f>VLOOKUP(E65,BYEs!$A$2:$B$34,2,FALSE)</f>
        <v>9</v>
      </c>
      <c r="E65" s="1" t="s">
        <v>361</v>
      </c>
      <c r="F65" s="249">
        <v>17.2</v>
      </c>
      <c r="G65" s="247">
        <v>10.199999999999999</v>
      </c>
      <c r="H65" s="247">
        <v>117.3</v>
      </c>
      <c r="I65" s="247">
        <v>0.8</v>
      </c>
      <c r="J65" s="250">
        <v>0.8</v>
      </c>
      <c r="K65" s="249">
        <v>1.4</v>
      </c>
      <c r="L65" s="247">
        <v>3.3</v>
      </c>
      <c r="M65" s="247">
        <v>0</v>
      </c>
      <c r="N65" s="250">
        <v>0</v>
      </c>
      <c r="O65" s="253">
        <f>(F65*QBPassAtt)+(H65*PassingYds)+(I65*PassingTD)+(J65*PassingINT)+(L65*QBRushingYd)+(M65*QBRushingTD)+(N65*QBFuml)+(G65*QBCompletion)+(K65*QBRushAtt)</f>
        <v>7.4220000000000006</v>
      </c>
      <c r="P65" s="1" t="str">
        <f ca="1">IF(A65&lt;=QBStarter,"Starter",IF(A65&gt;QBStarter+QBBench,"Undrafted","Bench"))</f>
        <v>Undrafted</v>
      </c>
      <c r="Q65" s="47">
        <f ca="1">IFERROR(MAX(O65-LARGE(O$3:O$77,QBStarter),0),0)</f>
        <v>0</v>
      </c>
      <c r="R65" s="47">
        <f ca="1">IFERROR(IF(AllowNegative="Yes",O65-LARGE(O$3:O$77,QBCount),MAX(O65-LARGE(O$3:O$77,QBCount),0)),0)</f>
        <v>-220.28800000000001</v>
      </c>
      <c r="S65" s="108">
        <f ca="1">(R65-Q65)*BenchPF+Q65*StarterPF</f>
        <v>-52.758061615750293</v>
      </c>
      <c r="T65" s="108">
        <f ca="1">S65*Auction!$A$2</f>
        <v>-52.758061615750293</v>
      </c>
      <c r="U65" s="25" t="str">
        <f>IF(OR(INDEX(Auction!$H$13:$H$683,MATCH(B65,Auction!$A$13:$A$683,0))&gt;0,IFERROR(INDEX(CheatSheet!$D$5:$D$34,MATCH(B65,CheatSheet!$A$5:$A$34,0)),"")&lt;&gt;""),"Yes","No")</f>
        <v>No</v>
      </c>
      <c r="V65" s="219"/>
      <c r="W65" s="1"/>
      <c r="X65" s="100">
        <f t="shared" ca="1" si="3"/>
        <v>1</v>
      </c>
      <c r="Y65" s="1">
        <f t="shared" ca="1" si="2"/>
        <v>-110.14400000000001</v>
      </c>
      <c r="Z65" s="1" t="str">
        <f t="shared" ca="1" si="4"/>
        <v>QB7</v>
      </c>
      <c r="AA65" s="1">
        <f ca="1">Y65*LeagueInfo!$H$5</f>
        <v>-50.373359197990318</v>
      </c>
      <c r="AB65" s="1"/>
      <c r="AC65" s="1"/>
    </row>
    <row r="66" spans="1:29" x14ac:dyDescent="0.25">
      <c r="A66" s="1">
        <f>RANK(O66,O$3:O$77)</f>
        <v>64</v>
      </c>
      <c r="B66" s="1" t="s">
        <v>420</v>
      </c>
      <c r="C66" s="1" t="s">
        <v>33</v>
      </c>
      <c r="D66" s="1">
        <f>VLOOKUP(E66,BYEs!$A$2:$B$34,2,FALSE)</f>
        <v>5</v>
      </c>
      <c r="E66" s="1" t="s">
        <v>358</v>
      </c>
      <c r="F66" s="249">
        <v>15.4</v>
      </c>
      <c r="G66" s="247">
        <v>9.3000000000000007</v>
      </c>
      <c r="H66" s="247">
        <v>106</v>
      </c>
      <c r="I66" s="247">
        <v>0.7</v>
      </c>
      <c r="J66" s="250">
        <v>0.2</v>
      </c>
      <c r="K66" s="249">
        <v>1.1000000000000001</v>
      </c>
      <c r="L66" s="247">
        <v>2.8</v>
      </c>
      <c r="M66" s="247">
        <v>0</v>
      </c>
      <c r="N66" s="250">
        <v>0</v>
      </c>
      <c r="O66" s="253">
        <f>(F66*QBPassAtt)+(H66*PassingYds)+(I66*PassingTD)+(J66*PassingINT)+(L66*QBRushingYd)+(M66*QBRushingTD)+(N66*QBFuml)+(G66*QBCompletion)+(K66*QBRushAtt)</f>
        <v>7.12</v>
      </c>
      <c r="P66" s="1" t="str">
        <f ca="1">IF(A66&lt;=QBStarter,"Starter",IF(A66&gt;QBStarter+QBBench,"Undrafted","Bench"))</f>
        <v>Undrafted</v>
      </c>
      <c r="Q66" s="47">
        <f ca="1">IFERROR(MAX(O66-LARGE(O$3:O$77,QBStarter),0),0)</f>
        <v>0</v>
      </c>
      <c r="R66" s="47">
        <f ca="1">IFERROR(IF(AllowNegative="Yes",O66-LARGE(O$3:O$77,QBCount),MAX(O66-LARGE(O$3:O$77,QBCount),0)),0)</f>
        <v>-220.59</v>
      </c>
      <c r="S66" s="108">
        <f ca="1">(R66-Q66)*BenchPF+Q66*StarterPF</f>
        <v>-52.830389362191113</v>
      </c>
      <c r="T66" s="108">
        <f ca="1">S66*Auction!$A$2</f>
        <v>-52.830389362191113</v>
      </c>
      <c r="U66" s="25" t="str">
        <f>IF(OR(INDEX(Auction!$H$13:$H$683,MATCH(B66,Auction!$A$13:$A$683,0))&gt;0,IFERROR(INDEX(CheatSheet!$D$5:$D$34,MATCH(B66,CheatSheet!$A$5:$A$34,0)),"")&lt;&gt;""),"Yes","No")</f>
        <v>No</v>
      </c>
      <c r="V66" s="219"/>
      <c r="W66" s="1"/>
      <c r="X66" s="100">
        <f t="shared" ca="1" si="3"/>
        <v>1</v>
      </c>
      <c r="Y66" s="1">
        <f t="shared" ca="1" si="2"/>
        <v>-110.295</v>
      </c>
      <c r="Z66" s="1" t="str">
        <f t="shared" ca="1" si="4"/>
        <v>QB7</v>
      </c>
      <c r="AA66" s="1">
        <f ca="1">Y66*LeagueInfo!$H$5</f>
        <v>-50.442417678151713</v>
      </c>
      <c r="AB66" s="1"/>
      <c r="AC66" s="1"/>
    </row>
    <row r="67" spans="1:29" x14ac:dyDescent="0.25">
      <c r="A67" s="1">
        <f>RANK(O67,O$3:O$77)</f>
        <v>65</v>
      </c>
      <c r="B67" s="1" t="s">
        <v>417</v>
      </c>
      <c r="C67" s="1" t="s">
        <v>33</v>
      </c>
      <c r="D67" s="1">
        <f>VLOOKUP(E67,BYEs!$A$2:$B$34,2,FALSE)</f>
        <v>10</v>
      </c>
      <c r="E67" s="1" t="s">
        <v>371</v>
      </c>
      <c r="F67" s="249">
        <v>20.7</v>
      </c>
      <c r="G67" s="247">
        <v>11.4</v>
      </c>
      <c r="H67" s="247">
        <v>128</v>
      </c>
      <c r="I67" s="247">
        <v>0.5</v>
      </c>
      <c r="J67" s="250">
        <v>0.7</v>
      </c>
      <c r="K67" s="249">
        <v>1.1000000000000001</v>
      </c>
      <c r="L67" s="247">
        <v>2.9</v>
      </c>
      <c r="M67" s="247">
        <v>0</v>
      </c>
      <c r="N67" s="250">
        <v>0</v>
      </c>
      <c r="O67" s="253">
        <f>(F67*QBPassAtt)+(H67*PassingYds)+(I67*PassingTD)+(J67*PassingINT)+(L67*QBRushingYd)+(M67*QBRushingTD)+(N67*QBFuml)+(G67*QBCompletion)+(K67*QBRushAtt)</f>
        <v>6.71</v>
      </c>
      <c r="P67" s="1" t="str">
        <f ca="1">IF(A67&lt;=QBStarter,"Starter",IF(A67&gt;QBStarter+QBBench,"Undrafted","Bench"))</f>
        <v>Undrafted</v>
      </c>
      <c r="Q67" s="47">
        <f ca="1">IFERROR(MAX(O67-LARGE(O$3:O$77,QBStarter),0),0)</f>
        <v>0</v>
      </c>
      <c r="R67" s="47">
        <f ca="1">IFERROR(IF(AllowNegative="Yes",O67-LARGE(O$3:O$77,QBCount),MAX(O67-LARGE(O$3:O$77,QBCount),0)),0)</f>
        <v>-221</v>
      </c>
      <c r="S67" s="108">
        <f ca="1">(R67-Q67)*BenchPF+Q67*StarterPF</f>
        <v>-52.928582660339252</v>
      </c>
      <c r="T67" s="108">
        <f ca="1">S67*Auction!$A$2</f>
        <v>-52.928582660339252</v>
      </c>
      <c r="U67" s="25" t="str">
        <f>IF(OR(INDEX(Auction!$H$13:$H$683,MATCH(B67,Auction!$A$13:$A$683,0))&gt;0,IFERROR(INDEX(CheatSheet!$D$5:$D$34,MATCH(B67,CheatSheet!$A$5:$A$34,0)),"")&lt;&gt;""),"Yes","No")</f>
        <v>No</v>
      </c>
      <c r="V67" s="219"/>
      <c r="W67" s="1"/>
      <c r="X67" s="100">
        <f t="shared" ref="X67:X77" ca="1" si="5">SUMIFS($Y$3:$Y$77,$Y$3:$Y$77,"&gt;0",$U$3:$U$77,"No")/SUMIF($Y$3:$Y$77,"&gt;0")</f>
        <v>1</v>
      </c>
      <c r="Y67" s="1">
        <f t="shared" ca="1" si="2"/>
        <v>-110.5</v>
      </c>
      <c r="Z67" s="1" t="str">
        <f t="shared" ref="Z67:Z77" ca="1" si="6">CONCATENATE("QB",ROUND((LARGE($Y$3:$Y$77,1)-$Y67)/(STDEVA($Y$3:$Y$77)/2)+1,0))</f>
        <v>QB7</v>
      </c>
      <c r="AA67" s="1">
        <f ca="1">Y67*LeagueInfo!$H$5</f>
        <v>-50.536172568437046</v>
      </c>
      <c r="AB67" s="1"/>
      <c r="AC67" s="1"/>
    </row>
    <row r="68" spans="1:29" x14ac:dyDescent="0.25">
      <c r="A68" s="1">
        <f>RANK(O68,O$3:O$77)</f>
        <v>66</v>
      </c>
      <c r="B68" s="1" t="s">
        <v>426</v>
      </c>
      <c r="C68" s="1" t="s">
        <v>33</v>
      </c>
      <c r="D68" s="1">
        <f>VLOOKUP(E68,BYEs!$A$2:$B$34,2,FALSE)</f>
        <v>11</v>
      </c>
      <c r="E68" s="1" t="s">
        <v>356</v>
      </c>
      <c r="F68" s="249">
        <v>16.100000000000001</v>
      </c>
      <c r="G68" s="247">
        <v>9.6999999999999993</v>
      </c>
      <c r="H68" s="247">
        <v>112.3</v>
      </c>
      <c r="I68" s="247">
        <v>0.4</v>
      </c>
      <c r="J68" s="250">
        <v>0.4</v>
      </c>
      <c r="K68" s="249">
        <v>1.3</v>
      </c>
      <c r="L68" s="247">
        <v>5</v>
      </c>
      <c r="M68" s="247">
        <v>0</v>
      </c>
      <c r="N68" s="250">
        <v>0</v>
      </c>
      <c r="O68" s="253">
        <f>(F68*QBPassAtt)+(H68*PassingYds)+(I68*PassingTD)+(J68*PassingINT)+(L68*QBRushingYd)+(M68*QBRushingTD)+(N68*QBFuml)+(G68*QBCompletion)+(K68*QBRushAtt)</f>
        <v>6.1920000000000002</v>
      </c>
      <c r="P68" s="1" t="str">
        <f ca="1">IF(A68&lt;=QBStarter,"Starter",IF(A68&gt;QBStarter+QBBench,"Undrafted","Bench"))</f>
        <v>Undrafted</v>
      </c>
      <c r="Q68" s="47">
        <f ca="1">IFERROR(MAX(O68-LARGE(O$3:O$77,QBStarter),0),0)</f>
        <v>0</v>
      </c>
      <c r="R68" s="47">
        <f ca="1">IFERROR(IF(AllowNegative="Yes",O68-LARGE(O$3:O$77,QBCount),MAX(O68-LARGE(O$3:O$77,QBCount),0)),0)</f>
        <v>-221.518</v>
      </c>
      <c r="S68" s="108">
        <f ca="1">(R68-Q68)*BenchPF+Q68*StarterPF</f>
        <v>-53.052641510194711</v>
      </c>
      <c r="T68" s="108">
        <f ca="1">S68*Auction!$A$2</f>
        <v>-53.052641510194711</v>
      </c>
      <c r="U68" s="25" t="str">
        <f>IF(OR(INDEX(Auction!$H$13:$H$683,MATCH(B68,Auction!$A$13:$A$683,0))&gt;0,IFERROR(INDEX(CheatSheet!$D$5:$D$34,MATCH(B68,CheatSheet!$A$5:$A$34,0)),"")&lt;&gt;""),"Yes","No")</f>
        <v>No</v>
      </c>
      <c r="V68" s="219"/>
      <c r="W68" s="1"/>
      <c r="X68" s="100">
        <f t="shared" ca="1" si="5"/>
        <v>1</v>
      </c>
      <c r="Y68" s="1">
        <f t="shared" ref="Y68:Y77" ca="1" si="7">AVERAGE(Q68:R68)</f>
        <v>-110.759</v>
      </c>
      <c r="Z68" s="1" t="str">
        <f t="shared" ca="1" si="6"/>
        <v>QB7</v>
      </c>
      <c r="AA68" s="1">
        <f ca="1">Y68*LeagueInfo!$H$5</f>
        <v>-50.654623868846322</v>
      </c>
      <c r="AB68" s="1"/>
      <c r="AC68" s="1"/>
    </row>
    <row r="69" spans="1:29" x14ac:dyDescent="0.25">
      <c r="A69" s="1">
        <f>RANK(O69,O$3:O$77)</f>
        <v>67</v>
      </c>
      <c r="B69" s="1" t="s">
        <v>424</v>
      </c>
      <c r="C69" s="1" t="s">
        <v>33</v>
      </c>
      <c r="D69" s="1">
        <f>VLOOKUP(E69,BYEs!$A$2:$B$34,2,FALSE)</f>
        <v>9</v>
      </c>
      <c r="E69" s="1" t="s">
        <v>361</v>
      </c>
      <c r="F69" s="249">
        <v>17.399999999999999</v>
      </c>
      <c r="G69" s="247">
        <v>10.3</v>
      </c>
      <c r="H69" s="247">
        <v>109.2</v>
      </c>
      <c r="I69" s="247">
        <v>0.5</v>
      </c>
      <c r="J69" s="250">
        <v>0.7</v>
      </c>
      <c r="K69" s="249">
        <v>2.2000000000000002</v>
      </c>
      <c r="L69" s="247">
        <v>4.4000000000000004</v>
      </c>
      <c r="M69" s="247">
        <v>0</v>
      </c>
      <c r="N69" s="250">
        <v>0</v>
      </c>
      <c r="O69" s="253">
        <f>(F69*QBPassAtt)+(H69*PassingYds)+(I69*PassingTD)+(J69*PassingINT)+(L69*QBRushingYd)+(M69*QBRushingTD)+(N69*QBFuml)+(G69*QBCompletion)+(K69*QBRushAtt)</f>
        <v>6.1080000000000005</v>
      </c>
      <c r="P69" s="1" t="str">
        <f ca="1">IF(A69&lt;=QBStarter,"Starter",IF(A69&gt;QBStarter+QBBench,"Undrafted","Bench"))</f>
        <v>Undrafted</v>
      </c>
      <c r="Q69" s="47">
        <f ca="1">IFERROR(MAX(O69-LARGE(O$3:O$77,QBStarter),0),0)</f>
        <v>0</v>
      </c>
      <c r="R69" s="47">
        <f ca="1">IFERROR(IF(AllowNegative="Yes",O69-LARGE(O$3:O$77,QBCount),MAX(O69-LARGE(O$3:O$77,QBCount),0)),0)</f>
        <v>-221.602</v>
      </c>
      <c r="S69" s="108">
        <f ca="1">(R69-Q69)*BenchPF+Q69*StarterPF</f>
        <v>-53.072759161522619</v>
      </c>
      <c r="T69" s="108">
        <f ca="1">S69*Auction!$A$2</f>
        <v>-53.072759161522619</v>
      </c>
      <c r="U69" s="25" t="str">
        <f>IF(OR(INDEX(Auction!$H$13:$H$683,MATCH(B69,Auction!$A$13:$A$683,0))&gt;0,IFERROR(INDEX(CheatSheet!$D$5:$D$34,MATCH(B69,CheatSheet!$A$5:$A$34,0)),"")&lt;&gt;""),"Yes","No")</f>
        <v>No</v>
      </c>
      <c r="V69" s="219"/>
      <c r="W69" s="1"/>
      <c r="X69" s="100">
        <f t="shared" ca="1" si="5"/>
        <v>1</v>
      </c>
      <c r="Y69" s="1">
        <f t="shared" ca="1" si="7"/>
        <v>-110.801</v>
      </c>
      <c r="Z69" s="1" t="str">
        <f t="shared" ca="1" si="6"/>
        <v>QB7</v>
      </c>
      <c r="AA69" s="1">
        <f ca="1">Y69*LeagueInfo!$H$5</f>
        <v>-50.673832187831614</v>
      </c>
      <c r="AB69" s="1"/>
      <c r="AC69" s="1"/>
    </row>
    <row r="70" spans="1:29" x14ac:dyDescent="0.25">
      <c r="A70" s="1">
        <f>RANK(O70,O$3:O$77)</f>
        <v>68</v>
      </c>
      <c r="B70" s="1" t="s">
        <v>425</v>
      </c>
      <c r="C70" s="1" t="s">
        <v>33</v>
      </c>
      <c r="D70" s="1">
        <f>VLOOKUP(E70,BYEs!$A$2:$B$34,2,FALSE)</f>
        <v>6</v>
      </c>
      <c r="E70" s="1" t="s">
        <v>360</v>
      </c>
      <c r="F70" s="249">
        <v>15.8</v>
      </c>
      <c r="G70" s="247">
        <v>9.5</v>
      </c>
      <c r="H70" s="247">
        <v>111.7</v>
      </c>
      <c r="I70" s="247">
        <v>0.4</v>
      </c>
      <c r="J70" s="250">
        <v>0.3</v>
      </c>
      <c r="K70" s="249">
        <v>0.9</v>
      </c>
      <c r="L70" s="247">
        <v>1.7</v>
      </c>
      <c r="M70" s="247">
        <v>0</v>
      </c>
      <c r="N70" s="250">
        <v>0</v>
      </c>
      <c r="O70" s="253">
        <f>(F70*QBPassAtt)+(H70*PassingYds)+(I70*PassingTD)+(J70*PassingINT)+(L70*QBRushingYd)+(M70*QBRushingTD)+(N70*QBFuml)+(G70*QBCompletion)+(K70*QBRushAtt)</f>
        <v>5.9379999999999997</v>
      </c>
      <c r="P70" s="1" t="str">
        <f ca="1">IF(A70&lt;=QBStarter,"Starter",IF(A70&gt;QBStarter+QBBench,"Undrafted","Bench"))</f>
        <v>Undrafted</v>
      </c>
      <c r="Q70" s="47">
        <f ca="1">IFERROR(MAX(O70-LARGE(O$3:O$77,QBStarter),0),0)</f>
        <v>0</v>
      </c>
      <c r="R70" s="47">
        <f ca="1">IFERROR(IF(AllowNegative="Yes",O70-LARGE(O$3:O$77,QBCount),MAX(O70-LARGE(O$3:O$77,QBCount),0)),0)</f>
        <v>-221.77200000000002</v>
      </c>
      <c r="S70" s="108">
        <f ca="1">(R70-Q70)*BenchPF+Q70*StarterPF</f>
        <v>-53.113473455876736</v>
      </c>
      <c r="T70" s="108">
        <f ca="1">S70*Auction!$A$2</f>
        <v>-53.113473455876736</v>
      </c>
      <c r="U70" s="25" t="str">
        <f>IF(OR(INDEX(Auction!$H$13:$H$683,MATCH(B70,Auction!$A$13:$A$683,0))&gt;0,IFERROR(INDEX(CheatSheet!$D$5:$D$34,MATCH(B70,CheatSheet!$A$5:$A$34,0)),"")&lt;&gt;""),"Yes","No")</f>
        <v>No</v>
      </c>
      <c r="V70" s="219"/>
      <c r="W70" s="1"/>
      <c r="X70" s="100">
        <f t="shared" ca="1" si="5"/>
        <v>1</v>
      </c>
      <c r="Y70" s="1">
        <f t="shared" ca="1" si="7"/>
        <v>-110.88600000000001</v>
      </c>
      <c r="Z70" s="1" t="str">
        <f t="shared" ca="1" si="6"/>
        <v>QB7</v>
      </c>
      <c r="AA70" s="1">
        <f ca="1">Y70*LeagueInfo!$H$5</f>
        <v>-50.712706166730413</v>
      </c>
      <c r="AB70" s="1"/>
      <c r="AC70" s="1"/>
    </row>
    <row r="71" spans="1:29" x14ac:dyDescent="0.25">
      <c r="A71" s="1">
        <f>RANK(O71,O$3:O$77)</f>
        <v>69</v>
      </c>
      <c r="B71" s="1" t="s">
        <v>421</v>
      </c>
      <c r="C71" s="1" t="s">
        <v>33</v>
      </c>
      <c r="D71" s="1">
        <f>VLOOKUP(E71,BYEs!$A$2:$B$34,2,FALSE)</f>
        <v>10</v>
      </c>
      <c r="E71" s="1" t="s">
        <v>365</v>
      </c>
      <c r="F71" s="249">
        <v>16.600000000000001</v>
      </c>
      <c r="G71" s="247">
        <v>9.3000000000000007</v>
      </c>
      <c r="H71" s="247">
        <v>107.7</v>
      </c>
      <c r="I71" s="247">
        <v>0.4</v>
      </c>
      <c r="J71" s="250">
        <v>0.6</v>
      </c>
      <c r="K71" s="249">
        <v>1.6</v>
      </c>
      <c r="L71" s="247">
        <v>5</v>
      </c>
      <c r="M71" s="247">
        <v>0</v>
      </c>
      <c r="N71" s="250">
        <v>0</v>
      </c>
      <c r="O71" s="253">
        <f>(F71*QBPassAtt)+(H71*PassingYds)+(I71*PassingTD)+(J71*PassingINT)+(L71*QBRushingYd)+(M71*QBRushingTD)+(N71*QBFuml)+(G71*QBCompletion)+(K71*QBRushAtt)</f>
        <v>5.8079999999999998</v>
      </c>
      <c r="P71" s="1" t="str">
        <f ca="1">IF(A71&lt;=QBStarter,"Starter",IF(A71&gt;QBStarter+QBBench,"Undrafted","Bench"))</f>
        <v>Undrafted</v>
      </c>
      <c r="Q71" s="47">
        <f ca="1">IFERROR(MAX(O71-LARGE(O$3:O$77,QBStarter),0),0)</f>
        <v>0</v>
      </c>
      <c r="R71" s="47">
        <f ca="1">IFERROR(IF(AllowNegative="Yes",O71-LARGE(O$3:O$77,QBCount),MAX(O71-LARGE(O$3:O$77,QBCount),0)),0)</f>
        <v>-221.90200000000002</v>
      </c>
      <c r="S71" s="108">
        <f ca="1">(R71-Q71)*BenchPF+Q71*StarterPF</f>
        <v>-53.144607916265166</v>
      </c>
      <c r="T71" s="108">
        <f ca="1">S71*Auction!$A$2</f>
        <v>-53.144607916265166</v>
      </c>
      <c r="U71" s="25" t="str">
        <f>IF(OR(INDEX(Auction!$H$13:$H$683,MATCH(B71,Auction!$A$13:$A$683,0))&gt;0,IFERROR(INDEX(CheatSheet!$D$5:$D$34,MATCH(B71,CheatSheet!$A$5:$A$34,0)),"")&lt;&gt;""),"Yes","No")</f>
        <v>No</v>
      </c>
      <c r="V71" s="219"/>
      <c r="W71" s="1"/>
      <c r="X71" s="100">
        <f t="shared" ca="1" si="5"/>
        <v>1</v>
      </c>
      <c r="Y71" s="1">
        <f t="shared" ca="1" si="7"/>
        <v>-110.95100000000001</v>
      </c>
      <c r="Z71" s="1" t="str">
        <f t="shared" ca="1" si="6"/>
        <v>QB7</v>
      </c>
      <c r="AA71" s="1">
        <f ca="1">Y71*LeagueInfo!$H$5</f>
        <v>-50.742433327064788</v>
      </c>
      <c r="AB71" s="1"/>
      <c r="AC71" s="1"/>
    </row>
    <row r="72" spans="1:29" x14ac:dyDescent="0.25">
      <c r="A72" s="1">
        <f>RANK(O72,O$3:O$77)</f>
        <v>70</v>
      </c>
      <c r="B72" s="1" t="s">
        <v>422</v>
      </c>
      <c r="C72" s="1" t="s">
        <v>33</v>
      </c>
      <c r="D72" s="1">
        <f>VLOOKUP(E72,BYEs!$A$2:$B$34,2,FALSE)</f>
        <v>7</v>
      </c>
      <c r="E72" s="1" t="s">
        <v>362</v>
      </c>
      <c r="F72" s="249">
        <v>16.100000000000001</v>
      </c>
      <c r="G72" s="247">
        <v>9.6</v>
      </c>
      <c r="H72" s="247">
        <v>111.2</v>
      </c>
      <c r="I72" s="247">
        <v>0.4</v>
      </c>
      <c r="J72" s="250">
        <v>0.7</v>
      </c>
      <c r="K72" s="249">
        <v>1.4</v>
      </c>
      <c r="L72" s="247">
        <v>1.9</v>
      </c>
      <c r="M72" s="247">
        <v>0</v>
      </c>
      <c r="N72" s="250">
        <v>0</v>
      </c>
      <c r="O72" s="253">
        <f>(F72*QBPassAtt)+(H72*PassingYds)+(I72*PassingTD)+(J72*PassingINT)+(L72*QBRushingYd)+(M72*QBRushingTD)+(N72*QBFuml)+(G72*QBCompletion)+(K72*QBRushAtt)</f>
        <v>5.5380000000000003</v>
      </c>
      <c r="P72" s="1" t="str">
        <f ca="1">IF(A72&lt;=QBStarter,"Starter",IF(A72&gt;QBStarter+QBBench,"Undrafted","Bench"))</f>
        <v>Undrafted</v>
      </c>
      <c r="Q72" s="47">
        <f ca="1">IFERROR(MAX(O72-LARGE(O$3:O$77,QBStarter),0),0)</f>
        <v>0</v>
      </c>
      <c r="R72" s="47">
        <f ca="1">IFERROR(IF(AllowNegative="Yes",O72-LARGE(O$3:O$77,QBCount),MAX(O72-LARGE(O$3:O$77,QBCount),0)),0)</f>
        <v>-222.172</v>
      </c>
      <c r="S72" s="108">
        <f ca="1">(R72-Q72)*BenchPF+Q72*StarterPF</f>
        <v>-53.209271795533454</v>
      </c>
      <c r="T72" s="108">
        <f ca="1">S72*Auction!$A$2</f>
        <v>-53.209271795533454</v>
      </c>
      <c r="U72" s="25" t="str">
        <f>IF(OR(INDEX(Auction!$H$13:$H$683,MATCH(B72,Auction!$A$13:$A$683,0))&gt;0,IFERROR(INDEX(CheatSheet!$D$5:$D$34,MATCH(B72,CheatSheet!$A$5:$A$34,0)),"")&lt;&gt;""),"Yes","No")</f>
        <v>No</v>
      </c>
      <c r="V72" s="219"/>
      <c r="W72" s="1"/>
      <c r="X72" s="100">
        <f t="shared" ca="1" si="5"/>
        <v>1</v>
      </c>
      <c r="Y72" s="1">
        <f t="shared" ca="1" si="7"/>
        <v>-111.086</v>
      </c>
      <c r="Z72" s="1" t="str">
        <f t="shared" ca="1" si="6"/>
        <v>QB7</v>
      </c>
      <c r="AA72" s="1">
        <f ca="1">Y72*LeagueInfo!$H$5</f>
        <v>-50.804174352374638</v>
      </c>
      <c r="AB72" s="1"/>
      <c r="AC72" s="1"/>
    </row>
    <row r="73" spans="1:29" x14ac:dyDescent="0.25">
      <c r="A73" s="1">
        <f>RANK(O73,O$3:O$77)</f>
        <v>71</v>
      </c>
      <c r="B73" s="1" t="s">
        <v>427</v>
      </c>
      <c r="C73" s="1" t="s">
        <v>33</v>
      </c>
      <c r="D73" s="1">
        <f>VLOOKUP(E73,BYEs!$A$2:$B$34,2,FALSE)</f>
        <v>5</v>
      </c>
      <c r="E73" s="1" t="s">
        <v>353</v>
      </c>
      <c r="F73" s="249">
        <v>13.1</v>
      </c>
      <c r="G73" s="247">
        <v>8.1999999999999993</v>
      </c>
      <c r="H73" s="247">
        <v>89.9</v>
      </c>
      <c r="I73" s="247">
        <v>0.5</v>
      </c>
      <c r="J73" s="250">
        <v>0.5</v>
      </c>
      <c r="K73" s="249">
        <v>0.9</v>
      </c>
      <c r="L73" s="247">
        <v>2.2000000000000002</v>
      </c>
      <c r="M73" s="247">
        <v>0</v>
      </c>
      <c r="N73" s="250">
        <v>0</v>
      </c>
      <c r="O73" s="253">
        <f>(F73*QBPassAtt)+(H73*PassingYds)+(I73*PassingTD)+(J73*PassingINT)+(L73*QBRushingYd)+(M73*QBRushingTD)+(N73*QBFuml)+(G73*QBCompletion)+(K73*QBRushAtt)</f>
        <v>5.3159999999999998</v>
      </c>
      <c r="P73" s="1" t="str">
        <f ca="1">IF(A73&lt;=QBStarter,"Starter",IF(A73&gt;QBStarter+QBBench,"Undrafted","Bench"))</f>
        <v>Undrafted</v>
      </c>
      <c r="Q73" s="47">
        <f ca="1">IFERROR(MAX(O73-LARGE(O$3:O$77,QBStarter),0),0)</f>
        <v>0</v>
      </c>
      <c r="R73" s="47">
        <f ca="1">IFERROR(IF(AllowNegative="Yes",O73-LARGE(O$3:O$77,QBCount),MAX(O73-LARGE(O$3:O$77,QBCount),0)),0)</f>
        <v>-222.39400000000001</v>
      </c>
      <c r="S73" s="108">
        <f ca="1">(R73-Q73)*BenchPF+Q73*StarterPF</f>
        <v>-53.262439874042933</v>
      </c>
      <c r="T73" s="108">
        <f ca="1">S73*Auction!$A$2</f>
        <v>-53.262439874042933</v>
      </c>
      <c r="U73" s="25" t="str">
        <f>IF(OR(INDEX(Auction!$H$13:$H$683,MATCH(B73,Auction!$A$13:$A$683,0))&gt;0,IFERROR(INDEX(CheatSheet!$D$5:$D$34,MATCH(B73,CheatSheet!$A$5:$A$34,0)),"")&lt;&gt;""),"Yes","No")</f>
        <v>No</v>
      </c>
      <c r="V73" s="219"/>
      <c r="W73" s="1"/>
      <c r="X73" s="100">
        <f t="shared" ca="1" si="5"/>
        <v>1</v>
      </c>
      <c r="Y73" s="1">
        <f t="shared" ca="1" si="7"/>
        <v>-111.197</v>
      </c>
      <c r="Z73" s="1" t="str">
        <f t="shared" ca="1" si="6"/>
        <v>QB7</v>
      </c>
      <c r="AA73" s="1">
        <f ca="1">Y73*LeagueInfo!$H$5</f>
        <v>-50.854939195407191</v>
      </c>
      <c r="AB73" s="1"/>
      <c r="AC73" s="1"/>
    </row>
    <row r="74" spans="1:29" x14ac:dyDescent="0.25">
      <c r="A74" s="1">
        <f>RANK(O74,O$3:O$77)</f>
        <v>72</v>
      </c>
      <c r="B74" s="1" t="s">
        <v>428</v>
      </c>
      <c r="C74" s="1" t="s">
        <v>33</v>
      </c>
      <c r="D74" s="1">
        <f>VLOOKUP(E74,BYEs!$A$2:$B$34,2,FALSE)</f>
        <v>5</v>
      </c>
      <c r="E74" s="1" t="s">
        <v>352</v>
      </c>
      <c r="F74" s="249">
        <v>10.199999999999999</v>
      </c>
      <c r="G74" s="247">
        <v>6.1</v>
      </c>
      <c r="H74" s="247">
        <v>73.099999999999994</v>
      </c>
      <c r="I74" s="247">
        <v>0.2</v>
      </c>
      <c r="J74" s="250">
        <v>0.3</v>
      </c>
      <c r="K74" s="249">
        <v>1</v>
      </c>
      <c r="L74" s="247">
        <v>1.5</v>
      </c>
      <c r="M74" s="247">
        <v>0</v>
      </c>
      <c r="N74" s="250">
        <v>0</v>
      </c>
      <c r="O74" s="253">
        <f>(F74*QBPassAtt)+(H74*PassingYds)+(I74*PassingTD)+(J74*PassingINT)+(L74*QBRushingYd)+(M74*QBRushingTD)+(N74*QBFuml)+(G74*QBCompletion)+(K74*QBRushAtt)</f>
        <v>3.5740000000000003</v>
      </c>
      <c r="P74" s="1" t="str">
        <f ca="1">IF(A74&lt;=QBStarter,"Starter",IF(A74&gt;QBStarter+QBBench,"Undrafted","Bench"))</f>
        <v>Undrafted</v>
      </c>
      <c r="Q74" s="47">
        <f ca="1">IFERROR(MAX(O74-LARGE(O$3:O$77,QBStarter),0),0)</f>
        <v>0</v>
      </c>
      <c r="R74" s="47">
        <f ca="1">IFERROR(IF(AllowNegative="Yes",O74-LARGE(O$3:O$77,QBCount),MAX(O74-LARGE(O$3:O$77,QBCount),0)),0)</f>
        <v>-224.136</v>
      </c>
      <c r="S74" s="108">
        <f ca="1">(R74-Q74)*BenchPF+Q74*StarterPF</f>
        <v>-53.679641643247955</v>
      </c>
      <c r="T74" s="108">
        <f ca="1">S74*Auction!$A$2</f>
        <v>-53.679641643247955</v>
      </c>
      <c r="U74" s="25" t="str">
        <f>IF(OR(INDEX(Auction!$H$13:$H$683,MATCH(B74,Auction!$A$13:$A$683,0))&gt;0,IFERROR(INDEX(CheatSheet!$D$5:$D$34,MATCH(B74,CheatSheet!$A$5:$A$34,0)),"")&lt;&gt;""),"Yes","No")</f>
        <v>No</v>
      </c>
      <c r="V74" s="219"/>
      <c r="W74" s="1"/>
      <c r="X74" s="100">
        <f t="shared" ca="1" si="5"/>
        <v>1</v>
      </c>
      <c r="Y74" s="1">
        <f t="shared" ca="1" si="7"/>
        <v>-112.068</v>
      </c>
      <c r="Z74" s="1" t="str">
        <f t="shared" ca="1" si="6"/>
        <v>QB7</v>
      </c>
      <c r="AA74" s="1">
        <f ca="1">Y74*LeagueInfo!$H$5</f>
        <v>-51.253283143887806</v>
      </c>
      <c r="AB74" s="1"/>
      <c r="AC74" s="1"/>
    </row>
    <row r="75" spans="1:29" x14ac:dyDescent="0.25">
      <c r="A75" s="1">
        <f>RANK(O75,O$3:O$77)</f>
        <v>73</v>
      </c>
      <c r="B75" s="1" t="s">
        <v>400</v>
      </c>
      <c r="C75" s="1" t="s">
        <v>33</v>
      </c>
      <c r="D75" s="1">
        <f>VLOOKUP(E75,BYEs!$A$2:$B$34,2,FALSE)</f>
        <v>8</v>
      </c>
      <c r="E75" s="1" t="s">
        <v>370</v>
      </c>
      <c r="F75" s="249">
        <v>6</v>
      </c>
      <c r="G75" s="247">
        <v>4</v>
      </c>
      <c r="H75" s="247">
        <v>44</v>
      </c>
      <c r="I75" s="247">
        <v>0</v>
      </c>
      <c r="J75" s="250">
        <v>0</v>
      </c>
      <c r="K75" s="249">
        <v>1</v>
      </c>
      <c r="L75" s="247">
        <v>4</v>
      </c>
      <c r="M75" s="247">
        <v>0</v>
      </c>
      <c r="N75" s="250">
        <v>0</v>
      </c>
      <c r="O75" s="253">
        <f>(F75*QBPassAtt)+(H75*PassingYds)+(I75*PassingTD)+(J75*PassingINT)+(L75*QBRushingYd)+(M75*QBRushingTD)+(N75*QBFuml)+(G75*QBCompletion)+(K75*QBRushAtt)</f>
        <v>2.16</v>
      </c>
      <c r="P75" s="1" t="str">
        <f ca="1">IF(A75&lt;=QBStarter,"Starter",IF(A75&gt;QBStarter+QBBench,"Undrafted","Bench"))</f>
        <v>Undrafted</v>
      </c>
      <c r="Q75" s="47">
        <f ca="1">IFERROR(MAX(O75-LARGE(O$3:O$77,QBStarter),0),0)</f>
        <v>0</v>
      </c>
      <c r="R75" s="47">
        <f ca="1">IFERROR(IF(AllowNegative="Yes",O75-LARGE(O$3:O$77,QBCount),MAX(O75-LARGE(O$3:O$77,QBCount),0)),0)</f>
        <v>-225.55</v>
      </c>
      <c r="S75" s="108">
        <f ca="1">(R75-Q75)*BenchPF+Q75*StarterPF</f>
        <v>-54.018288773934479</v>
      </c>
      <c r="T75" s="108">
        <f ca="1">S75*Auction!$A$2</f>
        <v>-54.018288773934479</v>
      </c>
      <c r="U75" s="25" t="str">
        <f>IF(OR(INDEX(Auction!$H$13:$H$683,MATCH(B75,Auction!$A$13:$A$683,0))&gt;0,IFERROR(INDEX(CheatSheet!$D$5:$D$34,MATCH(B75,CheatSheet!$A$5:$A$34,0)),"")&lt;&gt;""),"Yes","No")</f>
        <v>No</v>
      </c>
      <c r="V75" s="219"/>
      <c r="W75" s="1"/>
      <c r="X75" s="100">
        <f t="shared" ca="1" si="5"/>
        <v>1</v>
      </c>
      <c r="Y75" s="1">
        <f t="shared" ca="1" si="7"/>
        <v>-112.77500000000001</v>
      </c>
      <c r="Z75" s="1" t="str">
        <f t="shared" ca="1" si="6"/>
        <v>QB8</v>
      </c>
      <c r="AA75" s="1">
        <f ca="1">Y75*LeagueInfo!$H$5</f>
        <v>-51.576623180140167</v>
      </c>
      <c r="AB75" s="1"/>
      <c r="AC75" s="1"/>
    </row>
    <row r="76" spans="1:29" x14ac:dyDescent="0.25">
      <c r="A76" s="1">
        <f>RANK(O76,O$3:O$77)</f>
        <v>74</v>
      </c>
      <c r="B76" s="1" t="s">
        <v>405</v>
      </c>
      <c r="C76" s="1" t="s">
        <v>33</v>
      </c>
      <c r="D76" s="1">
        <f>VLOOKUP(E76,BYEs!$A$2:$B$34,2,FALSE)</f>
        <v>11</v>
      </c>
      <c r="E76" s="1" t="s">
        <v>378</v>
      </c>
      <c r="F76" s="249">
        <v>5.3</v>
      </c>
      <c r="G76" s="247">
        <v>3</v>
      </c>
      <c r="H76" s="247">
        <v>33.9</v>
      </c>
      <c r="I76" s="247">
        <v>0.1</v>
      </c>
      <c r="J76" s="250">
        <v>0.2</v>
      </c>
      <c r="K76" s="249">
        <v>0.1</v>
      </c>
      <c r="L76" s="247">
        <v>0.3</v>
      </c>
      <c r="M76" s="247">
        <v>0</v>
      </c>
      <c r="N76" s="250">
        <v>0</v>
      </c>
      <c r="O76" s="253">
        <f>(F76*QBPassAtt)+(H76*PassingYds)+(I76*PassingTD)+(J76*PassingINT)+(L76*QBRushingYd)+(M76*QBRushingTD)+(N76*QBFuml)+(G76*QBCompletion)+(K76*QBRushAtt)</f>
        <v>1.5859999999999999</v>
      </c>
      <c r="P76" s="1" t="str">
        <f ca="1">IF(A76&lt;=QBStarter,"Starter",IF(A76&gt;QBStarter+QBBench,"Undrafted","Bench"))</f>
        <v>Undrafted</v>
      </c>
      <c r="Q76" s="47">
        <f ca="1">IFERROR(MAX(O76-LARGE(O$3:O$77,QBStarter),0),0)</f>
        <v>0</v>
      </c>
      <c r="R76" s="47">
        <f ca="1">IFERROR(IF(AllowNegative="Yes",O76-LARGE(O$3:O$77,QBCount),MAX(O76-LARGE(O$3:O$77,QBCount),0)),0)</f>
        <v>-226.124</v>
      </c>
      <c r="S76" s="108">
        <f ca="1">(R76-Q76)*BenchPF+Q76*StarterPF</f>
        <v>-54.155759391341867</v>
      </c>
      <c r="T76" s="108">
        <f ca="1">S76*Auction!$A$2</f>
        <v>-54.155759391341867</v>
      </c>
      <c r="U76" s="25" t="str">
        <f>IF(OR(INDEX(Auction!$H$13:$H$683,MATCH(B76,Auction!$A$13:$A$683,0))&gt;0,IFERROR(INDEX(CheatSheet!$D$5:$D$34,MATCH(B76,CheatSheet!$A$5:$A$34,0)),"")&lt;&gt;""),"Yes","No")</f>
        <v>No</v>
      </c>
      <c r="V76" s="219"/>
      <c r="W76" s="1"/>
      <c r="X76" s="100">
        <f t="shared" ca="1" si="5"/>
        <v>1</v>
      </c>
      <c r="Y76" s="1">
        <f t="shared" ca="1" si="7"/>
        <v>-113.062</v>
      </c>
      <c r="Z76" s="1" t="str">
        <f t="shared" ca="1" si="6"/>
        <v>QB8</v>
      </c>
      <c r="AA76" s="1">
        <f ca="1">Y76*LeagueInfo!$H$5</f>
        <v>-51.707880026539634</v>
      </c>
      <c r="AB76" s="1"/>
      <c r="AC76" s="1"/>
    </row>
    <row r="77" spans="1:29" x14ac:dyDescent="0.25">
      <c r="A77" s="1">
        <f>RANK(O77,O$3:O$77)</f>
        <v>75</v>
      </c>
      <c r="B77" s="1" t="s">
        <v>429</v>
      </c>
      <c r="C77" s="1" t="s">
        <v>33</v>
      </c>
      <c r="D77" s="1">
        <f>VLOOKUP(E77,BYEs!$A$2:$B$34,2,FALSE)</f>
        <v>9</v>
      </c>
      <c r="E77" s="1" t="s">
        <v>376</v>
      </c>
      <c r="F77" s="249">
        <v>1</v>
      </c>
      <c r="G77" s="247">
        <v>1</v>
      </c>
      <c r="H77" s="247">
        <v>6</v>
      </c>
      <c r="I77" s="247">
        <v>0</v>
      </c>
      <c r="J77" s="250">
        <v>0</v>
      </c>
      <c r="K77" s="249">
        <v>0</v>
      </c>
      <c r="L77" s="247">
        <v>0</v>
      </c>
      <c r="M77" s="247">
        <v>0</v>
      </c>
      <c r="N77" s="250">
        <v>0</v>
      </c>
      <c r="O77" s="253">
        <f>(F77*QBPassAtt)+(H77*PassingYds)+(I77*PassingTD)+(J77*PassingINT)+(L77*QBRushingYd)+(M77*QBRushingTD)+(N77*QBFuml)+(G77*QBCompletion)+(K77*QBRushAtt)</f>
        <v>0.24</v>
      </c>
      <c r="P77" s="1" t="str">
        <f ca="1">IF(A77&lt;=QBStarter,"Starter",IF(A77&gt;QBStarter+QBBench,"Undrafted","Bench"))</f>
        <v>Undrafted</v>
      </c>
      <c r="Q77" s="47">
        <f ca="1">IFERROR(MAX(O77-LARGE(O$3:O$77,QBStarter),0),0)</f>
        <v>0</v>
      </c>
      <c r="R77" s="47">
        <f ca="1">IFERROR(IF(AllowNegative="Yes",O77-LARGE(O$3:O$77,QBCount),MAX(O77-LARGE(O$3:O$77,QBCount),0)),0)</f>
        <v>-227.47</v>
      </c>
      <c r="S77" s="108">
        <f ca="1">(R77-Q77)*BenchPF+Q77*StarterPF</f>
        <v>-54.478120804286739</v>
      </c>
      <c r="T77" s="108">
        <f ca="1">S77*Auction!$A$2</f>
        <v>-54.478120804286739</v>
      </c>
      <c r="U77" s="25" t="str">
        <f>IF(OR(INDEX(Auction!$H$13:$H$683,MATCH(B77,Auction!$A$13:$A$683,0))&gt;0,IFERROR(INDEX(CheatSheet!$D$5:$D$34,MATCH(B77,CheatSheet!$A$5:$A$34,0)),"")&lt;&gt;""),"Yes","No")</f>
        <v>No</v>
      </c>
      <c r="V77" s="219"/>
      <c r="W77" s="1"/>
      <c r="X77" s="100">
        <f t="shared" ca="1" si="5"/>
        <v>1</v>
      </c>
      <c r="Y77" s="1">
        <f t="shared" ca="1" si="7"/>
        <v>-113.735</v>
      </c>
      <c r="Z77" s="1" t="str">
        <f t="shared" ca="1" si="6"/>
        <v>QB8</v>
      </c>
      <c r="AA77" s="1">
        <f ca="1">Y77*LeagueInfo!$H$5</f>
        <v>-52.015670471232468</v>
      </c>
      <c r="AB77" s="1"/>
      <c r="AC77" s="1"/>
    </row>
    <row r="78" spans="1:29" x14ac:dyDescent="0.25">
      <c r="F78">
        <v>0.4</v>
      </c>
      <c r="G78">
        <v>0.2</v>
      </c>
      <c r="H78">
        <v>2.6</v>
      </c>
      <c r="I78">
        <v>0</v>
      </c>
      <c r="J78">
        <v>0</v>
      </c>
      <c r="K78">
        <v>0</v>
      </c>
      <c r="L78">
        <v>0</v>
      </c>
      <c r="M78">
        <v>0</v>
      </c>
      <c r="N78">
        <v>0</v>
      </c>
    </row>
  </sheetData>
  <sortState ref="A3:V78">
    <sortCondition ref="A2:A81"/>
  </sortState>
  <mergeCells count="2">
    <mergeCell ref="F1:J1"/>
    <mergeCell ref="K1:N1"/>
  </mergeCells>
  <conditionalFormatting sqref="B3:T3 B4:C51 P4:P51 E4:N51 O4:O76 P74:P76 A3:A77 D4:D77 C77 E77:P77 Q4:T77 U3:U100">
    <cfRule type="expression" dxfId="67" priority="11">
      <formula>$U3="Yes"</formula>
    </cfRule>
  </conditionalFormatting>
  <conditionalFormatting sqref="G3">
    <cfRule type="expression" dxfId="66" priority="10">
      <formula>$U3="Yes"</formula>
    </cfRule>
  </conditionalFormatting>
  <conditionalFormatting sqref="K3:N3">
    <cfRule type="expression" dxfId="65" priority="9">
      <formula>$U3="Yes"</formula>
    </cfRule>
  </conditionalFormatting>
  <conditionalFormatting sqref="B52:C73 P52:P73 E52:N73">
    <cfRule type="expression" dxfId="64" priority="7">
      <formula>$U52="Yes"</formula>
    </cfRule>
  </conditionalFormatting>
  <conditionalFormatting sqref="B74:C76 E74:N76">
    <cfRule type="expression" dxfId="63" priority="4">
      <formula>$U74="Yes"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LeagueInfo!$H$97:$H$100</xm:f>
          </x14:formula1>
          <xm:sqref>V3:V77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174"/>
  <sheetViews>
    <sheetView workbookViewId="0">
      <selection activeCell="A3" sqref="A3:V174"/>
    </sheetView>
  </sheetViews>
  <sheetFormatPr defaultColWidth="8.85546875" defaultRowHeight="15" x14ac:dyDescent="0.25"/>
  <cols>
    <col min="1" max="1" width="5.42578125" style="1" bestFit="1" customWidth="1"/>
    <col min="2" max="2" width="23.42578125" bestFit="1" customWidth="1"/>
    <col min="3" max="3" width="4.42578125" style="1" customWidth="1"/>
    <col min="4" max="4" width="5.42578125" style="1" bestFit="1" customWidth="1"/>
    <col min="5" max="5" width="5.140625" style="1" customWidth="1"/>
    <col min="6" max="6" width="5.42578125" style="1" bestFit="1" customWidth="1"/>
    <col min="7" max="7" width="6.42578125" style="1" bestFit="1" customWidth="1"/>
    <col min="8" max="8" width="6" bestFit="1" customWidth="1"/>
    <col min="9" max="9" width="6.42578125" bestFit="1" customWidth="1"/>
    <col min="10" max="10" width="5.42578125" bestFit="1" customWidth="1"/>
    <col min="11" max="11" width="5" bestFit="1" customWidth="1"/>
    <col min="12" max="12" width="5.42578125" bestFit="1" customWidth="1"/>
    <col min="13" max="14" width="4" bestFit="1" customWidth="1"/>
    <col min="15" max="15" width="6.42578125" bestFit="1" customWidth="1"/>
    <col min="16" max="16" width="10.85546875" style="1" customWidth="1"/>
    <col min="17" max="17" width="7.85546875" style="1" bestFit="1" customWidth="1"/>
    <col min="18" max="18" width="8.85546875" style="1" customWidth="1"/>
    <col min="19" max="19" width="7.42578125" style="1" bestFit="1" customWidth="1"/>
    <col min="20" max="20" width="8.140625" style="1" bestFit="1" customWidth="1"/>
    <col min="21" max="21" width="7.42578125" style="25" bestFit="1" customWidth="1"/>
    <col min="22" max="22" width="8.85546875" customWidth="1"/>
    <col min="23" max="23" width="8.85546875" hidden="1" customWidth="1"/>
    <col min="24" max="24" width="0" style="1" hidden="1" customWidth="1"/>
  </cols>
  <sheetData>
    <row r="1" spans="1:29" s="1" customFormat="1" x14ac:dyDescent="0.25">
      <c r="F1" s="277" t="s">
        <v>326</v>
      </c>
      <c r="G1" s="277"/>
      <c r="H1" s="277" t="s">
        <v>327</v>
      </c>
      <c r="I1" s="277"/>
      <c r="J1" s="277"/>
      <c r="K1" s="277" t="s">
        <v>430</v>
      </c>
      <c r="L1" s="277"/>
      <c r="M1" s="277"/>
      <c r="U1" s="25"/>
    </row>
    <row r="2" spans="1:29" ht="23.25" x14ac:dyDescent="0.25">
      <c r="A2" s="127" t="s">
        <v>328</v>
      </c>
      <c r="B2" s="127" t="s">
        <v>89</v>
      </c>
      <c r="C2" s="127" t="s">
        <v>329</v>
      </c>
      <c r="D2" s="127" t="s">
        <v>330</v>
      </c>
      <c r="E2" s="127" t="s">
        <v>331</v>
      </c>
      <c r="F2" s="127" t="s">
        <v>332</v>
      </c>
      <c r="G2" s="127" t="s">
        <v>333</v>
      </c>
      <c r="H2" s="127" t="s">
        <v>332</v>
      </c>
      <c r="I2" s="127" t="s">
        <v>334</v>
      </c>
      <c r="J2" s="127" t="s">
        <v>335</v>
      </c>
      <c r="K2" s="127" t="s">
        <v>431</v>
      </c>
      <c r="L2" s="127" t="s">
        <v>334</v>
      </c>
      <c r="M2" s="127" t="s">
        <v>335</v>
      </c>
      <c r="N2" s="127" t="s">
        <v>337</v>
      </c>
      <c r="O2" s="127" t="s">
        <v>338</v>
      </c>
      <c r="P2" s="127" t="s">
        <v>339</v>
      </c>
      <c r="Q2" s="127" t="s">
        <v>340</v>
      </c>
      <c r="R2" s="127" t="s">
        <v>341</v>
      </c>
      <c r="S2" s="127" t="s">
        <v>342</v>
      </c>
      <c r="T2" s="127" t="s">
        <v>343</v>
      </c>
      <c r="U2" s="127" t="s">
        <v>344</v>
      </c>
      <c r="V2" s="127" t="s">
        <v>345</v>
      </c>
      <c r="W2" s="1"/>
      <c r="X2" s="127" t="s">
        <v>346</v>
      </c>
      <c r="Y2" s="127" t="s">
        <v>347</v>
      </c>
      <c r="Z2" s="127" t="s">
        <v>348</v>
      </c>
      <c r="AA2" s="127" t="s">
        <v>349</v>
      </c>
      <c r="AB2" s="1"/>
      <c r="AC2" s="1"/>
    </row>
    <row r="3" spans="1:29" s="1" customFormat="1" x14ac:dyDescent="0.25">
      <c r="A3" s="1">
        <f>RANK(O3,O$3:O$174)</f>
        <v>1</v>
      </c>
      <c r="B3" s="1" t="s">
        <v>94</v>
      </c>
      <c r="C3" s="1" t="s">
        <v>32</v>
      </c>
      <c r="D3" s="1">
        <f>VLOOKUP(E3,BYEs!$A$2:$B$34,2,FALSE)</f>
        <v>8</v>
      </c>
      <c r="E3" s="1" t="s">
        <v>370</v>
      </c>
      <c r="F3" s="249">
        <v>0</v>
      </c>
      <c r="G3" s="250">
        <v>0</v>
      </c>
      <c r="H3" s="249">
        <v>281.5</v>
      </c>
      <c r="I3" s="247">
        <v>1180.4000000000001</v>
      </c>
      <c r="J3" s="250">
        <v>11.8</v>
      </c>
      <c r="K3" s="249">
        <v>75.2</v>
      </c>
      <c r="L3" s="247">
        <v>747.5</v>
      </c>
      <c r="M3" s="250">
        <v>4.0999999999999996</v>
      </c>
      <c r="N3" s="251">
        <v>3.1</v>
      </c>
      <c r="O3" s="253">
        <f>(I3*RBRushingYd)+(J3*RBRushingTD)+(K3*RBReceptions)+(L3*RBRecYd)+(M3*RBRecTD)+(N3*RBFuml)+(H3*RBRushAtt)</f>
        <v>281.99000000000007</v>
      </c>
      <c r="P3" s="1" t="str">
        <f ca="1">IF(A3&lt;=RBStarters,"Starter",IF(A3&gt;RBStarters+RBBench,"Undrafted","Bench"))</f>
        <v>Starter</v>
      </c>
      <c r="Q3" s="47">
        <f ca="1">IFERROR(MAX(O3-LARGE(O$3:O$174,RBStarters),0),0)</f>
        <v>159.67000000000007</v>
      </c>
      <c r="R3" s="47">
        <f ca="1">IFERROR(IF(AllowNegative="Yes",O3-LARGE(O$3:O$174,RBCount),MAX(O3-LARGE(O$3:O$174,RBCount),0)),0)</f>
        <v>212.75000000000006</v>
      </c>
      <c r="S3" s="108">
        <f ca="1">(R3-Q3)*BenchPF+Q3*StarterPF</f>
        <v>82.469832234858558</v>
      </c>
      <c r="T3" s="108">
        <f ca="1">S3*Auction!$A$2</f>
        <v>82.469832234858558</v>
      </c>
      <c r="U3" s="25" t="str">
        <f>IF(OR(INDEX(Auction!$H$13:$H$683,MATCH(B3,Auction!$A$13:$A$683,0))&gt;0,IFERROR(INDEX(CheatSheet!$M$5:$M$64,MATCH(B3,CheatSheet!$J$5:$J$64,0)),"")&lt;&gt;""),"Yes","No")</f>
        <v>No</v>
      </c>
      <c r="V3" s="218"/>
      <c r="X3" s="100">
        <f ca="1">SUMIFS($Y$3:$Y$157,$Y$3:$Y$157,"&gt;0",$U$3:$U$157,"No")/SUMIF($Y$3:$Y$157,"&gt;0")</f>
        <v>1</v>
      </c>
      <c r="Y3" s="1">
        <f t="shared" ref="Y3" ca="1" si="0">AVERAGE(Q3:R3)</f>
        <v>186.21000000000006</v>
      </c>
      <c r="Z3" s="145" t="str">
        <f t="shared" ref="Z3:Z34" ca="1" si="1">CONCATENATE("RB",ROUND((LARGE($Y$3:$Y$174,1)-$Y3)/(STDEVP($Y$3:$Y$174)/2)+1,0))</f>
        <v>RB1</v>
      </c>
      <c r="AA3" s="1">
        <f ca="1">Y3*LeagueInfo!$H$5</f>
        <v>85.161454244060323</v>
      </c>
    </row>
    <row r="4" spans="1:29" x14ac:dyDescent="0.25">
      <c r="A4" s="1">
        <f>RANK(O4,O$3:O$174)</f>
        <v>2</v>
      </c>
      <c r="B4" s="1" t="s">
        <v>96</v>
      </c>
      <c r="C4" s="1" t="s">
        <v>32</v>
      </c>
      <c r="D4" s="1">
        <f>VLOOKUP(E4,BYEs!$A$2:$B$34,2,FALSE)</f>
        <v>9</v>
      </c>
      <c r="E4" s="1" t="s">
        <v>363</v>
      </c>
      <c r="F4" s="249">
        <v>0</v>
      </c>
      <c r="G4" s="250">
        <v>0</v>
      </c>
      <c r="H4" s="249">
        <v>293.10000000000002</v>
      </c>
      <c r="I4" s="247">
        <v>1339.9</v>
      </c>
      <c r="J4" s="250">
        <v>9.1999999999999993</v>
      </c>
      <c r="K4" s="249">
        <v>77.2</v>
      </c>
      <c r="L4" s="247">
        <v>633.9</v>
      </c>
      <c r="M4" s="250">
        <v>2.2999999999999998</v>
      </c>
      <c r="N4" s="251">
        <v>2.6</v>
      </c>
      <c r="O4" s="253">
        <f>(I4*RBRushingYd)+(J4*RBRushingTD)+(K4*RBReceptions)+(L4*RBRecYd)+(M4*RBRecTD)+(N4*RBFuml)+(H4*RBRushAtt)</f>
        <v>261.18</v>
      </c>
      <c r="P4" s="1" t="str">
        <f ca="1">IF(A4&lt;=RBStarters,"Starter",IF(A4&gt;RBStarters+RBBench,"Undrafted","Bench"))</f>
        <v>Starter</v>
      </c>
      <c r="Q4" s="47">
        <f ca="1">IFERROR(MAX(O4-LARGE(O$3:O$174,RBStarters),0),0)</f>
        <v>138.86000000000001</v>
      </c>
      <c r="R4" s="47">
        <f ca="1">IFERROR(IF(AllowNegative="Yes",O4-LARGE(O$3:O$174,RBCount),MAX(O4-LARGE(O$3:O$174,RBCount),0)),0)</f>
        <v>191.94</v>
      </c>
      <c r="S4" s="108">
        <f ca="1">(R4-Q4)*BenchPF+Q4*StarterPF</f>
        <v>73.378259996969263</v>
      </c>
      <c r="T4" s="108">
        <f ca="1">S4*Auction!$A$2</f>
        <v>73.378259996969263</v>
      </c>
      <c r="U4" s="25" t="str">
        <f>IF(OR(INDEX(Auction!$H$13:$H$683,MATCH(B4,Auction!$A$13:$A$683,0))&gt;0,IFERROR(INDEX(CheatSheet!$M$5:$M$64,MATCH(B4,CheatSheet!$J$5:$J$64,0)),"")&lt;&gt;""),"Yes","No")</f>
        <v>No</v>
      </c>
      <c r="V4" s="218"/>
      <c r="W4" s="1"/>
      <c r="X4" s="100">
        <f t="shared" ref="X4:X67" ca="1" si="2">SUMIFS($Y$3:$Y$157,$Y$3:$Y$157,"&gt;0",$U$3:$U$157,"No")/SUMIF($Y$3:$Y$157,"&gt;0")</f>
        <v>1</v>
      </c>
      <c r="Y4" s="1">
        <f t="shared" ref="Y4:Y67" ca="1" si="3">AVERAGE(Q4:R4)</f>
        <v>165.4</v>
      </c>
      <c r="Z4" s="145" t="str">
        <f t="shared" ca="1" si="1"/>
        <v>RB2</v>
      </c>
      <c r="AA4" s="1">
        <f ca="1">Y4*LeagueInfo!$H$5</f>
        <v>75.644189527778167</v>
      </c>
      <c r="AB4" s="1"/>
      <c r="AC4" s="1"/>
    </row>
    <row r="5" spans="1:29" x14ac:dyDescent="0.25">
      <c r="A5" s="1">
        <f>RANK(O5,O$3:O$174)</f>
        <v>3</v>
      </c>
      <c r="B5" s="1" t="s">
        <v>104</v>
      </c>
      <c r="C5" s="1" t="s">
        <v>32</v>
      </c>
      <c r="D5" s="1">
        <f>VLOOKUP(E5,BYEs!$A$2:$B$34,2,FALSE)</f>
        <v>6</v>
      </c>
      <c r="E5" s="1" t="s">
        <v>364</v>
      </c>
      <c r="F5" s="249">
        <v>0</v>
      </c>
      <c r="G5" s="250">
        <v>0</v>
      </c>
      <c r="H5" s="249">
        <v>240.7</v>
      </c>
      <c r="I5" s="247">
        <v>1172.2</v>
      </c>
      <c r="J5" s="250">
        <v>9.1999999999999993</v>
      </c>
      <c r="K5" s="249">
        <v>47.9</v>
      </c>
      <c r="L5" s="247">
        <v>371.1</v>
      </c>
      <c r="M5" s="250">
        <v>1.8</v>
      </c>
      <c r="N5" s="251">
        <v>1.5</v>
      </c>
      <c r="O5" s="253">
        <f>(I5*RBRushingYd)+(J5*RBRushingTD)+(K5*RBReceptions)+(L5*RBRecYd)+(M5*RBRecTD)+(N5*RBFuml)+(H5*RBRushAtt)</f>
        <v>217.33000000000004</v>
      </c>
      <c r="P5" s="1" t="str">
        <f ca="1">IF(A5&lt;=RBStarters,"Starter",IF(A5&gt;RBStarters+RBBench,"Undrafted","Bench"))</f>
        <v>Starter</v>
      </c>
      <c r="Q5" s="47">
        <f ca="1">IFERROR(MAX(O5-LARGE(O$3:O$174,RBStarters),0),0)</f>
        <v>95.010000000000048</v>
      </c>
      <c r="R5" s="47">
        <f ca="1">IFERROR(IF(AllowNegative="Yes",O5-LARGE(O$3:O$174,RBCount),MAX(O5-LARGE(O$3:O$174,RBCount),0)),0)</f>
        <v>148.09000000000003</v>
      </c>
      <c r="S5" s="108">
        <f ca="1">(R5-Q5)*BenchPF+Q5*StarterPF</f>
        <v>54.220862465424574</v>
      </c>
      <c r="T5" s="108">
        <f ca="1">S5*Auction!$A$2</f>
        <v>54.220862465424574</v>
      </c>
      <c r="U5" s="25" t="str">
        <f>IF(OR(INDEX(Auction!$H$13:$H$683,MATCH(B5,Auction!$A$13:$A$683,0))&gt;0,IFERROR(INDEX(CheatSheet!$M$5:$M$64,MATCH(B5,CheatSheet!$J$5:$J$64,0)),"")&lt;&gt;""),"Yes","No")</f>
        <v>No</v>
      </c>
      <c r="V5" s="218"/>
      <c r="W5" s="1"/>
      <c r="X5" s="100">
        <f t="shared" ca="1" si="2"/>
        <v>1</v>
      </c>
      <c r="Y5" s="1">
        <f t="shared" ca="1" si="3"/>
        <v>121.55000000000004</v>
      </c>
      <c r="Z5" s="145" t="str">
        <f t="shared" ca="1" si="1"/>
        <v>RB4</v>
      </c>
      <c r="AA5" s="1">
        <f ca="1">Y5*LeagueInfo!$H$5</f>
        <v>55.589789825280768</v>
      </c>
      <c r="AB5" s="1"/>
      <c r="AC5" s="1"/>
    </row>
    <row r="6" spans="1:29" x14ac:dyDescent="0.25">
      <c r="A6" s="1">
        <f>RANK(O6,O$3:O$174)</f>
        <v>4</v>
      </c>
      <c r="B6" s="47" t="s">
        <v>110</v>
      </c>
      <c r="C6" s="47" t="s">
        <v>32</v>
      </c>
      <c r="D6" s="1">
        <f>VLOOKUP(E6,BYEs!$A$2:$B$34,2,FALSE)</f>
        <v>5</v>
      </c>
      <c r="E6" s="47" t="s">
        <v>353</v>
      </c>
      <c r="F6" s="249">
        <v>0</v>
      </c>
      <c r="G6" s="250">
        <v>0</v>
      </c>
      <c r="H6" s="249">
        <v>215.9</v>
      </c>
      <c r="I6" s="247">
        <v>950.3</v>
      </c>
      <c r="J6" s="250">
        <v>8.5</v>
      </c>
      <c r="K6" s="249">
        <v>55.1</v>
      </c>
      <c r="L6" s="247">
        <v>475.5</v>
      </c>
      <c r="M6" s="250">
        <v>2.6</v>
      </c>
      <c r="N6" s="247">
        <v>1.9</v>
      </c>
      <c r="O6" s="253">
        <f>(I6*RBRushingYd)+(J6*RBRushingTD)+(K6*RBReceptions)+(L6*RBRecYd)+(M6*RBRecTD)+(N6*RBFuml)+(H6*RBRushAtt)</f>
        <v>205.38</v>
      </c>
      <c r="P6" s="47" t="str">
        <f ca="1">IF(A6&lt;=RBStarters,"Starter",IF(A6&gt;RBStarters+RBBench,"Undrafted","Bench"))</f>
        <v>Starter</v>
      </c>
      <c r="Q6" s="47">
        <f ca="1">IFERROR(MAX(O6-LARGE(O$3:O$174,RBStarters),0),0)</f>
        <v>83.06</v>
      </c>
      <c r="R6" s="47">
        <f ca="1">IFERROR(IF(AllowNegative="Yes",O6-LARGE(O$3:O$174,RBCount),MAX(O6-LARGE(O$3:O$174,RBCount),0)),0)</f>
        <v>136.13999999999999</v>
      </c>
      <c r="S6" s="108">
        <f ca="1">(R6-Q6)*BenchPF+Q6*StarterPF</f>
        <v>49.000089363897544</v>
      </c>
      <c r="T6" s="108">
        <f ca="1">S6*Auction!$A$2</f>
        <v>49.000089363897544</v>
      </c>
      <c r="U6" s="25" t="str">
        <f>IF(OR(INDEX(Auction!$H$13:$H$683,MATCH(B6,Auction!$A$13:$A$683,0))&gt;0,IFERROR(INDEX(CheatSheet!$M$5:$M$64,MATCH(B6,CheatSheet!$J$5:$J$64,0)),"")&lt;&gt;""),"Yes","No")</f>
        <v>No</v>
      </c>
      <c r="V6" s="218"/>
      <c r="W6" s="1"/>
      <c r="X6" s="100">
        <f t="shared" ca="1" si="2"/>
        <v>1</v>
      </c>
      <c r="Y6" s="1">
        <f t="shared" ca="1" si="3"/>
        <v>109.6</v>
      </c>
      <c r="Z6" s="145" t="str">
        <f t="shared" ca="1" si="1"/>
        <v>RB5</v>
      </c>
      <c r="AA6" s="1">
        <f ca="1">Y6*LeagueInfo!$H$5</f>
        <v>50.124565733038011</v>
      </c>
      <c r="AB6" s="1"/>
      <c r="AC6" s="1"/>
    </row>
    <row r="7" spans="1:29" x14ac:dyDescent="0.25">
      <c r="A7" s="1">
        <f>RANK(O7,O$3:O$174)</f>
        <v>5</v>
      </c>
      <c r="B7" s="1" t="s">
        <v>106</v>
      </c>
      <c r="C7" s="1" t="s">
        <v>32</v>
      </c>
      <c r="D7" s="1">
        <f>VLOOKUP(E7,BYEs!$A$2:$B$34,2,FALSE)</f>
        <v>9</v>
      </c>
      <c r="E7" s="1" t="s">
        <v>376</v>
      </c>
      <c r="F7" s="249">
        <v>0</v>
      </c>
      <c r="G7" s="250">
        <v>0</v>
      </c>
      <c r="H7" s="249">
        <v>269.8</v>
      </c>
      <c r="I7" s="247">
        <v>1259.5</v>
      </c>
      <c r="J7" s="250">
        <v>7</v>
      </c>
      <c r="K7" s="249">
        <v>34.9</v>
      </c>
      <c r="L7" s="247">
        <v>308</v>
      </c>
      <c r="M7" s="250">
        <v>1.5</v>
      </c>
      <c r="N7" s="251">
        <v>1.8</v>
      </c>
      <c r="O7" s="253">
        <f>(I7*RBRushingYd)+(J7*RBRushingTD)+(K7*RBReceptions)+(L7*RBRecYd)+(M7*RBRecTD)+(N7*RBFuml)+(H7*RBRushAtt)</f>
        <v>204.15</v>
      </c>
      <c r="P7" s="1" t="str">
        <f ca="1">IF(A7&lt;=RBStarters,"Starter",IF(A7&gt;RBStarters+RBBench,"Undrafted","Bench"))</f>
        <v>Starter</v>
      </c>
      <c r="Q7" s="47">
        <f ca="1">IFERROR(MAX(O7-LARGE(O$3:O$174,RBStarters),0),0)</f>
        <v>81.830000000000013</v>
      </c>
      <c r="R7" s="47">
        <f ca="1">IFERROR(IF(AllowNegative="Yes",O7-LARGE(O$3:O$174,RBCount),MAX(O7-LARGE(O$3:O$174,RBCount),0)),0)</f>
        <v>134.91</v>
      </c>
      <c r="S7" s="108">
        <f ca="1">(R7-Q7)*BenchPF+Q7*StarterPF</f>
        <v>48.462721086501887</v>
      </c>
      <c r="T7" s="108">
        <f ca="1">S7*Auction!$A$2</f>
        <v>48.462721086501887</v>
      </c>
      <c r="U7" s="25" t="str">
        <f>IF(OR(INDEX(Auction!$H$13:$H$683,MATCH(B7,Auction!$A$13:$A$683,0))&gt;0,IFERROR(INDEX(CheatSheet!$M$5:$M$64,MATCH(B7,CheatSheet!$J$5:$J$64,0)),"")&lt;&gt;""),"Yes","No")</f>
        <v>No</v>
      </c>
      <c r="V7" s="218"/>
      <c r="W7" s="1"/>
      <c r="X7" s="100">
        <f t="shared" ca="1" si="2"/>
        <v>1</v>
      </c>
      <c r="Y7" s="1">
        <f t="shared" ca="1" si="3"/>
        <v>108.37</v>
      </c>
      <c r="Z7" s="145" t="str">
        <f t="shared" ca="1" si="1"/>
        <v>RB5</v>
      </c>
      <c r="AA7" s="1">
        <f ca="1">Y7*LeagueInfo!$H$5</f>
        <v>49.562036391325996</v>
      </c>
      <c r="AB7" s="1"/>
      <c r="AC7" s="1"/>
    </row>
    <row r="8" spans="1:29" x14ac:dyDescent="0.25">
      <c r="A8" s="1">
        <f>RANK(O8,O$3:O$174)</f>
        <v>6</v>
      </c>
      <c r="B8" s="1" t="s">
        <v>105</v>
      </c>
      <c r="C8" s="1" t="s">
        <v>32</v>
      </c>
      <c r="D8" s="1">
        <f>VLOOKUP(E8,BYEs!$A$2:$B$34,2,FALSE)</f>
        <v>9</v>
      </c>
      <c r="E8" s="1" t="s">
        <v>361</v>
      </c>
      <c r="F8" s="249">
        <v>0</v>
      </c>
      <c r="G8" s="250">
        <v>0</v>
      </c>
      <c r="H8" s="249">
        <v>274.3</v>
      </c>
      <c r="I8" s="247">
        <v>1092.0999999999999</v>
      </c>
      <c r="J8" s="250">
        <v>8.1</v>
      </c>
      <c r="K8" s="249">
        <v>46.7</v>
      </c>
      <c r="L8" s="247">
        <v>402.9</v>
      </c>
      <c r="M8" s="250">
        <v>1.9</v>
      </c>
      <c r="N8" s="251">
        <v>2.9</v>
      </c>
      <c r="O8" s="253">
        <f>(I8*RBRushingYd)+(J8*RBRushingTD)+(K8*RBReceptions)+(L8*RBRecYd)+(M8*RBRecTD)+(N8*RBFuml)+(H8*RBRushAtt)</f>
        <v>203.7</v>
      </c>
      <c r="P8" s="1" t="str">
        <f ca="1">IF(A8&lt;=RBStarters,"Starter",IF(A8&gt;RBStarters+RBBench,"Undrafted","Bench"))</f>
        <v>Starter</v>
      </c>
      <c r="Q8" s="47">
        <f ca="1">IFERROR(MAX(O8-LARGE(O$3:O$174,RBStarters),0),0)</f>
        <v>81.38</v>
      </c>
      <c r="R8" s="47">
        <f ca="1">IFERROR(IF(AllowNegative="Yes",O8-LARGE(O$3:O$174,RBCount),MAX(O8-LARGE(O$3:O$174,RBCount),0)),0)</f>
        <v>134.45999999999998</v>
      </c>
      <c r="S8" s="108">
        <f ca="1">(R8-Q8)*BenchPF+Q8*StarterPF</f>
        <v>48.26612293623517</v>
      </c>
      <c r="T8" s="108">
        <f ca="1">S8*Auction!$A$2</f>
        <v>48.26612293623517</v>
      </c>
      <c r="U8" s="25" t="str">
        <f>IF(OR(INDEX(Auction!$H$13:$H$683,MATCH(B8,Auction!$A$13:$A$683,0))&gt;0,IFERROR(INDEX(CheatSheet!$M$5:$M$64,MATCH(B8,CheatSheet!$J$5:$J$64,0)),"")&lt;&gt;""),"Yes","No")</f>
        <v>No</v>
      </c>
      <c r="V8" s="218"/>
      <c r="W8" s="1"/>
      <c r="X8" s="100">
        <f t="shared" ca="1" si="2"/>
        <v>1</v>
      </c>
      <c r="Y8" s="1">
        <f t="shared" ca="1" si="3"/>
        <v>107.91999999999999</v>
      </c>
      <c r="Z8" s="145" t="str">
        <f t="shared" ca="1" si="1"/>
        <v>RB5</v>
      </c>
      <c r="AA8" s="1">
        <f ca="1">Y8*LeagueInfo!$H$5</f>
        <v>49.356232973626476</v>
      </c>
      <c r="AB8" s="1"/>
      <c r="AC8" s="1"/>
    </row>
    <row r="9" spans="1:29" x14ac:dyDescent="0.25">
      <c r="A9" s="1">
        <f>RANK(O9,O$3:O$174)</f>
        <v>7</v>
      </c>
      <c r="B9" s="1" t="s">
        <v>108</v>
      </c>
      <c r="C9" s="1" t="s">
        <v>32</v>
      </c>
      <c r="D9" s="1">
        <f>VLOOKUP(E9,BYEs!$A$2:$B$34,2,FALSE)</f>
        <v>11</v>
      </c>
      <c r="E9" s="1" t="s">
        <v>374</v>
      </c>
      <c r="F9" s="249">
        <v>0</v>
      </c>
      <c r="G9" s="250">
        <v>0</v>
      </c>
      <c r="H9" s="249">
        <v>268.39999999999998</v>
      </c>
      <c r="I9" s="247">
        <v>1203.5</v>
      </c>
      <c r="J9" s="250">
        <v>8.3000000000000007</v>
      </c>
      <c r="K9" s="249">
        <v>35.700000000000003</v>
      </c>
      <c r="L9" s="247">
        <v>254.2</v>
      </c>
      <c r="M9" s="250">
        <v>1.4</v>
      </c>
      <c r="N9" s="251">
        <v>1.7</v>
      </c>
      <c r="O9" s="253">
        <f>(I9*RBRushingYd)+(J9*RBRushingTD)+(K9*RBReceptions)+(L9*RBRecYd)+(M9*RBRecTD)+(N9*RBFuml)+(H9*RBRushAtt)</f>
        <v>200.57</v>
      </c>
      <c r="P9" s="1" t="str">
        <f ca="1">IF(A9&lt;=RBStarters,"Starter",IF(A9&gt;RBStarters+RBBench,"Undrafted","Bench"))</f>
        <v>Starter</v>
      </c>
      <c r="Q9" s="47">
        <f ca="1">IFERROR(MAX(O9-LARGE(O$3:O$174,RBStarters),0),0)</f>
        <v>78.25</v>
      </c>
      <c r="R9" s="47">
        <f ca="1">IFERROR(IF(AllowNegative="Yes",O9-LARGE(O$3:O$174,RBCount),MAX(O9-LARGE(O$3:O$174,RBCount),0)),0)</f>
        <v>131.32999999999998</v>
      </c>
      <c r="S9" s="108">
        <f ca="1">(R9-Q9)*BenchPF+Q9*StarterPF</f>
        <v>46.898673579935632</v>
      </c>
      <c r="T9" s="108">
        <f ca="1">S9*Auction!$A$2</f>
        <v>46.898673579935632</v>
      </c>
      <c r="U9" s="25" t="str">
        <f>IF(OR(INDEX(Auction!$H$13:$H$683,MATCH(B9,Auction!$A$13:$A$683,0))&gt;0,IFERROR(INDEX(CheatSheet!$M$5:$M$64,MATCH(B9,CheatSheet!$J$5:$J$64,0)),"")&lt;&gt;""),"Yes","No")</f>
        <v>No</v>
      </c>
      <c r="V9" s="218"/>
      <c r="W9" s="1"/>
      <c r="X9" s="100">
        <f t="shared" ca="1" si="2"/>
        <v>1</v>
      </c>
      <c r="Y9" s="1">
        <f t="shared" ca="1" si="3"/>
        <v>104.78999999999999</v>
      </c>
      <c r="Z9" s="145" t="str">
        <f t="shared" ca="1" si="1"/>
        <v>RB5</v>
      </c>
      <c r="AA9" s="1">
        <f ca="1">Y9*LeagueInfo!$H$5</f>
        <v>47.924755868294277</v>
      </c>
      <c r="AB9" s="1"/>
      <c r="AC9" s="1"/>
    </row>
    <row r="10" spans="1:29" x14ac:dyDescent="0.25">
      <c r="A10" s="1">
        <f>RANK(O10,O$3:O$174)</f>
        <v>8</v>
      </c>
      <c r="B10" s="1" t="s">
        <v>113</v>
      </c>
      <c r="C10" s="1" t="s">
        <v>32</v>
      </c>
      <c r="D10" s="1">
        <f>VLOOKUP(E10,BYEs!$A$2:$B$34,2,FALSE)</f>
        <v>8</v>
      </c>
      <c r="E10" s="1" t="s">
        <v>359</v>
      </c>
      <c r="F10" s="249">
        <v>0</v>
      </c>
      <c r="G10" s="250">
        <v>0</v>
      </c>
      <c r="H10" s="249">
        <v>245</v>
      </c>
      <c r="I10" s="247">
        <v>1056.5999999999999</v>
      </c>
      <c r="J10" s="250">
        <v>7.2</v>
      </c>
      <c r="K10" s="249">
        <v>44.7</v>
      </c>
      <c r="L10" s="247">
        <v>323.89999999999998</v>
      </c>
      <c r="M10" s="250">
        <v>2.1</v>
      </c>
      <c r="N10" s="251">
        <v>1.9</v>
      </c>
      <c r="O10" s="253">
        <f>(I10*RBRushingYd)+(J10*RBRushingTD)+(K10*RBReceptions)+(L10*RBRecYd)+(M10*RBRecTD)+(N10*RBFuml)+(H10*RBRushAtt)</f>
        <v>190.04999999999998</v>
      </c>
      <c r="P10" s="1" t="str">
        <f ca="1">IF(A10&lt;=RBStarters,"Starter",IF(A10&gt;RBStarters+RBBench,"Undrafted","Bench"))</f>
        <v>Starter</v>
      </c>
      <c r="Q10" s="47">
        <f ca="1">IFERROR(MAX(O10-LARGE(O$3:O$174,RBStarters),0),0)</f>
        <v>67.72999999999999</v>
      </c>
      <c r="R10" s="47">
        <f ca="1">IFERROR(IF(AllowNegative="Yes",O10-LARGE(O$3:O$174,RBCount),MAX(O10-LARGE(O$3:O$174,RBCount),0)),0)</f>
        <v>120.80999999999997</v>
      </c>
      <c r="S10" s="108">
        <f ca="1">(R10-Q10)*BenchPF+Q10*StarterPF</f>
        <v>42.302645711478377</v>
      </c>
      <c r="T10" s="108">
        <f ca="1">S10*Auction!$A$2</f>
        <v>42.302645711478377</v>
      </c>
      <c r="U10" s="25" t="str">
        <f>IF(OR(INDEX(Auction!$H$13:$H$683,MATCH(B10,Auction!$A$13:$A$683,0))&gt;0,IFERROR(INDEX(CheatSheet!$M$5:$M$64,MATCH(B10,CheatSheet!$J$5:$J$64,0)),"")&lt;&gt;""),"Yes","No")</f>
        <v>No</v>
      </c>
      <c r="V10" s="218"/>
      <c r="W10" s="1"/>
      <c r="X10" s="100">
        <f t="shared" ca="1" si="2"/>
        <v>1</v>
      </c>
      <c r="Y10" s="1">
        <f t="shared" ca="1" si="3"/>
        <v>94.269999999999982</v>
      </c>
      <c r="Z10" s="145" t="str">
        <f t="shared" ca="1" si="1"/>
        <v>RB6</v>
      </c>
      <c r="AA10" s="1">
        <f ca="1">Y10*LeagueInfo!$H$5</f>
        <v>43.11352930340778</v>
      </c>
      <c r="AB10" s="1"/>
      <c r="AC10" s="1"/>
    </row>
    <row r="11" spans="1:29" x14ac:dyDescent="0.25">
      <c r="A11" s="1">
        <f>RANK(O11,O$3:O$174)</f>
        <v>9</v>
      </c>
      <c r="B11" s="1" t="s">
        <v>118</v>
      </c>
      <c r="C11" s="1" t="s">
        <v>32</v>
      </c>
      <c r="D11" s="1">
        <f>VLOOKUP(E11,BYEs!$A$2:$B$34,2,FALSE)</f>
        <v>8</v>
      </c>
      <c r="E11" s="1" t="s">
        <v>380</v>
      </c>
      <c r="F11" s="249">
        <v>0</v>
      </c>
      <c r="G11" s="250">
        <v>0</v>
      </c>
      <c r="H11" s="249">
        <v>275</v>
      </c>
      <c r="I11" s="247">
        <v>1036.5</v>
      </c>
      <c r="J11" s="250">
        <v>8</v>
      </c>
      <c r="K11" s="249">
        <v>39</v>
      </c>
      <c r="L11" s="247">
        <v>298.60000000000002</v>
      </c>
      <c r="M11" s="250">
        <v>1</v>
      </c>
      <c r="N11" s="251">
        <v>1.7</v>
      </c>
      <c r="O11" s="253">
        <f>(I11*RBRushingYd)+(J11*RBRushingTD)+(K11*RBReceptions)+(L11*RBRecYd)+(M11*RBRecTD)+(N11*RBFuml)+(H11*RBRushAtt)</f>
        <v>184.11</v>
      </c>
      <c r="P11" s="1" t="str">
        <f ca="1">IF(A11&lt;=RBStarters,"Starter",IF(A11&gt;RBStarters+RBBench,"Undrafted","Bench"))</f>
        <v>Starter</v>
      </c>
      <c r="Q11" s="47">
        <f ca="1">IFERROR(MAX(O11-LARGE(O$3:O$174,RBStarters),0),0)</f>
        <v>61.79000000000002</v>
      </c>
      <c r="R11" s="47">
        <f ca="1">IFERROR(IF(AllowNegative="Yes",O11-LARGE(O$3:O$174,RBCount),MAX(O11-LARGE(O$3:O$174,RBCount),0)),0)</f>
        <v>114.87</v>
      </c>
      <c r="S11" s="108">
        <f ca="1">(R11-Q11)*BenchPF+Q11*StarterPF</f>
        <v>39.707550127957859</v>
      </c>
      <c r="T11" s="108">
        <f ca="1">S11*Auction!$A$2</f>
        <v>39.707550127957859</v>
      </c>
      <c r="U11" s="25" t="str">
        <f>IF(OR(INDEX(Auction!$H$13:$H$683,MATCH(B11,Auction!$A$13:$A$683,0))&gt;0,IFERROR(INDEX(CheatSheet!$M$5:$M$64,MATCH(B11,CheatSheet!$J$5:$J$64,0)),"")&lt;&gt;""),"Yes","No")</f>
        <v>No</v>
      </c>
      <c r="V11" s="218"/>
      <c r="W11" s="1"/>
      <c r="X11" s="100">
        <f t="shared" ca="1" si="2"/>
        <v>1</v>
      </c>
      <c r="Y11" s="1">
        <f t="shared" ca="1" si="3"/>
        <v>88.330000000000013</v>
      </c>
      <c r="Z11" s="145" t="str">
        <f t="shared" ca="1" si="1"/>
        <v>RB6</v>
      </c>
      <c r="AA11" s="1">
        <f ca="1">Y11*LeagueInfo!$H$5</f>
        <v>40.396924189774161</v>
      </c>
      <c r="AB11" s="1"/>
      <c r="AC11" s="1"/>
    </row>
    <row r="12" spans="1:29" x14ac:dyDescent="0.25">
      <c r="A12" s="1">
        <f>RANK(O12,O$3:O$174)</f>
        <v>10</v>
      </c>
      <c r="B12" s="1" t="s">
        <v>120</v>
      </c>
      <c r="C12" s="1" t="s">
        <v>32</v>
      </c>
      <c r="D12" s="1">
        <f>VLOOKUP(E12,BYEs!$A$2:$B$34,2,FALSE)</f>
        <v>7</v>
      </c>
      <c r="E12" s="1" t="s">
        <v>385</v>
      </c>
      <c r="F12" s="249">
        <v>0</v>
      </c>
      <c r="G12" s="250">
        <v>0</v>
      </c>
      <c r="H12" s="249">
        <v>263.2</v>
      </c>
      <c r="I12" s="247">
        <v>1068.5</v>
      </c>
      <c r="J12" s="250">
        <v>6.4</v>
      </c>
      <c r="K12" s="249">
        <v>35.799999999999997</v>
      </c>
      <c r="L12" s="247">
        <v>258.60000000000002</v>
      </c>
      <c r="M12" s="250">
        <v>1.3</v>
      </c>
      <c r="N12" s="251">
        <v>1.8</v>
      </c>
      <c r="O12" s="253">
        <f>(I12*RBRushingYd)+(J12*RBRushingTD)+(K12*RBReceptions)+(L12*RBRecYd)+(M12*RBRecTD)+(N12*RBFuml)+(H12*RBRushAtt)</f>
        <v>175.31000000000003</v>
      </c>
      <c r="P12" s="1" t="str">
        <f ca="1">IF(A12&lt;=RBStarters,"Starter",IF(A12&gt;RBStarters+RBBench,"Undrafted","Bench"))</f>
        <v>Starter</v>
      </c>
      <c r="Q12" s="47">
        <f ca="1">IFERROR(MAX(O12-LARGE(O$3:O$174,RBStarters),0),0)</f>
        <v>52.990000000000038</v>
      </c>
      <c r="R12" s="47">
        <f ca="1">IFERROR(IF(AllowNegative="Yes",O12-LARGE(O$3:O$174,RBCount),MAX(O12-LARGE(O$3:O$174,RBCount),0)),0)</f>
        <v>106.07000000000002</v>
      </c>
      <c r="S12" s="108">
        <f ca="1">(R12-Q12)*BenchPF+Q12*StarterPF</f>
        <v>35.862964078297807</v>
      </c>
      <c r="T12" s="108">
        <f ca="1">S12*Auction!$A$2</f>
        <v>35.862964078297807</v>
      </c>
      <c r="U12" s="25" t="str">
        <f>IF(OR(INDEX(Auction!$H$13:$H$683,MATCH(B12,Auction!$A$13:$A$683,0))&gt;0,IFERROR(INDEX(CheatSheet!$M$5:$M$64,MATCH(B12,CheatSheet!$J$5:$J$64,0)),"")&lt;&gt;""),"Yes","No")</f>
        <v>No</v>
      </c>
      <c r="V12" s="218"/>
      <c r="W12" s="1"/>
      <c r="X12" s="100">
        <f t="shared" ca="1" si="2"/>
        <v>1</v>
      </c>
      <c r="Y12" s="1">
        <f t="shared" ca="1" si="3"/>
        <v>79.53000000000003</v>
      </c>
      <c r="Z12" s="145" t="str">
        <f t="shared" ca="1" si="1"/>
        <v>RB6</v>
      </c>
      <c r="AA12" s="1">
        <f ca="1">Y12*LeagueInfo!$H$5</f>
        <v>36.372324021428049</v>
      </c>
      <c r="AB12" s="1"/>
      <c r="AC12" s="1"/>
    </row>
    <row r="13" spans="1:29" x14ac:dyDescent="0.25">
      <c r="A13" s="1">
        <f>RANK(O13,O$3:O$174)</f>
        <v>11</v>
      </c>
      <c r="B13" s="1" t="s">
        <v>121</v>
      </c>
      <c r="C13" s="1" t="s">
        <v>32</v>
      </c>
      <c r="D13" s="1">
        <f>VLOOKUP(E13,BYEs!$A$2:$B$34,2,FALSE)</f>
        <v>8</v>
      </c>
      <c r="E13" s="1" t="s">
        <v>367</v>
      </c>
      <c r="F13" s="249">
        <v>0</v>
      </c>
      <c r="G13" s="250">
        <v>0</v>
      </c>
      <c r="H13" s="249">
        <v>237.1</v>
      </c>
      <c r="I13" s="247">
        <v>1027.0999999999999</v>
      </c>
      <c r="J13" s="250">
        <v>7</v>
      </c>
      <c r="K13" s="249">
        <v>30.8</v>
      </c>
      <c r="L13" s="247">
        <v>235.2</v>
      </c>
      <c r="M13" s="250">
        <v>1.3</v>
      </c>
      <c r="N13" s="251">
        <v>1.9</v>
      </c>
      <c r="O13" s="253">
        <f>(I13*RBRushingYd)+(J13*RBRushingTD)+(K13*RBReceptions)+(L13*RBRecYd)+(M13*RBRecTD)+(N13*RBFuml)+(H13*RBRushAtt)</f>
        <v>172.23</v>
      </c>
      <c r="P13" s="1" t="str">
        <f ca="1">IF(A13&lt;=RBStarters,"Starter",IF(A13&gt;RBStarters+RBBench,"Undrafted","Bench"))</f>
        <v>Starter</v>
      </c>
      <c r="Q13" s="47">
        <f ca="1">IFERROR(MAX(O13-LARGE(O$3:O$174,RBStarters),0),0)</f>
        <v>49.91</v>
      </c>
      <c r="R13" s="47">
        <f ca="1">IFERROR(IF(AllowNegative="Yes",O13-LARGE(O$3:O$174,RBCount),MAX(O13-LARGE(O$3:O$174,RBCount),0)),0)</f>
        <v>102.98999999999998</v>
      </c>
      <c r="S13" s="108">
        <f ca="1">(R13-Q13)*BenchPF+Q13*StarterPF</f>
        <v>34.517358960916781</v>
      </c>
      <c r="T13" s="108">
        <f ca="1">S13*Auction!$A$2</f>
        <v>34.517358960916781</v>
      </c>
      <c r="U13" s="25" t="str">
        <f>IF(OR(INDEX(Auction!$H$13:$H$683,MATCH(B13,Auction!$A$13:$A$683,0))&gt;0,IFERROR(INDEX(CheatSheet!$M$5:$M$64,MATCH(B13,CheatSheet!$J$5:$J$64,0)),"")&lt;&gt;""),"Yes","No")</f>
        <v>No</v>
      </c>
      <c r="V13" s="218"/>
      <c r="W13" s="1"/>
      <c r="X13" s="100">
        <f t="shared" ca="1" si="2"/>
        <v>1</v>
      </c>
      <c r="Y13" s="1">
        <f t="shared" ca="1" si="3"/>
        <v>76.449999999999989</v>
      </c>
      <c r="Z13" s="145" t="str">
        <f t="shared" ca="1" si="1"/>
        <v>RB6</v>
      </c>
      <c r="AA13" s="1">
        <f ca="1">Y13*LeagueInfo!$H$5</f>
        <v>34.963713962506894</v>
      </c>
      <c r="AB13" s="1"/>
      <c r="AC13" s="1"/>
    </row>
    <row r="14" spans="1:29" x14ac:dyDescent="0.25">
      <c r="A14" s="1">
        <f>RANK(O14,O$3:O$174)</f>
        <v>12</v>
      </c>
      <c r="B14" s="1" t="s">
        <v>98</v>
      </c>
      <c r="C14" s="1" t="s">
        <v>32</v>
      </c>
      <c r="D14" s="1">
        <f>VLOOKUP(E14,BYEs!$A$2:$B$34,2,FALSE)</f>
        <v>6</v>
      </c>
      <c r="E14" s="1" t="s">
        <v>360</v>
      </c>
      <c r="F14" s="249">
        <v>0</v>
      </c>
      <c r="G14" s="250">
        <v>0</v>
      </c>
      <c r="H14" s="249">
        <v>201.2</v>
      </c>
      <c r="I14" s="247">
        <v>974.3</v>
      </c>
      <c r="J14" s="250">
        <v>7.4</v>
      </c>
      <c r="K14" s="249">
        <v>25.4</v>
      </c>
      <c r="L14" s="247">
        <v>241</v>
      </c>
      <c r="M14" s="250">
        <v>1</v>
      </c>
      <c r="N14" s="251">
        <v>1.5</v>
      </c>
      <c r="O14" s="253">
        <f>(I14*RBRushingYd)+(J14*RBRushingTD)+(K14*RBReceptions)+(L14*RBRecYd)+(M14*RBRecTD)+(N14*RBFuml)+(H14*RBRushAtt)</f>
        <v>168.93</v>
      </c>
      <c r="P14" s="1" t="str">
        <f ca="1">IF(A14&lt;=RBStarters,"Starter",IF(A14&gt;RBStarters+RBBench,"Undrafted","Bench"))</f>
        <v>Starter</v>
      </c>
      <c r="Q14" s="47">
        <f ca="1">IFERROR(MAX(O14-LARGE(O$3:O$174,RBStarters),0),0)</f>
        <v>46.610000000000014</v>
      </c>
      <c r="R14" s="47">
        <f ca="1">IFERROR(IF(AllowNegative="Yes",O14-LARGE(O$3:O$174,RBCount),MAX(O14-LARGE(O$3:O$174,RBCount),0)),0)</f>
        <v>99.69</v>
      </c>
      <c r="S14" s="108">
        <f ca="1">(R14-Q14)*BenchPF+Q14*StarterPF</f>
        <v>33.075639192294261</v>
      </c>
      <c r="T14" s="108">
        <f ca="1">S14*Auction!$A$2</f>
        <v>33.075639192294261</v>
      </c>
      <c r="U14" s="25" t="str">
        <f>IF(OR(INDEX(Auction!$H$13:$H$683,MATCH(B14,Auction!$A$13:$A$683,0))&gt;0,IFERROR(INDEX(CheatSheet!$M$5:$M$64,MATCH(B14,CheatSheet!$J$5:$J$64,0)),"")&lt;&gt;""),"Yes","No")</f>
        <v>No</v>
      </c>
      <c r="V14" s="218"/>
      <c r="W14" s="1"/>
      <c r="X14" s="100">
        <f t="shared" ca="1" si="2"/>
        <v>1</v>
      </c>
      <c r="Y14" s="1">
        <f t="shared" ca="1" si="3"/>
        <v>73.150000000000006</v>
      </c>
      <c r="Z14" s="145" t="str">
        <f t="shared" ca="1" si="1"/>
        <v>RB7</v>
      </c>
      <c r="AA14" s="1">
        <f ca="1">Y14*LeagueInfo!$H$5</f>
        <v>33.454488899377104</v>
      </c>
      <c r="AB14" s="1"/>
      <c r="AC14" s="1"/>
    </row>
    <row r="15" spans="1:29" x14ac:dyDescent="0.25">
      <c r="A15" s="1">
        <f>RANK(O15,O$3:O$174)</f>
        <v>13</v>
      </c>
      <c r="B15" s="1" t="s">
        <v>130</v>
      </c>
      <c r="C15" s="1" t="s">
        <v>32</v>
      </c>
      <c r="D15" s="1">
        <f>VLOOKUP(E15,BYEs!$A$2:$B$34,2,FALSE)</f>
        <v>9</v>
      </c>
      <c r="E15" s="1" t="s">
        <v>387</v>
      </c>
      <c r="F15" s="249">
        <v>0</v>
      </c>
      <c r="G15" s="250">
        <v>0</v>
      </c>
      <c r="H15" s="249">
        <v>217.1</v>
      </c>
      <c r="I15" s="247">
        <v>944.9</v>
      </c>
      <c r="J15" s="250">
        <v>6.2</v>
      </c>
      <c r="K15" s="249">
        <v>37</v>
      </c>
      <c r="L15" s="247">
        <v>293.10000000000002</v>
      </c>
      <c r="M15" s="250">
        <v>0.7</v>
      </c>
      <c r="N15" s="251">
        <v>1.8</v>
      </c>
      <c r="O15" s="253">
        <f>(I15*RBRushingYd)+(J15*RBRushingTD)+(K15*RBReceptions)+(L15*RBRecYd)+(M15*RBRecTD)+(N15*RBFuml)+(H15*RBRushAtt)</f>
        <v>161.6</v>
      </c>
      <c r="P15" s="1" t="str">
        <f ca="1">IF(A15&lt;=RBStarters,"Starter",IF(A15&gt;RBStarters+RBBench,"Undrafted","Bench"))</f>
        <v>Starter</v>
      </c>
      <c r="Q15" s="47">
        <f ca="1">IFERROR(MAX(O15-LARGE(O$3:O$174,RBStarters),0),0)</f>
        <v>39.28</v>
      </c>
      <c r="R15" s="47">
        <f ca="1">IFERROR(IF(AllowNegative="Yes",O15-LARGE(O$3:O$174,RBCount),MAX(O15-LARGE(O$3:O$174,RBCount),0)),0)</f>
        <v>92.359999999999985</v>
      </c>
      <c r="S15" s="108">
        <f ca="1">(R15-Q15)*BenchPF+Q15*StarterPF</f>
        <v>29.873273766838782</v>
      </c>
      <c r="T15" s="108">
        <f ca="1">S15*Auction!$A$2</f>
        <v>29.873273766838782</v>
      </c>
      <c r="U15" s="25" t="str">
        <f>IF(OR(INDEX(Auction!$H$13:$H$683,MATCH(B15,Auction!$A$13:$A$683,0))&gt;0,IFERROR(INDEX(CheatSheet!$M$5:$M$64,MATCH(B15,CheatSheet!$J$5:$J$64,0)),"")&lt;&gt;""),"Yes","No")</f>
        <v>No</v>
      </c>
      <c r="V15" s="218"/>
      <c r="W15" s="1"/>
      <c r="X15" s="100">
        <f t="shared" ca="1" si="2"/>
        <v>1</v>
      </c>
      <c r="Y15" s="1">
        <f t="shared" ca="1" si="3"/>
        <v>65.819999999999993</v>
      </c>
      <c r="Z15" s="145" t="str">
        <f t="shared" ca="1" si="1"/>
        <v>RB7</v>
      </c>
      <c r="AA15" s="1">
        <f ca="1">Y15*LeagueInfo!$H$5</f>
        <v>30.102179895516073</v>
      </c>
      <c r="AB15" s="1"/>
      <c r="AC15" s="1"/>
    </row>
    <row r="16" spans="1:29" x14ac:dyDescent="0.25">
      <c r="A16" s="1">
        <f>RANK(O16,O$3:O$174)</f>
        <v>14</v>
      </c>
      <c r="B16" s="1" t="s">
        <v>136</v>
      </c>
      <c r="C16" s="1" t="s">
        <v>32</v>
      </c>
      <c r="D16" s="1">
        <f>VLOOKUP(E16,BYEs!$A$2:$B$34,2,FALSE)</f>
        <v>10</v>
      </c>
      <c r="E16" s="1" t="s">
        <v>365</v>
      </c>
      <c r="F16" s="249">
        <v>0</v>
      </c>
      <c r="G16" s="250">
        <v>0</v>
      </c>
      <c r="H16" s="249">
        <v>200.3</v>
      </c>
      <c r="I16" s="247">
        <v>838.6</v>
      </c>
      <c r="J16" s="250">
        <v>8.1</v>
      </c>
      <c r="K16" s="249">
        <v>31.3</v>
      </c>
      <c r="L16" s="247">
        <v>231.7</v>
      </c>
      <c r="M16" s="250">
        <v>1</v>
      </c>
      <c r="N16" s="251">
        <v>1.6</v>
      </c>
      <c r="O16" s="253">
        <f>(I16*RBRushingYd)+(J16*RBRushingTD)+(K16*RBReceptions)+(L16*RBRecYd)+(M16*RBRecTD)+(N16*RBFuml)+(H16*RBRushAtt)</f>
        <v>158.43</v>
      </c>
      <c r="P16" s="1" t="str">
        <f ca="1">IF(A16&lt;=RBStarters,"Starter",IF(A16&gt;RBStarters+RBBench,"Undrafted","Bench"))</f>
        <v>Starter</v>
      </c>
      <c r="Q16" s="47">
        <f ca="1">IFERROR(MAX(O16-LARGE(O$3:O$174,RBStarters),0),0)</f>
        <v>36.110000000000014</v>
      </c>
      <c r="R16" s="47">
        <f ca="1">IFERROR(IF(AllowNegative="Yes",O16-LARGE(O$3:O$174,RBCount),MAX(O16-LARGE(O$3:O$174,RBCount),0)),0)</f>
        <v>89.19</v>
      </c>
      <c r="S16" s="108">
        <f ca="1">(R16-Q16)*BenchPF+Q16*StarterPF</f>
        <v>28.488349019404428</v>
      </c>
      <c r="T16" s="108">
        <f ca="1">S16*Auction!$A$2</f>
        <v>28.488349019404428</v>
      </c>
      <c r="U16" s="25" t="str">
        <f>IF(OR(INDEX(Auction!$H$13:$H$683,MATCH(B16,Auction!$A$13:$A$683,0))&gt;0,IFERROR(INDEX(CheatSheet!$M$5:$M$64,MATCH(B16,CheatSheet!$J$5:$J$64,0)),"")&lt;&gt;""),"Yes","No")</f>
        <v>No</v>
      </c>
      <c r="V16" s="218"/>
      <c r="W16" s="1"/>
      <c r="X16" s="100">
        <f t="shared" ca="1" si="2"/>
        <v>1</v>
      </c>
      <c r="Y16" s="1">
        <f t="shared" ca="1" si="3"/>
        <v>62.650000000000006</v>
      </c>
      <c r="Z16" s="145" t="str">
        <f t="shared" ca="1" si="1"/>
        <v>RB7</v>
      </c>
      <c r="AA16" s="1">
        <f ca="1">Y16*LeagueInfo!$H$5</f>
        <v>28.652409153055036</v>
      </c>
      <c r="AB16" s="1"/>
      <c r="AC16" s="1"/>
    </row>
    <row r="17" spans="1:29" x14ac:dyDescent="0.25">
      <c r="A17" s="1">
        <f>RANK(O17,O$3:O$174)</f>
        <v>15</v>
      </c>
      <c r="B17" s="1" t="s">
        <v>156</v>
      </c>
      <c r="C17" s="1" t="s">
        <v>32</v>
      </c>
      <c r="D17" s="1">
        <f>VLOOKUP(E17,BYEs!$A$2:$B$34,2,FALSE)</f>
        <v>9</v>
      </c>
      <c r="E17" s="1" t="s">
        <v>373</v>
      </c>
      <c r="F17" s="249">
        <v>0</v>
      </c>
      <c r="G17" s="250">
        <v>0</v>
      </c>
      <c r="H17" s="249">
        <v>197.4</v>
      </c>
      <c r="I17" s="247">
        <v>828.2</v>
      </c>
      <c r="J17" s="250">
        <v>6.5</v>
      </c>
      <c r="K17" s="249">
        <v>38.299999999999997</v>
      </c>
      <c r="L17" s="247">
        <v>303</v>
      </c>
      <c r="M17" s="250">
        <v>1.6</v>
      </c>
      <c r="N17" s="251">
        <v>1.8</v>
      </c>
      <c r="O17" s="253">
        <f>(I17*RBRushingYd)+(J17*RBRushingTD)+(K17*RBReceptions)+(L17*RBRecYd)+(M17*RBRecTD)+(N17*RBFuml)+(H17*RBRushAtt)</f>
        <v>158.12</v>
      </c>
      <c r="P17" s="1" t="str">
        <f ca="1">IF(A17&lt;=RBStarters,"Starter",IF(A17&gt;RBStarters+RBBench,"Undrafted","Bench"))</f>
        <v>Starter</v>
      </c>
      <c r="Q17" s="47">
        <f ca="1">IFERROR(MAX(O17-LARGE(O$3:O$174,RBStarters),0),0)</f>
        <v>35.800000000000011</v>
      </c>
      <c r="R17" s="47">
        <f ca="1">IFERROR(IF(AllowNegative="Yes",O17-LARGE(O$3:O$174,RBCount),MAX(O17-LARGE(O$3:O$174,RBCount),0)),0)</f>
        <v>88.88</v>
      </c>
      <c r="S17" s="108">
        <f ca="1">(R17-Q17)*BenchPF+Q17*StarterPF</f>
        <v>28.352914738109583</v>
      </c>
      <c r="T17" s="108">
        <f ca="1">S17*Auction!$A$2</f>
        <v>28.352914738109583</v>
      </c>
      <c r="U17" s="25" t="str">
        <f>IF(OR(INDEX(Auction!$H$13:$H$683,MATCH(B17,Auction!$A$13:$A$683,0))&gt;0,IFERROR(INDEX(CheatSheet!$M$5:$M$64,MATCH(B17,CheatSheet!$J$5:$J$64,0)),"")&lt;&gt;""),"Yes","No")</f>
        <v>No</v>
      </c>
      <c r="V17" s="218"/>
      <c r="W17" s="1"/>
      <c r="X17" s="100">
        <f t="shared" ca="1" si="2"/>
        <v>1</v>
      </c>
      <c r="Y17" s="1">
        <f t="shared" ca="1" si="3"/>
        <v>62.34</v>
      </c>
      <c r="Z17" s="145" t="str">
        <f t="shared" ca="1" si="1"/>
        <v>RB7</v>
      </c>
      <c r="AA17" s="1">
        <f ca="1">Y17*LeagueInfo!$H$5</f>
        <v>28.510633465306476</v>
      </c>
      <c r="AB17" s="1"/>
      <c r="AC17" s="1"/>
    </row>
    <row r="18" spans="1:29" x14ac:dyDescent="0.25">
      <c r="A18" s="1">
        <f>RANK(O18,O$3:O$174)</f>
        <v>16</v>
      </c>
      <c r="B18" s="1" t="s">
        <v>149</v>
      </c>
      <c r="C18" s="1" t="s">
        <v>32</v>
      </c>
      <c r="D18" s="1">
        <f>VLOOKUP(E18,BYEs!$A$2:$B$34,2,FALSE)</f>
        <v>8</v>
      </c>
      <c r="E18" s="1" t="s">
        <v>350</v>
      </c>
      <c r="F18" s="249">
        <v>0</v>
      </c>
      <c r="G18" s="250">
        <v>0</v>
      </c>
      <c r="H18" s="249">
        <v>160.6</v>
      </c>
      <c r="I18" s="247">
        <v>754.1</v>
      </c>
      <c r="J18" s="250">
        <v>5.2</v>
      </c>
      <c r="K18" s="249">
        <v>44.3</v>
      </c>
      <c r="L18" s="247">
        <v>357.9</v>
      </c>
      <c r="M18" s="250">
        <v>1.7</v>
      </c>
      <c r="N18" s="251">
        <v>1.3</v>
      </c>
      <c r="O18" s="253">
        <f>(I18*RBRushingYd)+(J18*RBRushingTD)+(K18*RBReceptions)+(L18*RBRecYd)+(M18*RBRecTD)+(N18*RBFuml)+(H18*RBRushAtt)</f>
        <v>150</v>
      </c>
      <c r="P18" s="1" t="str">
        <f ca="1">IF(A18&lt;=RBStarters,"Starter",IF(A18&gt;RBStarters+RBBench,"Undrafted","Bench"))</f>
        <v>Starter</v>
      </c>
      <c r="Q18" s="47">
        <f ca="1">IFERROR(MAX(O18-LARGE(O$3:O$174,RBStarters),0),0)</f>
        <v>27.680000000000007</v>
      </c>
      <c r="R18" s="47">
        <f ca="1">IFERROR(IF(AllowNegative="Yes",O18-LARGE(O$3:O$174,RBCount),MAX(O18-LARGE(O$3:O$174,RBCount),0)),0)</f>
        <v>80.759999999999991</v>
      </c>
      <c r="S18" s="108">
        <f ca="1">(R18-Q18)*BenchPF+Q18*StarterPF</f>
        <v>24.805410337741442</v>
      </c>
      <c r="T18" s="108">
        <f ca="1">S18*Auction!$A$2</f>
        <v>24.805410337741442</v>
      </c>
      <c r="U18" s="25" t="str">
        <f>IF(OR(INDEX(Auction!$H$13:$H$683,MATCH(B18,Auction!$A$13:$A$683,0))&gt;0,IFERROR(INDEX(CheatSheet!$M$5:$M$64,MATCH(B18,CheatSheet!$J$5:$J$64,0)),"")&lt;&gt;""),"Yes","No")</f>
        <v>No</v>
      </c>
      <c r="V18" s="218"/>
      <c r="W18" s="1"/>
      <c r="X18" s="100">
        <f t="shared" ca="1" si="2"/>
        <v>1</v>
      </c>
      <c r="Y18" s="1">
        <f t="shared" ca="1" si="3"/>
        <v>54.22</v>
      </c>
      <c r="Z18" s="145" t="str">
        <f t="shared" ca="1" si="1"/>
        <v>RB8</v>
      </c>
      <c r="AA18" s="1">
        <f ca="1">Y18*LeagueInfo!$H$5</f>
        <v>24.797025128150739</v>
      </c>
      <c r="AB18" s="1"/>
      <c r="AC18" s="1"/>
    </row>
    <row r="19" spans="1:29" x14ac:dyDescent="0.25">
      <c r="A19" s="1">
        <f>RANK(O19,O$3:O$174)</f>
        <v>17</v>
      </c>
      <c r="B19" s="1" t="s">
        <v>126</v>
      </c>
      <c r="C19" s="1" t="s">
        <v>32</v>
      </c>
      <c r="D19" s="1">
        <f>VLOOKUP(E19,BYEs!$A$2:$B$34,2,FALSE)</f>
        <v>11</v>
      </c>
      <c r="E19" s="1" t="s">
        <v>357</v>
      </c>
      <c r="F19" s="249">
        <v>0</v>
      </c>
      <c r="G19" s="250">
        <v>0</v>
      </c>
      <c r="H19" s="249">
        <v>154.4</v>
      </c>
      <c r="I19" s="247">
        <v>682.1</v>
      </c>
      <c r="J19" s="250">
        <v>4.3</v>
      </c>
      <c r="K19" s="249">
        <v>49.7</v>
      </c>
      <c r="L19" s="247">
        <v>434.8</v>
      </c>
      <c r="M19" s="250">
        <v>2.4</v>
      </c>
      <c r="N19" s="251">
        <v>1.4</v>
      </c>
      <c r="O19" s="253">
        <f>(I19*RBRushingYd)+(J19*RBRushingTD)+(K19*RBReceptions)+(L19*RBRecYd)+(M19*RBRecTD)+(N19*RBFuml)+(H19*RBRushAtt)</f>
        <v>149.09</v>
      </c>
      <c r="P19" s="1" t="str">
        <f ca="1">IF(A19&lt;=RBStarters,"Starter",IF(A19&gt;RBStarters+RBBench,"Undrafted","Bench"))</f>
        <v>Starter</v>
      </c>
      <c r="Q19" s="47">
        <f ca="1">IFERROR(MAX(O19-LARGE(O$3:O$174,RBStarters),0),0)</f>
        <v>26.77000000000001</v>
      </c>
      <c r="R19" s="47">
        <f ca="1">IFERROR(IF(AllowNegative="Yes",O19-LARGE(O$3:O$174,RBCount),MAX(O19-LARGE(O$3:O$174,RBCount),0)),0)</f>
        <v>79.849999999999994</v>
      </c>
      <c r="S19" s="108">
        <f ca="1">(R19-Q19)*BenchPF+Q19*StarterPF</f>
        <v>24.407845189424322</v>
      </c>
      <c r="T19" s="108">
        <f ca="1">S19*Auction!$A$2</f>
        <v>24.407845189424322</v>
      </c>
      <c r="U19" s="25" t="str">
        <f>IF(OR(INDEX(Auction!$H$13:$H$683,MATCH(B19,Auction!$A$13:$A$683,0))&gt;0,IFERROR(INDEX(CheatSheet!$M$5:$M$64,MATCH(B19,CheatSheet!$J$5:$J$64,0)),"")&lt;&gt;""),"Yes","No")</f>
        <v>No</v>
      </c>
      <c r="V19" s="218"/>
      <c r="W19" s="1"/>
      <c r="X19" s="100">
        <f t="shared" ca="1" si="2"/>
        <v>1</v>
      </c>
      <c r="Y19" s="1">
        <f t="shared" ca="1" si="3"/>
        <v>53.31</v>
      </c>
      <c r="Z19" s="145" t="str">
        <f t="shared" ca="1" si="1"/>
        <v>RB8</v>
      </c>
      <c r="AA19" s="1">
        <f ca="1">Y19*LeagueInfo!$H$5</f>
        <v>24.380844883469493</v>
      </c>
      <c r="AB19" s="1"/>
      <c r="AC19" s="1"/>
    </row>
    <row r="20" spans="1:29" x14ac:dyDescent="0.25">
      <c r="A20" s="1">
        <f>RANK(O20,O$3:O$174)</f>
        <v>18</v>
      </c>
      <c r="B20" s="1" t="s">
        <v>141</v>
      </c>
      <c r="C20" s="1" t="s">
        <v>32</v>
      </c>
      <c r="D20" s="1">
        <f>VLOOKUP(E20,BYEs!$A$2:$B$34,2,FALSE)</f>
        <v>5</v>
      </c>
      <c r="E20" s="1" t="s">
        <v>352</v>
      </c>
      <c r="F20" s="249">
        <v>0</v>
      </c>
      <c r="G20" s="250">
        <v>0</v>
      </c>
      <c r="H20" s="249">
        <v>164.8</v>
      </c>
      <c r="I20" s="247">
        <v>760.2</v>
      </c>
      <c r="J20" s="250">
        <v>5.3</v>
      </c>
      <c r="K20" s="249">
        <v>42.3</v>
      </c>
      <c r="L20" s="247">
        <v>314.2</v>
      </c>
      <c r="M20" s="250">
        <v>2.2000000000000002</v>
      </c>
      <c r="N20" s="251">
        <v>1.8</v>
      </c>
      <c r="O20" s="253">
        <f>(I20*RBRushingYd)+(J20*RBRushingTD)+(K20*RBReceptions)+(L20*RBRecYd)+(M20*RBRecTD)+(N20*RBFuml)+(H20*RBRushAtt)</f>
        <v>148.84</v>
      </c>
      <c r="P20" s="1" t="str">
        <f ca="1">IF(A20&lt;=RBStarters,"Starter",IF(A20&gt;RBStarters+RBBench,"Undrafted","Bench"))</f>
        <v>Starter</v>
      </c>
      <c r="Q20" s="47">
        <f ca="1">IFERROR(MAX(O20-LARGE(O$3:O$174,RBStarters),0),0)</f>
        <v>26.52000000000001</v>
      </c>
      <c r="R20" s="47">
        <f ca="1">IFERROR(IF(AllowNegative="Yes",O20-LARGE(O$3:O$174,RBCount),MAX(O20-LARGE(O$3:O$174,RBCount),0)),0)</f>
        <v>79.599999999999994</v>
      </c>
      <c r="S20" s="108">
        <f ca="1">(R20-Q20)*BenchPF+Q20*StarterPF</f>
        <v>24.298623994831708</v>
      </c>
      <c r="T20" s="108">
        <f ca="1">S20*Auction!$A$2</f>
        <v>24.298623994831708</v>
      </c>
      <c r="U20" s="25" t="str">
        <f>IF(OR(INDEX(Auction!$H$13:$H$683,MATCH(B20,Auction!$A$13:$A$683,0))&gt;0,IFERROR(INDEX(CheatSheet!$M$5:$M$64,MATCH(B20,CheatSheet!$J$5:$J$64,0)),"")&lt;&gt;""),"Yes","No")</f>
        <v>No</v>
      </c>
      <c r="V20" s="218"/>
      <c r="W20" s="1"/>
      <c r="X20" s="100">
        <f t="shared" ca="1" si="2"/>
        <v>1</v>
      </c>
      <c r="Y20" s="1">
        <f t="shared" ca="1" si="3"/>
        <v>53.06</v>
      </c>
      <c r="Z20" s="145" t="str">
        <f t="shared" ca="1" si="1"/>
        <v>RB8</v>
      </c>
      <c r="AA20" s="1">
        <f ca="1">Y20*LeagueInfo!$H$5</f>
        <v>24.266509651414207</v>
      </c>
      <c r="AB20" s="1"/>
      <c r="AC20" s="1"/>
    </row>
    <row r="21" spans="1:29" x14ac:dyDescent="0.25">
      <c r="A21" s="1">
        <f>RANK(O21,O$3:O$174)</f>
        <v>19</v>
      </c>
      <c r="B21" s="1" t="s">
        <v>187</v>
      </c>
      <c r="C21" s="1" t="s">
        <v>32</v>
      </c>
      <c r="D21" s="1">
        <f>VLOOKUP(E21,BYEs!$A$2:$B$34,2,FALSE)</f>
        <v>10</v>
      </c>
      <c r="E21" s="1" t="s">
        <v>372</v>
      </c>
      <c r="F21" s="249">
        <v>0</v>
      </c>
      <c r="G21" s="250">
        <v>0</v>
      </c>
      <c r="H21" s="249">
        <v>188.2</v>
      </c>
      <c r="I21" s="247">
        <v>778.6</v>
      </c>
      <c r="J21" s="250">
        <v>6.1</v>
      </c>
      <c r="K21" s="249">
        <v>35</v>
      </c>
      <c r="L21" s="247">
        <v>283.10000000000002</v>
      </c>
      <c r="M21" s="250">
        <v>1.2</v>
      </c>
      <c r="N21" s="251">
        <v>1.4</v>
      </c>
      <c r="O21" s="253">
        <f>(I21*RBRushingYd)+(J21*RBRushingTD)+(K21*RBReceptions)+(L21*RBRecYd)+(M21*RBRecTD)+(N21*RBFuml)+(H21*RBRushAtt)</f>
        <v>147.16999999999999</v>
      </c>
      <c r="P21" s="1" t="str">
        <f ca="1">IF(A21&lt;=RBStarters,"Starter",IF(A21&gt;RBStarters+RBBench,"Undrafted","Bench"))</f>
        <v>Starter</v>
      </c>
      <c r="Q21" s="47">
        <f ca="1">IFERROR(MAX(O21-LARGE(O$3:O$174,RBStarters),0),0)</f>
        <v>24.849999999999994</v>
      </c>
      <c r="R21" s="47">
        <f ca="1">IFERROR(IF(AllowNegative="Yes",O21-LARGE(O$3:O$174,RBCount),MAX(O21-LARGE(O$3:O$174,RBCount),0)),0)</f>
        <v>77.929999999999978</v>
      </c>
      <c r="S21" s="108">
        <f ca="1">(R21-Q21)*BenchPF+Q21*StarterPF</f>
        <v>23.569026414953033</v>
      </c>
      <c r="T21" s="108">
        <f ca="1">S21*Auction!$A$2</f>
        <v>23.569026414953033</v>
      </c>
      <c r="U21" s="25" t="str">
        <f>IF(OR(INDEX(Auction!$H$13:$H$683,MATCH(B21,Auction!$A$13:$A$683,0))&gt;0,IFERROR(INDEX(CheatSheet!$M$5:$M$64,MATCH(B21,CheatSheet!$J$5:$J$64,0)),"")&lt;&gt;""),"Yes","No")</f>
        <v>No</v>
      </c>
      <c r="V21" s="218"/>
      <c r="W21" s="1"/>
      <c r="X21" s="100">
        <f t="shared" ca="1" si="2"/>
        <v>1</v>
      </c>
      <c r="Y21" s="1">
        <f t="shared" ca="1" si="3"/>
        <v>51.389999999999986</v>
      </c>
      <c r="Z21" s="145" t="str">
        <f t="shared" ca="1" si="1"/>
        <v>RB8</v>
      </c>
      <c r="AA21" s="1">
        <f ca="1">Y21*LeagueInfo!$H$5</f>
        <v>23.50275030128488</v>
      </c>
      <c r="AB21" s="1"/>
      <c r="AC21" s="1"/>
    </row>
    <row r="22" spans="1:29" x14ac:dyDescent="0.25">
      <c r="A22" s="1">
        <f>RANK(O22,O$3:O$174)</f>
        <v>20</v>
      </c>
      <c r="B22" s="1" t="s">
        <v>137</v>
      </c>
      <c r="C22" s="1" t="s">
        <v>32</v>
      </c>
      <c r="D22" s="1">
        <f>VLOOKUP(E22,BYEs!$A$2:$B$34,2,FALSE)</f>
        <v>11</v>
      </c>
      <c r="E22" s="1" t="s">
        <v>378</v>
      </c>
      <c r="F22" s="249">
        <v>0</v>
      </c>
      <c r="G22" s="250">
        <v>0</v>
      </c>
      <c r="H22" s="249">
        <v>218.4</v>
      </c>
      <c r="I22" s="247">
        <v>924.4</v>
      </c>
      <c r="J22" s="250">
        <v>6</v>
      </c>
      <c r="K22" s="249">
        <v>27.6</v>
      </c>
      <c r="L22" s="247">
        <v>189.1</v>
      </c>
      <c r="M22" s="250">
        <v>1.2</v>
      </c>
      <c r="N22" s="251">
        <v>3.8</v>
      </c>
      <c r="O22" s="253">
        <f>(I22*RBRushingYd)+(J22*RBRushingTD)+(K22*RBReceptions)+(L22*RBRecYd)+(M22*RBRecTD)+(N22*RBFuml)+(H22*RBRushAtt)</f>
        <v>146.94999999999999</v>
      </c>
      <c r="P22" s="1" t="str">
        <f ca="1">IF(A22&lt;=RBStarters,"Starter",IF(A22&gt;RBStarters+RBBench,"Undrafted","Bench"))</f>
        <v>Starter</v>
      </c>
      <c r="Q22" s="47">
        <f ca="1">IFERROR(MAX(O22-LARGE(O$3:O$174,RBStarters),0),0)</f>
        <v>24.629999999999995</v>
      </c>
      <c r="R22" s="47">
        <f ca="1">IFERROR(IF(AllowNegative="Yes",O22-LARGE(O$3:O$174,RBCount),MAX(O22-LARGE(O$3:O$174,RBCount),0)),0)</f>
        <v>77.70999999999998</v>
      </c>
      <c r="S22" s="108">
        <f ca="1">(R22-Q22)*BenchPF+Q22*StarterPF</f>
        <v>23.472911763711529</v>
      </c>
      <c r="T22" s="108">
        <f ca="1">S22*Auction!$A$2</f>
        <v>23.472911763711529</v>
      </c>
      <c r="U22" s="25" t="str">
        <f>IF(OR(INDEX(Auction!$H$13:$H$683,MATCH(B22,Auction!$A$13:$A$683,0))&gt;0,IFERROR(INDEX(CheatSheet!$M$5:$M$64,MATCH(B22,CheatSheet!$J$5:$J$64,0)),"")&lt;&gt;""),"Yes","No")</f>
        <v>No</v>
      </c>
      <c r="V22" s="218"/>
      <c r="W22" s="1"/>
      <c r="X22" s="100">
        <f t="shared" ca="1" si="2"/>
        <v>1</v>
      </c>
      <c r="Y22" s="1">
        <f t="shared" ca="1" si="3"/>
        <v>51.169999999999987</v>
      </c>
      <c r="Z22" s="145" t="str">
        <f t="shared" ca="1" si="1"/>
        <v>RB8</v>
      </c>
      <c r="AA22" s="1">
        <f ca="1">Y22*LeagueInfo!$H$5</f>
        <v>23.402135297076228</v>
      </c>
      <c r="AB22" s="1"/>
      <c r="AC22" s="1"/>
    </row>
    <row r="23" spans="1:29" x14ac:dyDescent="0.25">
      <c r="A23" s="1">
        <f>RANK(O23,O$3:O$174)</f>
        <v>21</v>
      </c>
      <c r="B23" s="1" t="s">
        <v>128</v>
      </c>
      <c r="C23" s="1" t="s">
        <v>32</v>
      </c>
      <c r="D23" s="1">
        <f>VLOOKUP(E23,BYEs!$A$2:$B$34,2,FALSE)</f>
        <v>6</v>
      </c>
      <c r="E23" s="1" t="s">
        <v>366</v>
      </c>
      <c r="F23" s="249">
        <v>0</v>
      </c>
      <c r="G23" s="250">
        <v>0</v>
      </c>
      <c r="H23" s="249">
        <v>187.6</v>
      </c>
      <c r="I23" s="247">
        <v>785.1</v>
      </c>
      <c r="J23" s="250">
        <v>6.1</v>
      </c>
      <c r="K23" s="249">
        <v>35.200000000000003</v>
      </c>
      <c r="L23" s="247">
        <v>280.2</v>
      </c>
      <c r="M23" s="250">
        <v>1</v>
      </c>
      <c r="N23" s="251">
        <v>1.8</v>
      </c>
      <c r="O23" s="253">
        <f>(I23*RBRushingYd)+(J23*RBRushingTD)+(K23*RBReceptions)+(L23*RBRecYd)+(M23*RBRecTD)+(N23*RBFuml)+(H23*RBRushAtt)</f>
        <v>145.53</v>
      </c>
      <c r="P23" s="1" t="str">
        <f ca="1">IF(A23&lt;=RBStarters,"Starter",IF(A23&gt;RBStarters+RBBench,"Undrafted","Bench"))</f>
        <v>Starter</v>
      </c>
      <c r="Q23" s="47">
        <f ca="1">IFERROR(MAX(O23-LARGE(O$3:O$174,RBStarters),0),0)</f>
        <v>23.210000000000008</v>
      </c>
      <c r="R23" s="47">
        <f ca="1">IFERROR(IF(AllowNegative="Yes",O23-LARGE(O$3:O$174,RBCount),MAX(O23-LARGE(O$3:O$174,RBCount),0)),0)</f>
        <v>76.289999999999992</v>
      </c>
      <c r="S23" s="108">
        <f ca="1">(R23-Q23)*BenchPF+Q23*StarterPF</f>
        <v>22.852535378425483</v>
      </c>
      <c r="T23" s="108">
        <f ca="1">S23*Auction!$A$2</f>
        <v>22.852535378425483</v>
      </c>
      <c r="U23" s="25" t="str">
        <f>IF(OR(INDEX(Auction!$H$13:$H$683,MATCH(B23,Auction!$A$13:$A$683,0))&gt;0,IFERROR(INDEX(CheatSheet!$M$5:$M$64,MATCH(B23,CheatSheet!$J$5:$J$64,0)),"")&lt;&gt;""),"Yes","No")</f>
        <v>No</v>
      </c>
      <c r="V23" s="218"/>
      <c r="W23" s="1"/>
      <c r="X23" s="100">
        <f t="shared" ca="1" si="2"/>
        <v>1</v>
      </c>
      <c r="Y23" s="1">
        <f t="shared" ca="1" si="3"/>
        <v>49.75</v>
      </c>
      <c r="Z23" s="145" t="str">
        <f t="shared" ca="1" si="1"/>
        <v>RB8</v>
      </c>
      <c r="AA23" s="1">
        <f ca="1">Y23*LeagueInfo!$H$5</f>
        <v>22.752711179002201</v>
      </c>
      <c r="AB23" s="1"/>
      <c r="AC23" s="1"/>
    </row>
    <row r="24" spans="1:29" x14ac:dyDescent="0.25">
      <c r="A24" s="1">
        <f>RANK(O24,O$3:O$174)</f>
        <v>22</v>
      </c>
      <c r="B24" s="1" t="s">
        <v>180</v>
      </c>
      <c r="C24" s="1" t="s">
        <v>32</v>
      </c>
      <c r="D24" s="1">
        <f>VLOOKUP(E24,BYEs!$A$2:$B$34,2,FALSE)</f>
        <v>11</v>
      </c>
      <c r="E24" s="1" t="s">
        <v>382</v>
      </c>
      <c r="F24" s="249">
        <v>0</v>
      </c>
      <c r="G24" s="250">
        <v>0</v>
      </c>
      <c r="H24" s="249">
        <v>161.6</v>
      </c>
      <c r="I24" s="247">
        <v>732</v>
      </c>
      <c r="J24" s="250">
        <v>4.3</v>
      </c>
      <c r="K24" s="249">
        <v>52.2</v>
      </c>
      <c r="L24" s="247">
        <v>379.4</v>
      </c>
      <c r="M24" s="250">
        <v>1.7</v>
      </c>
      <c r="N24" s="251">
        <v>1.6</v>
      </c>
      <c r="O24" s="253">
        <f>(I24*RBRushingYd)+(J24*RBRushingTD)+(K24*RBReceptions)+(L24*RBRecYd)+(M24*RBRecTD)+(N24*RBFuml)+(H24*RBRushAtt)</f>
        <v>143.94</v>
      </c>
      <c r="P24" s="1" t="str">
        <f ca="1">IF(A24&lt;=RBStarters,"Starter",IF(A24&gt;RBStarters+RBBench,"Undrafted","Bench"))</f>
        <v>Starter</v>
      </c>
      <c r="Q24" s="47">
        <f ca="1">IFERROR(MAX(O24-LARGE(O$3:O$174,RBStarters),0),0)</f>
        <v>21.620000000000005</v>
      </c>
      <c r="R24" s="47">
        <f ca="1">IFERROR(IF(AllowNegative="Yes",O24-LARGE(O$3:O$174,RBCount),MAX(O24-LARGE(O$3:O$174,RBCount),0)),0)</f>
        <v>74.699999999999989</v>
      </c>
      <c r="S24" s="108">
        <f ca="1">(R24-Q24)*BenchPF+Q24*StarterPF</f>
        <v>22.157888580816447</v>
      </c>
      <c r="T24" s="108">
        <f ca="1">S24*Auction!$A$2</f>
        <v>22.157888580816447</v>
      </c>
      <c r="U24" s="25" t="str">
        <f>IF(OR(INDEX(Auction!$H$13:$H$683,MATCH(B24,Auction!$A$13:$A$683,0))&gt;0,IFERROR(INDEX(CheatSheet!$M$5:$M$64,MATCH(B24,CheatSheet!$J$5:$J$64,0)),"")&lt;&gt;""),"Yes","No")</f>
        <v>No</v>
      </c>
      <c r="V24" s="218"/>
      <c r="W24" s="1"/>
      <c r="X24" s="100">
        <f t="shared" ca="1" si="2"/>
        <v>1</v>
      </c>
      <c r="Y24" s="1">
        <f t="shared" ca="1" si="3"/>
        <v>48.16</v>
      </c>
      <c r="Z24" s="145" t="str">
        <f t="shared" ca="1" si="1"/>
        <v>RB8</v>
      </c>
      <c r="AA24" s="1">
        <f ca="1">Y24*LeagueInfo!$H$5</f>
        <v>22.025539103130569</v>
      </c>
      <c r="AB24" s="1"/>
      <c r="AC24" s="1"/>
    </row>
    <row r="25" spans="1:29" x14ac:dyDescent="0.25">
      <c r="A25" s="1">
        <f>RANK(O25,O$3:O$174)</f>
        <v>23</v>
      </c>
      <c r="B25" s="1" t="s">
        <v>159</v>
      </c>
      <c r="C25" s="1" t="s">
        <v>32</v>
      </c>
      <c r="D25" s="1">
        <f>VLOOKUP(E25,BYEs!$A$2:$B$34,2,FALSE)</f>
        <v>5</v>
      </c>
      <c r="E25" s="1" t="s">
        <v>353</v>
      </c>
      <c r="F25" s="249">
        <v>0</v>
      </c>
      <c r="G25" s="250">
        <v>0</v>
      </c>
      <c r="H25" s="249">
        <v>129.69999999999999</v>
      </c>
      <c r="I25" s="247">
        <v>566</v>
      </c>
      <c r="J25" s="250">
        <v>5.2</v>
      </c>
      <c r="K25" s="249">
        <v>35.6</v>
      </c>
      <c r="L25" s="247">
        <v>365.1</v>
      </c>
      <c r="M25" s="250">
        <v>2.5</v>
      </c>
      <c r="N25" s="251">
        <v>1.2</v>
      </c>
      <c r="O25" s="253">
        <f>(I25*RBRushingYd)+(J25*RBRushingTD)+(K25*RBReceptions)+(L25*RBRecYd)+(M25*RBRecTD)+(N25*RBFuml)+(H25*RBRushAtt)</f>
        <v>136.91</v>
      </c>
      <c r="P25" s="1" t="str">
        <f ca="1">IF(A25&lt;=RBStarters,"Starter",IF(A25&gt;RBStarters+RBBench,"Undrafted","Bench"))</f>
        <v>Starter</v>
      </c>
      <c r="Q25" s="47">
        <f ca="1">IFERROR(MAX(O25-LARGE(O$3:O$174,RBStarters),0),0)</f>
        <v>14.590000000000003</v>
      </c>
      <c r="R25" s="47">
        <f ca="1">IFERROR(IF(AllowNegative="Yes",O25-LARGE(O$3:O$174,RBCount),MAX(O25-LARGE(O$3:O$174,RBCount),0)),0)</f>
        <v>67.669999999999987</v>
      </c>
      <c r="S25" s="108">
        <f ca="1">(R25-Q25)*BenchPF+Q25*StarterPF</f>
        <v>19.086588588872111</v>
      </c>
      <c r="T25" s="108">
        <f ca="1">S25*Auction!$A$2</f>
        <v>19.086588588872111</v>
      </c>
      <c r="U25" s="25" t="str">
        <f>IF(OR(INDEX(Auction!$H$13:$H$683,MATCH(B25,Auction!$A$13:$A$683,0))&gt;0,IFERROR(INDEX(CheatSheet!$M$5:$M$64,MATCH(B25,CheatSheet!$J$5:$J$64,0)),"")&lt;&gt;""),"Yes","No")</f>
        <v>No</v>
      </c>
      <c r="V25" s="218"/>
      <c r="W25" s="1"/>
      <c r="X25" s="100">
        <f t="shared" ca="1" si="2"/>
        <v>1</v>
      </c>
      <c r="Y25" s="1">
        <f t="shared" ca="1" si="3"/>
        <v>41.129999999999995</v>
      </c>
      <c r="Z25" s="145" t="str">
        <f t="shared" ca="1" si="1"/>
        <v>RB8</v>
      </c>
      <c r="AA25" s="1">
        <f ca="1">Y25*LeagueInfo!$H$5</f>
        <v>18.810432377735886</v>
      </c>
      <c r="AB25" s="1"/>
      <c r="AC25" s="1"/>
    </row>
    <row r="26" spans="1:29" x14ac:dyDescent="0.25">
      <c r="A26" s="1">
        <f>RANK(O26,O$3:O$174)</f>
        <v>24</v>
      </c>
      <c r="B26" s="1" t="s">
        <v>183</v>
      </c>
      <c r="C26" s="1" t="s">
        <v>32</v>
      </c>
      <c r="D26" s="1">
        <f>VLOOKUP(E26,BYEs!$A$2:$B$34,2,FALSE)</f>
        <v>7</v>
      </c>
      <c r="E26" s="1" t="s">
        <v>362</v>
      </c>
      <c r="F26" s="249">
        <v>0</v>
      </c>
      <c r="G26" s="250">
        <v>0</v>
      </c>
      <c r="H26" s="249">
        <v>172.7</v>
      </c>
      <c r="I26" s="247">
        <v>728</v>
      </c>
      <c r="J26" s="250">
        <v>4.4000000000000004</v>
      </c>
      <c r="K26" s="249">
        <v>33.799999999999997</v>
      </c>
      <c r="L26" s="247">
        <v>282.89999999999998</v>
      </c>
      <c r="M26" s="250">
        <v>2</v>
      </c>
      <c r="N26" s="251">
        <v>1.4</v>
      </c>
      <c r="O26" s="253">
        <f>(I26*RBRushingYd)+(J26*RBRushingTD)+(K26*RBReceptions)+(L26*RBRecYd)+(M26*RBRecTD)+(N26*RBFuml)+(H26*RBRushAtt)</f>
        <v>136.69</v>
      </c>
      <c r="P26" s="1" t="str">
        <f ca="1">IF(A26&lt;=RBStarters,"Starter",IF(A26&gt;RBStarters+RBBench,"Undrafted","Bench"))</f>
        <v>Starter</v>
      </c>
      <c r="Q26" s="47">
        <f ca="1">IFERROR(MAX(O26-LARGE(O$3:O$174,RBStarters),0),0)</f>
        <v>14.370000000000005</v>
      </c>
      <c r="R26" s="47">
        <f ca="1">IFERROR(IF(AllowNegative="Yes",O26-LARGE(O$3:O$174,RBCount),MAX(O26-LARGE(O$3:O$174,RBCount),0)),0)</f>
        <v>67.449999999999989</v>
      </c>
      <c r="S26" s="108">
        <f ca="1">(R26-Q26)*BenchPF+Q26*StarterPF</f>
        <v>18.990473937630611</v>
      </c>
      <c r="T26" s="108">
        <f ca="1">S26*Auction!$A$2</f>
        <v>18.990473937630611</v>
      </c>
      <c r="U26" s="25" t="str">
        <f>IF(OR(INDEX(Auction!$H$13:$H$683,MATCH(B26,Auction!$A$13:$A$683,0))&gt;0,IFERROR(INDEX(CheatSheet!$M$5:$M$64,MATCH(B26,CheatSheet!$J$5:$J$64,0)),"")&lt;&gt;""),"Yes","No")</f>
        <v>No</v>
      </c>
      <c r="V26" s="218"/>
      <c r="W26" s="1"/>
      <c r="X26" s="100">
        <f t="shared" ca="1" si="2"/>
        <v>1</v>
      </c>
      <c r="Y26" s="1">
        <f t="shared" ca="1" si="3"/>
        <v>40.909999999999997</v>
      </c>
      <c r="Z26" s="145" t="str">
        <f t="shared" ca="1" si="1"/>
        <v>RB8</v>
      </c>
      <c r="AA26" s="1">
        <f ca="1">Y26*LeagueInfo!$H$5</f>
        <v>18.709817373527233</v>
      </c>
      <c r="AB26" s="1"/>
      <c r="AC26" s="1"/>
    </row>
    <row r="27" spans="1:29" x14ac:dyDescent="0.25">
      <c r="A27" s="1">
        <f>RANK(O27,O$3:O$174)</f>
        <v>25</v>
      </c>
      <c r="B27" s="1" t="s">
        <v>189</v>
      </c>
      <c r="C27" s="1" t="s">
        <v>32</v>
      </c>
      <c r="D27" s="1">
        <f>VLOOKUP(E27,BYEs!$A$2:$B$34,2,FALSE)</f>
        <v>11</v>
      </c>
      <c r="E27" s="1" t="s">
        <v>355</v>
      </c>
      <c r="F27" s="249">
        <v>0</v>
      </c>
      <c r="G27" s="250">
        <v>0</v>
      </c>
      <c r="H27" s="249">
        <v>206.3</v>
      </c>
      <c r="I27" s="247">
        <v>788.7</v>
      </c>
      <c r="J27" s="250">
        <v>4.7</v>
      </c>
      <c r="K27" s="249">
        <v>30</v>
      </c>
      <c r="L27" s="247">
        <v>228.4</v>
      </c>
      <c r="M27" s="250">
        <v>1.5</v>
      </c>
      <c r="N27" s="251">
        <v>2</v>
      </c>
      <c r="O27" s="253">
        <f>(I27*RBRushingYd)+(J27*RBRushingTD)+(K27*RBReceptions)+(L27*RBRecYd)+(M27*RBRecTD)+(N27*RBFuml)+(H27*RBRushAtt)</f>
        <v>134.91000000000003</v>
      </c>
      <c r="P27" s="1" t="str">
        <f ca="1">IF(A27&lt;=RBStarters,"Starter",IF(A27&gt;RBStarters+RBBench,"Undrafted","Bench"))</f>
        <v>Starter</v>
      </c>
      <c r="Q27" s="47">
        <f ca="1">IFERROR(MAX(O27-LARGE(O$3:O$174,RBStarters),0),0)</f>
        <v>12.590000000000032</v>
      </c>
      <c r="R27" s="47">
        <f ca="1">IFERROR(IF(AllowNegative="Yes",O27-LARGE(O$3:O$174,RBCount),MAX(O27-LARGE(O$3:O$174,RBCount),0)),0)</f>
        <v>65.670000000000016</v>
      </c>
      <c r="S27" s="108">
        <f ca="1">(R27-Q27)*BenchPF+Q27*StarterPF</f>
        <v>18.2128190321312</v>
      </c>
      <c r="T27" s="108">
        <f ca="1">S27*Auction!$A$2</f>
        <v>18.2128190321312</v>
      </c>
      <c r="U27" s="25" t="str">
        <f>IF(OR(INDEX(Auction!$H$13:$H$683,MATCH(B27,Auction!$A$13:$A$683,0))&gt;0,IFERROR(INDEX(CheatSheet!$M$5:$M$64,MATCH(B27,CheatSheet!$J$5:$J$64,0)),"")&lt;&gt;""),"Yes","No")</f>
        <v>No</v>
      </c>
      <c r="V27" s="218"/>
      <c r="W27" s="1"/>
      <c r="X27" s="100">
        <f t="shared" ca="1" si="2"/>
        <v>1</v>
      </c>
      <c r="Y27" s="1">
        <f t="shared" ca="1" si="3"/>
        <v>39.130000000000024</v>
      </c>
      <c r="Z27" s="145" t="str">
        <f t="shared" ca="1" si="1"/>
        <v>RB8</v>
      </c>
      <c r="AA27" s="1">
        <f ca="1">Y27*LeagueInfo!$H$5</f>
        <v>17.8957505212936</v>
      </c>
      <c r="AB27" s="1"/>
      <c r="AC27" s="1"/>
    </row>
    <row r="28" spans="1:29" x14ac:dyDescent="0.25">
      <c r="A28" s="1">
        <f>RANK(O28,O$3:O$174)</f>
        <v>26</v>
      </c>
      <c r="B28" s="1" t="s">
        <v>145</v>
      </c>
      <c r="C28" s="1" t="s">
        <v>32</v>
      </c>
      <c r="D28" s="1">
        <f>VLOOKUP(E28,BYEs!$A$2:$B$34,2,FALSE)</f>
        <v>5</v>
      </c>
      <c r="E28" s="1" t="s">
        <v>384</v>
      </c>
      <c r="F28" s="249">
        <v>0</v>
      </c>
      <c r="G28" s="250">
        <v>0</v>
      </c>
      <c r="H28" s="249">
        <v>177</v>
      </c>
      <c r="I28" s="247">
        <v>753.7</v>
      </c>
      <c r="J28" s="250">
        <v>4.9000000000000004</v>
      </c>
      <c r="K28" s="249">
        <v>28.1</v>
      </c>
      <c r="L28" s="247">
        <v>218.6</v>
      </c>
      <c r="M28" s="250">
        <v>1</v>
      </c>
      <c r="N28" s="251">
        <v>1.4</v>
      </c>
      <c r="O28" s="253">
        <f>(I28*RBRushingYd)+(J28*RBRushingTD)+(K28*RBReceptions)+(L28*RBRecYd)+(M28*RBRecTD)+(N28*RBFuml)+(H28*RBRushAtt)</f>
        <v>129.82999999999998</v>
      </c>
      <c r="P28" s="1" t="str">
        <f ca="1">IF(A28&lt;=RBStarters,"Starter",IF(A28&gt;RBStarters+RBBench,"Undrafted","Bench"))</f>
        <v>Starter</v>
      </c>
      <c r="Q28" s="47">
        <f ca="1">IFERROR(MAX(O28-LARGE(O$3:O$174,RBStarters),0),0)</f>
        <v>7.5099999999999909</v>
      </c>
      <c r="R28" s="47">
        <f ca="1">IFERROR(IF(AllowNegative="Yes",O28-LARGE(O$3:O$174,RBCount),MAX(O28-LARGE(O$3:O$174,RBCount),0)),0)</f>
        <v>60.589999999999975</v>
      </c>
      <c r="S28" s="108">
        <f ca="1">(R28-Q28)*BenchPF+Q28*StarterPF</f>
        <v>15.993444358009246</v>
      </c>
      <c r="T28" s="108">
        <f ca="1">S28*Auction!$A$2</f>
        <v>15.993444358009246</v>
      </c>
      <c r="U28" s="25" t="str">
        <f>IF(OR(INDEX(Auction!$H$13:$H$683,MATCH(B28,Auction!$A$13:$A$683,0))&gt;0,IFERROR(INDEX(CheatSheet!$M$5:$M$64,MATCH(B28,CheatSheet!$J$5:$J$64,0)),"")&lt;&gt;""),"Yes","No")</f>
        <v>No</v>
      </c>
      <c r="V28" s="218"/>
      <c r="W28" s="1"/>
      <c r="X28" s="100">
        <f t="shared" ca="1" si="2"/>
        <v>1</v>
      </c>
      <c r="Y28" s="1">
        <f t="shared" ca="1" si="3"/>
        <v>34.049999999999983</v>
      </c>
      <c r="Z28" s="145" t="str">
        <f t="shared" ca="1" si="1"/>
        <v>RB9</v>
      </c>
      <c r="AA28" s="1">
        <f ca="1">Y28*LeagueInfo!$H$5</f>
        <v>15.572458605930141</v>
      </c>
      <c r="AB28" s="1"/>
      <c r="AC28" s="1"/>
    </row>
    <row r="29" spans="1:29" x14ac:dyDescent="0.25">
      <c r="A29" s="1">
        <f>RANK(O29,O$3:O$174)</f>
        <v>27</v>
      </c>
      <c r="B29" s="1" t="s">
        <v>205</v>
      </c>
      <c r="C29" s="1" t="s">
        <v>32</v>
      </c>
      <c r="D29" s="1">
        <f>VLOOKUP(E29,BYEs!$A$2:$B$34,2,FALSE)</f>
        <v>10</v>
      </c>
      <c r="E29" s="1" t="s">
        <v>371</v>
      </c>
      <c r="F29" s="249">
        <v>0</v>
      </c>
      <c r="G29" s="250">
        <v>0</v>
      </c>
      <c r="H29" s="249">
        <v>182.1</v>
      </c>
      <c r="I29" s="247">
        <v>723.5</v>
      </c>
      <c r="J29" s="250">
        <v>5</v>
      </c>
      <c r="K29" s="249">
        <v>31.7</v>
      </c>
      <c r="L29" s="247">
        <v>223.4</v>
      </c>
      <c r="M29" s="250">
        <v>1</v>
      </c>
      <c r="N29" s="251">
        <v>1.5</v>
      </c>
      <c r="O29" s="253">
        <f>(I29*RBRushingYd)+(J29*RBRushingTD)+(K29*RBReceptions)+(L29*RBRecYd)+(M29*RBRecTD)+(N29*RBFuml)+(H29*RBRushAtt)</f>
        <v>127.69</v>
      </c>
      <c r="P29" s="1" t="str">
        <f ca="1">IF(A29&lt;=RBStarters,"Starter",IF(A29&gt;RBStarters+RBBench,"Undrafted","Bench"))</f>
        <v>Starter</v>
      </c>
      <c r="Q29" s="47">
        <f ca="1">IFERROR(MAX(O29-LARGE(O$3:O$174,RBStarters),0),0)</f>
        <v>5.3700000000000045</v>
      </c>
      <c r="R29" s="47">
        <f ca="1">IFERROR(IF(AllowNegative="Yes",O29-LARGE(O$3:O$174,RBCount),MAX(O29-LARGE(O$3:O$174,RBCount),0)),0)</f>
        <v>58.449999999999989</v>
      </c>
      <c r="S29" s="108">
        <f ca="1">(R29-Q29)*BenchPF+Q29*StarterPF</f>
        <v>15.058510932296464</v>
      </c>
      <c r="T29" s="108">
        <f ca="1">S29*Auction!$A$2</f>
        <v>15.058510932296464</v>
      </c>
      <c r="U29" s="25" t="str">
        <f>IF(OR(INDEX(Auction!$H$13:$H$683,MATCH(B29,Auction!$A$13:$A$683,0))&gt;0,IFERROR(INDEX(CheatSheet!$M$5:$M$64,MATCH(B29,CheatSheet!$J$5:$J$64,0)),"")&lt;&gt;""),"Yes","No")</f>
        <v>No</v>
      </c>
      <c r="V29" s="218"/>
      <c r="W29" s="1"/>
      <c r="X29" s="100">
        <f t="shared" ca="1" si="2"/>
        <v>1</v>
      </c>
      <c r="Y29" s="1">
        <f t="shared" ca="1" si="3"/>
        <v>31.909999999999997</v>
      </c>
      <c r="Z29" s="145" t="str">
        <f t="shared" ca="1" si="1"/>
        <v>RB9</v>
      </c>
      <c r="AA29" s="1">
        <f ca="1">Y29*LeagueInfo!$H$5</f>
        <v>14.593749019536887</v>
      </c>
      <c r="AB29" s="1"/>
      <c r="AC29" s="1"/>
    </row>
    <row r="30" spans="1:29" x14ac:dyDescent="0.25">
      <c r="A30" s="1">
        <f>RANK(O30,O$3:O$174)</f>
        <v>28</v>
      </c>
      <c r="B30" s="1" t="s">
        <v>173</v>
      </c>
      <c r="C30" s="1" t="s">
        <v>32</v>
      </c>
      <c r="D30" s="1">
        <f>VLOOKUP(E30,BYEs!$A$2:$B$34,2,FALSE)</f>
        <v>8</v>
      </c>
      <c r="E30" s="1" t="s">
        <v>368</v>
      </c>
      <c r="F30" s="249">
        <v>0</v>
      </c>
      <c r="G30" s="250">
        <v>0</v>
      </c>
      <c r="H30" s="249">
        <v>192.6</v>
      </c>
      <c r="I30" s="247">
        <v>780.7</v>
      </c>
      <c r="J30" s="250">
        <v>3.8</v>
      </c>
      <c r="K30" s="249">
        <v>25.2</v>
      </c>
      <c r="L30" s="247">
        <v>213.7</v>
      </c>
      <c r="M30" s="250">
        <v>1</v>
      </c>
      <c r="N30" s="251">
        <v>1.3</v>
      </c>
      <c r="O30" s="253">
        <f>(I30*RBRushingYd)+(J30*RBRushingTD)+(K30*RBReceptions)+(L30*RBRecYd)+(M30*RBRecTD)+(N30*RBFuml)+(H30*RBRushAtt)</f>
        <v>125.64000000000001</v>
      </c>
      <c r="P30" s="1" t="str">
        <f ca="1">IF(A30&lt;=RBStarters,"Starter",IF(A30&gt;RBStarters+RBBench,"Undrafted","Bench"))</f>
        <v>Starter</v>
      </c>
      <c r="Q30" s="47">
        <f ca="1">IFERROR(MAX(O30-LARGE(O$3:O$174,RBStarters),0),0)</f>
        <v>3.3200000000000216</v>
      </c>
      <c r="R30" s="47">
        <f ca="1">IFERROR(IF(AllowNegative="Yes",O30-LARGE(O$3:O$174,RBCount),MAX(O30-LARGE(O$3:O$174,RBCount),0)),0)</f>
        <v>56.400000000000006</v>
      </c>
      <c r="S30" s="108">
        <f ca="1">(R30-Q30)*BenchPF+Q30*StarterPF</f>
        <v>14.162897136637028</v>
      </c>
      <c r="T30" s="108">
        <f ca="1">S30*Auction!$A$2</f>
        <v>14.162897136637028</v>
      </c>
      <c r="U30" s="25" t="str">
        <f>IF(OR(INDEX(Auction!$H$13:$H$683,MATCH(B30,Auction!$A$13:$A$683,0))&gt;0,IFERROR(INDEX(CheatSheet!$M$5:$M$64,MATCH(B30,CheatSheet!$J$5:$J$64,0)),"")&lt;&gt;""),"Yes","No")</f>
        <v>No</v>
      </c>
      <c r="V30" s="218"/>
      <c r="W30" s="1"/>
      <c r="X30" s="100">
        <f t="shared" ca="1" si="2"/>
        <v>1</v>
      </c>
      <c r="Y30" s="1">
        <f t="shared" ca="1" si="3"/>
        <v>29.860000000000014</v>
      </c>
      <c r="Z30" s="145" t="str">
        <f t="shared" ca="1" si="1"/>
        <v>RB9</v>
      </c>
      <c r="AA30" s="1">
        <f ca="1">Y30*LeagueInfo!$H$5</f>
        <v>13.656200116683538</v>
      </c>
      <c r="AB30" s="1"/>
      <c r="AC30" s="1"/>
    </row>
    <row r="31" spans="1:29" x14ac:dyDescent="0.25">
      <c r="A31" s="1">
        <f>RANK(O31,O$3:O$174)</f>
        <v>29</v>
      </c>
      <c r="B31" s="1" t="s">
        <v>140</v>
      </c>
      <c r="C31" s="1" t="s">
        <v>32</v>
      </c>
      <c r="D31" s="1">
        <f>VLOOKUP(E31,BYEs!$A$2:$B$34,2,FALSE)</f>
        <v>9</v>
      </c>
      <c r="E31" s="1" t="s">
        <v>351</v>
      </c>
      <c r="F31" s="249">
        <v>0</v>
      </c>
      <c r="G31" s="250">
        <v>0</v>
      </c>
      <c r="H31" s="249">
        <v>151.6</v>
      </c>
      <c r="I31" s="247">
        <v>708.4</v>
      </c>
      <c r="J31" s="250">
        <v>7.1</v>
      </c>
      <c r="K31" s="249">
        <v>13.5</v>
      </c>
      <c r="L31" s="247">
        <v>103.9</v>
      </c>
      <c r="M31" s="250">
        <v>0.5</v>
      </c>
      <c r="N31" s="251">
        <v>1.2</v>
      </c>
      <c r="O31" s="253">
        <f>(I31*RBRushingYd)+(J31*RBRushingTD)+(K31*RBReceptions)+(L31*RBRecYd)+(M31*RBRecTD)+(N31*RBFuml)+(H31*RBRushAtt)</f>
        <v>124.42999999999999</v>
      </c>
      <c r="P31" s="1" t="str">
        <f ca="1">IF(A31&lt;=RBStarters,"Starter",IF(A31&gt;RBStarters+RBBench,"Undrafted","Bench"))</f>
        <v>Starter</v>
      </c>
      <c r="Q31" s="47">
        <f ca="1">IFERROR(MAX(O31-LARGE(O$3:O$174,RBStarters),0),0)</f>
        <v>2.1099999999999994</v>
      </c>
      <c r="R31" s="47">
        <f ca="1">IFERROR(IF(AllowNegative="Yes",O31-LARGE(O$3:O$174,RBCount),MAX(O31-LARGE(O$3:O$174,RBCount),0)),0)</f>
        <v>55.189999999999984</v>
      </c>
      <c r="S31" s="108">
        <f ca="1">(R31-Q31)*BenchPF+Q31*StarterPF</f>
        <v>13.634266554808761</v>
      </c>
      <c r="T31" s="108">
        <f ca="1">S31*Auction!$A$2</f>
        <v>13.634266554808761</v>
      </c>
      <c r="U31" s="25" t="str">
        <f>IF(OR(INDEX(Auction!$H$13:$H$683,MATCH(B31,Auction!$A$13:$A$683,0))&gt;0,IFERROR(INDEX(CheatSheet!$M$5:$M$64,MATCH(B31,CheatSheet!$J$5:$J$64,0)),"")&lt;&gt;""),"Yes","No")</f>
        <v>No</v>
      </c>
      <c r="V31" s="218"/>
      <c r="W31" s="1"/>
      <c r="X31" s="100">
        <f t="shared" ca="1" si="2"/>
        <v>1</v>
      </c>
      <c r="Y31" s="1">
        <f t="shared" ca="1" si="3"/>
        <v>28.649999999999991</v>
      </c>
      <c r="Z31" s="145" t="str">
        <f t="shared" ca="1" si="1"/>
        <v>RB9</v>
      </c>
      <c r="AA31" s="1">
        <f ca="1">Y31*LeagueInfo!$H$5</f>
        <v>13.102817593535937</v>
      </c>
      <c r="AB31" s="1"/>
      <c r="AC31" s="1"/>
    </row>
    <row r="32" spans="1:29" x14ac:dyDescent="0.25">
      <c r="A32" s="1">
        <f>RANK(O32,O$3:O$174)</f>
        <v>30</v>
      </c>
      <c r="B32" s="1" t="s">
        <v>432</v>
      </c>
      <c r="C32" s="1" t="s">
        <v>32</v>
      </c>
      <c r="D32" s="1">
        <f>VLOOKUP(E32,BYEs!$A$2:$B$34,2,FALSE)</f>
        <v>5</v>
      </c>
      <c r="E32" s="1" t="s">
        <v>358</v>
      </c>
      <c r="F32" s="249">
        <v>0</v>
      </c>
      <c r="G32" s="250">
        <v>0</v>
      </c>
      <c r="H32" s="249">
        <v>183.9</v>
      </c>
      <c r="I32" s="247">
        <v>761.9</v>
      </c>
      <c r="J32" s="250">
        <v>5.6</v>
      </c>
      <c r="K32" s="249">
        <v>16.100000000000001</v>
      </c>
      <c r="L32" s="247">
        <v>121.3</v>
      </c>
      <c r="M32" s="250">
        <v>0.5</v>
      </c>
      <c r="N32" s="251">
        <v>1.3</v>
      </c>
      <c r="O32" s="253">
        <f>(I32*RBRushingYd)+(J32*RBRushingTD)+(K32*RBReceptions)+(L32*RBRecYd)+(M32*RBRecTD)+(N32*RBFuml)+(H32*RBRushAtt)</f>
        <v>122.32</v>
      </c>
      <c r="P32" s="1" t="str">
        <f ca="1">IF(A32&lt;=RBStarters,"Starter",IF(A32&gt;RBStarters+RBBench,"Undrafted","Bench"))</f>
        <v>Starter</v>
      </c>
      <c r="Q32" s="47">
        <f ca="1">IFERROR(MAX(O32-LARGE(O$3:O$174,RBStarters),0),0)</f>
        <v>0</v>
      </c>
      <c r="R32" s="47">
        <f ca="1">IFERROR(IF(AllowNegative="Yes",O32-LARGE(O$3:O$174,RBCount),MAX(O32-LARGE(O$3:O$174,RBCount),0)),0)</f>
        <v>53.079999999999984</v>
      </c>
      <c r="S32" s="108">
        <f ca="1">(R32-Q32)*BenchPF+Q32*StarterPF</f>
        <v>12.71243967244709</v>
      </c>
      <c r="T32" s="108">
        <f ca="1">S32*Auction!$A$2</f>
        <v>12.71243967244709</v>
      </c>
      <c r="U32" s="25" t="str">
        <f>IF(OR(INDEX(Auction!$H$13:$H$683,MATCH(B32,Auction!$A$13:$A$683,0))&gt;0,IFERROR(INDEX(CheatSheet!$M$5:$M$64,MATCH(B32,CheatSheet!$J$5:$J$64,0)),"")&lt;&gt;""),"Yes","No")</f>
        <v>No</v>
      </c>
      <c r="V32" s="218"/>
      <c r="W32" s="1"/>
      <c r="X32" s="100">
        <f t="shared" ca="1" si="2"/>
        <v>1</v>
      </c>
      <c r="Y32" s="1">
        <f t="shared" ca="1" si="3"/>
        <v>26.539999999999992</v>
      </c>
      <c r="Z32" s="145" t="str">
        <f t="shared" ca="1" si="1"/>
        <v>RB9</v>
      </c>
      <c r="AA32" s="1">
        <f ca="1">Y32*LeagueInfo!$H$5</f>
        <v>12.137828234989311</v>
      </c>
      <c r="AB32" s="1"/>
      <c r="AC32" s="1"/>
    </row>
    <row r="33" spans="1:29" x14ac:dyDescent="0.25">
      <c r="A33" s="1">
        <f>RANK(O33,O$3:O$174)</f>
        <v>31</v>
      </c>
      <c r="B33" s="1" t="s">
        <v>132</v>
      </c>
      <c r="C33" s="1" t="s">
        <v>32</v>
      </c>
      <c r="D33" s="1">
        <f>VLOOKUP(E33,BYEs!$A$2:$B$34,2,FALSE)</f>
        <v>6</v>
      </c>
      <c r="E33" s="1" t="s">
        <v>354</v>
      </c>
      <c r="F33" s="249">
        <v>0</v>
      </c>
      <c r="G33" s="250">
        <v>0</v>
      </c>
      <c r="H33" s="249">
        <v>169.4</v>
      </c>
      <c r="I33" s="247">
        <v>735.2</v>
      </c>
      <c r="J33" s="250">
        <v>4.9000000000000004</v>
      </c>
      <c r="K33" s="249">
        <v>19.8</v>
      </c>
      <c r="L33" s="247">
        <v>157.69999999999999</v>
      </c>
      <c r="M33" s="250">
        <v>0.9</v>
      </c>
      <c r="N33" s="251">
        <v>1.1000000000000001</v>
      </c>
      <c r="O33" s="253">
        <f>(I33*RBRushingYd)+(J33*RBRushingTD)+(K33*RBReceptions)+(L33*RBRecYd)+(M33*RBRecTD)+(N33*RBFuml)+(H33*RBRushAtt)</f>
        <v>121.89000000000001</v>
      </c>
      <c r="P33" s="1" t="str">
        <f ca="1">IF(A33&lt;=RBStarters,"Starter",IF(A33&gt;RBStarters+RBBench,"Undrafted","Bench"))</f>
        <v>Bench</v>
      </c>
      <c r="Q33" s="47">
        <f ca="1">IFERROR(MAX(O33-LARGE(O$3:O$174,RBStarters),0),0)</f>
        <v>0</v>
      </c>
      <c r="R33" s="47">
        <f ca="1">IFERROR(IF(AllowNegative="Yes",O33-LARGE(O$3:O$174,RBCount),MAX(O33-LARGE(O$3:O$174,RBCount),0)),0)</f>
        <v>52.650000000000006</v>
      </c>
      <c r="S33" s="108">
        <f ca="1">(R33-Q33)*BenchPF+Q33*StarterPF</f>
        <v>12.609456457316117</v>
      </c>
      <c r="T33" s="108">
        <f ca="1">S33*Auction!$A$2</f>
        <v>12.609456457316117</v>
      </c>
      <c r="U33" s="25" t="str">
        <f>IF(OR(INDEX(Auction!$H$13:$H$683,MATCH(B33,Auction!$A$13:$A$683,0))&gt;0,IFERROR(INDEX(CheatSheet!$M$5:$M$64,MATCH(B33,CheatSheet!$J$5:$J$64,0)),"")&lt;&gt;""),"Yes","No")</f>
        <v>No</v>
      </c>
      <c r="V33" s="218"/>
      <c r="W33" s="1"/>
      <c r="X33" s="100">
        <f t="shared" ca="1" si="2"/>
        <v>1</v>
      </c>
      <c r="Y33" s="1">
        <f t="shared" ca="1" si="3"/>
        <v>26.325000000000003</v>
      </c>
      <c r="Z33" s="145" t="str">
        <f t="shared" ca="1" si="1"/>
        <v>RB9</v>
      </c>
      <c r="AA33" s="1">
        <f ca="1">Y33*LeagueInfo!$H$5</f>
        <v>12.039499935421768</v>
      </c>
      <c r="AB33" s="1"/>
      <c r="AC33" s="1"/>
    </row>
    <row r="34" spans="1:29" x14ac:dyDescent="0.25">
      <c r="A34" s="1">
        <f>RANK(O34,O$3:O$174)</f>
        <v>32</v>
      </c>
      <c r="B34" s="1" t="s">
        <v>158</v>
      </c>
      <c r="C34" s="1" t="s">
        <v>32</v>
      </c>
      <c r="D34" s="1">
        <f>VLOOKUP(E34,BYEs!$A$2:$B$34,2,FALSE)</f>
        <v>11</v>
      </c>
      <c r="E34" s="1" t="s">
        <v>356</v>
      </c>
      <c r="F34" s="249">
        <v>0</v>
      </c>
      <c r="G34" s="250">
        <v>0</v>
      </c>
      <c r="H34" s="249">
        <v>180.7</v>
      </c>
      <c r="I34" s="247">
        <v>714</v>
      </c>
      <c r="J34" s="250">
        <v>4.7</v>
      </c>
      <c r="K34" s="249">
        <v>20.399999999999999</v>
      </c>
      <c r="L34" s="247">
        <v>162.1</v>
      </c>
      <c r="M34" s="250">
        <v>0.8</v>
      </c>
      <c r="N34" s="251">
        <v>2.7</v>
      </c>
      <c r="O34" s="253">
        <f>(I34*RBRushingYd)+(J34*RBRushingTD)+(K34*RBReceptions)+(L34*RBRecYd)+(M34*RBRecTD)+(N34*RBFuml)+(H34*RBRushAtt)</f>
        <v>115.21</v>
      </c>
      <c r="P34" s="1" t="str">
        <f ca="1">IF(A34&lt;=RBStarters,"Starter",IF(A34&gt;RBStarters+RBBench,"Undrafted","Bench"))</f>
        <v>Bench</v>
      </c>
      <c r="Q34" s="47">
        <f ca="1">IFERROR(MAX(O34-LARGE(O$3:O$174,RBStarters),0),0)</f>
        <v>0</v>
      </c>
      <c r="R34" s="47">
        <f ca="1">IFERROR(IF(AllowNegative="Yes",O34-LARGE(O$3:O$174,RBCount),MAX(O34-LARGE(O$3:O$174,RBCount),0)),0)</f>
        <v>45.969999999999985</v>
      </c>
      <c r="S34" s="108">
        <f ca="1">(R34-Q34)*BenchPF+Q34*StarterPF</f>
        <v>11.009624185048844</v>
      </c>
      <c r="T34" s="108">
        <f ca="1">S34*Auction!$A$2</f>
        <v>11.009624185048844</v>
      </c>
      <c r="U34" s="25" t="str">
        <f>IF(OR(INDEX(Auction!$H$13:$H$683,MATCH(B34,Auction!$A$13:$A$683,0))&gt;0,IFERROR(INDEX(CheatSheet!$M$5:$M$64,MATCH(B34,CheatSheet!$J$5:$J$64,0)),"")&lt;&gt;""),"Yes","No")</f>
        <v>No</v>
      </c>
      <c r="V34" s="218"/>
      <c r="W34" s="1"/>
      <c r="X34" s="100">
        <f t="shared" ca="1" si="2"/>
        <v>1</v>
      </c>
      <c r="Y34" s="1">
        <f t="shared" ca="1" si="3"/>
        <v>22.984999999999992</v>
      </c>
      <c r="Z34" s="145" t="str">
        <f t="shared" ca="1" si="1"/>
        <v>RB9</v>
      </c>
      <c r="AA34" s="1">
        <f ca="1">Y34*LeagueInfo!$H$5</f>
        <v>10.511981235163123</v>
      </c>
      <c r="AB34" s="1"/>
      <c r="AC34" s="1"/>
    </row>
    <row r="35" spans="1:29" x14ac:dyDescent="0.25">
      <c r="A35" s="1">
        <f>RANK(O35,O$3:O$174)</f>
        <v>33</v>
      </c>
      <c r="B35" s="1" t="s">
        <v>185</v>
      </c>
      <c r="C35" s="1" t="s">
        <v>32</v>
      </c>
      <c r="D35" s="1">
        <f>VLOOKUP(E35,BYEs!$A$2:$B$34,2,FALSE)</f>
        <v>11</v>
      </c>
      <c r="E35" s="1" t="s">
        <v>357</v>
      </c>
      <c r="F35" s="249">
        <v>0</v>
      </c>
      <c r="G35" s="250">
        <v>0</v>
      </c>
      <c r="H35" s="249">
        <v>177.4</v>
      </c>
      <c r="I35" s="247">
        <v>724.9</v>
      </c>
      <c r="J35" s="250">
        <v>5.5</v>
      </c>
      <c r="K35" s="249">
        <v>11.5</v>
      </c>
      <c r="L35" s="247">
        <v>87.2</v>
      </c>
      <c r="M35" s="250">
        <v>0.4</v>
      </c>
      <c r="N35" s="251">
        <v>2.2999999999999998</v>
      </c>
      <c r="O35" s="253">
        <f>(I35*RBRushingYd)+(J35*RBRushingTD)+(K35*RBReceptions)+(L35*RBRecYd)+(M35*RBRecTD)+(N35*RBFuml)+(H35*RBRushAtt)</f>
        <v>112.01</v>
      </c>
      <c r="P35" s="1" t="str">
        <f ca="1">IF(A35&lt;=RBStarters,"Starter",IF(A35&gt;RBStarters+RBBench,"Undrafted","Bench"))</f>
        <v>Bench</v>
      </c>
      <c r="Q35" s="47">
        <f ca="1">IFERROR(MAX(O35-LARGE(O$3:O$174,RBStarters),0),0)</f>
        <v>0</v>
      </c>
      <c r="R35" s="47">
        <f ca="1">IFERROR(IF(AllowNegative="Yes",O35-LARGE(O$3:O$174,RBCount),MAX(O35-LARGE(O$3:O$174,RBCount),0)),0)</f>
        <v>42.769999999999996</v>
      </c>
      <c r="S35" s="108">
        <f ca="1">(R35-Q35)*BenchPF+Q35*StarterPF</f>
        <v>10.243237467795065</v>
      </c>
      <c r="T35" s="108">
        <f ca="1">S35*Auction!$A$2</f>
        <v>10.243237467795065</v>
      </c>
      <c r="U35" s="25" t="str">
        <f>IF(OR(INDEX(Auction!$H$13:$H$683,MATCH(B35,Auction!$A$13:$A$683,0))&gt;0,IFERROR(INDEX(CheatSheet!$M$5:$M$64,MATCH(B35,CheatSheet!$J$5:$J$64,0)),"")&lt;&gt;""),"Yes","No")</f>
        <v>No</v>
      </c>
      <c r="V35" s="218"/>
      <c r="W35" s="1"/>
      <c r="X35" s="100">
        <f t="shared" ca="1" si="2"/>
        <v>1</v>
      </c>
      <c r="Y35" s="1">
        <f t="shared" ca="1" si="3"/>
        <v>21.384999999999998</v>
      </c>
      <c r="Z35" s="145" t="str">
        <f t="shared" ref="Z35:Z66" ca="1" si="4">CONCATENATE("RB",ROUND((LARGE($Y$3:$Y$174,1)-$Y35)/(STDEVP($Y$3:$Y$174)/2)+1,0))</f>
        <v>RB9</v>
      </c>
      <c r="AA35" s="1">
        <f ca="1">Y35*LeagueInfo!$H$5</f>
        <v>9.780235750009286</v>
      </c>
      <c r="AB35" s="1"/>
      <c r="AC35" s="1"/>
    </row>
    <row r="36" spans="1:29" x14ac:dyDescent="0.25">
      <c r="A36" s="1">
        <f>RANK(O36,O$3:O$174)</f>
        <v>34</v>
      </c>
      <c r="B36" s="1" t="s">
        <v>194</v>
      </c>
      <c r="C36" s="1" t="s">
        <v>32</v>
      </c>
      <c r="D36" s="1">
        <f>VLOOKUP(E36,BYEs!$A$2:$B$34,2,FALSE)</f>
        <v>10</v>
      </c>
      <c r="E36" s="1" t="s">
        <v>371</v>
      </c>
      <c r="F36" s="249">
        <v>0</v>
      </c>
      <c r="G36" s="250">
        <v>0</v>
      </c>
      <c r="H36" s="249">
        <v>82.1</v>
      </c>
      <c r="I36" s="247">
        <v>344.5</v>
      </c>
      <c r="J36" s="250">
        <v>2.2000000000000002</v>
      </c>
      <c r="K36" s="249">
        <v>59.7</v>
      </c>
      <c r="L36" s="247">
        <v>477.5</v>
      </c>
      <c r="M36" s="250">
        <v>2.9</v>
      </c>
      <c r="N36" s="251">
        <v>1</v>
      </c>
      <c r="O36" s="253">
        <f>(I36*RBRushingYd)+(J36*RBRushingTD)+(K36*RBReceptions)+(L36*RBRecYd)+(M36*RBRecTD)+(N36*RBFuml)+(H36*RBRushAtt)</f>
        <v>110.80000000000001</v>
      </c>
      <c r="P36" s="1" t="str">
        <f ca="1">IF(A36&lt;=RBStarters,"Starter",IF(A36&gt;RBStarters+RBBench,"Undrafted","Bench"))</f>
        <v>Bench</v>
      </c>
      <c r="Q36" s="47">
        <f ca="1">IFERROR(MAX(O36-LARGE(O$3:O$174,RBStarters),0),0)</f>
        <v>0</v>
      </c>
      <c r="R36" s="47">
        <f ca="1">IFERROR(IF(AllowNegative="Yes",O36-LARGE(O$3:O$174,RBCount),MAX(O36-LARGE(O$3:O$174,RBCount),0)),0)</f>
        <v>41.56</v>
      </c>
      <c r="S36" s="108">
        <f ca="1">(R36-Q36)*BenchPF+Q36*StarterPF</f>
        <v>9.9534474903334811</v>
      </c>
      <c r="T36" s="108">
        <f ca="1">S36*Auction!$A$2</f>
        <v>9.9534474903334811</v>
      </c>
      <c r="U36" s="25" t="str">
        <f>IF(OR(INDEX(Auction!$H$13:$H$683,MATCH(B36,Auction!$A$13:$A$683,0))&gt;0,IFERROR(INDEX(CheatSheet!$M$5:$M$64,MATCH(B36,CheatSheet!$J$5:$J$64,0)),"")&lt;&gt;""),"Yes","No")</f>
        <v>No</v>
      </c>
      <c r="V36" s="218"/>
      <c r="W36" s="1"/>
      <c r="X36" s="100">
        <f t="shared" ca="1" si="2"/>
        <v>1</v>
      </c>
      <c r="Y36" s="1">
        <f t="shared" ca="1" si="3"/>
        <v>20.78</v>
      </c>
      <c r="Z36" s="145" t="str">
        <f t="shared" ca="1" si="4"/>
        <v>RB9</v>
      </c>
      <c r="AA36" s="1">
        <f ca="1">Y36*LeagueInfo!$H$5</f>
        <v>9.5035444884354927</v>
      </c>
      <c r="AB36" s="1"/>
      <c r="AC36" s="1"/>
    </row>
    <row r="37" spans="1:29" x14ac:dyDescent="0.25">
      <c r="A37" s="1">
        <f>RANK(O37,O$3:O$174)</f>
        <v>35</v>
      </c>
      <c r="B37" s="1" t="s">
        <v>211</v>
      </c>
      <c r="C37" s="1" t="s">
        <v>32</v>
      </c>
      <c r="D37" s="1">
        <f>VLOOKUP(E37,BYEs!$A$2:$B$34,2,FALSE)</f>
        <v>7</v>
      </c>
      <c r="E37" s="1" t="s">
        <v>362</v>
      </c>
      <c r="F37" s="249">
        <v>0</v>
      </c>
      <c r="G37" s="250">
        <v>0</v>
      </c>
      <c r="H37" s="249">
        <v>78.8</v>
      </c>
      <c r="I37" s="247">
        <v>301</v>
      </c>
      <c r="J37" s="250">
        <v>2</v>
      </c>
      <c r="K37" s="249">
        <v>61.6</v>
      </c>
      <c r="L37" s="247">
        <v>489.6</v>
      </c>
      <c r="M37" s="250">
        <v>3.4</v>
      </c>
      <c r="N37" s="251">
        <v>1</v>
      </c>
      <c r="O37" s="253">
        <f>(I37*RBRushingYd)+(J37*RBRushingTD)+(K37*RBReceptions)+(L37*RBRecYd)+(M37*RBRecTD)+(N37*RBFuml)+(H37*RBRushAtt)</f>
        <v>109.46000000000001</v>
      </c>
      <c r="P37" s="1" t="str">
        <f ca="1">IF(A37&lt;=RBStarters,"Starter",IF(A37&gt;RBStarters+RBBench,"Undrafted","Bench"))</f>
        <v>Bench</v>
      </c>
      <c r="Q37" s="47">
        <f ca="1">IFERROR(MAX(O37-LARGE(O$3:O$174,RBStarters),0),0)</f>
        <v>0</v>
      </c>
      <c r="R37" s="47">
        <f ca="1">IFERROR(IF(AllowNegative="Yes",O37-LARGE(O$3:O$174,RBCount),MAX(O37-LARGE(O$3:O$174,RBCount),0)),0)</f>
        <v>40.22</v>
      </c>
      <c r="S37" s="108">
        <f ca="1">(R37-Q37)*BenchPF+Q37*StarterPF</f>
        <v>9.6325230524834602</v>
      </c>
      <c r="T37" s="108">
        <f ca="1">S37*Auction!$A$2</f>
        <v>9.6325230524834602</v>
      </c>
      <c r="U37" s="25" t="str">
        <f>IF(OR(INDEX(Auction!$H$13:$H$683,MATCH(B37,Auction!$A$13:$A$683,0))&gt;0,IFERROR(INDEX(CheatSheet!$M$5:$M$64,MATCH(B37,CheatSheet!$J$5:$J$64,0)),"")&lt;&gt;""),"Yes","No")</f>
        <v>No</v>
      </c>
      <c r="V37" s="218"/>
      <c r="W37" s="1"/>
      <c r="X37" s="100">
        <f t="shared" ca="1" si="2"/>
        <v>1</v>
      </c>
      <c r="Y37" s="1">
        <f t="shared" ca="1" si="3"/>
        <v>20.11</v>
      </c>
      <c r="Z37" s="145" t="str">
        <f t="shared" ca="1" si="4"/>
        <v>RB9</v>
      </c>
      <c r="AA37" s="1">
        <f ca="1">Y37*LeagueInfo!$H$5</f>
        <v>9.1971260665273213</v>
      </c>
      <c r="AB37" s="1"/>
      <c r="AC37" s="1"/>
    </row>
    <row r="38" spans="1:29" x14ac:dyDescent="0.25">
      <c r="A38" s="1">
        <f>RANK(O38,O$3:O$174)</f>
        <v>36</v>
      </c>
      <c r="B38" s="1" t="s">
        <v>160</v>
      </c>
      <c r="C38" s="1" t="s">
        <v>32</v>
      </c>
      <c r="D38" s="1">
        <f>VLOOKUP(E38,BYEs!$A$2:$B$34,2,FALSE)</f>
        <v>5</v>
      </c>
      <c r="E38" s="1" t="s">
        <v>352</v>
      </c>
      <c r="F38" s="249">
        <v>0</v>
      </c>
      <c r="G38" s="250">
        <v>0</v>
      </c>
      <c r="H38" s="249">
        <v>154.30000000000001</v>
      </c>
      <c r="I38" s="247">
        <v>638.6</v>
      </c>
      <c r="J38" s="250">
        <v>5.6</v>
      </c>
      <c r="K38" s="249">
        <v>21.7</v>
      </c>
      <c r="L38" s="247">
        <v>145</v>
      </c>
      <c r="M38" s="250">
        <v>0.4</v>
      </c>
      <c r="N38" s="251">
        <v>3</v>
      </c>
      <c r="O38" s="253">
        <f>(I38*RBRushingYd)+(J38*RBRushingTD)+(K38*RBReceptions)+(L38*RBRecYd)+(M38*RBRecTD)+(N38*RBFuml)+(H38*RBRushAtt)</f>
        <v>108.36000000000001</v>
      </c>
      <c r="P38" s="1" t="str">
        <f ca="1">IF(A38&lt;=RBStarters,"Starter",IF(A38&gt;RBStarters+RBBench,"Undrafted","Bench"))</f>
        <v>Bench</v>
      </c>
      <c r="Q38" s="47">
        <f ca="1">IFERROR(MAX(O38-LARGE(O$3:O$174,RBStarters),0),0)</f>
        <v>0</v>
      </c>
      <c r="R38" s="47">
        <f ca="1">IFERROR(IF(AllowNegative="Yes",O38-LARGE(O$3:O$174,RBCount),MAX(O38-LARGE(O$3:O$174,RBCount),0)),0)</f>
        <v>39.120000000000005</v>
      </c>
      <c r="S38" s="108">
        <f ca="1">(R38-Q38)*BenchPF+Q38*StarterPF</f>
        <v>9.3690776184274736</v>
      </c>
      <c r="T38" s="108">
        <f ca="1">S38*Auction!$A$2</f>
        <v>9.3690776184274736</v>
      </c>
      <c r="U38" s="25" t="str">
        <f>IF(OR(INDEX(Auction!$H$13:$H$683,MATCH(B38,Auction!$A$13:$A$683,0))&gt;0,IFERROR(INDEX(CheatSheet!$M$5:$M$64,MATCH(B38,CheatSheet!$J$5:$J$64,0)),"")&lt;&gt;""),"Yes","No")</f>
        <v>No</v>
      </c>
      <c r="V38" s="218"/>
      <c r="W38" s="1"/>
      <c r="X38" s="100">
        <f t="shared" ca="1" si="2"/>
        <v>1</v>
      </c>
      <c r="Y38" s="1">
        <f t="shared" ca="1" si="3"/>
        <v>19.560000000000002</v>
      </c>
      <c r="Z38" s="145" t="str">
        <f t="shared" ca="1" si="4"/>
        <v>RB9</v>
      </c>
      <c r="AA38" s="1">
        <f ca="1">Y38*LeagueInfo!$H$5</f>
        <v>8.9455885560056903</v>
      </c>
      <c r="AB38" s="1"/>
      <c r="AC38" s="1"/>
    </row>
    <row r="39" spans="1:29" x14ac:dyDescent="0.25">
      <c r="A39" s="1">
        <f>RANK(O39,O$3:O$174)</f>
        <v>37</v>
      </c>
      <c r="B39" s="1" t="s">
        <v>163</v>
      </c>
      <c r="C39" s="1" t="s">
        <v>32</v>
      </c>
      <c r="D39" s="1">
        <f>VLOOKUP(E39,BYEs!$A$2:$B$34,2,FALSE)</f>
        <v>10</v>
      </c>
      <c r="E39" s="1" t="s">
        <v>369</v>
      </c>
      <c r="F39" s="249">
        <v>0</v>
      </c>
      <c r="G39" s="250">
        <v>0</v>
      </c>
      <c r="H39" s="249">
        <v>169.2</v>
      </c>
      <c r="I39" s="247">
        <v>684.9</v>
      </c>
      <c r="J39" s="250">
        <v>6</v>
      </c>
      <c r="K39" s="249">
        <v>8.4</v>
      </c>
      <c r="L39" s="247">
        <v>53.9</v>
      </c>
      <c r="M39" s="250">
        <v>0.2</v>
      </c>
      <c r="N39" s="251">
        <v>1.4</v>
      </c>
      <c r="O39" s="253">
        <f>(I39*RBRushingYd)+(J39*RBRushingTD)+(K39*RBReceptions)+(L39*RBRecYd)+(M39*RBRecTD)+(N39*RBFuml)+(H39*RBRushAtt)</f>
        <v>108.28</v>
      </c>
      <c r="P39" s="1" t="str">
        <f ca="1">IF(A39&lt;=RBStarters,"Starter",IF(A39&gt;RBStarters+RBBench,"Undrafted","Bench"))</f>
        <v>Bench</v>
      </c>
      <c r="Q39" s="47">
        <f ca="1">IFERROR(MAX(O39-LARGE(O$3:O$174,RBStarters),0),0)</f>
        <v>0</v>
      </c>
      <c r="R39" s="47">
        <f ca="1">IFERROR(IF(AllowNegative="Yes",O39-LARGE(O$3:O$174,RBCount),MAX(O39-LARGE(O$3:O$174,RBCount),0)),0)</f>
        <v>39.039999999999992</v>
      </c>
      <c r="S39" s="108">
        <f ca="1">(R39-Q39)*BenchPF+Q39*StarterPF</f>
        <v>9.3499179504961276</v>
      </c>
      <c r="T39" s="108">
        <f ca="1">S39*Auction!$A$2</f>
        <v>9.3499179504961276</v>
      </c>
      <c r="U39" s="25" t="str">
        <f>IF(OR(INDEX(Auction!$H$13:$H$683,MATCH(B39,Auction!$A$13:$A$683,0))&gt;0,IFERROR(INDEX(CheatSheet!$M$5:$M$64,MATCH(B39,CheatSheet!$J$5:$J$64,0)),"")&lt;&gt;""),"Yes","No")</f>
        <v>No</v>
      </c>
      <c r="V39" s="218"/>
      <c r="W39" s="1"/>
      <c r="X39" s="100">
        <f t="shared" ca="1" si="2"/>
        <v>1</v>
      </c>
      <c r="Y39" s="1">
        <f t="shared" ca="1" si="3"/>
        <v>19.519999999999996</v>
      </c>
      <c r="Z39" s="145" t="str">
        <f t="shared" ca="1" si="4"/>
        <v>RB9</v>
      </c>
      <c r="AA39" s="1">
        <f ca="1">Y39*LeagueInfo!$H$5</f>
        <v>8.9272949188768411</v>
      </c>
      <c r="AB39" s="1"/>
      <c r="AC39" s="1"/>
    </row>
    <row r="40" spans="1:29" x14ac:dyDescent="0.25">
      <c r="A40" s="1">
        <f>RANK(O40,O$3:O$174)</f>
        <v>38</v>
      </c>
      <c r="B40" s="1" t="s">
        <v>208</v>
      </c>
      <c r="C40" s="1" t="s">
        <v>32</v>
      </c>
      <c r="D40" s="1">
        <f>VLOOKUP(E40,BYEs!$A$2:$B$34,2,FALSE)</f>
        <v>11</v>
      </c>
      <c r="E40" s="1" t="s">
        <v>382</v>
      </c>
      <c r="F40" s="249">
        <v>0</v>
      </c>
      <c r="G40" s="250">
        <v>0</v>
      </c>
      <c r="H40" s="249">
        <v>145.69999999999999</v>
      </c>
      <c r="I40" s="247">
        <v>588.1</v>
      </c>
      <c r="J40" s="250">
        <v>3.7</v>
      </c>
      <c r="K40" s="249">
        <v>28</v>
      </c>
      <c r="L40" s="247">
        <v>225.8</v>
      </c>
      <c r="M40" s="250">
        <v>1.1000000000000001</v>
      </c>
      <c r="N40" s="251">
        <v>1.4</v>
      </c>
      <c r="O40" s="253">
        <f>(I40*RBRushingYd)+(J40*RBRushingTD)+(K40*RBReceptions)+(L40*RBRecYd)+(M40*RBRecTD)+(N40*RBFuml)+(H40*RBRushAtt)</f>
        <v>107.39</v>
      </c>
      <c r="P40" s="1" t="str">
        <f ca="1">IF(A40&lt;=RBStarters,"Starter",IF(A40&gt;RBStarters+RBBench,"Undrafted","Bench"))</f>
        <v>Bench</v>
      </c>
      <c r="Q40" s="47">
        <f ca="1">IFERROR(MAX(O40-LARGE(O$3:O$174,RBStarters),0),0)</f>
        <v>0</v>
      </c>
      <c r="R40" s="47">
        <f ca="1">IFERROR(IF(AllowNegative="Yes",O40-LARGE(O$3:O$174,RBCount),MAX(O40-LARGE(O$3:O$174,RBCount),0)),0)</f>
        <v>38.149999999999991</v>
      </c>
      <c r="S40" s="108">
        <f ca="1">(R40-Q40)*BenchPF+Q40*StarterPF</f>
        <v>9.1367666447599181</v>
      </c>
      <c r="T40" s="108">
        <f ca="1">S40*Auction!$A$2</f>
        <v>9.1367666447599181</v>
      </c>
      <c r="U40" s="25" t="str">
        <f>IF(OR(INDEX(Auction!$H$13:$H$683,MATCH(B40,Auction!$A$13:$A$683,0))&gt;0,IFERROR(INDEX(CheatSheet!$M$5:$M$64,MATCH(B40,CheatSheet!$J$5:$J$64,0)),"")&lt;&gt;""),"Yes","No")</f>
        <v>No</v>
      </c>
      <c r="V40" s="218"/>
      <c r="W40" s="1"/>
      <c r="X40" s="100">
        <f t="shared" ca="1" si="2"/>
        <v>1</v>
      </c>
      <c r="Y40" s="1">
        <f t="shared" ca="1" si="3"/>
        <v>19.074999999999996</v>
      </c>
      <c r="Z40" s="145" t="str">
        <f t="shared" ca="1" si="4"/>
        <v>RB9</v>
      </c>
      <c r="AA40" s="1">
        <f ca="1">Y40*LeagueInfo!$H$5</f>
        <v>8.7237782058184301</v>
      </c>
      <c r="AB40" s="1"/>
      <c r="AC40" s="1"/>
    </row>
    <row r="41" spans="1:29" x14ac:dyDescent="0.25">
      <c r="A41" s="1">
        <f>RANK(O41,O$3:O$174)</f>
        <v>39</v>
      </c>
      <c r="B41" s="1" t="s">
        <v>433</v>
      </c>
      <c r="C41" s="1" t="s">
        <v>32</v>
      </c>
      <c r="D41" s="1">
        <f>VLOOKUP(E41,BYEs!$A$2:$B$34,2,FALSE)</f>
        <v>9</v>
      </c>
      <c r="E41" s="1" t="s">
        <v>387</v>
      </c>
      <c r="F41" s="249">
        <v>0</v>
      </c>
      <c r="G41" s="250">
        <v>0</v>
      </c>
      <c r="H41" s="249">
        <v>85.9</v>
      </c>
      <c r="I41" s="247">
        <v>365.6</v>
      </c>
      <c r="J41" s="250">
        <v>1.9</v>
      </c>
      <c r="K41" s="249">
        <v>56.9</v>
      </c>
      <c r="L41" s="247">
        <v>494.9</v>
      </c>
      <c r="M41" s="250">
        <v>1.8</v>
      </c>
      <c r="N41" s="251">
        <v>1.2</v>
      </c>
      <c r="O41" s="253">
        <f>(I41*RBRushingYd)+(J41*RBRushingTD)+(K41*RBReceptions)+(L41*RBRecYd)+(M41*RBRecTD)+(N41*RBFuml)+(H41*RBRushAtt)</f>
        <v>105.85</v>
      </c>
      <c r="P41" s="1" t="str">
        <f ca="1">IF(A41&lt;=RBStarters,"Starter",IF(A41&gt;RBStarters+RBBench,"Undrafted","Bench"))</f>
        <v>Bench</v>
      </c>
      <c r="Q41" s="47">
        <f ca="1">IFERROR(MAX(O41-LARGE(O$3:O$174,RBStarters),0),0)</f>
        <v>0</v>
      </c>
      <c r="R41" s="47">
        <f ca="1">IFERROR(IF(AllowNegative="Yes",O41-LARGE(O$3:O$174,RBCount),MAX(O41-LARGE(O$3:O$174,RBCount),0)),0)</f>
        <v>36.609999999999985</v>
      </c>
      <c r="S41" s="108">
        <f ca="1">(R41-Q41)*BenchPF+Q41*StarterPF</f>
        <v>8.767943037081535</v>
      </c>
      <c r="T41" s="108">
        <f ca="1">S41*Auction!$A$2</f>
        <v>8.767943037081535</v>
      </c>
      <c r="U41" s="25" t="str">
        <f>IF(OR(INDEX(Auction!$H$13:$H$683,MATCH(B41,Auction!$A$13:$A$683,0))&gt;0,IFERROR(INDEX(CheatSheet!$M$5:$M$64,MATCH(B41,CheatSheet!$J$5:$J$64,0)),"")&lt;&gt;""),"Yes","No")</f>
        <v>No</v>
      </c>
      <c r="V41" s="218"/>
      <c r="W41" s="1"/>
      <c r="X41" s="100">
        <f t="shared" ca="1" si="2"/>
        <v>1</v>
      </c>
      <c r="Y41" s="1">
        <f t="shared" ca="1" si="3"/>
        <v>18.304999999999993</v>
      </c>
      <c r="Z41" s="145" t="str">
        <f t="shared" ca="1" si="4"/>
        <v>RB9</v>
      </c>
      <c r="AA41" s="1">
        <f ca="1">Y41*LeagueInfo!$H$5</f>
        <v>8.371625691088143</v>
      </c>
      <c r="AB41" s="1"/>
      <c r="AC41" s="1"/>
    </row>
    <row r="42" spans="1:29" x14ac:dyDescent="0.25">
      <c r="A42" s="1">
        <f>RANK(O42,O$3:O$174)</f>
        <v>40</v>
      </c>
      <c r="B42" s="1" t="s">
        <v>170</v>
      </c>
      <c r="C42" s="1" t="s">
        <v>32</v>
      </c>
      <c r="D42" s="1">
        <f>VLOOKUP(E42,BYEs!$A$2:$B$34,2,FALSE)</f>
        <v>8</v>
      </c>
      <c r="E42" s="1" t="s">
        <v>359</v>
      </c>
      <c r="F42" s="249">
        <v>0</v>
      </c>
      <c r="G42" s="250">
        <v>0</v>
      </c>
      <c r="H42" s="249">
        <v>141.5</v>
      </c>
      <c r="I42" s="247">
        <v>613.29999999999995</v>
      </c>
      <c r="J42" s="250">
        <v>4.4000000000000004</v>
      </c>
      <c r="K42" s="249">
        <v>16.100000000000001</v>
      </c>
      <c r="L42" s="247">
        <v>148.9</v>
      </c>
      <c r="M42" s="250">
        <v>0.8</v>
      </c>
      <c r="N42" s="251">
        <v>1.1000000000000001</v>
      </c>
      <c r="O42" s="253">
        <f>(I42*RBRushingYd)+(J42*RBRushingTD)+(K42*RBReceptions)+(L42*RBRecYd)+(M42*RBRecTD)+(N42*RBFuml)+(H42*RBRushAtt)</f>
        <v>105.22</v>
      </c>
      <c r="P42" s="1" t="str">
        <f ca="1">IF(A42&lt;=RBStarters,"Starter",IF(A42&gt;RBStarters+RBBench,"Undrafted","Bench"))</f>
        <v>Bench</v>
      </c>
      <c r="Q42" s="47">
        <f ca="1">IFERROR(MAX(O42-LARGE(O$3:O$174,RBStarters),0),0)</f>
        <v>0</v>
      </c>
      <c r="R42" s="47">
        <f ca="1">IFERROR(IF(AllowNegative="Yes",O42-LARGE(O$3:O$174,RBCount),MAX(O42-LARGE(O$3:O$174,RBCount),0)),0)</f>
        <v>35.97999999999999</v>
      </c>
      <c r="S42" s="108">
        <f ca="1">(R42-Q42)*BenchPF+Q42*StarterPF</f>
        <v>8.6170606521221984</v>
      </c>
      <c r="T42" s="108">
        <f ca="1">S42*Auction!$A$2</f>
        <v>8.6170606521221984</v>
      </c>
      <c r="U42" s="25" t="str">
        <f>IF(OR(INDEX(Auction!$H$13:$H$683,MATCH(B42,Auction!$A$13:$A$683,0))&gt;0,IFERROR(INDEX(CheatSheet!$M$5:$M$64,MATCH(B42,CheatSheet!$J$5:$J$64,0)),"")&lt;&gt;""),"Yes","No")</f>
        <v>No</v>
      </c>
      <c r="V42" s="218"/>
      <c r="W42" s="1"/>
      <c r="X42" s="100">
        <f t="shared" ca="1" si="2"/>
        <v>1</v>
      </c>
      <c r="Y42" s="1">
        <f t="shared" ca="1" si="3"/>
        <v>17.989999999999995</v>
      </c>
      <c r="Z42" s="145" t="str">
        <f t="shared" ca="1" si="4"/>
        <v>RB9</v>
      </c>
      <c r="AA42" s="1">
        <f ca="1">Y42*LeagueInfo!$H$5</f>
        <v>8.227563298698481</v>
      </c>
      <c r="AB42" s="1"/>
      <c r="AC42" s="1"/>
    </row>
    <row r="43" spans="1:29" x14ac:dyDescent="0.25">
      <c r="A43" s="1">
        <f>RANK(O43,O$3:O$174)</f>
        <v>41</v>
      </c>
      <c r="B43" s="1" t="s">
        <v>295</v>
      </c>
      <c r="C43" s="1" t="s">
        <v>32</v>
      </c>
      <c r="D43" s="1">
        <f>VLOOKUP(E43,BYEs!$A$2:$B$34,2,FALSE)</f>
        <v>10</v>
      </c>
      <c r="E43" s="1" t="s">
        <v>369</v>
      </c>
      <c r="F43" s="249">
        <v>0</v>
      </c>
      <c r="G43" s="250">
        <v>0</v>
      </c>
      <c r="H43" s="249">
        <v>82.9</v>
      </c>
      <c r="I43" s="247">
        <v>367.8</v>
      </c>
      <c r="J43" s="250">
        <v>2.2000000000000002</v>
      </c>
      <c r="K43" s="249">
        <v>48.3</v>
      </c>
      <c r="L43" s="247">
        <v>377.1</v>
      </c>
      <c r="M43" s="250">
        <v>1.8</v>
      </c>
      <c r="N43" s="251">
        <v>1.1000000000000001</v>
      </c>
      <c r="O43" s="253">
        <f>(I43*RBRushingYd)+(J43*RBRushingTD)+(K43*RBReceptions)+(L43*RBRecYd)+(M43*RBRecTD)+(N43*RBFuml)+(H43*RBRushAtt)</f>
        <v>96.289999999999992</v>
      </c>
      <c r="P43" s="1" t="str">
        <f ca="1">IF(A43&lt;=RBStarters,"Starter",IF(A43&gt;RBStarters+RBBench,"Undrafted","Bench"))</f>
        <v>Bench</v>
      </c>
      <c r="Q43" s="47">
        <f ca="1">IFERROR(MAX(O43-LARGE(O$3:O$174,RBStarters),0),0)</f>
        <v>0</v>
      </c>
      <c r="R43" s="47">
        <f ca="1">IFERROR(IF(AllowNegative="Yes",O43-LARGE(O$3:O$174,RBCount),MAX(O43-LARGE(O$3:O$174,RBCount),0)),0)</f>
        <v>27.049999999999983</v>
      </c>
      <c r="S43" s="108">
        <f ca="1">(R43-Q43)*BenchPF+Q43*StarterPF</f>
        <v>6.4783627192858635</v>
      </c>
      <c r="T43" s="108">
        <f ca="1">S43*Auction!$A$2</f>
        <v>6.4783627192858635</v>
      </c>
      <c r="U43" s="25" t="str">
        <f>IF(OR(INDEX(Auction!$H$13:$H$683,MATCH(B43,Auction!$A$13:$A$683,0))&gt;0,IFERROR(INDEX(CheatSheet!$M$5:$M$64,MATCH(B43,CheatSheet!$J$5:$J$64,0)),"")&lt;&gt;""),"Yes","No")</f>
        <v>No</v>
      </c>
      <c r="V43" s="218"/>
      <c r="W43" s="1"/>
      <c r="X43" s="100">
        <f t="shared" ca="1" si="2"/>
        <v>1</v>
      </c>
      <c r="Y43" s="1">
        <f t="shared" ca="1" si="3"/>
        <v>13.524999999999991</v>
      </c>
      <c r="Z43" s="145" t="str">
        <f t="shared" ca="1" si="4"/>
        <v>RB10</v>
      </c>
      <c r="AA43" s="1">
        <f ca="1">Y43*LeagueInfo!$H$5</f>
        <v>6.1855360541910462</v>
      </c>
      <c r="AB43" s="1"/>
      <c r="AC43" s="1"/>
    </row>
    <row r="44" spans="1:29" x14ac:dyDescent="0.25">
      <c r="A44" s="1">
        <f>RANK(O44,O$3:O$174)</f>
        <v>42</v>
      </c>
      <c r="B44" s="1" t="s">
        <v>203</v>
      </c>
      <c r="C44" s="1" t="s">
        <v>32</v>
      </c>
      <c r="D44" s="1">
        <f>VLOOKUP(E44,BYEs!$A$2:$B$34,2,FALSE)</f>
        <v>6</v>
      </c>
      <c r="E44" s="1" t="s">
        <v>360</v>
      </c>
      <c r="F44" s="249">
        <v>0</v>
      </c>
      <c r="G44" s="250">
        <v>0</v>
      </c>
      <c r="H44" s="249">
        <v>129.19999999999999</v>
      </c>
      <c r="I44" s="247">
        <v>544.9</v>
      </c>
      <c r="J44" s="250">
        <v>4.2</v>
      </c>
      <c r="K44" s="249">
        <v>20.7</v>
      </c>
      <c r="L44" s="247">
        <v>161</v>
      </c>
      <c r="M44" s="250">
        <v>0.3</v>
      </c>
      <c r="N44" s="251">
        <v>1.9</v>
      </c>
      <c r="O44" s="253">
        <f>(I44*RBRushingYd)+(J44*RBRushingTD)+(K44*RBReceptions)+(L44*RBRecYd)+(M44*RBRecTD)+(N44*RBFuml)+(H44*RBRushAtt)</f>
        <v>93.789999999999992</v>
      </c>
      <c r="P44" s="1" t="str">
        <f ca="1">IF(A44&lt;=RBStarters,"Starter",IF(A44&gt;RBStarters+RBBench,"Undrafted","Bench"))</f>
        <v>Bench</v>
      </c>
      <c r="Q44" s="47">
        <f ca="1">IFERROR(MAX(O44-LARGE(O$3:O$174,RBStarters),0),0)</f>
        <v>0</v>
      </c>
      <c r="R44" s="47">
        <f ca="1">IFERROR(IF(AllowNegative="Yes",O44-LARGE(O$3:O$174,RBCount),MAX(O44-LARGE(O$3:O$174,RBCount),0)),0)</f>
        <v>24.549999999999983</v>
      </c>
      <c r="S44" s="108">
        <f ca="1">(R44-Q44)*BenchPF+Q44*StarterPF</f>
        <v>5.879623096431347</v>
      </c>
      <c r="T44" s="108">
        <f ca="1">S44*Auction!$A$2</f>
        <v>5.879623096431347</v>
      </c>
      <c r="U44" s="25" t="str">
        <f>IF(OR(INDEX(Auction!$H$13:$H$683,MATCH(B44,Auction!$A$13:$A$683,0))&gt;0,IFERROR(INDEX(CheatSheet!$M$5:$M$64,MATCH(B44,CheatSheet!$J$5:$J$64,0)),"")&lt;&gt;""),"Yes","No")</f>
        <v>No</v>
      </c>
      <c r="V44" s="218"/>
      <c r="W44" s="1"/>
      <c r="X44" s="100">
        <f t="shared" ca="1" si="2"/>
        <v>1</v>
      </c>
      <c r="Y44" s="1">
        <f t="shared" ca="1" si="3"/>
        <v>12.274999999999991</v>
      </c>
      <c r="Z44" s="145" t="str">
        <f t="shared" ca="1" si="4"/>
        <v>RB10</v>
      </c>
      <c r="AA44" s="1">
        <f ca="1">Y44*LeagueInfo!$H$5</f>
        <v>5.6138598939146096</v>
      </c>
      <c r="AB44" s="1"/>
      <c r="AC44" s="1"/>
    </row>
    <row r="45" spans="1:29" x14ac:dyDescent="0.25">
      <c r="A45" s="1">
        <f>RANK(O45,O$3:O$174)</f>
        <v>43</v>
      </c>
      <c r="B45" s="1" t="s">
        <v>254</v>
      </c>
      <c r="C45" s="1" t="s">
        <v>32</v>
      </c>
      <c r="D45" s="1">
        <f>VLOOKUP(E45,BYEs!$A$2:$B$34,2,FALSE)</f>
        <v>9</v>
      </c>
      <c r="E45" s="1" t="s">
        <v>351</v>
      </c>
      <c r="F45" s="249">
        <v>0</v>
      </c>
      <c r="G45" s="250">
        <v>0</v>
      </c>
      <c r="H45" s="249">
        <v>57.4</v>
      </c>
      <c r="I45" s="247">
        <v>236.9</v>
      </c>
      <c r="J45" s="250">
        <v>1.8</v>
      </c>
      <c r="K45" s="249">
        <v>48.3</v>
      </c>
      <c r="L45" s="247">
        <v>416.4</v>
      </c>
      <c r="M45" s="250">
        <v>3.3</v>
      </c>
      <c r="N45" s="251">
        <v>1.2</v>
      </c>
      <c r="O45" s="253">
        <f>(I45*RBRushingYd)+(J45*RBRushingTD)+(K45*RBReceptions)+(L45*RBRecYd)+(M45*RBRecTD)+(N45*RBFuml)+(H45*RBRushAtt)</f>
        <v>93.529999999999987</v>
      </c>
      <c r="P45" s="1" t="str">
        <f ca="1">IF(A45&lt;=RBStarters,"Starter",IF(A45&gt;RBStarters+RBBench,"Undrafted","Bench"))</f>
        <v>Bench</v>
      </c>
      <c r="Q45" s="47">
        <f ca="1">IFERROR(MAX(O45-LARGE(O$3:O$174,RBStarters),0),0)</f>
        <v>0</v>
      </c>
      <c r="R45" s="47">
        <f ca="1">IFERROR(IF(AllowNegative="Yes",O45-LARGE(O$3:O$174,RBCount),MAX(O45-LARGE(O$3:O$174,RBCount),0)),0)</f>
        <v>24.289999999999978</v>
      </c>
      <c r="S45" s="108">
        <f ca="1">(R45-Q45)*BenchPF+Q45*StarterPF</f>
        <v>5.8173541756544767</v>
      </c>
      <c r="T45" s="108">
        <f ca="1">S45*Auction!$A$2</f>
        <v>5.8173541756544767</v>
      </c>
      <c r="U45" s="25" t="str">
        <f>IF(OR(INDEX(Auction!$H$13:$H$683,MATCH(B45,Auction!$A$13:$A$683,0))&gt;0,IFERROR(INDEX(CheatSheet!$M$5:$M$64,MATCH(B45,CheatSheet!$J$5:$J$64,0)),"")&lt;&gt;""),"Yes","No")</f>
        <v>No</v>
      </c>
      <c r="V45" s="218"/>
      <c r="W45" s="1"/>
      <c r="X45" s="100">
        <f t="shared" ca="1" si="2"/>
        <v>1</v>
      </c>
      <c r="Y45" s="1">
        <f t="shared" ca="1" si="3"/>
        <v>12.144999999999989</v>
      </c>
      <c r="Z45" s="145" t="str">
        <f t="shared" ca="1" si="4"/>
        <v>RB10</v>
      </c>
      <c r="AA45" s="1">
        <f ca="1">Y45*LeagueInfo!$H$5</f>
        <v>5.5544055732458588</v>
      </c>
      <c r="AB45" s="1"/>
      <c r="AC45" s="1"/>
    </row>
    <row r="46" spans="1:29" x14ac:dyDescent="0.25">
      <c r="A46" s="1">
        <f>RANK(O46,O$3:O$174)</f>
        <v>44</v>
      </c>
      <c r="B46" s="1" t="s">
        <v>434</v>
      </c>
      <c r="C46" s="1" t="s">
        <v>32</v>
      </c>
      <c r="D46" s="1">
        <f>VLOOKUP(E46,BYEs!$A$2:$B$34,2,FALSE)</f>
        <v>6</v>
      </c>
      <c r="E46" s="1" t="s">
        <v>366</v>
      </c>
      <c r="F46" s="249">
        <v>0</v>
      </c>
      <c r="G46" s="250">
        <v>0</v>
      </c>
      <c r="H46" s="249">
        <v>98.3</v>
      </c>
      <c r="I46" s="247">
        <v>400.6</v>
      </c>
      <c r="J46" s="250">
        <v>2.2000000000000002</v>
      </c>
      <c r="K46" s="249">
        <v>35.5</v>
      </c>
      <c r="L46" s="247">
        <v>299</v>
      </c>
      <c r="M46" s="250">
        <v>1.3</v>
      </c>
      <c r="N46" s="251">
        <v>1.5</v>
      </c>
      <c r="O46" s="253">
        <f>(I46*RBRushingYd)+(J46*RBRushingTD)+(K46*RBReceptions)+(L46*RBRecYd)+(M46*RBRecTD)+(N46*RBFuml)+(H46*RBRushAtt)</f>
        <v>87.960000000000008</v>
      </c>
      <c r="P46" s="1" t="str">
        <f ca="1">IF(A46&lt;=RBStarters,"Starter",IF(A46&gt;RBStarters+RBBench,"Undrafted","Bench"))</f>
        <v>Bench</v>
      </c>
      <c r="Q46" s="47">
        <f ca="1">IFERROR(MAX(O46-LARGE(O$3:O$174,RBStarters),0),0)</f>
        <v>0</v>
      </c>
      <c r="R46" s="47">
        <f ca="1">IFERROR(IF(AllowNegative="Yes",O46-LARGE(O$3:O$174,RBCount),MAX(O46-LARGE(O$3:O$174,RBCount),0)),0)</f>
        <v>18.72</v>
      </c>
      <c r="S46" s="108">
        <f ca="1">(R46-Q46)*BenchPF+Q46*StarterPF</f>
        <v>4.4833622959346187</v>
      </c>
      <c r="T46" s="108">
        <f ca="1">S46*Auction!$A$2</f>
        <v>4.4833622959346187</v>
      </c>
      <c r="U46" s="25" t="str">
        <f>IF(OR(INDEX(Auction!$H$13:$H$683,MATCH(B46,Auction!$A$13:$A$683,0))&gt;0,IFERROR(INDEX(CheatSheet!$M$5:$M$64,MATCH(B46,CheatSheet!$J$5:$J$64,0)),"")&lt;&gt;""),"Yes","No")</f>
        <v>No</v>
      </c>
      <c r="V46" s="218"/>
      <c r="W46" s="1"/>
      <c r="X46" s="100">
        <f t="shared" ca="1" si="2"/>
        <v>1</v>
      </c>
      <c r="Y46" s="1">
        <f t="shared" ca="1" si="3"/>
        <v>9.36</v>
      </c>
      <c r="Z46" s="145" t="str">
        <f t="shared" ca="1" si="4"/>
        <v>RB10</v>
      </c>
      <c r="AA46" s="1">
        <f ca="1">Y46*LeagueInfo!$H$5</f>
        <v>4.2807110881499613</v>
      </c>
      <c r="AB46" s="1"/>
      <c r="AC46" s="1"/>
    </row>
    <row r="47" spans="1:29" x14ac:dyDescent="0.25">
      <c r="A47" s="1">
        <f>RANK(O47,O$3:O$174)</f>
        <v>45</v>
      </c>
      <c r="B47" s="1" t="s">
        <v>206</v>
      </c>
      <c r="C47" s="1" t="s">
        <v>32</v>
      </c>
      <c r="D47" s="1">
        <f>VLOOKUP(E47,BYEs!$A$2:$B$34,2,FALSE)</f>
        <v>5</v>
      </c>
      <c r="E47" s="1" t="s">
        <v>384</v>
      </c>
      <c r="F47" s="249">
        <v>0</v>
      </c>
      <c r="G47" s="250">
        <v>0</v>
      </c>
      <c r="H47" s="249">
        <v>99.8</v>
      </c>
      <c r="I47" s="247">
        <v>437.3</v>
      </c>
      <c r="J47" s="250">
        <v>3</v>
      </c>
      <c r="K47" s="249">
        <v>27.3</v>
      </c>
      <c r="L47" s="247">
        <v>220.4</v>
      </c>
      <c r="M47" s="250">
        <v>1.2</v>
      </c>
      <c r="N47" s="251">
        <v>2.9</v>
      </c>
      <c r="O47" s="253">
        <f>(I47*RBRushingYd)+(J47*RBRushingTD)+(K47*RBReceptions)+(L47*RBRecYd)+(M47*RBRecTD)+(N47*RBFuml)+(H47*RBRushAtt)</f>
        <v>85.170000000000016</v>
      </c>
      <c r="P47" s="1" t="str">
        <f ca="1">IF(A47&lt;=RBStarters,"Starter",IF(A47&gt;RBStarters+RBBench,"Undrafted","Bench"))</f>
        <v>Bench</v>
      </c>
      <c r="Q47" s="47">
        <f ca="1">IFERROR(MAX(O47-LARGE(O$3:O$174,RBStarters),0),0)</f>
        <v>0</v>
      </c>
      <c r="R47" s="47">
        <f ca="1">IFERROR(IF(AllowNegative="Yes",O47-LARGE(O$3:O$174,RBCount),MAX(O47-LARGE(O$3:O$174,RBCount),0)),0)</f>
        <v>15.930000000000007</v>
      </c>
      <c r="S47" s="108">
        <f ca="1">(R47-Q47)*BenchPF+Q47*StarterPF</f>
        <v>3.8151688768289804</v>
      </c>
      <c r="T47" s="108">
        <f ca="1">S47*Auction!$A$2</f>
        <v>3.8151688768289804</v>
      </c>
      <c r="U47" s="25" t="str">
        <f>IF(OR(INDEX(Auction!$H$13:$H$683,MATCH(B47,Auction!$A$13:$A$683,0))&gt;0,IFERROR(INDEX(CheatSheet!$M$5:$M$64,MATCH(B47,CheatSheet!$J$5:$J$64,0)),"")&lt;&gt;""),"Yes","No")</f>
        <v>No</v>
      </c>
      <c r="V47" s="218"/>
      <c r="W47" s="1"/>
      <c r="X47" s="100">
        <f t="shared" ca="1" si="2"/>
        <v>1</v>
      </c>
      <c r="Y47" s="1">
        <f t="shared" ca="1" si="3"/>
        <v>7.9650000000000034</v>
      </c>
      <c r="Z47" s="145" t="str">
        <f t="shared" ca="1" si="4"/>
        <v>RB10</v>
      </c>
      <c r="AA47" s="1">
        <f ca="1">Y47*LeagueInfo!$H$5</f>
        <v>3.6427204932814594</v>
      </c>
      <c r="AB47" s="1"/>
      <c r="AC47" s="1"/>
    </row>
    <row r="48" spans="1:29" x14ac:dyDescent="0.25">
      <c r="A48" s="1">
        <f>RANK(O48,O$3:O$174)</f>
        <v>46</v>
      </c>
      <c r="B48" s="1" t="s">
        <v>435</v>
      </c>
      <c r="C48" s="1" t="s">
        <v>32</v>
      </c>
      <c r="D48" s="1">
        <f>VLOOKUP(E48,BYEs!$A$2:$B$34,2,FALSE)</f>
        <v>5</v>
      </c>
      <c r="E48" s="1" t="s">
        <v>358</v>
      </c>
      <c r="F48" s="249">
        <v>0</v>
      </c>
      <c r="G48" s="250">
        <v>0</v>
      </c>
      <c r="H48" s="249">
        <v>57.9</v>
      </c>
      <c r="I48" s="247">
        <v>273.39999999999998</v>
      </c>
      <c r="J48" s="250">
        <v>1.7</v>
      </c>
      <c r="K48" s="249">
        <v>47.7</v>
      </c>
      <c r="L48" s="247">
        <v>358.4</v>
      </c>
      <c r="M48" s="250">
        <v>2</v>
      </c>
      <c r="N48" s="251">
        <v>1.3</v>
      </c>
      <c r="O48" s="253">
        <f>(I48*RBRushingYd)+(J48*RBRushingTD)+(K48*RBReceptions)+(L48*RBRecYd)+(M48*RBRecTD)+(N48*RBFuml)+(H48*RBRushAtt)</f>
        <v>82.78</v>
      </c>
      <c r="P48" s="1" t="str">
        <f ca="1">IF(A48&lt;=RBStarters,"Starter",IF(A48&gt;RBStarters+RBBench,"Undrafted","Bench"))</f>
        <v>Bench</v>
      </c>
      <c r="Q48" s="47">
        <f ca="1">IFERROR(MAX(O48-LARGE(O$3:O$174,RBStarters),0),0)</f>
        <v>0</v>
      </c>
      <c r="R48" s="47">
        <f ca="1">IFERROR(IF(AllowNegative="Yes",O48-LARGE(O$3:O$174,RBCount),MAX(O48-LARGE(O$3:O$174,RBCount),0)),0)</f>
        <v>13.539999999999992</v>
      </c>
      <c r="S48" s="108">
        <f ca="1">(R48-Q48)*BenchPF+Q48*StarterPF</f>
        <v>3.242773797380059</v>
      </c>
      <c r="T48" s="108">
        <f ca="1">S48*Auction!$A$2</f>
        <v>3.242773797380059</v>
      </c>
      <c r="U48" s="25" t="str">
        <f>IF(OR(INDEX(Auction!$H$13:$H$683,MATCH(B48,Auction!$A$13:$A$683,0))&gt;0,IFERROR(INDEX(CheatSheet!$M$5:$M$64,MATCH(B48,CheatSheet!$J$5:$J$64,0)),"")&lt;&gt;""),"Yes","No")</f>
        <v>No</v>
      </c>
      <c r="V48" s="218"/>
      <c r="W48" s="1"/>
      <c r="X48" s="100">
        <f t="shared" ca="1" si="2"/>
        <v>1</v>
      </c>
      <c r="Y48" s="1">
        <f t="shared" ca="1" si="3"/>
        <v>6.769999999999996</v>
      </c>
      <c r="Z48" s="145" t="str">
        <f t="shared" ca="1" si="4"/>
        <v>RB10</v>
      </c>
      <c r="AA48" s="1">
        <f ca="1">Y48*LeagueInfo!$H$5</f>
        <v>3.0961980840571819</v>
      </c>
      <c r="AB48" s="1"/>
      <c r="AC48" s="1"/>
    </row>
    <row r="49" spans="1:29" x14ac:dyDescent="0.25">
      <c r="A49" s="1">
        <f>RANK(O49,O$3:O$174)</f>
        <v>47</v>
      </c>
      <c r="B49" s="1" t="s">
        <v>242</v>
      </c>
      <c r="C49" s="1" t="s">
        <v>32</v>
      </c>
      <c r="D49" s="1">
        <f>VLOOKUP(E49,BYEs!$A$2:$B$34,2,FALSE)</f>
        <v>6</v>
      </c>
      <c r="E49" s="1" t="s">
        <v>354</v>
      </c>
      <c r="F49" s="249">
        <v>0</v>
      </c>
      <c r="G49" s="250">
        <v>0</v>
      </c>
      <c r="H49" s="249">
        <v>119.9</v>
      </c>
      <c r="I49" s="247">
        <v>485.5</v>
      </c>
      <c r="J49" s="250">
        <v>4.0999999999999996</v>
      </c>
      <c r="K49" s="249">
        <v>13</v>
      </c>
      <c r="L49" s="247">
        <v>100.4</v>
      </c>
      <c r="M49" s="250">
        <v>0.2</v>
      </c>
      <c r="N49" s="251">
        <v>1</v>
      </c>
      <c r="O49" s="253">
        <f>(I49*RBRushingYd)+(J49*RBRushingTD)+(K49*RBReceptions)+(L49*RBRecYd)+(M49*RBRecTD)+(N49*RBFuml)+(H49*RBRushAtt)</f>
        <v>82.390000000000015</v>
      </c>
      <c r="P49" s="1" t="str">
        <f ca="1">IF(A49&lt;=RBStarters,"Starter",IF(A49&gt;RBStarters+RBBench,"Undrafted","Bench"))</f>
        <v>Bench</v>
      </c>
      <c r="Q49" s="47">
        <f ca="1">IFERROR(MAX(O49-LARGE(O$3:O$174,RBStarters),0),0)</f>
        <v>0</v>
      </c>
      <c r="R49" s="47">
        <f ca="1">IFERROR(IF(AllowNegative="Yes",O49-LARGE(O$3:O$174,RBCount),MAX(O49-LARGE(O$3:O$174,RBCount),0)),0)</f>
        <v>13.150000000000006</v>
      </c>
      <c r="S49" s="108">
        <f ca="1">(R49-Q49)*BenchPF+Q49*StarterPF</f>
        <v>3.149370416214758</v>
      </c>
      <c r="T49" s="108">
        <f ca="1">S49*Auction!$A$2</f>
        <v>3.149370416214758</v>
      </c>
      <c r="U49" s="25" t="str">
        <f>IF(OR(INDEX(Auction!$H$13:$H$683,MATCH(B49,Auction!$A$13:$A$683,0))&gt;0,IFERROR(INDEX(CheatSheet!$M$5:$M$64,MATCH(B49,CheatSheet!$J$5:$J$64,0)),"")&lt;&gt;""),"Yes","No")</f>
        <v>No</v>
      </c>
      <c r="V49" s="218"/>
      <c r="W49" s="1"/>
      <c r="X49" s="100">
        <f t="shared" ca="1" si="2"/>
        <v>1</v>
      </c>
      <c r="Y49" s="1">
        <f t="shared" ca="1" si="3"/>
        <v>6.5750000000000028</v>
      </c>
      <c r="Z49" s="145" t="str">
        <f t="shared" ca="1" si="4"/>
        <v>RB10</v>
      </c>
      <c r="AA49" s="1">
        <f ca="1">Y49*LeagueInfo!$H$5</f>
        <v>3.007016603054061</v>
      </c>
      <c r="AB49" s="1"/>
      <c r="AC49" s="1"/>
    </row>
    <row r="50" spans="1:29" x14ac:dyDescent="0.25">
      <c r="A50" s="1">
        <f>RANK(O50,O$3:O$174)</f>
        <v>48</v>
      </c>
      <c r="B50" s="1" t="s">
        <v>216</v>
      </c>
      <c r="C50" s="1" t="s">
        <v>32</v>
      </c>
      <c r="D50" s="1">
        <f>VLOOKUP(E50,BYEs!$A$2:$B$34,2,FALSE)</f>
        <v>6</v>
      </c>
      <c r="E50" s="1" t="s">
        <v>354</v>
      </c>
      <c r="F50" s="249">
        <v>0</v>
      </c>
      <c r="G50" s="250">
        <v>0</v>
      </c>
      <c r="H50" s="249">
        <v>56.3</v>
      </c>
      <c r="I50" s="247">
        <v>255.6</v>
      </c>
      <c r="J50" s="250">
        <v>2</v>
      </c>
      <c r="K50" s="249">
        <v>38</v>
      </c>
      <c r="L50" s="247">
        <v>358.4</v>
      </c>
      <c r="M50" s="250">
        <v>1.4</v>
      </c>
      <c r="N50" s="251">
        <v>1</v>
      </c>
      <c r="O50" s="253">
        <f>(I50*RBRushingYd)+(J50*RBRushingTD)+(K50*RBReceptions)+(L50*RBRecYd)+(M50*RBRecTD)+(N50*RBFuml)+(H50*RBRushAtt)</f>
        <v>79.800000000000011</v>
      </c>
      <c r="P50" s="1" t="str">
        <f ca="1">IF(A50&lt;=RBStarters,"Starter",IF(A50&gt;RBStarters+RBBench,"Undrafted","Bench"))</f>
        <v>Bench</v>
      </c>
      <c r="Q50" s="47">
        <f ca="1">IFERROR(MAX(O50-LARGE(O$3:O$174,RBStarters),0),0)</f>
        <v>0</v>
      </c>
      <c r="R50" s="47">
        <f ca="1">IFERROR(IF(AllowNegative="Yes",O50-LARGE(O$3:O$174,RBCount),MAX(O50-LARGE(O$3:O$174,RBCount),0)),0)</f>
        <v>10.560000000000002</v>
      </c>
      <c r="S50" s="108">
        <f ca="1">(R50-Q50)*BenchPF+Q50*StarterPF</f>
        <v>2.5290761669374779</v>
      </c>
      <c r="T50" s="108">
        <f ca="1">S50*Auction!$A$2</f>
        <v>2.5290761669374779</v>
      </c>
      <c r="U50" s="25" t="str">
        <f>IF(OR(INDEX(Auction!$H$13:$H$683,MATCH(B50,Auction!$A$13:$A$683,0))&gt;0,IFERROR(INDEX(CheatSheet!$M$5:$M$64,MATCH(B50,CheatSheet!$J$5:$J$64,0)),"")&lt;&gt;""),"Yes","No")</f>
        <v>No</v>
      </c>
      <c r="V50" s="218"/>
      <c r="W50" s="1"/>
      <c r="X50" s="100">
        <f t="shared" ca="1" si="2"/>
        <v>1</v>
      </c>
      <c r="Y50" s="1">
        <f t="shared" ca="1" si="3"/>
        <v>5.2800000000000011</v>
      </c>
      <c r="Z50" s="145" t="str">
        <f t="shared" ca="1" si="4"/>
        <v>RB10</v>
      </c>
      <c r="AA50" s="1">
        <f ca="1">Y50*LeagueInfo!$H$5</f>
        <v>2.4147601010076714</v>
      </c>
      <c r="AB50" s="1"/>
      <c r="AC50" s="1"/>
    </row>
    <row r="51" spans="1:29" x14ac:dyDescent="0.25">
      <c r="A51" s="1">
        <f>RANK(O51,O$3:O$174)</f>
        <v>49</v>
      </c>
      <c r="B51" s="1" t="s">
        <v>436</v>
      </c>
      <c r="C51" s="1" t="s">
        <v>32</v>
      </c>
      <c r="D51" s="1">
        <f>VLOOKUP(E51,BYEs!$A$2:$B$34,2,FALSE)</f>
        <v>8</v>
      </c>
      <c r="E51" s="1" t="s">
        <v>368</v>
      </c>
      <c r="F51" s="249">
        <v>0</v>
      </c>
      <c r="G51" s="250">
        <v>0</v>
      </c>
      <c r="H51" s="249">
        <v>67.3</v>
      </c>
      <c r="I51" s="247">
        <v>287.7</v>
      </c>
      <c r="J51" s="250">
        <v>1.5</v>
      </c>
      <c r="K51" s="249">
        <v>40.700000000000003</v>
      </c>
      <c r="L51" s="247">
        <v>322.7</v>
      </c>
      <c r="M51" s="250">
        <v>1.9</v>
      </c>
      <c r="N51" s="251">
        <v>2.2999999999999998</v>
      </c>
      <c r="O51" s="253">
        <f>(I51*RBRushingYd)+(J51*RBRushingTD)+(K51*RBReceptions)+(L51*RBRecYd)+(M51*RBRecTD)+(N51*RBFuml)+(H51*RBRushAtt)</f>
        <v>76.84</v>
      </c>
      <c r="P51" s="1" t="str">
        <f ca="1">IF(A51&lt;=RBStarters,"Starter",IF(A51&gt;RBStarters+RBBench,"Undrafted","Bench"))</f>
        <v>Bench</v>
      </c>
      <c r="Q51" s="47">
        <f ca="1">IFERROR(MAX(O51-LARGE(O$3:O$174,RBStarters),0),0)</f>
        <v>0</v>
      </c>
      <c r="R51" s="47">
        <f ca="1">IFERROR(IF(AllowNegative="Yes",O51-LARGE(O$3:O$174,RBCount),MAX(O51-LARGE(O$3:O$174,RBCount),0)),0)</f>
        <v>7.5999999999999943</v>
      </c>
      <c r="S51" s="108">
        <f ca="1">(R51-Q51)*BenchPF+Q51*StarterPF</f>
        <v>1.8201684534777287</v>
      </c>
      <c r="T51" s="108">
        <f ca="1">S51*Auction!$A$2</f>
        <v>1.8201684534777287</v>
      </c>
      <c r="U51" s="25" t="str">
        <f>IF(OR(INDEX(Auction!$H$13:$H$683,MATCH(B51,Auction!$A$13:$A$683,0))&gt;0,IFERROR(INDEX(CheatSheet!$M$5:$M$64,MATCH(B51,CheatSheet!$J$5:$J$64,0)),"")&lt;&gt;""),"Yes","No")</f>
        <v>No</v>
      </c>
      <c r="V51" s="218"/>
      <c r="W51" s="1"/>
      <c r="X51" s="100">
        <f t="shared" ca="1" si="2"/>
        <v>1</v>
      </c>
      <c r="Y51" s="1">
        <f t="shared" ca="1" si="3"/>
        <v>3.7999999999999972</v>
      </c>
      <c r="Z51" s="145" t="str">
        <f t="shared" ca="1" si="4"/>
        <v>RB10</v>
      </c>
      <c r="AA51" s="1">
        <f ca="1">Y51*LeagueInfo!$H$5</f>
        <v>1.7378955272403678</v>
      </c>
      <c r="AB51" s="1"/>
      <c r="AC51" s="1"/>
    </row>
    <row r="52" spans="1:29" x14ac:dyDescent="0.25">
      <c r="A52" s="1">
        <f>RANK(O52,O$3:O$174)</f>
        <v>50</v>
      </c>
      <c r="B52" s="1" t="s">
        <v>220</v>
      </c>
      <c r="C52" s="1" t="s">
        <v>32</v>
      </c>
      <c r="D52" s="1">
        <f>VLOOKUP(E52,BYEs!$A$2:$B$34,2,FALSE)</f>
        <v>8</v>
      </c>
      <c r="E52" s="1" t="s">
        <v>350</v>
      </c>
      <c r="F52" s="249">
        <v>0</v>
      </c>
      <c r="G52" s="250">
        <v>0</v>
      </c>
      <c r="H52" s="249">
        <v>111.7</v>
      </c>
      <c r="I52" s="247">
        <v>466.8</v>
      </c>
      <c r="J52" s="250">
        <v>3.6</v>
      </c>
      <c r="K52" s="249">
        <v>11.4</v>
      </c>
      <c r="L52" s="247">
        <v>84.2</v>
      </c>
      <c r="M52" s="250">
        <v>0.2</v>
      </c>
      <c r="N52" s="251">
        <v>1.3</v>
      </c>
      <c r="O52" s="253">
        <f>(I52*RBRushingYd)+(J52*RBRushingTD)+(K52*RBReceptions)+(L52*RBRecYd)+(M52*RBRecTD)+(N52*RBFuml)+(H52*RBRushAtt)</f>
        <v>75.300000000000011</v>
      </c>
      <c r="P52" s="1" t="str">
        <f ca="1">IF(A52&lt;=RBStarters,"Starter",IF(A52&gt;RBStarters+RBBench,"Undrafted","Bench"))</f>
        <v>Bench</v>
      </c>
      <c r="Q52" s="47">
        <f ca="1">IFERROR(MAX(O52-LARGE(O$3:O$174,RBStarters),0),0)</f>
        <v>0</v>
      </c>
      <c r="R52" s="47">
        <f ca="1">IFERROR(IF(AllowNegative="Yes",O52-LARGE(O$3:O$174,RBCount),MAX(O52-LARGE(O$3:O$174,RBCount),0)),0)</f>
        <v>6.0600000000000023</v>
      </c>
      <c r="S52" s="108">
        <f ca="1">(R52-Q52)*BenchPF+Q52*StarterPF</f>
        <v>1.4513448457993483</v>
      </c>
      <c r="T52" s="108">
        <f ca="1">S52*Auction!$A$2</f>
        <v>1.4513448457993483</v>
      </c>
      <c r="U52" s="25" t="str">
        <f>IF(OR(INDEX(Auction!$H$13:$H$683,MATCH(B52,Auction!$A$13:$A$683,0))&gt;0,IFERROR(INDEX(CheatSheet!$M$5:$M$64,MATCH(B52,CheatSheet!$J$5:$J$64,0)),"")&lt;&gt;""),"Yes","No")</f>
        <v>No</v>
      </c>
      <c r="V52" s="218"/>
      <c r="W52" s="1"/>
      <c r="X52" s="100">
        <f t="shared" ca="1" si="2"/>
        <v>1</v>
      </c>
      <c r="Y52" s="1">
        <f t="shared" ca="1" si="3"/>
        <v>3.0300000000000011</v>
      </c>
      <c r="Z52" s="145" t="str">
        <f t="shared" ca="1" si="4"/>
        <v>RB10</v>
      </c>
      <c r="AA52" s="1">
        <f ca="1">Y52*LeagueInfo!$H$5</f>
        <v>1.3857430125100842</v>
      </c>
      <c r="AB52" s="1"/>
      <c r="AC52" s="1"/>
    </row>
    <row r="53" spans="1:29" x14ac:dyDescent="0.25">
      <c r="A53" s="1">
        <f>RANK(O53,O$3:O$174)</f>
        <v>51</v>
      </c>
      <c r="B53" s="1" t="s">
        <v>192</v>
      </c>
      <c r="C53" s="1" t="s">
        <v>32</v>
      </c>
      <c r="D53" s="1">
        <f>VLOOKUP(E53,BYEs!$A$2:$B$34,2,FALSE)</f>
        <v>5</v>
      </c>
      <c r="E53" s="1" t="s">
        <v>358</v>
      </c>
      <c r="F53" s="249">
        <v>0</v>
      </c>
      <c r="G53" s="250">
        <v>0</v>
      </c>
      <c r="H53" s="249">
        <v>110.1</v>
      </c>
      <c r="I53" s="247">
        <v>446.6</v>
      </c>
      <c r="J53" s="250">
        <v>3.5</v>
      </c>
      <c r="K53" s="249">
        <v>13.1</v>
      </c>
      <c r="L53" s="247">
        <v>104</v>
      </c>
      <c r="M53" s="250">
        <v>0.2</v>
      </c>
      <c r="N53" s="251">
        <v>1.4</v>
      </c>
      <c r="O53" s="253">
        <f>(I53*RBRushingYd)+(J53*RBRushingTD)+(K53*RBReceptions)+(L53*RBRecYd)+(M53*RBRecTD)+(N53*RBFuml)+(H53*RBRushAtt)</f>
        <v>74.460000000000008</v>
      </c>
      <c r="P53" s="1" t="str">
        <f ca="1">IF(A53&lt;=RBStarters,"Starter",IF(A53&gt;RBStarters+RBBench,"Undrafted","Bench"))</f>
        <v>Bench</v>
      </c>
      <c r="Q53" s="47">
        <f ca="1">IFERROR(MAX(O53-LARGE(O$3:O$174,RBStarters),0),0)</f>
        <v>0</v>
      </c>
      <c r="R53" s="47">
        <f ca="1">IFERROR(IF(AllowNegative="Yes",O53-LARGE(O$3:O$174,RBCount),MAX(O53-LARGE(O$3:O$174,RBCount),0)),0)</f>
        <v>5.2199999999999989</v>
      </c>
      <c r="S53" s="108">
        <f ca="1">(R53-Q53)*BenchPF+Q53*StarterPF</f>
        <v>1.25016833252023</v>
      </c>
      <c r="T53" s="108">
        <f ca="1">S53*Auction!$A$2</f>
        <v>1.25016833252023</v>
      </c>
      <c r="U53" s="25" t="str">
        <f>IF(OR(INDEX(Auction!$H$13:$H$683,MATCH(B53,Auction!$A$13:$A$683,0))&gt;0,IFERROR(INDEX(CheatSheet!$M$5:$M$64,MATCH(B53,CheatSheet!$J$5:$J$64,0)),"")&lt;&gt;""),"Yes","No")</f>
        <v>No</v>
      </c>
      <c r="V53" s="218"/>
      <c r="W53" s="1"/>
      <c r="X53" s="100">
        <f t="shared" ca="1" si="2"/>
        <v>1</v>
      </c>
      <c r="Y53" s="1">
        <f t="shared" ca="1" si="3"/>
        <v>2.6099999999999994</v>
      </c>
      <c r="Z53" s="145" t="str">
        <f t="shared" ca="1" si="4"/>
        <v>RB10</v>
      </c>
      <c r="AA53" s="1">
        <f ca="1">Y53*LeagueInfo!$H$5</f>
        <v>1.1936598226572006</v>
      </c>
      <c r="AB53" s="1"/>
      <c r="AC53" s="1"/>
    </row>
    <row r="54" spans="1:29" x14ac:dyDescent="0.25">
      <c r="A54" s="1">
        <f>RANK(O54,O$3:O$174)</f>
        <v>52</v>
      </c>
      <c r="B54" s="1" t="s">
        <v>438</v>
      </c>
      <c r="C54" s="1" t="s">
        <v>32</v>
      </c>
      <c r="D54" s="1">
        <f>VLOOKUP(E54,BYEs!$A$2:$B$34,2,FALSE)</f>
        <v>9</v>
      </c>
      <c r="E54" s="1" t="s">
        <v>351</v>
      </c>
      <c r="F54" s="249">
        <v>0</v>
      </c>
      <c r="G54" s="250">
        <v>0</v>
      </c>
      <c r="H54" s="249">
        <v>92.3</v>
      </c>
      <c r="I54" s="247">
        <v>388.8</v>
      </c>
      <c r="J54" s="250">
        <v>3</v>
      </c>
      <c r="K54" s="249">
        <v>17.5</v>
      </c>
      <c r="L54" s="247">
        <v>142.69999999999999</v>
      </c>
      <c r="M54" s="250">
        <v>0.7</v>
      </c>
      <c r="N54" s="251">
        <v>1.3</v>
      </c>
      <c r="O54" s="253">
        <f>(I54*RBRushingYd)+(J54*RBRushingTD)+(K54*RBReceptions)+(L54*RBRecYd)+(M54*RBRecTD)+(N54*RBFuml)+(H54*RBRushAtt)</f>
        <v>72.750000000000014</v>
      </c>
      <c r="P54" s="1" t="str">
        <f ca="1">IF(A54&lt;=RBStarters,"Starter",IF(A54&gt;RBStarters+RBBench,"Undrafted","Bench"))</f>
        <v>Bench</v>
      </c>
      <c r="Q54" s="47">
        <f ca="1">IFERROR(MAX(O54-LARGE(O$3:O$174,RBStarters),0),0)</f>
        <v>0</v>
      </c>
      <c r="R54" s="47">
        <f ca="1">IFERROR(IF(AllowNegative="Yes",O54-LARGE(O$3:O$174,RBCount),MAX(O54-LARGE(O$3:O$174,RBCount),0)),0)</f>
        <v>3.5100000000000051</v>
      </c>
      <c r="S54" s="108">
        <f ca="1">(R54-Q54)*BenchPF+Q54*StarterPF</f>
        <v>0.84063043048774233</v>
      </c>
      <c r="T54" s="108">
        <f ca="1">S54*Auction!$A$2</f>
        <v>0.84063043048774233</v>
      </c>
      <c r="U54" s="25" t="str">
        <f>IF(OR(INDEX(Auction!$H$13:$H$683,MATCH(B54,Auction!$A$13:$A$683,0))&gt;0,IFERROR(INDEX(CheatSheet!$M$5:$M$64,MATCH(B54,CheatSheet!$J$5:$J$64,0)),"")&lt;&gt;""),"Yes","No")</f>
        <v>No</v>
      </c>
      <c r="V54" s="218"/>
      <c r="W54" s="1"/>
      <c r="X54" s="100">
        <f t="shared" ca="1" si="2"/>
        <v>1</v>
      </c>
      <c r="Y54" s="1">
        <f t="shared" ca="1" si="3"/>
        <v>1.7550000000000026</v>
      </c>
      <c r="Z54" s="145" t="str">
        <f t="shared" ca="1" si="4"/>
        <v>RB10</v>
      </c>
      <c r="AA54" s="1">
        <f ca="1">Y54*LeagueInfo!$H$5</f>
        <v>0.80263332902811901</v>
      </c>
      <c r="AB54" s="1"/>
      <c r="AC54" s="1"/>
    </row>
    <row r="55" spans="1:29" x14ac:dyDescent="0.25">
      <c r="A55" s="1">
        <f>RANK(O55,O$3:O$174)</f>
        <v>53</v>
      </c>
      <c r="B55" s="1" t="s">
        <v>162</v>
      </c>
      <c r="C55" s="1" t="s">
        <v>32</v>
      </c>
      <c r="D55" s="1">
        <f>VLOOKUP(E55,BYEs!$A$2:$B$34,2,FALSE)</f>
        <v>6</v>
      </c>
      <c r="E55" s="1" t="s">
        <v>366</v>
      </c>
      <c r="F55" s="249">
        <v>0</v>
      </c>
      <c r="G55" s="250">
        <v>0</v>
      </c>
      <c r="H55" s="249">
        <v>110.5</v>
      </c>
      <c r="I55" s="247">
        <v>432.8</v>
      </c>
      <c r="J55" s="250">
        <v>3.8</v>
      </c>
      <c r="K55" s="249">
        <v>10.3</v>
      </c>
      <c r="L55" s="247">
        <v>75.900000000000006</v>
      </c>
      <c r="M55" s="250">
        <v>0.1</v>
      </c>
      <c r="N55" s="251">
        <v>1.2</v>
      </c>
      <c r="O55" s="253">
        <f>(I55*RBRushingYd)+(J55*RBRushingTD)+(K55*RBReceptions)+(L55*RBRecYd)+(M55*RBRecTD)+(N55*RBFuml)+(H55*RBRushAtt)</f>
        <v>71.86999999999999</v>
      </c>
      <c r="P55" s="1" t="str">
        <f ca="1">IF(A55&lt;=RBStarters,"Starter",IF(A55&gt;RBStarters+RBBench,"Undrafted","Bench"))</f>
        <v>Bench</v>
      </c>
      <c r="Q55" s="47">
        <f ca="1">IFERROR(MAX(O55-LARGE(O$3:O$174,RBStarters),0),0)</f>
        <v>0</v>
      </c>
      <c r="R55" s="47">
        <f ca="1">IFERROR(IF(AllowNegative="Yes",O55-LARGE(O$3:O$174,RBCount),MAX(O55-LARGE(O$3:O$174,RBCount),0)),0)</f>
        <v>2.6299999999999812</v>
      </c>
      <c r="S55" s="108">
        <f ca="1">(R55-Q55)*BenchPF+Q55*StarterPF</f>
        <v>0.6298740832429468</v>
      </c>
      <c r="T55" s="108">
        <f ca="1">S55*Auction!$A$2</f>
        <v>0.6298740832429468</v>
      </c>
      <c r="U55" s="25" t="str">
        <f>IF(OR(INDEX(Auction!$H$13:$H$683,MATCH(B55,Auction!$A$13:$A$683,0))&gt;0,IFERROR(INDEX(CheatSheet!$M$5:$M$64,MATCH(B55,CheatSheet!$J$5:$J$64,0)),"")&lt;&gt;""),"Yes","No")</f>
        <v>No</v>
      </c>
      <c r="V55" s="218"/>
      <c r="W55" s="1"/>
      <c r="X55" s="100">
        <f t="shared" ca="1" si="2"/>
        <v>1</v>
      </c>
      <c r="Y55" s="1">
        <f t="shared" ca="1" si="3"/>
        <v>1.3149999999999906</v>
      </c>
      <c r="Z55" s="145" t="str">
        <f t="shared" ca="1" si="4"/>
        <v>RB10</v>
      </c>
      <c r="AA55" s="1">
        <f ca="1">Y55*LeagueInfo!$H$5</f>
        <v>0.60140332061080759</v>
      </c>
      <c r="AB55" s="1"/>
      <c r="AC55" s="1"/>
    </row>
    <row r="56" spans="1:29" x14ac:dyDescent="0.25">
      <c r="A56" s="1">
        <f>RANK(O56,O$3:O$174)</f>
        <v>54</v>
      </c>
      <c r="B56" s="1" t="s">
        <v>155</v>
      </c>
      <c r="C56" s="1" t="s">
        <v>32</v>
      </c>
      <c r="D56" s="1">
        <f>VLOOKUP(E56,BYEs!$A$2:$B$34,2,FALSE)</f>
        <v>9</v>
      </c>
      <c r="E56" s="1" t="s">
        <v>373</v>
      </c>
      <c r="F56" s="249">
        <v>0</v>
      </c>
      <c r="G56" s="250">
        <v>0</v>
      </c>
      <c r="H56" s="249">
        <v>105.7</v>
      </c>
      <c r="I56" s="247">
        <v>419.6</v>
      </c>
      <c r="J56" s="250">
        <v>3.3</v>
      </c>
      <c r="K56" s="249">
        <v>15.7</v>
      </c>
      <c r="L56" s="247">
        <v>109.1</v>
      </c>
      <c r="M56" s="250">
        <v>0.2</v>
      </c>
      <c r="N56" s="251">
        <v>1.7</v>
      </c>
      <c r="O56" s="253">
        <f>(I56*RBRushingYd)+(J56*RBRushingTD)+(K56*RBReceptions)+(L56*RBRecYd)+(M56*RBRecTD)+(N56*RBFuml)+(H56*RBRushAtt)</f>
        <v>70.47</v>
      </c>
      <c r="P56" s="1" t="str">
        <f ca="1">IF(A56&lt;=RBStarters,"Starter",IF(A56&gt;RBStarters+RBBench,"Undrafted","Bench"))</f>
        <v>Bench</v>
      </c>
      <c r="Q56" s="47">
        <f ca="1">IFERROR(MAX(O56-LARGE(O$3:O$174,RBStarters),0),0)</f>
        <v>0</v>
      </c>
      <c r="R56" s="47">
        <f ca="1">IFERROR(IF(AllowNegative="Yes",O56-LARGE(O$3:O$174,RBCount),MAX(O56-LARGE(O$3:O$174,RBCount),0)),0)</f>
        <v>1.2299999999999898</v>
      </c>
      <c r="S56" s="108">
        <f ca="1">(R56-Q56)*BenchPF+Q56*StarterPF</f>
        <v>0.29457989444441962</v>
      </c>
      <c r="T56" s="108">
        <f ca="1">S56*Auction!$A$2</f>
        <v>0.29457989444441962</v>
      </c>
      <c r="U56" s="25" t="str">
        <f>IF(OR(INDEX(Auction!$H$13:$H$683,MATCH(B56,Auction!$A$13:$A$683,0))&gt;0,IFERROR(INDEX(CheatSheet!$M$5:$M$64,MATCH(B56,CheatSheet!$J$5:$J$64,0)),"")&lt;&gt;""),"Yes","No")</f>
        <v>No</v>
      </c>
      <c r="V56" s="218"/>
      <c r="W56" s="1"/>
      <c r="X56" s="100">
        <f t="shared" ca="1" si="2"/>
        <v>1</v>
      </c>
      <c r="Y56" s="1">
        <f t="shared" ca="1" si="3"/>
        <v>0.61499999999999488</v>
      </c>
      <c r="Z56" s="145" t="str">
        <f t="shared" ca="1" si="4"/>
        <v>RB10</v>
      </c>
      <c r="AA56" s="1">
        <f ca="1">Y56*LeagueInfo!$H$5</f>
        <v>0.28126467085600476</v>
      </c>
      <c r="AB56" s="1"/>
      <c r="AC56" s="1"/>
    </row>
    <row r="57" spans="1:29" x14ac:dyDescent="0.25">
      <c r="A57" s="1">
        <f>RANK(O57,O$3:O$174)</f>
        <v>55</v>
      </c>
      <c r="B57" s="1" t="s">
        <v>441</v>
      </c>
      <c r="C57" s="1" t="s">
        <v>32</v>
      </c>
      <c r="D57" s="1">
        <f>VLOOKUP(E57,BYEs!$A$2:$B$34,2,FALSE)</f>
        <v>10</v>
      </c>
      <c r="E57" s="1" t="s">
        <v>365</v>
      </c>
      <c r="F57" s="249">
        <v>0</v>
      </c>
      <c r="G57" s="250">
        <v>0</v>
      </c>
      <c r="H57" s="249">
        <v>89.8</v>
      </c>
      <c r="I57" s="247">
        <v>420.2</v>
      </c>
      <c r="J57" s="250">
        <v>2.2999999999999998</v>
      </c>
      <c r="K57" s="249">
        <v>19.3</v>
      </c>
      <c r="L57" s="247">
        <v>141</v>
      </c>
      <c r="M57" s="250">
        <v>0.6</v>
      </c>
      <c r="N57" s="251">
        <v>1.6</v>
      </c>
      <c r="O57" s="253">
        <f>(I57*RBRushingYd)+(J57*RBRushingTD)+(K57*RBReceptions)+(L57*RBRecYd)+(M57*RBRecTD)+(N57*RBFuml)+(H57*RBRushAtt)</f>
        <v>70.319999999999993</v>
      </c>
      <c r="P57" s="1" t="str">
        <f ca="1">IF(A57&lt;=RBStarters,"Starter",IF(A57&gt;RBStarters+RBBench,"Undrafted","Bench"))</f>
        <v>Bench</v>
      </c>
      <c r="Q57" s="47">
        <f ca="1">IFERROR(MAX(O57-LARGE(O$3:O$174,RBStarters),0),0)</f>
        <v>0</v>
      </c>
      <c r="R57" s="47">
        <f ca="1">IFERROR(IF(AllowNegative="Yes",O57-LARGE(O$3:O$174,RBCount),MAX(O57-LARGE(O$3:O$174,RBCount),0)),0)</f>
        <v>1.0799999999999841</v>
      </c>
      <c r="S57" s="108">
        <f ca="1">(R57-Q57)*BenchPF+Q57*StarterPF</f>
        <v>0.25865551707314727</v>
      </c>
      <c r="T57" s="108">
        <f ca="1">S57*Auction!$A$2</f>
        <v>0.25865551707314727</v>
      </c>
      <c r="U57" s="25" t="str">
        <f>IF(OR(INDEX(Auction!$H$13:$H$683,MATCH(B57,Auction!$A$13:$A$683,0))&gt;0,IFERROR(INDEX(CheatSheet!$M$5:$M$64,MATCH(B57,CheatSheet!$J$5:$J$64,0)),"")&lt;&gt;""),"Yes","No")</f>
        <v>No</v>
      </c>
      <c r="V57" s="218"/>
      <c r="W57" s="1"/>
      <c r="X57" s="100">
        <f t="shared" ca="1" si="2"/>
        <v>1</v>
      </c>
      <c r="Y57" s="1">
        <f t="shared" ca="1" si="3"/>
        <v>0.53999999999999204</v>
      </c>
      <c r="Z57" s="145" t="str">
        <f t="shared" ca="1" si="4"/>
        <v>RB10</v>
      </c>
      <c r="AA57" s="1">
        <f ca="1">Y57*LeagueInfo!$H$5</f>
        <v>0.24696410123941723</v>
      </c>
      <c r="AB57" s="1"/>
      <c r="AC57" s="1"/>
    </row>
    <row r="58" spans="1:29" x14ac:dyDescent="0.25">
      <c r="A58" s="1">
        <f>RANK(O58,O$3:O$174)</f>
        <v>56</v>
      </c>
      <c r="B58" s="1" t="s">
        <v>437</v>
      </c>
      <c r="C58" s="1" t="s">
        <v>32</v>
      </c>
      <c r="D58" s="1">
        <f>VLOOKUP(E58,BYEs!$A$2:$B$34,2,FALSE)</f>
        <v>11</v>
      </c>
      <c r="E58" s="1" t="s">
        <v>356</v>
      </c>
      <c r="F58" s="249">
        <v>0</v>
      </c>
      <c r="G58" s="250">
        <v>0</v>
      </c>
      <c r="H58" s="249">
        <v>69.5</v>
      </c>
      <c r="I58" s="247">
        <v>267.7</v>
      </c>
      <c r="J58" s="250">
        <v>1.3</v>
      </c>
      <c r="K58" s="249">
        <v>32.9</v>
      </c>
      <c r="L58" s="247">
        <v>286.7</v>
      </c>
      <c r="M58" s="250">
        <v>1.6</v>
      </c>
      <c r="N58" s="251">
        <v>1.8</v>
      </c>
      <c r="O58" s="253">
        <f>(I58*RBRushingYd)+(J58*RBRushingTD)+(K58*RBReceptions)+(L58*RBRecYd)+(M58*RBRecTD)+(N58*RBFuml)+(H58*RBRushAtt)</f>
        <v>69.240000000000009</v>
      </c>
      <c r="P58" s="1" t="str">
        <f ca="1">IF(A58&lt;=RBStarters,"Starter",IF(A58&gt;RBStarters+RBBench,"Undrafted","Bench"))</f>
        <v>Undrafted</v>
      </c>
      <c r="Q58" s="47">
        <f ca="1">IFERROR(MAX(O58-LARGE(O$3:O$174,RBStarters),0),0)</f>
        <v>0</v>
      </c>
      <c r="R58" s="47">
        <f ca="1">IFERROR(IF(AllowNegative="Yes",O58-LARGE(O$3:O$174,RBCount),MAX(O58-LARGE(O$3:O$174,RBCount),0)),0)</f>
        <v>0</v>
      </c>
      <c r="S58" s="108">
        <f ca="1">(R58-Q58)*BenchPF+Q58*StarterPF</f>
        <v>0</v>
      </c>
      <c r="T58" s="108">
        <f ca="1">S58*Auction!$A$2</f>
        <v>0</v>
      </c>
      <c r="U58" s="25" t="str">
        <f>IF(OR(INDEX(Auction!$H$13:$H$683,MATCH(B58,Auction!$A$13:$A$683,0))&gt;0,IFERROR(INDEX(CheatSheet!$M$5:$M$64,MATCH(B58,CheatSheet!$J$5:$J$64,0)),"")&lt;&gt;""),"Yes","No")</f>
        <v>No</v>
      </c>
      <c r="V58" s="218"/>
      <c r="W58" s="1"/>
      <c r="X58" s="100">
        <f t="shared" ca="1" si="2"/>
        <v>1</v>
      </c>
      <c r="Y58" s="1">
        <f t="shared" ca="1" si="3"/>
        <v>0</v>
      </c>
      <c r="Z58" s="145" t="str">
        <f t="shared" ca="1" si="4"/>
        <v>RB10</v>
      </c>
      <c r="AA58" s="1">
        <f ca="1">Y58*LeagueInfo!$H$5</f>
        <v>0</v>
      </c>
      <c r="AB58" s="1"/>
      <c r="AC58" s="1"/>
    </row>
    <row r="59" spans="1:29" x14ac:dyDescent="0.25">
      <c r="A59" s="1">
        <f>RANK(O59,O$3:O$174)</f>
        <v>57</v>
      </c>
      <c r="B59" s="1" t="s">
        <v>207</v>
      </c>
      <c r="C59" s="1" t="s">
        <v>32</v>
      </c>
      <c r="D59" s="1">
        <f>VLOOKUP(E59,BYEs!$A$2:$B$34,2,FALSE)</f>
        <v>9</v>
      </c>
      <c r="E59" s="1" t="s">
        <v>351</v>
      </c>
      <c r="F59" s="249">
        <v>0</v>
      </c>
      <c r="G59" s="250">
        <v>0</v>
      </c>
      <c r="H59" s="249">
        <v>79.7</v>
      </c>
      <c r="I59" s="247">
        <v>347.4</v>
      </c>
      <c r="J59" s="250">
        <v>2.2999999999999998</v>
      </c>
      <c r="K59" s="249">
        <v>24.2</v>
      </c>
      <c r="L59" s="247">
        <v>187.3</v>
      </c>
      <c r="M59" s="250">
        <v>1</v>
      </c>
      <c r="N59" s="251">
        <v>2.4</v>
      </c>
      <c r="O59" s="253">
        <f>(I59*RBRushingYd)+(J59*RBRushingTD)+(K59*RBReceptions)+(L59*RBRecYd)+(M59*RBRecTD)+(N59*RBFuml)+(H59*RBRushAtt)</f>
        <v>68.47</v>
      </c>
      <c r="P59" s="1" t="str">
        <f ca="1">IF(A59&lt;=RBStarters,"Starter",IF(A59&gt;RBStarters+RBBench,"Undrafted","Bench"))</f>
        <v>Undrafted</v>
      </c>
      <c r="Q59" s="47">
        <f ca="1">IFERROR(MAX(O59-LARGE(O$3:O$174,RBStarters),0),0)</f>
        <v>0</v>
      </c>
      <c r="R59" s="47">
        <f ca="1">IFERROR(IF(AllowNegative="Yes",O59-LARGE(O$3:O$174,RBCount),MAX(O59-LARGE(O$3:O$174,RBCount),0)),0)</f>
        <v>-0.77000000000001023</v>
      </c>
      <c r="S59" s="108">
        <f ca="1">(R59-Q59)*BenchPF+Q59*StarterPF</f>
        <v>-0.18441180383919351</v>
      </c>
      <c r="T59" s="108">
        <f ca="1">S59*Auction!$A$2</f>
        <v>-0.18441180383919351</v>
      </c>
      <c r="U59" s="25" t="str">
        <f>IF(OR(INDEX(Auction!$H$13:$H$683,MATCH(B59,Auction!$A$13:$A$683,0))&gt;0,IFERROR(INDEX(CheatSheet!$M$5:$M$64,MATCH(B59,CheatSheet!$J$5:$J$64,0)),"")&lt;&gt;""),"Yes","No")</f>
        <v>No</v>
      </c>
      <c r="V59" s="218"/>
      <c r="W59" s="1"/>
      <c r="X59" s="100">
        <f t="shared" ca="1" si="2"/>
        <v>1</v>
      </c>
      <c r="Y59" s="1">
        <f t="shared" ca="1" si="3"/>
        <v>-0.38500000000000512</v>
      </c>
      <c r="Z59" s="145" t="str">
        <f t="shared" ca="1" si="4"/>
        <v>RB10</v>
      </c>
      <c r="AA59" s="1">
        <f ca="1">Y59*LeagueInfo!$H$5</f>
        <v>-0.17607625736514498</v>
      </c>
      <c r="AB59" s="1"/>
      <c r="AC59" s="1"/>
    </row>
    <row r="60" spans="1:29" x14ac:dyDescent="0.25">
      <c r="A60" s="1">
        <f>RANK(O60,O$3:O$174)</f>
        <v>58</v>
      </c>
      <c r="B60" s="1" t="s">
        <v>439</v>
      </c>
      <c r="C60" s="1" t="s">
        <v>32</v>
      </c>
      <c r="D60" s="1">
        <f>VLOOKUP(E60,BYEs!$A$2:$B$34,2,FALSE)</f>
        <v>11</v>
      </c>
      <c r="E60" s="1" t="s">
        <v>355</v>
      </c>
      <c r="F60" s="249">
        <v>0</v>
      </c>
      <c r="G60" s="250">
        <v>0</v>
      </c>
      <c r="H60" s="249">
        <v>73.400000000000006</v>
      </c>
      <c r="I60" s="247">
        <v>281.39999999999998</v>
      </c>
      <c r="J60" s="250">
        <v>3</v>
      </c>
      <c r="K60" s="249">
        <v>23.7</v>
      </c>
      <c r="L60" s="247">
        <v>170.5</v>
      </c>
      <c r="M60" s="250">
        <v>1.2</v>
      </c>
      <c r="N60" s="251">
        <v>1.1000000000000001</v>
      </c>
      <c r="O60" s="253">
        <f>(I60*RBRushingYd)+(J60*RBRushingTD)+(K60*RBReceptions)+(L60*RBRecYd)+(M60*RBRecTD)+(N60*RBFuml)+(H60*RBRushAtt)</f>
        <v>68.19</v>
      </c>
      <c r="P60" s="1" t="str">
        <f ca="1">IF(A60&lt;=RBStarters,"Starter",IF(A60&gt;RBStarters+RBBench,"Undrafted","Bench"))</f>
        <v>Undrafted</v>
      </c>
      <c r="Q60" s="47">
        <f ca="1">IFERROR(MAX(O60-LARGE(O$3:O$174,RBStarters),0),0)</f>
        <v>0</v>
      </c>
      <c r="R60" s="47">
        <f ca="1">IFERROR(IF(AllowNegative="Yes",O60-LARGE(O$3:O$174,RBCount),MAX(O60-LARGE(O$3:O$174,RBCount),0)),0)</f>
        <v>-1.0500000000000114</v>
      </c>
      <c r="S60" s="108">
        <f ca="1">(R60-Q60)*BenchPF+Q60*StarterPF</f>
        <v>-0.25147064159889965</v>
      </c>
      <c r="T60" s="108">
        <f ca="1">S60*Auction!$A$2</f>
        <v>-0.25147064159889965</v>
      </c>
      <c r="U60" s="25" t="str">
        <f>IF(OR(INDEX(Auction!$H$13:$H$683,MATCH(B60,Auction!$A$13:$A$683,0))&gt;0,IFERROR(INDEX(CheatSheet!$M$5:$M$64,MATCH(B60,CheatSheet!$J$5:$J$64,0)),"")&lt;&gt;""),"Yes","No")</f>
        <v>No</v>
      </c>
      <c r="V60" s="218"/>
      <c r="W60" s="1"/>
      <c r="X60" s="100">
        <f t="shared" ca="1" si="2"/>
        <v>1</v>
      </c>
      <c r="Y60" s="1">
        <f t="shared" ca="1" si="3"/>
        <v>-0.52500000000000568</v>
      </c>
      <c r="Z60" s="145" t="str">
        <f t="shared" ca="1" si="4"/>
        <v>RB10</v>
      </c>
      <c r="AA60" s="1">
        <f ca="1">Y60*LeagueInfo!$H$5</f>
        <v>-0.24010398731610622</v>
      </c>
      <c r="AB60" s="1"/>
      <c r="AC60" s="1"/>
    </row>
    <row r="61" spans="1:29" x14ac:dyDescent="0.25">
      <c r="A61" s="1">
        <f>RANK(O61,O$3:O$174)</f>
        <v>59</v>
      </c>
      <c r="B61" s="1" t="s">
        <v>234</v>
      </c>
      <c r="C61" s="1" t="s">
        <v>32</v>
      </c>
      <c r="D61" s="1">
        <f>VLOOKUP(E61,BYEs!$A$2:$B$34,2,FALSE)</f>
        <v>11</v>
      </c>
      <c r="E61" s="1" t="s">
        <v>356</v>
      </c>
      <c r="F61" s="249">
        <v>0</v>
      </c>
      <c r="G61" s="250">
        <v>0</v>
      </c>
      <c r="H61" s="249">
        <v>103.3</v>
      </c>
      <c r="I61" s="247">
        <v>440</v>
      </c>
      <c r="J61" s="250">
        <v>2.2999999999999998</v>
      </c>
      <c r="K61" s="249">
        <v>14.9</v>
      </c>
      <c r="L61" s="247">
        <v>106.1</v>
      </c>
      <c r="M61" s="250">
        <v>0.1</v>
      </c>
      <c r="N61" s="251">
        <v>1.2</v>
      </c>
      <c r="O61" s="253">
        <f>(I61*RBRushingYd)+(J61*RBRushingTD)+(K61*RBReceptions)+(L61*RBRecYd)+(M61*RBRecTD)+(N61*RBFuml)+(H61*RBRushAtt)</f>
        <v>66.609999999999985</v>
      </c>
      <c r="P61" s="1" t="str">
        <f ca="1">IF(A61&lt;=RBStarters,"Starter",IF(A61&gt;RBStarters+RBBench,"Undrafted","Bench"))</f>
        <v>Undrafted</v>
      </c>
      <c r="Q61" s="47">
        <f ca="1">IFERROR(MAX(O61-LARGE(O$3:O$174,RBStarters),0),0)</f>
        <v>0</v>
      </c>
      <c r="R61" s="47">
        <f ca="1">IFERROR(IF(AllowNegative="Yes",O61-LARGE(O$3:O$174,RBCount),MAX(O61-LARGE(O$3:O$174,RBCount),0)),0)</f>
        <v>-2.6300000000000239</v>
      </c>
      <c r="S61" s="108">
        <f ca="1">(R61-Q61)*BenchPF+Q61*StarterPF</f>
        <v>-0.62987408324295702</v>
      </c>
      <c r="T61" s="108">
        <f ca="1">S61*Auction!$A$2</f>
        <v>-0.62987408324295702</v>
      </c>
      <c r="U61" s="25" t="str">
        <f>IF(OR(INDEX(Auction!$H$13:$H$683,MATCH(B61,Auction!$A$13:$A$683,0))&gt;0,IFERROR(INDEX(CheatSheet!$M$5:$M$64,MATCH(B61,CheatSheet!$J$5:$J$64,0)),"")&lt;&gt;""),"Yes","No")</f>
        <v>No</v>
      </c>
      <c r="V61" s="218"/>
      <c r="W61" s="1"/>
      <c r="X61" s="100">
        <f t="shared" ca="1" si="2"/>
        <v>1</v>
      </c>
      <c r="Y61" s="1">
        <f t="shared" ca="1" si="3"/>
        <v>-1.3150000000000119</v>
      </c>
      <c r="Z61" s="145" t="str">
        <f t="shared" ca="1" si="4"/>
        <v>RB10</v>
      </c>
      <c r="AA61" s="1">
        <f ca="1">Y61*LeagueInfo!$H$5</f>
        <v>-0.60140332061081736</v>
      </c>
      <c r="AB61" s="1"/>
      <c r="AC61" s="1"/>
    </row>
    <row r="62" spans="1:29" x14ac:dyDescent="0.25">
      <c r="A62" s="1">
        <f>RANK(O62,O$3:O$174)</f>
        <v>60</v>
      </c>
      <c r="B62" s="1" t="s">
        <v>443</v>
      </c>
      <c r="C62" s="1" t="s">
        <v>32</v>
      </c>
      <c r="D62" s="1">
        <f>VLOOKUP(E62,BYEs!$A$2:$B$34,2,FALSE)</f>
        <v>6</v>
      </c>
      <c r="E62" s="1" t="s">
        <v>364</v>
      </c>
      <c r="F62" s="249">
        <v>0</v>
      </c>
      <c r="G62" s="250">
        <v>0</v>
      </c>
      <c r="H62" s="249">
        <v>93</v>
      </c>
      <c r="I62" s="247">
        <v>394</v>
      </c>
      <c r="J62" s="250">
        <v>3.4</v>
      </c>
      <c r="K62" s="249">
        <v>11.1</v>
      </c>
      <c r="L62" s="247">
        <v>76.7</v>
      </c>
      <c r="M62" s="250">
        <v>0.2</v>
      </c>
      <c r="N62" s="251">
        <v>2.9</v>
      </c>
      <c r="O62" s="253">
        <f>(I62*RBRushingYd)+(J62*RBRushingTD)+(K62*RBReceptions)+(L62*RBRecYd)+(M62*RBRecTD)+(N62*RBFuml)+(H62*RBRushAtt)</f>
        <v>62.870000000000005</v>
      </c>
      <c r="P62" s="1" t="str">
        <f ca="1">IF(A62&lt;=RBStarters,"Starter",IF(A62&gt;RBStarters+RBBench,"Undrafted","Bench"))</f>
        <v>Undrafted</v>
      </c>
      <c r="Q62" s="47">
        <f ca="1">IFERROR(MAX(O62-LARGE(O$3:O$174,RBStarters),0),0)</f>
        <v>0</v>
      </c>
      <c r="R62" s="47">
        <f ca="1">IFERROR(IF(AllowNegative="Yes",O62-LARGE(O$3:O$174,RBCount),MAX(O62-LARGE(O$3:O$174,RBCount),0)),0)</f>
        <v>-6.3700000000000045</v>
      </c>
      <c r="S62" s="108">
        <f ca="1">(R62-Q62)*BenchPF+Q62*StarterPF</f>
        <v>-1.5255885590333089</v>
      </c>
      <c r="T62" s="108">
        <f ca="1">S62*Auction!$A$2</f>
        <v>-1.5255885590333089</v>
      </c>
      <c r="U62" s="25" t="str">
        <f>IF(OR(INDEX(Auction!$H$13:$H$683,MATCH(B62,Auction!$A$13:$A$683,0))&gt;0,IFERROR(INDEX(CheatSheet!$M$5:$M$64,MATCH(B62,CheatSheet!$J$5:$J$64,0)),"")&lt;&gt;""),"Yes","No")</f>
        <v>No</v>
      </c>
      <c r="V62" s="218"/>
      <c r="W62" s="1"/>
      <c r="X62" s="100">
        <f t="shared" ca="1" si="2"/>
        <v>1</v>
      </c>
      <c r="Y62" s="1">
        <f t="shared" ca="1" si="3"/>
        <v>-3.1850000000000023</v>
      </c>
      <c r="Z62" s="145" t="str">
        <f t="shared" ca="1" si="4"/>
        <v>RB10</v>
      </c>
      <c r="AA62" s="1">
        <f ca="1">Y62*LeagueInfo!$H$5</f>
        <v>-1.4566308563843631</v>
      </c>
      <c r="AB62" s="1"/>
      <c r="AC62" s="1"/>
    </row>
    <row r="63" spans="1:29" x14ac:dyDescent="0.25">
      <c r="A63" s="1">
        <f>RANK(O63,O$3:O$174)</f>
        <v>61</v>
      </c>
      <c r="B63" s="1" t="s">
        <v>442</v>
      </c>
      <c r="C63" s="1" t="s">
        <v>32</v>
      </c>
      <c r="D63" s="1">
        <f>VLOOKUP(E63,BYEs!$A$2:$B$34,2,FALSE)</f>
        <v>10</v>
      </c>
      <c r="E63" s="1" t="s">
        <v>365</v>
      </c>
      <c r="F63" s="249">
        <v>0</v>
      </c>
      <c r="G63" s="250">
        <v>0</v>
      </c>
      <c r="H63" s="249">
        <v>61.2</v>
      </c>
      <c r="I63" s="247">
        <v>299.2</v>
      </c>
      <c r="J63" s="250">
        <v>1.6</v>
      </c>
      <c r="K63" s="249">
        <v>23.9</v>
      </c>
      <c r="L63" s="247">
        <v>177.8</v>
      </c>
      <c r="M63" s="250">
        <v>0.9</v>
      </c>
      <c r="N63" s="251">
        <v>1.1000000000000001</v>
      </c>
      <c r="O63" s="253">
        <f>(I63*RBRushingYd)+(J63*RBRushingTD)+(K63*RBReceptions)+(L63*RBRecYd)+(M63*RBRecTD)+(N63*RBFuml)+(H63*RBRushAtt)</f>
        <v>60.5</v>
      </c>
      <c r="P63" s="1" t="str">
        <f ca="1">IF(A63&lt;=RBStarters,"Starter",IF(A63&gt;RBStarters+RBBench,"Undrafted","Bench"))</f>
        <v>Undrafted</v>
      </c>
      <c r="Q63" s="47">
        <f ca="1">IFERROR(MAX(O63-LARGE(O$3:O$174,RBStarters),0),0)</f>
        <v>0</v>
      </c>
      <c r="R63" s="47">
        <f ca="1">IFERROR(IF(AllowNegative="Yes",O63-LARGE(O$3:O$174,RBCount),MAX(O63-LARGE(O$3:O$174,RBCount),0)),0)</f>
        <v>-8.7400000000000091</v>
      </c>
      <c r="S63" s="108">
        <f ca="1">(R63-Q63)*BenchPF+Q63*StarterPF</f>
        <v>-2.0931937214993916</v>
      </c>
      <c r="T63" s="108">
        <f ca="1">S63*Auction!$A$2</f>
        <v>-2.0931937214993916</v>
      </c>
      <c r="U63" s="25" t="str">
        <f>IF(OR(INDEX(Auction!$H$13:$H$683,MATCH(B63,Auction!$A$13:$A$683,0))&gt;0,IFERROR(INDEX(CheatSheet!$M$5:$M$64,MATCH(B63,CheatSheet!$J$5:$J$64,0)),"")&lt;&gt;""),"Yes","No")</f>
        <v>No</v>
      </c>
      <c r="V63" s="218"/>
      <c r="W63" s="1"/>
      <c r="X63" s="100">
        <f t="shared" ca="1" si="2"/>
        <v>1</v>
      </c>
      <c r="Y63" s="1">
        <f t="shared" ca="1" si="3"/>
        <v>-4.3700000000000045</v>
      </c>
      <c r="Z63" s="145" t="str">
        <f t="shared" ca="1" si="4"/>
        <v>RB10</v>
      </c>
      <c r="AA63" s="1">
        <f ca="1">Y63*LeagueInfo!$H$5</f>
        <v>-1.9985798563264265</v>
      </c>
      <c r="AB63" s="1"/>
      <c r="AC63" s="1"/>
    </row>
    <row r="64" spans="1:29" x14ac:dyDescent="0.25">
      <c r="A64" s="1">
        <f>RANK(O64,O$3:O$174)</f>
        <v>62</v>
      </c>
      <c r="B64" s="1" t="s">
        <v>448</v>
      </c>
      <c r="C64" s="1" t="s">
        <v>32</v>
      </c>
      <c r="D64" s="1">
        <f>VLOOKUP(E64,BYEs!$A$2:$B$34,2,FALSE)</f>
        <v>5</v>
      </c>
      <c r="E64" s="1" t="s">
        <v>352</v>
      </c>
      <c r="F64" s="249">
        <v>0</v>
      </c>
      <c r="G64" s="250">
        <v>0</v>
      </c>
      <c r="H64" s="249">
        <v>47.8</v>
      </c>
      <c r="I64" s="247">
        <v>204.3</v>
      </c>
      <c r="J64" s="250">
        <v>1.7</v>
      </c>
      <c r="K64" s="249">
        <v>30.5</v>
      </c>
      <c r="L64" s="247">
        <v>251.5</v>
      </c>
      <c r="M64" s="250">
        <v>1.2</v>
      </c>
      <c r="N64" s="251">
        <v>1.3</v>
      </c>
      <c r="O64" s="253">
        <f>(I64*RBRushingYd)+(J64*RBRushingTD)+(K64*RBReceptions)+(L64*RBRecYd)+(M64*RBRecTD)+(N64*RBFuml)+(H64*RBRushAtt)</f>
        <v>60.38</v>
      </c>
      <c r="P64" s="1" t="str">
        <f ca="1">IF(A64&lt;=RBStarters,"Starter",IF(A64&gt;RBStarters+RBBench,"Undrafted","Bench"))</f>
        <v>Undrafted</v>
      </c>
      <c r="Q64" s="47">
        <f ca="1">IFERROR(MAX(O64-LARGE(O$3:O$174,RBStarters),0),0)</f>
        <v>0</v>
      </c>
      <c r="R64" s="47">
        <f ca="1">IFERROR(IF(AllowNegative="Yes",O64-LARGE(O$3:O$174,RBCount),MAX(O64-LARGE(O$3:O$174,RBCount),0)),0)</f>
        <v>-8.8600000000000065</v>
      </c>
      <c r="S64" s="108">
        <f ca="1">(R64-Q64)*BenchPF+Q64*StarterPF</f>
        <v>-2.1219332233964079</v>
      </c>
      <c r="T64" s="108">
        <f ca="1">S64*Auction!$A$2</f>
        <v>-2.1219332233964079</v>
      </c>
      <c r="U64" s="25" t="str">
        <f>IF(OR(INDEX(Auction!$H$13:$H$683,MATCH(B64,Auction!$A$13:$A$683,0))&gt;0,IFERROR(INDEX(CheatSheet!$M$5:$M$64,MATCH(B64,CheatSheet!$J$5:$J$64,0)),"")&lt;&gt;""),"Yes","No")</f>
        <v>No</v>
      </c>
      <c r="V64" s="218"/>
      <c r="W64" s="1"/>
      <c r="X64" s="100">
        <f t="shared" ca="1" si="2"/>
        <v>1</v>
      </c>
      <c r="Y64" s="1">
        <f t="shared" ca="1" si="3"/>
        <v>-4.4300000000000033</v>
      </c>
      <c r="Z64" s="145" t="str">
        <f t="shared" ca="1" si="4"/>
        <v>RB10</v>
      </c>
      <c r="AA64" s="1">
        <f ca="1">Y64*LeagueInfo!$H$5</f>
        <v>-2.0260203120196949</v>
      </c>
      <c r="AB64" s="1"/>
      <c r="AC64" s="1"/>
    </row>
    <row r="65" spans="1:29" x14ac:dyDescent="0.25">
      <c r="A65" s="1">
        <f>RANK(O65,O$3:O$174)</f>
        <v>63</v>
      </c>
      <c r="B65" s="1" t="s">
        <v>942</v>
      </c>
      <c r="C65" s="1" t="s">
        <v>32</v>
      </c>
      <c r="D65" s="1">
        <f>VLOOKUP(E65,BYEs!$A$2:$B$34,2,FALSE)</f>
        <v>11</v>
      </c>
      <c r="E65" s="1" t="s">
        <v>378</v>
      </c>
      <c r="F65" s="249">
        <v>0</v>
      </c>
      <c r="G65" s="250">
        <v>0</v>
      </c>
      <c r="H65" s="249">
        <v>59.1</v>
      </c>
      <c r="I65" s="247">
        <v>232.5</v>
      </c>
      <c r="J65" s="250">
        <v>1.2</v>
      </c>
      <c r="K65" s="249">
        <v>34.6</v>
      </c>
      <c r="L65" s="247">
        <v>270.39999999999998</v>
      </c>
      <c r="M65" s="250">
        <v>0</v>
      </c>
      <c r="N65" s="251">
        <v>0</v>
      </c>
      <c r="O65" s="253">
        <f>(I65*RBRushingYd)+(J65*RBRushingTD)+(K65*RBReceptions)+(L65*RBRecYd)+(M65*RBRecTD)+(N65*RBFuml)+(H65*RBRushAtt)</f>
        <v>57.489999999999995</v>
      </c>
      <c r="P65" s="1" t="str">
        <f ca="1">IF(A65&lt;=RBStarters,"Starter",IF(A65&gt;RBStarters+RBBench,"Undrafted","Bench"))</f>
        <v>Undrafted</v>
      </c>
      <c r="Q65" s="47">
        <f ca="1">IFERROR(MAX(O65-LARGE(O$3:O$174,RBStarters),0),0)</f>
        <v>0</v>
      </c>
      <c r="R65" s="47">
        <f ca="1">IFERROR(IF(AllowNegative="Yes",O65-LARGE(O$3:O$174,RBCount),MAX(O65-LARGE(O$3:O$174,RBCount),0)),0)</f>
        <v>-11.750000000000014</v>
      </c>
      <c r="S65" s="108">
        <f ca="1">(R65-Q65)*BenchPF+Q65*StarterPF</f>
        <v>-2.8140762274162308</v>
      </c>
      <c r="T65" s="108">
        <f ca="1">S65*Auction!$A$2</f>
        <v>-2.8140762274162308</v>
      </c>
      <c r="U65" s="25" t="str">
        <f>IF(OR(INDEX(Auction!$H$13:$H$683,MATCH(B65,Auction!$A$13:$A$683,0))&gt;0,IFERROR(INDEX(CheatSheet!$M$5:$M$64,MATCH(B65,CheatSheet!$J$5:$J$64,0)),"")&lt;&gt;""),"Yes","No")</f>
        <v>No</v>
      </c>
      <c r="V65" s="218"/>
      <c r="W65" s="1"/>
      <c r="X65" s="100">
        <f t="shared" ca="1" si="2"/>
        <v>1</v>
      </c>
      <c r="Y65" s="1">
        <f t="shared" ca="1" si="3"/>
        <v>-5.8750000000000071</v>
      </c>
      <c r="Z65" s="145" t="str">
        <f t="shared" ca="1" si="4"/>
        <v>RB10</v>
      </c>
      <c r="AA65" s="1">
        <f ca="1">Y65*LeagueInfo!$H$5</f>
        <v>-2.6868779532992582</v>
      </c>
      <c r="AB65" s="1"/>
      <c r="AC65" s="1"/>
    </row>
    <row r="66" spans="1:29" x14ac:dyDescent="0.25">
      <c r="A66" s="1">
        <f>RANK(O66,O$3:O$174)</f>
        <v>64</v>
      </c>
      <c r="B66" s="1" t="s">
        <v>440</v>
      </c>
      <c r="C66" s="1" t="s">
        <v>32</v>
      </c>
      <c r="D66" s="1">
        <f>VLOOKUP(E66,BYEs!$A$2:$B$34,2,FALSE)</f>
        <v>8</v>
      </c>
      <c r="E66" s="1" t="s">
        <v>367</v>
      </c>
      <c r="F66" s="249">
        <v>0</v>
      </c>
      <c r="G66" s="250">
        <v>0</v>
      </c>
      <c r="H66" s="249">
        <v>63.3</v>
      </c>
      <c r="I66" s="247">
        <v>241.3</v>
      </c>
      <c r="J66" s="250">
        <v>1.2</v>
      </c>
      <c r="K66" s="249">
        <v>33.299999999999997</v>
      </c>
      <c r="L66" s="247">
        <v>233.1</v>
      </c>
      <c r="M66" s="250">
        <v>0.9</v>
      </c>
      <c r="N66" s="251">
        <v>1.3</v>
      </c>
      <c r="O66" s="253">
        <f>(I66*RBRushingYd)+(J66*RBRushingTD)+(K66*RBReceptions)+(L66*RBRecYd)+(M66*RBRecTD)+(N66*RBFuml)+(H66*RBRushAtt)</f>
        <v>57.44</v>
      </c>
      <c r="P66" s="1" t="str">
        <f ca="1">IF(A66&lt;=RBStarters,"Starter",IF(A66&gt;RBStarters+RBBench,"Undrafted","Bench"))</f>
        <v>Undrafted</v>
      </c>
      <c r="Q66" s="47">
        <f ca="1">IFERROR(MAX(O66-LARGE(O$3:O$174,RBStarters),0),0)</f>
        <v>0</v>
      </c>
      <c r="R66" s="47">
        <f ca="1">IFERROR(IF(AllowNegative="Yes",O66-LARGE(O$3:O$174,RBCount),MAX(O66-LARGE(O$3:O$174,RBCount),0)),0)</f>
        <v>-11.800000000000011</v>
      </c>
      <c r="S66" s="108">
        <f ca="1">(R66-Q66)*BenchPF+Q66*StarterPF</f>
        <v>-2.8260510198733204</v>
      </c>
      <c r="T66" s="108">
        <f ca="1">S66*Auction!$A$2</f>
        <v>-2.8260510198733204</v>
      </c>
      <c r="U66" s="25" t="str">
        <f>IF(OR(INDEX(Auction!$H$13:$H$683,MATCH(B66,Auction!$A$13:$A$683,0))&gt;0,IFERROR(INDEX(CheatSheet!$M$5:$M$64,MATCH(B66,CheatSheet!$J$5:$J$64,0)),"")&lt;&gt;""),"Yes","No")</f>
        <v>No</v>
      </c>
      <c r="V66" s="218"/>
      <c r="W66" s="1"/>
      <c r="X66" s="100">
        <f t="shared" ca="1" si="2"/>
        <v>1</v>
      </c>
      <c r="Y66" s="1">
        <f t="shared" ca="1" si="3"/>
        <v>-5.9000000000000057</v>
      </c>
      <c r="Z66" s="145" t="str">
        <f t="shared" ca="1" si="4"/>
        <v>RB11</v>
      </c>
      <c r="AA66" s="1">
        <f ca="1">Y66*LeagueInfo!$H$5</f>
        <v>-2.6983114765047862</v>
      </c>
      <c r="AB66" s="1"/>
      <c r="AC66" s="1"/>
    </row>
    <row r="67" spans="1:29" x14ac:dyDescent="0.25">
      <c r="A67" s="1">
        <f>RANK(O67,O$3:O$174)</f>
        <v>65</v>
      </c>
      <c r="B67" s="1" t="s">
        <v>446</v>
      </c>
      <c r="C67" s="1" t="s">
        <v>32</v>
      </c>
      <c r="D67" s="1">
        <f>VLOOKUP(E67,BYEs!$A$2:$B$34,2,FALSE)</f>
        <v>11</v>
      </c>
      <c r="E67" s="1" t="s">
        <v>378</v>
      </c>
      <c r="F67" s="249">
        <v>0</v>
      </c>
      <c r="G67" s="250">
        <v>0</v>
      </c>
      <c r="H67" s="249">
        <v>78.900000000000006</v>
      </c>
      <c r="I67" s="247">
        <v>313.2</v>
      </c>
      <c r="J67" s="250">
        <v>2.2999999999999998</v>
      </c>
      <c r="K67" s="249">
        <v>12.9</v>
      </c>
      <c r="L67" s="247">
        <v>103.2</v>
      </c>
      <c r="M67" s="250">
        <v>0.2</v>
      </c>
      <c r="N67" s="251">
        <v>1.3</v>
      </c>
      <c r="O67" s="253">
        <f>(I67*RBRushingYd)+(J67*RBRushingTD)+(K67*RBReceptions)+(L67*RBRecYd)+(M67*RBRecTD)+(N67*RBFuml)+(H67*RBRushAtt)</f>
        <v>54.04</v>
      </c>
      <c r="P67" s="1" t="str">
        <f ca="1">IF(A67&lt;=RBStarters,"Starter",IF(A67&gt;RBStarters+RBBench,"Undrafted","Bench"))</f>
        <v>Undrafted</v>
      </c>
      <c r="Q67" s="47">
        <f ca="1">IFERROR(MAX(O67-LARGE(O$3:O$174,RBStarters),0),0)</f>
        <v>0</v>
      </c>
      <c r="R67" s="47">
        <f ca="1">IFERROR(IF(AllowNegative="Yes",O67-LARGE(O$3:O$174,RBCount),MAX(O67-LARGE(O$3:O$174,RBCount),0)),0)</f>
        <v>-15.20000000000001</v>
      </c>
      <c r="S67" s="108">
        <f ca="1">(R67-Q67)*BenchPF+Q67*StarterPF</f>
        <v>-3.6403369069554623</v>
      </c>
      <c r="T67" s="108">
        <f ca="1">S67*Auction!$A$2</f>
        <v>-3.6403369069554623</v>
      </c>
      <c r="U67" s="25" t="str">
        <f>IF(OR(INDEX(Auction!$H$13:$H$683,MATCH(B67,Auction!$A$13:$A$683,0))&gt;0,IFERROR(INDEX(CheatSheet!$M$5:$M$64,MATCH(B67,CheatSheet!$J$5:$J$64,0)),"")&lt;&gt;""),"Yes","No")</f>
        <v>No</v>
      </c>
      <c r="V67" s="218"/>
      <c r="W67" s="1"/>
      <c r="X67" s="100">
        <f t="shared" ca="1" si="2"/>
        <v>1</v>
      </c>
      <c r="Y67" s="1">
        <f t="shared" ca="1" si="3"/>
        <v>-7.600000000000005</v>
      </c>
      <c r="Z67" s="145" t="str">
        <f t="shared" ref="Z67:Z98" ca="1" si="5">CONCATENATE("RB",ROUND((LARGE($Y$3:$Y$174,1)-$Y67)/(STDEVP($Y$3:$Y$174)/2)+1,0))</f>
        <v>RB11</v>
      </c>
      <c r="AA67" s="1">
        <f ca="1">Y67*LeagueInfo!$H$5</f>
        <v>-3.4757910544807404</v>
      </c>
      <c r="AB67" s="1"/>
      <c r="AC67" s="1"/>
    </row>
    <row r="68" spans="1:29" x14ac:dyDescent="0.25">
      <c r="A68" s="1">
        <f>RANK(O68,O$3:O$174)</f>
        <v>66</v>
      </c>
      <c r="B68" s="1" t="s">
        <v>451</v>
      </c>
      <c r="C68" s="1" t="s">
        <v>32</v>
      </c>
      <c r="D68" s="1">
        <f>VLOOKUP(E68,BYEs!$A$2:$B$34,2,FALSE)</f>
        <v>10</v>
      </c>
      <c r="E68" s="1" t="s">
        <v>369</v>
      </c>
      <c r="F68" s="249">
        <v>0</v>
      </c>
      <c r="G68" s="250">
        <v>0</v>
      </c>
      <c r="H68" s="249">
        <v>81.099999999999994</v>
      </c>
      <c r="I68" s="247">
        <v>332.5</v>
      </c>
      <c r="J68" s="250">
        <v>2</v>
      </c>
      <c r="K68" s="249">
        <v>12.1</v>
      </c>
      <c r="L68" s="247">
        <v>90.8</v>
      </c>
      <c r="M68" s="250">
        <v>0.3</v>
      </c>
      <c r="N68" s="251">
        <v>1.2</v>
      </c>
      <c r="O68" s="253">
        <f>(I68*RBRushingYd)+(J68*RBRushingTD)+(K68*RBReceptions)+(L68*RBRecYd)+(M68*RBRecTD)+(N68*RBFuml)+(H68*RBRushAtt)</f>
        <v>53.73</v>
      </c>
      <c r="P68" s="1" t="str">
        <f ca="1">IF(A68&lt;=RBStarters,"Starter",IF(A68&gt;RBStarters+RBBench,"Undrafted","Bench"))</f>
        <v>Undrafted</v>
      </c>
      <c r="Q68" s="47">
        <f ca="1">IFERROR(MAX(O68-LARGE(O$3:O$174,RBStarters),0),0)</f>
        <v>0</v>
      </c>
      <c r="R68" s="47">
        <f ca="1">IFERROR(IF(AllowNegative="Yes",O68-LARGE(O$3:O$174,RBCount),MAX(O68-LARGE(O$3:O$174,RBCount),0)),0)</f>
        <v>-15.510000000000012</v>
      </c>
      <c r="S68" s="108">
        <f ca="1">(R68-Q68)*BenchPF+Q68*StarterPF</f>
        <v>-3.7145806201894231</v>
      </c>
      <c r="T68" s="108">
        <f ca="1">S68*Auction!$A$2</f>
        <v>-3.7145806201894231</v>
      </c>
      <c r="U68" s="25" t="str">
        <f>IF(OR(INDEX(Auction!$H$13:$H$683,MATCH(B68,Auction!$A$13:$A$683,0))&gt;0,IFERROR(INDEX(CheatSheet!$M$5:$M$64,MATCH(B68,CheatSheet!$J$5:$J$64,0)),"")&lt;&gt;""),"Yes","No")</f>
        <v>No</v>
      </c>
      <c r="V68" s="218"/>
      <c r="W68" s="1"/>
      <c r="X68" s="100">
        <f t="shared" ref="X68:X131" ca="1" si="6">SUMIFS($Y$3:$Y$157,$Y$3:$Y$157,"&gt;0",$U$3:$U$157,"No")/SUMIF($Y$3:$Y$157,"&gt;0")</f>
        <v>1</v>
      </c>
      <c r="Y68" s="1">
        <f t="shared" ref="Y68:Y131" ca="1" si="7">AVERAGE(Q68:R68)</f>
        <v>-7.7550000000000061</v>
      </c>
      <c r="Z68" s="145" t="str">
        <f t="shared" ca="1" si="5"/>
        <v>RB11</v>
      </c>
      <c r="AA68" s="1">
        <f ca="1">Y68*LeagueInfo!$H$5</f>
        <v>-3.5466788983550193</v>
      </c>
      <c r="AB68" s="1"/>
      <c r="AC68" s="1"/>
    </row>
    <row r="69" spans="1:29" x14ac:dyDescent="0.25">
      <c r="A69" s="1">
        <f>RANK(O69,O$3:O$174)</f>
        <v>67</v>
      </c>
      <c r="B69" s="1" t="s">
        <v>447</v>
      </c>
      <c r="C69" s="1" t="s">
        <v>32</v>
      </c>
      <c r="D69" s="1">
        <f>VLOOKUP(E69,BYEs!$A$2:$B$34,2,FALSE)</f>
        <v>7</v>
      </c>
      <c r="E69" s="1" t="s">
        <v>385</v>
      </c>
      <c r="F69" s="249">
        <v>0</v>
      </c>
      <c r="G69" s="250">
        <v>0</v>
      </c>
      <c r="H69" s="249">
        <v>81.400000000000006</v>
      </c>
      <c r="I69" s="247">
        <v>325.60000000000002</v>
      </c>
      <c r="J69" s="250">
        <v>2.2999999999999998</v>
      </c>
      <c r="K69" s="249">
        <v>12.9</v>
      </c>
      <c r="L69" s="247">
        <v>91.2</v>
      </c>
      <c r="M69" s="250">
        <v>0.1</v>
      </c>
      <c r="N69" s="251">
        <v>1.2</v>
      </c>
      <c r="O69" s="253">
        <f>(I69*RBRushingYd)+(J69*RBRushingTD)+(K69*RBReceptions)+(L69*RBRecYd)+(M69*RBRecTD)+(N69*RBFuml)+(H69*RBRushAtt)</f>
        <v>53.680000000000007</v>
      </c>
      <c r="P69" s="1" t="str">
        <f ca="1">IF(A69&lt;=RBStarters,"Starter",IF(A69&gt;RBStarters+RBBench,"Undrafted","Bench"))</f>
        <v>Undrafted</v>
      </c>
      <c r="Q69" s="47">
        <f ca="1">IFERROR(MAX(O69-LARGE(O$3:O$174,RBStarters),0),0)</f>
        <v>0</v>
      </c>
      <c r="R69" s="47">
        <f ca="1">IFERROR(IF(AllowNegative="Yes",O69-LARGE(O$3:O$174,RBCount),MAX(O69-LARGE(O$3:O$174,RBCount),0)),0)</f>
        <v>-15.560000000000002</v>
      </c>
      <c r="S69" s="108">
        <f ca="1">(R69-Q69)*BenchPF+Q69*StarterPF</f>
        <v>-3.726555412646511</v>
      </c>
      <c r="T69" s="108">
        <f ca="1">S69*Auction!$A$2</f>
        <v>-3.726555412646511</v>
      </c>
      <c r="U69" s="25" t="str">
        <f>IF(OR(INDEX(Auction!$H$13:$H$683,MATCH(B69,Auction!$A$13:$A$683,0))&gt;0,IFERROR(INDEX(CheatSheet!$M$5:$M$64,MATCH(B69,CheatSheet!$J$5:$J$64,0)),"")&lt;&gt;""),"Yes","No")</f>
        <v>No</v>
      </c>
      <c r="V69" s="218"/>
      <c r="W69" s="1"/>
      <c r="X69" s="100">
        <f t="shared" ca="1" si="6"/>
        <v>1</v>
      </c>
      <c r="Y69" s="1">
        <f t="shared" ca="1" si="7"/>
        <v>-7.7800000000000011</v>
      </c>
      <c r="Z69" s="145" t="str">
        <f t="shared" ca="1" si="5"/>
        <v>RB11</v>
      </c>
      <c r="AA69" s="1">
        <f ca="1">Y69*LeagueInfo!$H$5</f>
        <v>-3.5581124215605455</v>
      </c>
      <c r="AB69" s="1"/>
      <c r="AC69" s="1"/>
    </row>
    <row r="70" spans="1:29" x14ac:dyDescent="0.25">
      <c r="A70" s="1">
        <f>RANK(O70,O$3:O$174)</f>
        <v>68</v>
      </c>
      <c r="B70" s="1" t="s">
        <v>471</v>
      </c>
      <c r="C70" s="1" t="s">
        <v>32</v>
      </c>
      <c r="D70" s="1">
        <f>VLOOKUP(E70,BYEs!$A$2:$B$34,2,FALSE)</f>
        <v>10</v>
      </c>
      <c r="E70" s="1" t="s">
        <v>372</v>
      </c>
      <c r="F70" s="249">
        <v>0</v>
      </c>
      <c r="G70" s="250">
        <v>0</v>
      </c>
      <c r="H70" s="249">
        <v>77.900000000000006</v>
      </c>
      <c r="I70" s="247">
        <v>304</v>
      </c>
      <c r="J70" s="250">
        <v>2</v>
      </c>
      <c r="K70" s="249">
        <v>14.3</v>
      </c>
      <c r="L70" s="247">
        <v>112.5</v>
      </c>
      <c r="M70" s="250">
        <v>0.3</v>
      </c>
      <c r="N70" s="251">
        <v>0.9</v>
      </c>
      <c r="O70" s="253">
        <f>(I70*RBRushingYd)+(J70*RBRushingTD)+(K70*RBReceptions)+(L70*RBRecYd)+(M70*RBRecTD)+(N70*RBFuml)+(H70*RBRushAtt)</f>
        <v>53.650000000000006</v>
      </c>
      <c r="P70" s="1" t="str">
        <f ca="1">IF(A70&lt;=RBStarters,"Starter",IF(A70&gt;RBStarters+RBBench,"Undrafted","Bench"))</f>
        <v>Undrafted</v>
      </c>
      <c r="Q70" s="47">
        <f ca="1">IFERROR(MAX(O70-LARGE(O$3:O$174,RBStarters),0),0)</f>
        <v>0</v>
      </c>
      <c r="R70" s="47">
        <f ca="1">IFERROR(IF(AllowNegative="Yes",O70-LARGE(O$3:O$174,RBCount),MAX(O70-LARGE(O$3:O$174,RBCount),0)),0)</f>
        <v>-15.590000000000003</v>
      </c>
      <c r="S70" s="108">
        <f ca="1">(R70-Q70)*BenchPF+Q70*StarterPF</f>
        <v>-3.7337402881207655</v>
      </c>
      <c r="T70" s="108">
        <f ca="1">S70*Auction!$A$2</f>
        <v>-3.7337402881207655</v>
      </c>
      <c r="U70" s="25" t="str">
        <f>IF(OR(INDEX(Auction!$H$13:$H$683,MATCH(B70,Auction!$A$13:$A$683,0))&gt;0,IFERROR(INDEX(CheatSheet!$M$5:$M$64,MATCH(B70,CheatSheet!$J$5:$J$64,0)),"")&lt;&gt;""),"Yes","No")</f>
        <v>No</v>
      </c>
      <c r="V70" s="218"/>
      <c r="W70" s="1"/>
      <c r="X70" s="100">
        <f t="shared" ca="1" si="6"/>
        <v>1</v>
      </c>
      <c r="Y70" s="1">
        <f t="shared" ca="1" si="7"/>
        <v>-7.7950000000000017</v>
      </c>
      <c r="Z70" s="145" t="str">
        <f t="shared" ca="1" si="5"/>
        <v>RB11</v>
      </c>
      <c r="AA70" s="1">
        <f ca="1">Y70*LeagueInfo!$H$5</f>
        <v>-3.5649725354838631</v>
      </c>
      <c r="AB70" s="1"/>
      <c r="AC70" s="1"/>
    </row>
    <row r="71" spans="1:29" x14ac:dyDescent="0.25">
      <c r="A71" s="1">
        <f>RANK(O71,O$3:O$174)</f>
        <v>69</v>
      </c>
      <c r="B71" s="1" t="s">
        <v>281</v>
      </c>
      <c r="C71" s="1" t="s">
        <v>32</v>
      </c>
      <c r="D71" s="1">
        <f>VLOOKUP(E71,BYEs!$A$2:$B$34,2,FALSE)</f>
        <v>11</v>
      </c>
      <c r="E71" s="1" t="s">
        <v>355</v>
      </c>
      <c r="F71" s="249">
        <v>0</v>
      </c>
      <c r="G71" s="250">
        <v>0</v>
      </c>
      <c r="H71" s="249">
        <v>58.2</v>
      </c>
      <c r="I71" s="247">
        <v>233.4</v>
      </c>
      <c r="J71" s="250">
        <v>1.7</v>
      </c>
      <c r="K71" s="249">
        <v>17.399999999999999</v>
      </c>
      <c r="L71" s="247">
        <v>135.30000000000001</v>
      </c>
      <c r="M71" s="250">
        <v>0.5</v>
      </c>
      <c r="N71" s="251">
        <v>0.7</v>
      </c>
      <c r="O71" s="253">
        <f>(I71*RBRushingYd)+(J71*RBRushingTD)+(K71*RBReceptions)+(L71*RBRecYd)+(M71*RBRecTD)+(N71*RBFuml)+(H71*RBRushAtt)</f>
        <v>48.670000000000009</v>
      </c>
      <c r="P71" s="1" t="str">
        <f ca="1">IF(A71&lt;=RBStarters,"Starter",IF(A71&gt;RBStarters+RBBench,"Undrafted","Bench"))</f>
        <v>Undrafted</v>
      </c>
      <c r="Q71" s="47">
        <f ca="1">IFERROR(MAX(O71-LARGE(O$3:O$174,RBStarters),0),0)</f>
        <v>0</v>
      </c>
      <c r="R71" s="47">
        <f ca="1">IFERROR(IF(AllowNegative="Yes",O71-LARGE(O$3:O$174,RBCount),MAX(O71-LARGE(O$3:O$174,RBCount),0)),0)</f>
        <v>-20.57</v>
      </c>
      <c r="S71" s="108">
        <f ca="1">(R71-Q71)*BenchPF+Q71*StarterPF</f>
        <v>-4.9264296168469617</v>
      </c>
      <c r="T71" s="108">
        <f ca="1">S71*Auction!$A$2</f>
        <v>-4.9264296168469617</v>
      </c>
      <c r="U71" s="25" t="str">
        <f>IF(OR(INDEX(Auction!$H$13:$H$683,MATCH(B71,Auction!$A$13:$A$683,0))&gt;0,IFERROR(INDEX(CheatSheet!$M$5:$M$64,MATCH(B71,CheatSheet!$J$5:$J$64,0)),"")&lt;&gt;""),"Yes","No")</f>
        <v>No</v>
      </c>
      <c r="V71" s="218"/>
      <c r="W71" s="1"/>
      <c r="X71" s="100">
        <f t="shared" ca="1" si="6"/>
        <v>1</v>
      </c>
      <c r="Y71" s="1">
        <f t="shared" ca="1" si="7"/>
        <v>-10.285</v>
      </c>
      <c r="Z71" s="145" t="str">
        <f t="shared" ca="1" si="5"/>
        <v>RB11</v>
      </c>
      <c r="AA71" s="1">
        <f ca="1">Y71*LeagueInfo!$H$5</f>
        <v>-4.7037514467545254</v>
      </c>
      <c r="AB71" s="1"/>
      <c r="AC71" s="1"/>
    </row>
    <row r="72" spans="1:29" x14ac:dyDescent="0.25">
      <c r="A72" s="1">
        <f>RANK(O72,O$3:O$174)</f>
        <v>70</v>
      </c>
      <c r="B72" s="1" t="s">
        <v>449</v>
      </c>
      <c r="C72" s="1" t="s">
        <v>32</v>
      </c>
      <c r="D72" s="1">
        <f>VLOOKUP(E72,BYEs!$A$2:$B$34,2,FALSE)</f>
        <v>5</v>
      </c>
      <c r="E72" s="1" t="s">
        <v>384</v>
      </c>
      <c r="F72" s="249">
        <v>0</v>
      </c>
      <c r="G72" s="250">
        <v>0</v>
      </c>
      <c r="H72" s="249">
        <v>71.900000000000006</v>
      </c>
      <c r="I72" s="247">
        <v>279.2</v>
      </c>
      <c r="J72" s="250">
        <v>1.5</v>
      </c>
      <c r="K72" s="249">
        <v>16</v>
      </c>
      <c r="L72" s="247">
        <v>128.5</v>
      </c>
      <c r="M72" s="250">
        <v>0.6</v>
      </c>
      <c r="N72" s="251">
        <v>2.5</v>
      </c>
      <c r="O72" s="253">
        <f>(I72*RBRushingYd)+(J72*RBRushingTD)+(K72*RBReceptions)+(L72*RBRecYd)+(M72*RBRecTD)+(N72*RBFuml)+(H72*RBRushAtt)</f>
        <v>48.370000000000005</v>
      </c>
      <c r="P72" s="1" t="str">
        <f ca="1">IF(A72&lt;=RBStarters,"Starter",IF(A72&gt;RBStarters+RBBench,"Undrafted","Bench"))</f>
        <v>Undrafted</v>
      </c>
      <c r="Q72" s="47">
        <f ca="1">IFERROR(MAX(O72-LARGE(O$3:O$174,RBStarters),0),0)</f>
        <v>0</v>
      </c>
      <c r="R72" s="47">
        <f ca="1">IFERROR(IF(AllowNegative="Yes",O72-LARGE(O$3:O$174,RBCount),MAX(O72-LARGE(O$3:O$174,RBCount),0)),0)</f>
        <v>-20.870000000000005</v>
      </c>
      <c r="S72" s="108">
        <f ca="1">(R72-Q72)*BenchPF+Q72*StarterPF</f>
        <v>-4.9982783715895041</v>
      </c>
      <c r="T72" s="108">
        <f ca="1">S72*Auction!$A$2</f>
        <v>-4.9982783715895041</v>
      </c>
      <c r="U72" s="25" t="str">
        <f>IF(OR(INDEX(Auction!$H$13:$H$683,MATCH(B72,Auction!$A$13:$A$683,0))&gt;0,IFERROR(INDEX(CheatSheet!$M$5:$M$64,MATCH(B72,CheatSheet!$J$5:$J$64,0)),"")&lt;&gt;""),"Yes","No")</f>
        <v>No</v>
      </c>
      <c r="V72" s="218"/>
      <c r="W72" s="1"/>
      <c r="X72" s="100">
        <f t="shared" ca="1" si="6"/>
        <v>1</v>
      </c>
      <c r="Y72" s="1">
        <f t="shared" ca="1" si="7"/>
        <v>-10.435000000000002</v>
      </c>
      <c r="Z72" s="145" t="str">
        <f t="shared" ca="1" si="5"/>
        <v>RB11</v>
      </c>
      <c r="AA72" s="1">
        <f ca="1">Y72*LeagueInfo!$H$5</f>
        <v>-4.772352585987699</v>
      </c>
      <c r="AB72" s="1"/>
      <c r="AC72" s="1"/>
    </row>
    <row r="73" spans="1:29" x14ac:dyDescent="0.25">
      <c r="A73" s="1">
        <f>RANK(O73,O$3:O$174)</f>
        <v>71</v>
      </c>
      <c r="B73" s="1" t="s">
        <v>450</v>
      </c>
      <c r="C73" s="1" t="s">
        <v>32</v>
      </c>
      <c r="D73" s="1">
        <f>VLOOKUP(E73,BYEs!$A$2:$B$34,2,FALSE)</f>
        <v>11</v>
      </c>
      <c r="E73" s="1" t="s">
        <v>374</v>
      </c>
      <c r="F73" s="249">
        <v>0</v>
      </c>
      <c r="G73" s="250">
        <v>0</v>
      </c>
      <c r="H73" s="249">
        <v>45.6</v>
      </c>
      <c r="I73" s="247">
        <v>169.2</v>
      </c>
      <c r="J73" s="250">
        <v>1.3</v>
      </c>
      <c r="K73" s="249">
        <v>17.7</v>
      </c>
      <c r="L73" s="247">
        <v>153.30000000000001</v>
      </c>
      <c r="M73" s="250">
        <v>1.4</v>
      </c>
      <c r="N73" s="251">
        <v>0.9</v>
      </c>
      <c r="O73" s="253">
        <f>(I73*RBRushingYd)+(J73*RBRushingTD)+(K73*RBReceptions)+(L73*RBRecYd)+(M73*RBRecTD)+(N73*RBFuml)+(H73*RBRushAtt)</f>
        <v>46.65</v>
      </c>
      <c r="P73" s="1" t="str">
        <f ca="1">IF(A73&lt;=RBStarters,"Starter",IF(A73&gt;RBStarters+RBBench,"Undrafted","Bench"))</f>
        <v>Undrafted</v>
      </c>
      <c r="Q73" s="47">
        <f ca="1">IFERROR(MAX(O73-LARGE(O$3:O$174,RBStarters),0),0)</f>
        <v>0</v>
      </c>
      <c r="R73" s="47">
        <f ca="1">IFERROR(IF(AllowNegative="Yes",O73-LARGE(O$3:O$174,RBCount),MAX(O73-LARGE(O$3:O$174,RBCount),0)),0)</f>
        <v>-22.590000000000011</v>
      </c>
      <c r="S73" s="108">
        <f ca="1">(R73-Q73)*BenchPF+Q73*StarterPF</f>
        <v>-5.4102112321134133</v>
      </c>
      <c r="T73" s="108">
        <f ca="1">S73*Auction!$A$2</f>
        <v>-5.4102112321134133</v>
      </c>
      <c r="U73" s="25" t="str">
        <f>IF(OR(INDEX(Auction!$H$13:$H$683,MATCH(B73,Auction!$A$13:$A$683,0))&gt;0,IFERROR(INDEX(CheatSheet!$M$5:$M$64,MATCH(B73,CheatSheet!$J$5:$J$64,0)),"")&lt;&gt;""),"Yes","No")</f>
        <v>No</v>
      </c>
      <c r="V73" s="218"/>
      <c r="W73" s="1"/>
      <c r="X73" s="100">
        <f t="shared" ca="1" si="6"/>
        <v>1</v>
      </c>
      <c r="Y73" s="1">
        <f t="shared" ca="1" si="7"/>
        <v>-11.295000000000005</v>
      </c>
      <c r="Z73" s="145" t="str">
        <f t="shared" ca="1" si="5"/>
        <v>RB11</v>
      </c>
      <c r="AA73" s="1">
        <f ca="1">Y73*LeagueInfo!$H$5</f>
        <v>-5.1656657842578886</v>
      </c>
      <c r="AB73" s="1"/>
      <c r="AC73" s="1"/>
    </row>
    <row r="74" spans="1:29" x14ac:dyDescent="0.25">
      <c r="A74" s="1">
        <f>RANK(O74,O$3:O$174)</f>
        <v>72</v>
      </c>
      <c r="B74" s="1" t="s">
        <v>444</v>
      </c>
      <c r="C74" s="1" t="s">
        <v>32</v>
      </c>
      <c r="D74" s="1">
        <f>VLOOKUP(E74,BYEs!$A$2:$B$34,2,FALSE)</f>
        <v>9</v>
      </c>
      <c r="E74" s="1" t="s">
        <v>373</v>
      </c>
      <c r="F74" s="249">
        <v>0</v>
      </c>
      <c r="G74" s="250">
        <v>0</v>
      </c>
      <c r="H74" s="249">
        <v>53.1</v>
      </c>
      <c r="I74" s="247">
        <v>210.2</v>
      </c>
      <c r="J74" s="250">
        <v>0.8</v>
      </c>
      <c r="K74" s="249">
        <v>23.9</v>
      </c>
      <c r="L74" s="247">
        <v>163.69999999999999</v>
      </c>
      <c r="M74" s="250">
        <v>0.9</v>
      </c>
      <c r="N74" s="251">
        <v>1.2</v>
      </c>
      <c r="O74" s="253">
        <f>(I74*RBRushingYd)+(J74*RBRushingTD)+(K74*RBReceptions)+(L74*RBRecYd)+(M74*RBRecTD)+(N74*RBFuml)+(H74*RBRushAtt)</f>
        <v>45.19</v>
      </c>
      <c r="P74" s="1" t="str">
        <f ca="1">IF(A74&lt;=RBStarters,"Starter",IF(A74&gt;RBStarters+RBBench,"Undrafted","Bench"))</f>
        <v>Undrafted</v>
      </c>
      <c r="Q74" s="47">
        <f ca="1">IFERROR(MAX(O74-LARGE(O$3:O$174,RBStarters),0),0)</f>
        <v>0</v>
      </c>
      <c r="R74" s="47">
        <f ca="1">IFERROR(IF(AllowNegative="Yes",O74-LARGE(O$3:O$174,RBCount),MAX(O74-LARGE(O$3:O$174,RBCount),0)),0)</f>
        <v>-24.050000000000011</v>
      </c>
      <c r="S74" s="108">
        <f ca="1">(R74-Q74)*BenchPF+Q74*StarterPF</f>
        <v>-5.7598751718604513</v>
      </c>
      <c r="T74" s="108">
        <f ca="1">S74*Auction!$A$2</f>
        <v>-5.7598751718604513</v>
      </c>
      <c r="U74" s="25" t="str">
        <f>IF(OR(INDEX(Auction!$H$13:$H$683,MATCH(B74,Auction!$A$13:$A$683,0))&gt;0,IFERROR(INDEX(CheatSheet!$M$5:$M$64,MATCH(B74,CheatSheet!$J$5:$J$64,0)),"")&lt;&gt;""),"Yes","No")</f>
        <v>No</v>
      </c>
      <c r="V74" s="218"/>
      <c r="W74" s="1"/>
      <c r="X74" s="100">
        <f t="shared" ca="1" si="6"/>
        <v>1</v>
      </c>
      <c r="Y74" s="1">
        <f t="shared" ca="1" si="7"/>
        <v>-12.025000000000006</v>
      </c>
      <c r="Z74" s="145" t="str">
        <f t="shared" ca="1" si="5"/>
        <v>RB11</v>
      </c>
      <c r="AA74" s="1">
        <f ca="1">Y74*LeagueInfo!$H$5</f>
        <v>-5.4995246618593283</v>
      </c>
      <c r="AB74" s="1"/>
      <c r="AC74" s="1"/>
    </row>
    <row r="75" spans="1:29" x14ac:dyDescent="0.25">
      <c r="A75" s="1">
        <f>RANK(O75,O$3:O$174)</f>
        <v>73</v>
      </c>
      <c r="B75" s="1" t="s">
        <v>454</v>
      </c>
      <c r="C75" s="1" t="s">
        <v>32</v>
      </c>
      <c r="D75" s="1">
        <f>VLOOKUP(E75,BYEs!$A$2:$B$34,2,FALSE)</f>
        <v>9</v>
      </c>
      <c r="E75" s="1" t="s">
        <v>363</v>
      </c>
      <c r="F75" s="249">
        <v>0</v>
      </c>
      <c r="G75" s="250">
        <v>0</v>
      </c>
      <c r="H75" s="249">
        <v>56.2</v>
      </c>
      <c r="I75" s="247">
        <v>226.4</v>
      </c>
      <c r="J75" s="250">
        <v>2.1</v>
      </c>
      <c r="K75" s="249">
        <v>9.3000000000000007</v>
      </c>
      <c r="L75" s="247">
        <v>71.7</v>
      </c>
      <c r="M75" s="250">
        <v>0.1</v>
      </c>
      <c r="N75" s="251">
        <v>0.5</v>
      </c>
      <c r="O75" s="253">
        <f>(I75*RBRushingYd)+(J75*RBRushingTD)+(K75*RBReceptions)+(L75*RBRecYd)+(M75*RBRecTD)+(N75*RBFuml)+(H75*RBRushAtt)</f>
        <v>42.010000000000005</v>
      </c>
      <c r="P75" s="1" t="str">
        <f ca="1">IF(A75&lt;=RBStarters,"Starter",IF(A75&gt;RBStarters+RBBench,"Undrafted","Bench"))</f>
        <v>Undrafted</v>
      </c>
      <c r="Q75" s="47">
        <f ca="1">IFERROR(MAX(O75-LARGE(O$3:O$174,RBStarters),0),0)</f>
        <v>0</v>
      </c>
      <c r="R75" s="47">
        <f ca="1">IFERROR(IF(AllowNegative="Yes",O75-LARGE(O$3:O$174,RBCount),MAX(O75-LARGE(O$3:O$174,RBCount),0)),0)</f>
        <v>-27.230000000000004</v>
      </c>
      <c r="S75" s="108">
        <f ca="1">(R75-Q75)*BenchPF+Q75*StarterPF</f>
        <v>-6.5214719721313941</v>
      </c>
      <c r="T75" s="108">
        <f ca="1">S75*Auction!$A$2</f>
        <v>-6.5214719721313941</v>
      </c>
      <c r="U75" s="25" t="str">
        <f>IF(OR(INDEX(Auction!$H$13:$H$683,MATCH(B75,Auction!$A$13:$A$683,0))&gt;0,IFERROR(INDEX(CheatSheet!$M$5:$M$64,MATCH(B75,CheatSheet!$J$5:$J$64,0)),"")&lt;&gt;""),"Yes","No")</f>
        <v>No</v>
      </c>
      <c r="V75" s="218"/>
      <c r="W75" s="1"/>
      <c r="X75" s="100">
        <f t="shared" ca="1" si="6"/>
        <v>1</v>
      </c>
      <c r="Y75" s="1">
        <f t="shared" ca="1" si="7"/>
        <v>-13.615000000000002</v>
      </c>
      <c r="Z75" s="145" t="str">
        <f t="shared" ca="1" si="5"/>
        <v>RB11</v>
      </c>
      <c r="AA75" s="1">
        <f ca="1">Y75*LeagueInfo!$H$5</f>
        <v>-6.226696737730955</v>
      </c>
      <c r="AB75" s="1"/>
      <c r="AC75" s="1"/>
    </row>
    <row r="76" spans="1:29" x14ac:dyDescent="0.25">
      <c r="A76" s="1">
        <f>RANK(O76,O$3:O$174)</f>
        <v>74</v>
      </c>
      <c r="B76" s="1" t="s">
        <v>475</v>
      </c>
      <c r="C76" s="1" t="s">
        <v>32</v>
      </c>
      <c r="D76" s="1">
        <f>VLOOKUP(E76,BYEs!$A$2:$B$34,2,FALSE)</f>
        <v>6</v>
      </c>
      <c r="E76" s="1" t="s">
        <v>360</v>
      </c>
      <c r="F76" s="249">
        <v>0</v>
      </c>
      <c r="G76" s="250">
        <v>0</v>
      </c>
      <c r="H76" s="249">
        <v>62.7</v>
      </c>
      <c r="I76" s="247">
        <v>261.8</v>
      </c>
      <c r="J76" s="250">
        <v>1.6</v>
      </c>
      <c r="K76" s="249">
        <v>5.7</v>
      </c>
      <c r="L76" s="247">
        <v>36.1</v>
      </c>
      <c r="M76" s="250">
        <v>0.1</v>
      </c>
      <c r="N76" s="251">
        <v>0.3</v>
      </c>
      <c r="O76" s="253">
        <f>(I76*RBRushingYd)+(J76*RBRushingTD)+(K76*RBReceptions)+(L76*RBRecYd)+(M76*RBRecTD)+(N76*RBFuml)+(H76*RBRushAtt)</f>
        <v>39.39</v>
      </c>
      <c r="P76" s="1" t="str">
        <f ca="1">IF(A76&lt;=RBStarters,"Starter",IF(A76&gt;RBStarters+RBBench,"Undrafted","Bench"))</f>
        <v>Undrafted</v>
      </c>
      <c r="Q76" s="47">
        <f ca="1">IFERROR(MAX(O76-LARGE(O$3:O$174,RBStarters),0),0)</f>
        <v>0</v>
      </c>
      <c r="R76" s="47">
        <f ca="1">IFERROR(IF(AllowNegative="Yes",O76-LARGE(O$3:O$174,RBCount),MAX(O76-LARGE(O$3:O$174,RBCount),0)),0)</f>
        <v>-29.850000000000009</v>
      </c>
      <c r="S76" s="108">
        <f ca="1">(R76-Q76)*BenchPF+Q76*StarterPF</f>
        <v>-7.1489510968829286</v>
      </c>
      <c r="T76" s="108">
        <f ca="1">S76*Auction!$A$2</f>
        <v>-7.1489510968829286</v>
      </c>
      <c r="U76" s="25" t="str">
        <f>IF(OR(INDEX(Auction!$H$13:$H$683,MATCH(B76,Auction!$A$13:$A$683,0))&gt;0,IFERROR(INDEX(CheatSheet!$M$5:$M$64,MATCH(B76,CheatSheet!$J$5:$J$64,0)),"")&lt;&gt;""),"Yes","No")</f>
        <v>No</v>
      </c>
      <c r="V76" s="218"/>
      <c r="W76" s="1"/>
      <c r="X76" s="100">
        <f t="shared" ca="1" si="6"/>
        <v>1</v>
      </c>
      <c r="Y76" s="1">
        <f t="shared" ca="1" si="7"/>
        <v>-14.925000000000004</v>
      </c>
      <c r="Z76" s="145" t="str">
        <f t="shared" ca="1" si="5"/>
        <v>RB11</v>
      </c>
      <c r="AA76" s="1">
        <f ca="1">Y76*LeagueInfo!$H$5</f>
        <v>-6.8258133537006618</v>
      </c>
      <c r="AB76" s="1"/>
      <c r="AC76" s="1"/>
    </row>
    <row r="77" spans="1:29" x14ac:dyDescent="0.25">
      <c r="A77" s="1">
        <f>RANK(O77,O$3:O$174)</f>
        <v>75</v>
      </c>
      <c r="B77" s="1" t="s">
        <v>191</v>
      </c>
      <c r="C77" s="1" t="s">
        <v>32</v>
      </c>
      <c r="D77" s="1">
        <f>VLOOKUP(E77,BYEs!$A$2:$B$34,2,FALSE)</f>
        <v>11</v>
      </c>
      <c r="E77" s="1" t="s">
        <v>378</v>
      </c>
      <c r="F77" s="249">
        <v>0</v>
      </c>
      <c r="G77" s="250">
        <v>0</v>
      </c>
      <c r="H77" s="249">
        <v>60</v>
      </c>
      <c r="I77" s="247">
        <v>244.3</v>
      </c>
      <c r="J77" s="250">
        <v>1.4</v>
      </c>
      <c r="K77" s="249">
        <v>9.9</v>
      </c>
      <c r="L77" s="247">
        <v>75.2</v>
      </c>
      <c r="M77" s="250">
        <v>0.3</v>
      </c>
      <c r="N77" s="251">
        <v>1.5</v>
      </c>
      <c r="O77" s="253">
        <f>(I77*RBRushingYd)+(J77*RBRushingTD)+(K77*RBReceptions)+(L77*RBRecYd)+(M77*RBRecTD)+(N77*RBFuml)+(H77*RBRushAtt)</f>
        <v>39.15</v>
      </c>
      <c r="P77" s="1" t="str">
        <f ca="1">IF(A77&lt;=RBStarters,"Starter",IF(A77&gt;RBStarters+RBBench,"Undrafted","Bench"))</f>
        <v>Undrafted</v>
      </c>
      <c r="Q77" s="47">
        <f ca="1">IFERROR(MAX(O77-LARGE(O$3:O$174,RBStarters),0),0)</f>
        <v>0</v>
      </c>
      <c r="R77" s="47">
        <f ca="1">IFERROR(IF(AllowNegative="Yes",O77-LARGE(O$3:O$174,RBCount),MAX(O77-LARGE(O$3:O$174,RBCount),0)),0)</f>
        <v>-30.090000000000011</v>
      </c>
      <c r="S77" s="108">
        <f ca="1">(R77-Q77)*BenchPF+Q77*StarterPF</f>
        <v>-7.206430100676962</v>
      </c>
      <c r="T77" s="108">
        <f ca="1">S77*Auction!$A$2</f>
        <v>-7.206430100676962</v>
      </c>
      <c r="U77" s="25" t="str">
        <f>IF(OR(INDEX(Auction!$H$13:$H$683,MATCH(B77,Auction!$A$13:$A$683,0))&gt;0,IFERROR(INDEX(CheatSheet!$M$5:$M$64,MATCH(B77,CheatSheet!$J$5:$J$64,0)),"")&lt;&gt;""),"Yes","No")</f>
        <v>No</v>
      </c>
      <c r="V77" s="218"/>
      <c r="W77" s="1"/>
      <c r="X77" s="100">
        <f t="shared" ca="1" si="6"/>
        <v>1</v>
      </c>
      <c r="Y77" s="1">
        <f t="shared" ca="1" si="7"/>
        <v>-15.045000000000005</v>
      </c>
      <c r="Z77" s="145" t="str">
        <f t="shared" ca="1" si="5"/>
        <v>RB11</v>
      </c>
      <c r="AA77" s="1">
        <f ca="1">Y77*LeagueInfo!$H$5</f>
        <v>-6.8806942650872003</v>
      </c>
      <c r="AB77" s="1"/>
      <c r="AC77" s="1"/>
    </row>
    <row r="78" spans="1:29" x14ac:dyDescent="0.25">
      <c r="A78" s="1">
        <f>RANK(O78,O$3:O$174)</f>
        <v>76</v>
      </c>
      <c r="B78" s="1" t="s">
        <v>456</v>
      </c>
      <c r="C78" s="1" t="s">
        <v>32</v>
      </c>
      <c r="D78" s="1">
        <f>VLOOKUP(E78,BYEs!$A$2:$B$34,2,FALSE)</f>
        <v>9</v>
      </c>
      <c r="E78" s="1" t="s">
        <v>376</v>
      </c>
      <c r="F78" s="249">
        <v>0</v>
      </c>
      <c r="G78" s="250">
        <v>0</v>
      </c>
      <c r="H78" s="249">
        <v>47.5</v>
      </c>
      <c r="I78" s="247">
        <v>208.7</v>
      </c>
      <c r="J78" s="250">
        <v>1</v>
      </c>
      <c r="K78" s="249">
        <v>14.6</v>
      </c>
      <c r="L78" s="247">
        <v>117.7</v>
      </c>
      <c r="M78" s="250">
        <v>0.2</v>
      </c>
      <c r="N78" s="251">
        <v>1</v>
      </c>
      <c r="O78" s="253">
        <f>(I78*RBRushingYd)+(J78*RBRushingTD)+(K78*RBReceptions)+(L78*RBRecYd)+(M78*RBRecTD)+(N78*RBFuml)+(H78*RBRushAtt)</f>
        <v>37.840000000000003</v>
      </c>
      <c r="P78" s="1" t="str">
        <f ca="1">IF(A78&lt;=RBStarters,"Starter",IF(A78&gt;RBStarters+RBBench,"Undrafted","Bench"))</f>
        <v>Undrafted</v>
      </c>
      <c r="Q78" s="47">
        <f ca="1">IFERROR(MAX(O78-LARGE(O$3:O$174,RBStarters),0),0)</f>
        <v>0</v>
      </c>
      <c r="R78" s="47">
        <f ca="1">IFERROR(IF(AllowNegative="Yes",O78-LARGE(O$3:O$174,RBCount),MAX(O78-LARGE(O$3:O$174,RBCount),0)),0)</f>
        <v>-31.400000000000006</v>
      </c>
      <c r="S78" s="108">
        <f ca="1">(R78-Q78)*BenchPF+Q78*StarterPF</f>
        <v>-7.5201696630527275</v>
      </c>
      <c r="T78" s="108">
        <f ca="1">S78*Auction!$A$2</f>
        <v>-7.5201696630527275</v>
      </c>
      <c r="U78" s="25" t="str">
        <f>IF(OR(INDEX(Auction!$H$13:$H$683,MATCH(B78,Auction!$A$13:$A$683,0))&gt;0,IFERROR(INDEX(CheatSheet!$M$5:$M$64,MATCH(B78,CheatSheet!$J$5:$J$64,0)),"")&lt;&gt;""),"Yes","No")</f>
        <v>No</v>
      </c>
      <c r="V78" s="218"/>
      <c r="W78" s="1"/>
      <c r="X78" s="100">
        <f t="shared" ca="1" si="6"/>
        <v>1</v>
      </c>
      <c r="Y78" s="1">
        <f t="shared" ca="1" si="7"/>
        <v>-15.700000000000003</v>
      </c>
      <c r="Z78" s="145" t="str">
        <f t="shared" ca="1" si="5"/>
        <v>RB11</v>
      </c>
      <c r="AA78" s="1">
        <f ca="1">Y78*LeagueInfo!$H$5</f>
        <v>-7.1802525730720523</v>
      </c>
      <c r="AB78" s="1"/>
      <c r="AC78" s="1"/>
    </row>
    <row r="79" spans="1:29" x14ac:dyDescent="0.25">
      <c r="A79" s="1">
        <f>RANK(O79,O$3:O$174)</f>
        <v>77</v>
      </c>
      <c r="B79" s="1" t="s">
        <v>457</v>
      </c>
      <c r="C79" s="1" t="s">
        <v>32</v>
      </c>
      <c r="D79" s="1">
        <f>VLOOKUP(E79,BYEs!$A$2:$B$34,2,FALSE)</f>
        <v>6</v>
      </c>
      <c r="E79" s="1" t="s">
        <v>354</v>
      </c>
      <c r="F79" s="249">
        <v>0</v>
      </c>
      <c r="G79" s="250">
        <v>0</v>
      </c>
      <c r="H79" s="249">
        <v>10</v>
      </c>
      <c r="I79" s="247">
        <v>20</v>
      </c>
      <c r="J79" s="250">
        <v>0.1</v>
      </c>
      <c r="K79" s="249">
        <v>26</v>
      </c>
      <c r="L79" s="247">
        <v>278</v>
      </c>
      <c r="M79" s="250">
        <v>1.2</v>
      </c>
      <c r="N79" s="251">
        <v>0</v>
      </c>
      <c r="O79" s="253">
        <f>(I79*RBRushingYd)+(J79*RBRushingTD)+(K79*RBReceptions)+(L79*RBRecYd)+(M79*RBRecTD)+(N79*RBFuml)+(H79*RBRushAtt)</f>
        <v>37.6</v>
      </c>
      <c r="P79" s="1" t="str">
        <f ca="1">IF(A79&lt;=RBStarters,"Starter",IF(A79&gt;RBStarters+RBBench,"Undrafted","Bench"))</f>
        <v>Undrafted</v>
      </c>
      <c r="Q79" s="47">
        <f ca="1">IFERROR(MAX(O79-LARGE(O$3:O$174,RBStarters),0),0)</f>
        <v>0</v>
      </c>
      <c r="R79" s="47">
        <f ca="1">IFERROR(IF(AllowNegative="Yes",O79-LARGE(O$3:O$174,RBCount),MAX(O79-LARGE(O$3:O$174,RBCount),0)),0)</f>
        <v>-31.640000000000008</v>
      </c>
      <c r="S79" s="108">
        <f ca="1">(R79-Q79)*BenchPF+Q79*StarterPF</f>
        <v>-7.5776486668467617</v>
      </c>
      <c r="T79" s="108">
        <f ca="1">S79*Auction!$A$2</f>
        <v>-7.5776486668467617</v>
      </c>
      <c r="U79" s="25" t="str">
        <f>IF(OR(INDEX(Auction!$H$13:$H$683,MATCH(B79,Auction!$A$13:$A$683,0))&gt;0,IFERROR(INDEX(CheatSheet!$M$5:$M$64,MATCH(B79,CheatSheet!$J$5:$J$64,0)),"")&lt;&gt;""),"Yes","No")</f>
        <v>No</v>
      </c>
      <c r="V79" s="218"/>
      <c r="W79" s="1"/>
      <c r="X79" s="100">
        <f t="shared" ca="1" si="6"/>
        <v>1</v>
      </c>
      <c r="Y79" s="1">
        <f t="shared" ca="1" si="7"/>
        <v>-15.820000000000004</v>
      </c>
      <c r="Z79" s="145" t="str">
        <f t="shared" ca="1" si="5"/>
        <v>RB11</v>
      </c>
      <c r="AA79" s="1">
        <f ca="1">Y79*LeagueInfo!$H$5</f>
        <v>-7.2351334844585908</v>
      </c>
      <c r="AB79" s="1"/>
      <c r="AC79" s="1"/>
    </row>
    <row r="80" spans="1:29" x14ac:dyDescent="0.25">
      <c r="A80" s="1">
        <f>RANK(O80,O$3:O$174)</f>
        <v>78</v>
      </c>
      <c r="B80" s="1" t="s">
        <v>453</v>
      </c>
      <c r="C80" s="1" t="s">
        <v>32</v>
      </c>
      <c r="D80" s="1">
        <f>VLOOKUP(E80,BYEs!$A$2:$B$34,2,FALSE)</f>
        <v>7</v>
      </c>
      <c r="E80" s="1" t="s">
        <v>362</v>
      </c>
      <c r="F80" s="249">
        <v>0</v>
      </c>
      <c r="G80" s="250">
        <v>0</v>
      </c>
      <c r="H80" s="249">
        <v>45.1</v>
      </c>
      <c r="I80" s="247">
        <v>169</v>
      </c>
      <c r="J80" s="250">
        <v>1.7</v>
      </c>
      <c r="K80" s="249">
        <v>11.8</v>
      </c>
      <c r="L80" s="247">
        <v>99.8</v>
      </c>
      <c r="M80" s="250">
        <v>0.1</v>
      </c>
      <c r="N80" s="251">
        <v>0.2</v>
      </c>
      <c r="O80" s="253">
        <f>(I80*RBRushingYd)+(J80*RBRushingTD)+(K80*RBReceptions)+(L80*RBRecYd)+(M80*RBRecTD)+(N80*RBFuml)+(H80*RBRushAtt)</f>
        <v>37.28</v>
      </c>
      <c r="P80" s="1" t="str">
        <f ca="1">IF(A80&lt;=RBStarters,"Starter",IF(A80&gt;RBStarters+RBBench,"Undrafted","Bench"))</f>
        <v>Undrafted</v>
      </c>
      <c r="Q80" s="47">
        <f ca="1">IFERROR(MAX(O80-LARGE(O$3:O$174,RBStarters),0),0)</f>
        <v>0</v>
      </c>
      <c r="R80" s="47">
        <f ca="1">IFERROR(IF(AllowNegative="Yes",O80-LARGE(O$3:O$174,RBCount),MAX(O80-LARGE(O$3:O$174,RBCount),0)),0)</f>
        <v>-31.960000000000008</v>
      </c>
      <c r="S80" s="108">
        <f ca="1">(R80-Q80)*BenchPF+Q80*StarterPF</f>
        <v>-7.6542873385721402</v>
      </c>
      <c r="T80" s="108">
        <f ca="1">S80*Auction!$A$2</f>
        <v>-7.6542873385721402</v>
      </c>
      <c r="U80" s="25" t="str">
        <f>IF(OR(INDEX(Auction!$H$13:$H$683,MATCH(B80,Auction!$A$13:$A$683,0))&gt;0,IFERROR(INDEX(CheatSheet!$M$5:$M$64,MATCH(B80,CheatSheet!$J$5:$J$64,0)),"")&lt;&gt;""),"Yes","No")</f>
        <v>No</v>
      </c>
      <c r="V80" s="218"/>
      <c r="W80" s="1"/>
      <c r="X80" s="100">
        <f t="shared" ca="1" si="6"/>
        <v>1</v>
      </c>
      <c r="Y80" s="1">
        <f t="shared" ca="1" si="7"/>
        <v>-15.980000000000004</v>
      </c>
      <c r="Z80" s="145" t="str">
        <f t="shared" ca="1" si="5"/>
        <v>RB11</v>
      </c>
      <c r="AA80" s="1">
        <f ca="1">Y80*LeagueInfo!$H$5</f>
        <v>-7.3083080329739749</v>
      </c>
      <c r="AB80" s="1"/>
      <c r="AC80" s="1"/>
    </row>
    <row r="81" spans="1:29" x14ac:dyDescent="0.25">
      <c r="A81" s="1">
        <f>RANK(O81,O$3:O$174)</f>
        <v>79</v>
      </c>
      <c r="B81" s="1" t="s">
        <v>462</v>
      </c>
      <c r="C81" s="1" t="s">
        <v>32</v>
      </c>
      <c r="D81" s="1">
        <f>VLOOKUP(E81,BYEs!$A$2:$B$34,2,FALSE)</f>
        <v>9</v>
      </c>
      <c r="E81" s="1" t="s">
        <v>361</v>
      </c>
      <c r="F81" s="249">
        <v>0</v>
      </c>
      <c r="G81" s="250">
        <v>0</v>
      </c>
      <c r="H81" s="249">
        <v>53.5</v>
      </c>
      <c r="I81" s="247">
        <v>201.3</v>
      </c>
      <c r="J81" s="250">
        <v>1</v>
      </c>
      <c r="K81" s="249">
        <v>13</v>
      </c>
      <c r="L81" s="247">
        <v>105.8</v>
      </c>
      <c r="M81" s="250">
        <v>0.3</v>
      </c>
      <c r="N81" s="251">
        <v>1.5</v>
      </c>
      <c r="O81" s="253">
        <f>(I81*RBRushingYd)+(J81*RBRushingTD)+(K81*RBReceptions)+(L81*RBRecYd)+(M81*RBRecTD)+(N81*RBFuml)+(H81*RBRushAtt)</f>
        <v>35.51</v>
      </c>
      <c r="P81" s="1" t="str">
        <f ca="1">IF(A81&lt;=RBStarters,"Starter",IF(A81&gt;RBStarters+RBBench,"Undrafted","Bench"))</f>
        <v>Undrafted</v>
      </c>
      <c r="Q81" s="47">
        <f ca="1">IFERROR(MAX(O81-LARGE(O$3:O$174,RBStarters),0),0)</f>
        <v>0</v>
      </c>
      <c r="R81" s="47">
        <f ca="1">IFERROR(IF(AllowNegative="Yes",O81-LARGE(O$3:O$174,RBCount),MAX(O81-LARGE(O$3:O$174,RBCount),0)),0)</f>
        <v>-33.730000000000011</v>
      </c>
      <c r="S81" s="108">
        <f ca="1">(R81-Q81)*BenchPF+Q81*StarterPF</f>
        <v>-8.0781949915531381</v>
      </c>
      <c r="T81" s="108">
        <f ca="1">S81*Auction!$A$2</f>
        <v>-8.0781949915531381</v>
      </c>
      <c r="U81" s="25" t="str">
        <f>IF(OR(INDEX(Auction!$H$13:$H$683,MATCH(B81,Auction!$A$13:$A$683,0))&gt;0,IFERROR(INDEX(CheatSheet!$M$5:$M$64,MATCH(B81,CheatSheet!$J$5:$J$64,0)),"")&lt;&gt;""),"Yes","No")</f>
        <v>No</v>
      </c>
      <c r="V81" s="218"/>
      <c r="W81" s="1"/>
      <c r="X81" s="100">
        <f t="shared" ca="1" si="6"/>
        <v>1</v>
      </c>
      <c r="Y81" s="1">
        <f t="shared" ca="1" si="7"/>
        <v>-16.865000000000006</v>
      </c>
      <c r="Z81" s="145" t="str">
        <f t="shared" ca="1" si="5"/>
        <v>RB11</v>
      </c>
      <c r="AA81" s="1">
        <f ca="1">Y81*LeagueInfo!$H$5</f>
        <v>-7.7130547544496926</v>
      </c>
      <c r="AB81" s="1"/>
      <c r="AC81" s="1"/>
    </row>
    <row r="82" spans="1:29" x14ac:dyDescent="0.25">
      <c r="A82" s="1">
        <f>RANK(O82,O$3:O$174)</f>
        <v>80</v>
      </c>
      <c r="B82" s="1" t="s">
        <v>460</v>
      </c>
      <c r="C82" s="1" t="s">
        <v>32</v>
      </c>
      <c r="D82" s="1">
        <f>VLOOKUP(E82,BYEs!$A$2:$B$34,2,FALSE)</f>
        <v>11</v>
      </c>
      <c r="E82" s="1" t="s">
        <v>378</v>
      </c>
      <c r="F82" s="249">
        <v>0</v>
      </c>
      <c r="G82" s="250">
        <v>0</v>
      </c>
      <c r="H82" s="249">
        <v>6.5</v>
      </c>
      <c r="I82" s="247">
        <v>25.1</v>
      </c>
      <c r="J82" s="250">
        <v>0.2</v>
      </c>
      <c r="K82" s="249">
        <v>26.6</v>
      </c>
      <c r="L82" s="247">
        <v>212.9</v>
      </c>
      <c r="M82" s="250">
        <v>1.4</v>
      </c>
      <c r="N82" s="251">
        <v>0</v>
      </c>
      <c r="O82" s="253">
        <f>(I82*RBRushingYd)+(J82*RBRushingTD)+(K82*RBReceptions)+(L82*RBRecYd)+(M82*RBRecTD)+(N82*RBFuml)+(H82*RBRushAtt)</f>
        <v>33.400000000000006</v>
      </c>
      <c r="P82" s="1" t="str">
        <f ca="1">IF(A82&lt;=RBStarters,"Starter",IF(A82&gt;RBStarters+RBBench,"Undrafted","Bench"))</f>
        <v>Undrafted</v>
      </c>
      <c r="Q82" s="47">
        <f ca="1">IFERROR(MAX(O82-LARGE(O$3:O$174,RBStarters),0),0)</f>
        <v>0</v>
      </c>
      <c r="R82" s="47">
        <f ca="1">IFERROR(IF(AllowNegative="Yes",O82-LARGE(O$3:O$174,RBCount),MAX(O82-LARGE(O$3:O$174,RBCount),0)),0)</f>
        <v>-35.840000000000003</v>
      </c>
      <c r="S82" s="108">
        <f ca="1">(R82-Q82)*BenchPF+Q82*StarterPF</f>
        <v>-8.5835312332423488</v>
      </c>
      <c r="T82" s="108">
        <f ca="1">S82*Auction!$A$2</f>
        <v>-8.5835312332423488</v>
      </c>
      <c r="U82" s="25" t="str">
        <f>IF(OR(INDEX(Auction!$H$13:$H$683,MATCH(B82,Auction!$A$13:$A$683,0))&gt;0,IFERROR(INDEX(CheatSheet!$M$5:$M$64,MATCH(B82,CheatSheet!$J$5:$J$64,0)),"")&lt;&gt;""),"Yes","No")</f>
        <v>No</v>
      </c>
      <c r="V82" s="218"/>
      <c r="W82" s="1"/>
      <c r="X82" s="100">
        <f t="shared" ca="1" si="6"/>
        <v>1</v>
      </c>
      <c r="Y82" s="1">
        <f t="shared" ca="1" si="7"/>
        <v>-17.920000000000002</v>
      </c>
      <c r="Z82" s="145" t="str">
        <f t="shared" ca="1" si="5"/>
        <v>RB11</v>
      </c>
      <c r="AA82" s="1">
        <f ca="1">Y82*LeagueInfo!$H$5</f>
        <v>-8.1955494337230039</v>
      </c>
      <c r="AB82" s="1"/>
      <c r="AC82" s="1"/>
    </row>
    <row r="83" spans="1:29" x14ac:dyDescent="0.25">
      <c r="A83" s="1">
        <f>RANK(O83,O$3:O$174)</f>
        <v>81</v>
      </c>
      <c r="B83" s="1" t="s">
        <v>467</v>
      </c>
      <c r="C83" s="1" t="s">
        <v>32</v>
      </c>
      <c r="D83" s="1">
        <f>VLOOKUP(E83,BYEs!$A$2:$B$34,2,FALSE)</f>
        <v>8</v>
      </c>
      <c r="E83" s="1" t="s">
        <v>370</v>
      </c>
      <c r="F83" s="249">
        <v>0</v>
      </c>
      <c r="G83" s="250">
        <v>0</v>
      </c>
      <c r="H83" s="249">
        <v>57.7</v>
      </c>
      <c r="I83" s="247">
        <v>232.7</v>
      </c>
      <c r="J83" s="250">
        <v>1.4</v>
      </c>
      <c r="K83" s="249">
        <v>3.3</v>
      </c>
      <c r="L83" s="247">
        <v>25.1</v>
      </c>
      <c r="M83" s="250">
        <v>0.1</v>
      </c>
      <c r="N83" s="251">
        <v>0.8</v>
      </c>
      <c r="O83" s="253">
        <f>(I83*RBRushingYd)+(J83*RBRushingTD)+(K83*RBReceptions)+(L83*RBRecYd)+(M83*RBRecTD)+(N83*RBFuml)+(H83*RBRushAtt)</f>
        <v>33.18</v>
      </c>
      <c r="P83" s="1" t="str">
        <f ca="1">IF(A83&lt;=RBStarters,"Starter",IF(A83&gt;RBStarters+RBBench,"Undrafted","Bench"))</f>
        <v>Undrafted</v>
      </c>
      <c r="Q83" s="47">
        <f ca="1">IFERROR(MAX(O83-LARGE(O$3:O$174,RBStarters),0),0)</f>
        <v>0</v>
      </c>
      <c r="R83" s="47">
        <f ca="1">IFERROR(IF(AllowNegative="Yes",O83-LARGE(O$3:O$174,RBCount),MAX(O83-LARGE(O$3:O$174,RBCount),0)),0)</f>
        <v>-36.060000000000009</v>
      </c>
      <c r="S83" s="108">
        <f ca="1">(R83-Q83)*BenchPF+Q83*StarterPF</f>
        <v>-8.6362203200535479</v>
      </c>
      <c r="T83" s="108">
        <f ca="1">S83*Auction!$A$2</f>
        <v>-8.6362203200535479</v>
      </c>
      <c r="U83" s="25" t="str">
        <f>IF(OR(INDEX(Auction!$H$13:$H$683,MATCH(B83,Auction!$A$13:$A$683,0))&gt;0,IFERROR(INDEX(CheatSheet!$M$5:$M$64,MATCH(B83,CheatSheet!$J$5:$J$64,0)),"")&lt;&gt;""),"Yes","No")</f>
        <v>No</v>
      </c>
      <c r="V83" s="218"/>
      <c r="W83" s="1"/>
      <c r="X83" s="100">
        <f t="shared" ca="1" si="6"/>
        <v>1</v>
      </c>
      <c r="Y83" s="1">
        <f t="shared" ca="1" si="7"/>
        <v>-18.030000000000005</v>
      </c>
      <c r="Z83" s="145" t="str">
        <f t="shared" ca="1" si="5"/>
        <v>RB11</v>
      </c>
      <c r="AA83" s="1">
        <f ca="1">Y83*LeagueInfo!$H$5</f>
        <v>-8.2458569358273319</v>
      </c>
      <c r="AB83" s="1"/>
      <c r="AC83" s="1"/>
    </row>
    <row r="84" spans="1:29" x14ac:dyDescent="0.25">
      <c r="A84" s="1">
        <f>RANK(O84,O$3:O$174)</f>
        <v>82</v>
      </c>
      <c r="B84" s="1" t="s">
        <v>459</v>
      </c>
      <c r="C84" s="1" t="s">
        <v>32</v>
      </c>
      <c r="D84" s="1">
        <f>VLOOKUP(E84,BYEs!$A$2:$B$34,2,FALSE)</f>
        <v>8</v>
      </c>
      <c r="E84" s="1" t="s">
        <v>367</v>
      </c>
      <c r="F84" s="249">
        <v>0</v>
      </c>
      <c r="G84" s="250">
        <v>0</v>
      </c>
      <c r="H84" s="249">
        <v>55.5</v>
      </c>
      <c r="I84" s="247">
        <v>221</v>
      </c>
      <c r="J84" s="250">
        <v>1.4</v>
      </c>
      <c r="K84" s="249">
        <v>9.4</v>
      </c>
      <c r="L84" s="247">
        <v>72.400000000000006</v>
      </c>
      <c r="M84" s="250">
        <v>0</v>
      </c>
      <c r="N84" s="251">
        <v>2.4</v>
      </c>
      <c r="O84" s="253">
        <f>(I84*RBRushingYd)+(J84*RBRushingTD)+(K84*RBReceptions)+(L84*RBRecYd)+(M84*RBRecTD)+(N84*RBFuml)+(H84*RBRushAtt)</f>
        <v>32.940000000000005</v>
      </c>
      <c r="P84" s="1" t="str">
        <f ca="1">IF(A84&lt;=RBStarters,"Starter",IF(A84&gt;RBStarters+RBBench,"Undrafted","Bench"))</f>
        <v>Undrafted</v>
      </c>
      <c r="Q84" s="47">
        <f ca="1">IFERROR(MAX(O84-LARGE(O$3:O$174,RBStarters),0),0)</f>
        <v>0</v>
      </c>
      <c r="R84" s="47">
        <f ca="1">IFERROR(IF(AllowNegative="Yes",O84-LARGE(O$3:O$174,RBCount),MAX(O84-LARGE(O$3:O$174,RBCount),0)),0)</f>
        <v>-36.300000000000004</v>
      </c>
      <c r="S84" s="108">
        <f ca="1">(R84-Q84)*BenchPF+Q84*StarterPF</f>
        <v>-8.6936993238475804</v>
      </c>
      <c r="T84" s="108">
        <f ca="1">S84*Auction!$A$2</f>
        <v>-8.6936993238475804</v>
      </c>
      <c r="U84" s="25" t="str">
        <f>IF(OR(INDEX(Auction!$H$13:$H$683,MATCH(B84,Auction!$A$13:$A$683,0))&gt;0,IFERROR(INDEX(CheatSheet!$M$5:$M$64,MATCH(B84,CheatSheet!$J$5:$J$64,0)),"")&lt;&gt;""),"Yes","No")</f>
        <v>No</v>
      </c>
      <c r="V84" s="218"/>
      <c r="W84" s="1"/>
      <c r="X84" s="100">
        <f t="shared" ca="1" si="6"/>
        <v>1</v>
      </c>
      <c r="Y84" s="1">
        <f t="shared" ca="1" si="7"/>
        <v>-18.150000000000002</v>
      </c>
      <c r="Z84" s="145" t="str">
        <f t="shared" ca="1" si="5"/>
        <v>RB11</v>
      </c>
      <c r="AA84" s="1">
        <f ca="1">Y84*LeagueInfo!$H$5</f>
        <v>-8.3007378472138686</v>
      </c>
      <c r="AB84" s="1"/>
      <c r="AC84" s="1"/>
    </row>
    <row r="85" spans="1:29" x14ac:dyDescent="0.25">
      <c r="A85" s="1">
        <f>RANK(O85,O$3:O$174)</f>
        <v>83</v>
      </c>
      <c r="B85" s="1" t="s">
        <v>482</v>
      </c>
      <c r="C85" s="1" t="s">
        <v>32</v>
      </c>
      <c r="D85" s="1">
        <f>VLOOKUP(E85,BYEs!$A$2:$B$34,2,FALSE)</f>
        <v>10</v>
      </c>
      <c r="E85" s="1" t="s">
        <v>371</v>
      </c>
      <c r="F85" s="249">
        <v>0</v>
      </c>
      <c r="G85" s="250">
        <v>0</v>
      </c>
      <c r="H85" s="249">
        <v>51.6</v>
      </c>
      <c r="I85" s="247">
        <v>195.9</v>
      </c>
      <c r="J85" s="250">
        <v>0.9</v>
      </c>
      <c r="K85" s="249">
        <v>11.4</v>
      </c>
      <c r="L85" s="247">
        <v>80.3</v>
      </c>
      <c r="M85" s="250">
        <v>0.2</v>
      </c>
      <c r="N85" s="251">
        <v>0.8</v>
      </c>
      <c r="O85" s="253">
        <f>(I85*RBRushingYd)+(J85*RBRushingTD)+(K85*RBReceptions)+(L85*RBRecYd)+(M85*RBRecTD)+(N85*RBFuml)+(H85*RBRushAtt)</f>
        <v>32.620000000000005</v>
      </c>
      <c r="P85" s="1" t="str">
        <f ca="1">IF(A85&lt;=RBStarters,"Starter",IF(A85&gt;RBStarters+RBBench,"Undrafted","Bench"))</f>
        <v>Undrafted</v>
      </c>
      <c r="Q85" s="47">
        <f ca="1">IFERROR(MAX(O85-LARGE(O$3:O$174,RBStarters),0),0)</f>
        <v>0</v>
      </c>
      <c r="R85" s="47">
        <f ca="1">IFERROR(IF(AllowNegative="Yes",O85-LARGE(O$3:O$174,RBCount),MAX(O85-LARGE(O$3:O$174,RBCount),0)),0)</f>
        <v>-36.620000000000005</v>
      </c>
      <c r="S85" s="108">
        <f ca="1">(R85-Q85)*BenchPF+Q85*StarterPF</f>
        <v>-8.7703379955729588</v>
      </c>
      <c r="T85" s="108">
        <f ca="1">S85*Auction!$A$2</f>
        <v>-8.7703379955729588</v>
      </c>
      <c r="U85" s="25" t="str">
        <f>IF(OR(INDEX(Auction!$H$13:$H$683,MATCH(B85,Auction!$A$13:$A$683,0))&gt;0,IFERROR(INDEX(CheatSheet!$M$5:$M$64,MATCH(B85,CheatSheet!$J$5:$J$64,0)),"")&lt;&gt;""),"Yes","No")</f>
        <v>No</v>
      </c>
      <c r="V85" s="218"/>
      <c r="W85" s="1"/>
      <c r="X85" s="100">
        <f t="shared" ca="1" si="6"/>
        <v>1</v>
      </c>
      <c r="Y85" s="1">
        <f t="shared" ca="1" si="7"/>
        <v>-18.310000000000002</v>
      </c>
      <c r="Z85" s="145" t="str">
        <f t="shared" ca="1" si="5"/>
        <v>RB11</v>
      </c>
      <c r="AA85" s="1">
        <f ca="1">Y85*LeagueInfo!$H$5</f>
        <v>-8.3739123957292527</v>
      </c>
      <c r="AB85" s="1"/>
      <c r="AC85" s="1"/>
    </row>
    <row r="86" spans="1:29" x14ac:dyDescent="0.25">
      <c r="A86" s="1">
        <f>RANK(O86,O$3:O$174)</f>
        <v>84</v>
      </c>
      <c r="B86" s="1" t="s">
        <v>498</v>
      </c>
      <c r="C86" s="1" t="s">
        <v>32</v>
      </c>
      <c r="D86" s="1">
        <f>VLOOKUP(E86,BYEs!$A$2:$B$34,2,FALSE)</f>
        <v>8</v>
      </c>
      <c r="E86" s="1" t="s">
        <v>368</v>
      </c>
      <c r="F86" s="249">
        <v>0</v>
      </c>
      <c r="G86" s="250">
        <v>0</v>
      </c>
      <c r="H86" s="249">
        <v>48.6</v>
      </c>
      <c r="I86" s="247">
        <v>182.8</v>
      </c>
      <c r="J86" s="250">
        <v>1.5</v>
      </c>
      <c r="K86" s="249">
        <v>8.1</v>
      </c>
      <c r="L86" s="247">
        <v>56.9</v>
      </c>
      <c r="M86" s="250">
        <v>0.2</v>
      </c>
      <c r="N86" s="251">
        <v>0.8</v>
      </c>
      <c r="O86" s="253">
        <f>(I86*RBRushingYd)+(J86*RBRushingTD)+(K86*RBReceptions)+(L86*RBRecYd)+(M86*RBRecTD)+(N86*RBFuml)+(H86*RBRushAtt)</f>
        <v>32.57</v>
      </c>
      <c r="P86" s="1" t="str">
        <f ca="1">IF(A86&lt;=RBStarters,"Starter",IF(A86&gt;RBStarters+RBBench,"Undrafted","Bench"))</f>
        <v>Undrafted</v>
      </c>
      <c r="Q86" s="47">
        <f ca="1">IFERROR(MAX(O86-LARGE(O$3:O$174,RBStarters),0),0)</f>
        <v>0</v>
      </c>
      <c r="R86" s="47">
        <f ca="1">IFERROR(IF(AllowNegative="Yes",O86-LARGE(O$3:O$174,RBCount),MAX(O86-LARGE(O$3:O$174,RBCount),0)),0)</f>
        <v>-36.670000000000009</v>
      </c>
      <c r="S86" s="108">
        <f ca="1">(R86-Q86)*BenchPF+Q86*StarterPF</f>
        <v>-8.7823127880300493</v>
      </c>
      <c r="T86" s="108">
        <f ca="1">S86*Auction!$A$2</f>
        <v>-8.7823127880300493</v>
      </c>
      <c r="U86" s="25" t="str">
        <f>IF(OR(INDEX(Auction!$H$13:$H$683,MATCH(B86,Auction!$A$13:$A$683,0))&gt;0,IFERROR(INDEX(CheatSheet!$M$5:$M$64,MATCH(B86,CheatSheet!$J$5:$J$64,0)),"")&lt;&gt;""),"Yes","No")</f>
        <v>No</v>
      </c>
      <c r="V86" s="218"/>
      <c r="W86" s="1"/>
      <c r="X86" s="100">
        <f t="shared" ca="1" si="6"/>
        <v>1</v>
      </c>
      <c r="Y86" s="1">
        <f t="shared" ca="1" si="7"/>
        <v>-18.335000000000004</v>
      </c>
      <c r="Z86" s="145" t="str">
        <f t="shared" ca="1" si="5"/>
        <v>RB11</v>
      </c>
      <c r="AA86" s="1">
        <f ca="1">Y86*LeagueInfo!$H$5</f>
        <v>-8.3853459189347834</v>
      </c>
      <c r="AB86" s="1"/>
      <c r="AC86" s="1"/>
    </row>
    <row r="87" spans="1:29" x14ac:dyDescent="0.25">
      <c r="A87" s="1">
        <f>RANK(O87,O$3:O$174)</f>
        <v>85</v>
      </c>
      <c r="B87" s="1" t="s">
        <v>452</v>
      </c>
      <c r="C87" s="1" t="s">
        <v>32</v>
      </c>
      <c r="D87" s="1">
        <f>VLOOKUP(E87,BYEs!$A$2:$B$34,2,FALSE)</f>
        <v>10</v>
      </c>
      <c r="E87" s="1" t="s">
        <v>369</v>
      </c>
      <c r="F87" s="249">
        <v>0</v>
      </c>
      <c r="G87" s="250">
        <v>0</v>
      </c>
      <c r="H87" s="249">
        <v>46.8</v>
      </c>
      <c r="I87" s="247">
        <v>189.1</v>
      </c>
      <c r="J87" s="250">
        <v>0.8</v>
      </c>
      <c r="K87" s="249">
        <v>11.5</v>
      </c>
      <c r="L87" s="247">
        <v>88.3</v>
      </c>
      <c r="M87" s="250">
        <v>0.3</v>
      </c>
      <c r="N87" s="251">
        <v>1.2</v>
      </c>
      <c r="O87" s="253">
        <f>(I87*RBRushingYd)+(J87*RBRushingTD)+(K87*RBReceptions)+(L87*RBRecYd)+(M87*RBRecTD)+(N87*RBFuml)+(H87*RBRushAtt)</f>
        <v>31.939999999999998</v>
      </c>
      <c r="P87" s="1" t="str">
        <f ca="1">IF(A87&lt;=RBStarters,"Starter",IF(A87&gt;RBStarters+RBBench,"Undrafted","Bench"))</f>
        <v>Undrafted</v>
      </c>
      <c r="Q87" s="47">
        <f ca="1">IFERROR(MAX(O87-LARGE(O$3:O$174,RBStarters),0),0)</f>
        <v>0</v>
      </c>
      <c r="R87" s="47">
        <f ca="1">IFERROR(IF(AllowNegative="Yes",O87-LARGE(O$3:O$174,RBCount),MAX(O87-LARGE(O$3:O$174,RBCount),0)),0)</f>
        <v>-37.300000000000011</v>
      </c>
      <c r="S87" s="108">
        <f ca="1">(R87-Q87)*BenchPF+Q87*StarterPF</f>
        <v>-8.9331951729893877</v>
      </c>
      <c r="T87" s="108">
        <f ca="1">S87*Auction!$A$2</f>
        <v>-8.9331951729893877</v>
      </c>
      <c r="U87" s="25" t="str">
        <f>IF(OR(INDEX(Auction!$H$13:$H$683,MATCH(B87,Auction!$A$13:$A$683,0))&gt;0,IFERROR(INDEX(CheatSheet!$M$5:$M$64,MATCH(B87,CheatSheet!$J$5:$J$64,0)),"")&lt;&gt;""),"Yes","No")</f>
        <v>No</v>
      </c>
      <c r="V87" s="218"/>
      <c r="W87" s="1"/>
      <c r="X87" s="100">
        <f t="shared" ca="1" si="6"/>
        <v>1</v>
      </c>
      <c r="Y87" s="1">
        <f t="shared" ca="1" si="7"/>
        <v>-18.650000000000006</v>
      </c>
      <c r="Z87" s="145" t="str">
        <f t="shared" ca="1" si="5"/>
        <v>RB11</v>
      </c>
      <c r="AA87" s="1">
        <f ca="1">Y87*LeagueInfo!$H$5</f>
        <v>-8.5294083113244454</v>
      </c>
      <c r="AB87" s="1"/>
      <c r="AC87" s="1"/>
    </row>
    <row r="88" spans="1:29" x14ac:dyDescent="0.25">
      <c r="A88" s="1">
        <f>RANK(O88,O$3:O$174)</f>
        <v>86</v>
      </c>
      <c r="B88" s="1" t="s">
        <v>463</v>
      </c>
      <c r="C88" s="1" t="s">
        <v>32</v>
      </c>
      <c r="D88" s="1">
        <f>VLOOKUP(E88,BYEs!$A$2:$B$34,2,FALSE)</f>
        <v>9</v>
      </c>
      <c r="E88" s="1" t="s">
        <v>376</v>
      </c>
      <c r="F88" s="249">
        <v>0</v>
      </c>
      <c r="G88" s="250">
        <v>0</v>
      </c>
      <c r="H88" s="249">
        <v>43.5</v>
      </c>
      <c r="I88" s="247">
        <v>166.7</v>
      </c>
      <c r="J88" s="250">
        <v>1.1000000000000001</v>
      </c>
      <c r="K88" s="249">
        <v>9</v>
      </c>
      <c r="L88" s="247">
        <v>70.5</v>
      </c>
      <c r="M88" s="250">
        <v>0.2</v>
      </c>
      <c r="N88" s="251">
        <v>0.2</v>
      </c>
      <c r="O88" s="253">
        <f>(I88*RBRushingYd)+(J88*RBRushingTD)+(K88*RBReceptions)+(L88*RBRecYd)+(M88*RBRecTD)+(N88*RBFuml)+(H88*RBRushAtt)</f>
        <v>31.12</v>
      </c>
      <c r="P88" s="1" t="str">
        <f ca="1">IF(A88&lt;=RBStarters,"Starter",IF(A88&gt;RBStarters+RBBench,"Undrafted","Bench"))</f>
        <v>Undrafted</v>
      </c>
      <c r="Q88" s="47">
        <f ca="1">IFERROR(MAX(O88-LARGE(O$3:O$174,RBStarters),0),0)</f>
        <v>0</v>
      </c>
      <c r="R88" s="47">
        <f ca="1">IFERROR(IF(AllowNegative="Yes",O88-LARGE(O$3:O$174,RBCount),MAX(O88-LARGE(O$3:O$174,RBCount),0)),0)</f>
        <v>-38.120000000000005</v>
      </c>
      <c r="S88" s="108">
        <f ca="1">(R88-Q88)*BenchPF+Q88*StarterPF</f>
        <v>-9.129581769285668</v>
      </c>
      <c r="T88" s="108">
        <f ca="1">S88*Auction!$A$2</f>
        <v>-9.129581769285668</v>
      </c>
      <c r="U88" s="25" t="str">
        <f>IF(OR(INDEX(Auction!$H$13:$H$683,MATCH(B88,Auction!$A$13:$A$683,0))&gt;0,IFERROR(INDEX(CheatSheet!$M$5:$M$64,MATCH(B88,CheatSheet!$J$5:$J$64,0)),"")&lt;&gt;""),"Yes","No")</f>
        <v>No</v>
      </c>
      <c r="V88" s="218"/>
      <c r="W88" s="1"/>
      <c r="X88" s="100">
        <f t="shared" ca="1" si="6"/>
        <v>1</v>
      </c>
      <c r="Y88" s="1">
        <f t="shared" ca="1" si="7"/>
        <v>-19.060000000000002</v>
      </c>
      <c r="Z88" s="145" t="str">
        <f t="shared" ca="1" si="5"/>
        <v>RB11</v>
      </c>
      <c r="AA88" s="1">
        <f ca="1">Y88*LeagueInfo!$H$5</f>
        <v>-8.7169180918951152</v>
      </c>
      <c r="AB88" s="1"/>
      <c r="AC88" s="1"/>
    </row>
    <row r="89" spans="1:29" x14ac:dyDescent="0.25">
      <c r="A89" s="1">
        <f>RANK(O89,O$3:O$174)</f>
        <v>87</v>
      </c>
      <c r="B89" s="1" t="s">
        <v>458</v>
      </c>
      <c r="C89" s="1" t="s">
        <v>32</v>
      </c>
      <c r="D89" s="1">
        <f>VLOOKUP(E89,BYEs!$A$2:$B$34,2,FALSE)</f>
        <v>8</v>
      </c>
      <c r="E89" s="1" t="s">
        <v>368</v>
      </c>
      <c r="F89" s="249">
        <v>0</v>
      </c>
      <c r="G89" s="250">
        <v>0</v>
      </c>
      <c r="H89" s="249">
        <v>46.4</v>
      </c>
      <c r="I89" s="247">
        <v>179.2</v>
      </c>
      <c r="J89" s="250">
        <v>1.2</v>
      </c>
      <c r="K89" s="249">
        <v>7.8</v>
      </c>
      <c r="L89" s="247">
        <v>59.7</v>
      </c>
      <c r="M89" s="250">
        <v>0.1</v>
      </c>
      <c r="N89" s="251">
        <v>0.9</v>
      </c>
      <c r="O89" s="253">
        <f>(I89*RBRushingYd)+(J89*RBRushingTD)+(K89*RBReceptions)+(L89*RBRecYd)+(M89*RBRecTD)+(N89*RBFuml)+(H89*RBRushAtt)</f>
        <v>29.889999999999997</v>
      </c>
      <c r="P89" s="1" t="str">
        <f ca="1">IF(A89&lt;=RBStarters,"Starter",IF(A89&gt;RBStarters+RBBench,"Undrafted","Bench"))</f>
        <v>Undrafted</v>
      </c>
      <c r="Q89" s="47">
        <f ca="1">IFERROR(MAX(O89-LARGE(O$3:O$174,RBStarters),0),0)</f>
        <v>0</v>
      </c>
      <c r="R89" s="47">
        <f ca="1">IFERROR(IF(AllowNegative="Yes",O89-LARGE(O$3:O$174,RBCount),MAX(O89-LARGE(O$3:O$174,RBCount),0)),0)</f>
        <v>-39.350000000000009</v>
      </c>
      <c r="S89" s="108">
        <f ca="1">(R89-Q89)*BenchPF+Q89*StarterPF</f>
        <v>-9.4241616637300911</v>
      </c>
      <c r="T89" s="108">
        <f ca="1">S89*Auction!$A$2</f>
        <v>-9.4241616637300911</v>
      </c>
      <c r="U89" s="25" t="str">
        <f>IF(OR(INDEX(Auction!$H$13:$H$683,MATCH(B89,Auction!$A$13:$A$683,0))&gt;0,IFERROR(INDEX(CheatSheet!$M$5:$M$64,MATCH(B89,CheatSheet!$J$5:$J$64,0)),"")&lt;&gt;""),"Yes","No")</f>
        <v>No</v>
      </c>
      <c r="V89" s="218"/>
      <c r="W89" s="1"/>
      <c r="X89" s="100">
        <f t="shared" ca="1" si="6"/>
        <v>1</v>
      </c>
      <c r="Y89" s="1">
        <f t="shared" ca="1" si="7"/>
        <v>-19.675000000000004</v>
      </c>
      <c r="Z89" s="145" t="str">
        <f t="shared" ca="1" si="5"/>
        <v>RB11</v>
      </c>
      <c r="AA89" s="1">
        <f ca="1">Y89*LeagueInfo!$H$5</f>
        <v>-8.9981827627511226</v>
      </c>
      <c r="AB89" s="1"/>
      <c r="AC89" s="1"/>
    </row>
    <row r="90" spans="1:29" x14ac:dyDescent="0.25">
      <c r="A90" s="1">
        <f>RANK(O90,O$3:O$174)</f>
        <v>88</v>
      </c>
      <c r="B90" s="1" t="s">
        <v>455</v>
      </c>
      <c r="C90" s="1" t="s">
        <v>32</v>
      </c>
      <c r="D90" s="1">
        <f>VLOOKUP(E90,BYEs!$A$2:$B$34,2,FALSE)</f>
        <v>11</v>
      </c>
      <c r="E90" s="1" t="s">
        <v>374</v>
      </c>
      <c r="F90" s="249">
        <v>0</v>
      </c>
      <c r="G90" s="250">
        <v>0</v>
      </c>
      <c r="H90" s="249">
        <v>37.799999999999997</v>
      </c>
      <c r="I90" s="247">
        <v>163.69999999999999</v>
      </c>
      <c r="J90" s="250">
        <v>1</v>
      </c>
      <c r="K90" s="249">
        <v>9.8000000000000007</v>
      </c>
      <c r="L90" s="247">
        <v>74.099999999999994</v>
      </c>
      <c r="M90" s="250">
        <v>0.2</v>
      </c>
      <c r="N90" s="251">
        <v>0.7</v>
      </c>
      <c r="O90" s="253">
        <f>(I90*RBRushingYd)+(J90*RBRushingTD)+(K90*RBReceptions)+(L90*RBRecYd)+(M90*RBRecTD)+(N90*RBFuml)+(H90*RBRushAtt)</f>
        <v>29.580000000000002</v>
      </c>
      <c r="P90" s="1" t="str">
        <f ca="1">IF(A90&lt;=RBStarters,"Starter",IF(A90&gt;RBStarters+RBBench,"Undrafted","Bench"))</f>
        <v>Undrafted</v>
      </c>
      <c r="Q90" s="47">
        <f ca="1">IFERROR(MAX(O90-LARGE(O$3:O$174,RBStarters),0),0)</f>
        <v>0</v>
      </c>
      <c r="R90" s="47">
        <f ca="1">IFERROR(IF(AllowNegative="Yes",O90-LARGE(O$3:O$174,RBCount),MAX(O90-LARGE(O$3:O$174,RBCount),0)),0)</f>
        <v>-39.660000000000011</v>
      </c>
      <c r="S90" s="108">
        <f ca="1">(R90-Q90)*BenchPF+Q90*StarterPF</f>
        <v>-9.4984053769640511</v>
      </c>
      <c r="T90" s="108">
        <f ca="1">S90*Auction!$A$2</f>
        <v>-9.4984053769640511</v>
      </c>
      <c r="U90" s="25" t="str">
        <f>IF(OR(INDEX(Auction!$H$13:$H$683,MATCH(B90,Auction!$A$13:$A$683,0))&gt;0,IFERROR(INDEX(CheatSheet!$M$5:$M$64,MATCH(B90,CheatSheet!$J$5:$J$64,0)),"")&lt;&gt;""),"Yes","No")</f>
        <v>No</v>
      </c>
      <c r="V90" s="218"/>
      <c r="W90" s="1"/>
      <c r="X90" s="100">
        <f t="shared" ca="1" si="6"/>
        <v>1</v>
      </c>
      <c r="Y90" s="1">
        <f t="shared" ca="1" si="7"/>
        <v>-19.830000000000005</v>
      </c>
      <c r="Z90" s="145" t="str">
        <f t="shared" ca="1" si="5"/>
        <v>RB11</v>
      </c>
      <c r="AA90" s="1">
        <f ca="1">Y90*LeagueInfo!$H$5</f>
        <v>-9.0690706066254023</v>
      </c>
      <c r="AB90" s="1"/>
      <c r="AC90" s="1"/>
    </row>
    <row r="91" spans="1:29" x14ac:dyDescent="0.25">
      <c r="A91" s="1">
        <f>RANK(O91,O$3:O$174)</f>
        <v>89</v>
      </c>
      <c r="B91" s="1" t="s">
        <v>469</v>
      </c>
      <c r="C91" s="1" t="s">
        <v>32</v>
      </c>
      <c r="D91" s="1">
        <f>VLOOKUP(E91,BYEs!$A$2:$B$34,2,FALSE)</f>
        <v>11</v>
      </c>
      <c r="E91" s="1" t="s">
        <v>382</v>
      </c>
      <c r="F91" s="249">
        <v>0</v>
      </c>
      <c r="G91" s="250">
        <v>0</v>
      </c>
      <c r="H91" s="249">
        <v>43.6</v>
      </c>
      <c r="I91" s="247">
        <v>175.7</v>
      </c>
      <c r="J91" s="250">
        <v>0.9</v>
      </c>
      <c r="K91" s="249">
        <v>9.6</v>
      </c>
      <c r="L91" s="247">
        <v>74.900000000000006</v>
      </c>
      <c r="M91" s="250">
        <v>0.1</v>
      </c>
      <c r="N91" s="251">
        <v>0.8</v>
      </c>
      <c r="O91" s="253">
        <f>(I91*RBRushingYd)+(J91*RBRushingTD)+(K91*RBReceptions)+(L91*RBRecYd)+(M91*RBRecTD)+(N91*RBFuml)+(H91*RBRushAtt)</f>
        <v>29.46</v>
      </c>
      <c r="P91" s="1" t="str">
        <f ca="1">IF(A91&lt;=RBStarters,"Starter",IF(A91&gt;RBStarters+RBBench,"Undrafted","Bench"))</f>
        <v>Undrafted</v>
      </c>
      <c r="Q91" s="47">
        <f ca="1">IFERROR(MAX(O91-LARGE(O$3:O$174,RBStarters),0),0)</f>
        <v>0</v>
      </c>
      <c r="R91" s="47">
        <f ca="1">IFERROR(IF(AllowNegative="Yes",O91-LARGE(O$3:O$174,RBCount),MAX(O91-LARGE(O$3:O$174,RBCount),0)),0)</f>
        <v>-39.780000000000008</v>
      </c>
      <c r="S91" s="108">
        <f ca="1">(R91-Q91)*BenchPF+Q91*StarterPF</f>
        <v>-9.5271448788610673</v>
      </c>
      <c r="T91" s="108">
        <f ca="1">S91*Auction!$A$2</f>
        <v>-9.5271448788610673</v>
      </c>
      <c r="U91" s="25" t="str">
        <f>IF(OR(INDEX(Auction!$H$13:$H$683,MATCH(B91,Auction!$A$13:$A$683,0))&gt;0,IFERROR(INDEX(CheatSheet!$M$5:$M$64,MATCH(B91,CheatSheet!$J$5:$J$64,0)),"")&lt;&gt;""),"Yes","No")</f>
        <v>No</v>
      </c>
      <c r="V91" s="218"/>
      <c r="W91" s="1"/>
      <c r="X91" s="100">
        <f t="shared" ca="1" si="6"/>
        <v>1</v>
      </c>
      <c r="Y91" s="1">
        <f t="shared" ca="1" si="7"/>
        <v>-19.890000000000004</v>
      </c>
      <c r="Z91" s="145" t="str">
        <f t="shared" ca="1" si="5"/>
        <v>RB11</v>
      </c>
      <c r="AA91" s="1">
        <f ca="1">Y91*LeagueInfo!$H$5</f>
        <v>-9.0965110623186707</v>
      </c>
      <c r="AB91" s="1"/>
      <c r="AC91" s="1"/>
    </row>
    <row r="92" spans="1:29" x14ac:dyDescent="0.25">
      <c r="A92" s="1">
        <f>RANK(O92,O$3:O$174)</f>
        <v>90</v>
      </c>
      <c r="B92" s="1" t="s">
        <v>509</v>
      </c>
      <c r="C92" s="1" t="s">
        <v>32</v>
      </c>
      <c r="D92" s="1">
        <f>VLOOKUP(E92,BYEs!$A$2:$B$34,2,FALSE)</f>
        <v>6</v>
      </c>
      <c r="E92" s="1" t="s">
        <v>354</v>
      </c>
      <c r="F92" s="249">
        <v>0</v>
      </c>
      <c r="G92" s="250">
        <v>0</v>
      </c>
      <c r="H92" s="249">
        <v>28.7</v>
      </c>
      <c r="I92" s="247">
        <v>120.8</v>
      </c>
      <c r="J92" s="250">
        <v>1</v>
      </c>
      <c r="K92" s="249">
        <v>12.4</v>
      </c>
      <c r="L92" s="247">
        <v>103.2</v>
      </c>
      <c r="M92" s="250">
        <v>0.5</v>
      </c>
      <c r="N92" s="251">
        <v>1.1000000000000001</v>
      </c>
      <c r="O92" s="253">
        <f>(I92*RBRushingYd)+(J92*RBRushingTD)+(K92*RBReceptions)+(L92*RBRecYd)+(M92*RBRecTD)+(N92*RBFuml)+(H92*RBRushAtt)</f>
        <v>29.2</v>
      </c>
      <c r="P92" s="1" t="str">
        <f ca="1">IF(A92&lt;=RBStarters,"Starter",IF(A92&gt;RBStarters+RBBench,"Undrafted","Bench"))</f>
        <v>Undrafted</v>
      </c>
      <c r="Q92" s="47">
        <f ca="1">IFERROR(MAX(O92-LARGE(O$3:O$174,RBStarters),0),0)</f>
        <v>0</v>
      </c>
      <c r="R92" s="47">
        <f ca="1">IFERROR(IF(AllowNegative="Yes",O92-LARGE(O$3:O$174,RBCount),MAX(O92-LARGE(O$3:O$174,RBCount),0)),0)</f>
        <v>-40.040000000000006</v>
      </c>
      <c r="S92" s="108">
        <f ca="1">(R92-Q92)*BenchPF+Q92*StarterPF</f>
        <v>-9.5894137996379367</v>
      </c>
      <c r="T92" s="108">
        <f ca="1">S92*Auction!$A$2</f>
        <v>-9.5894137996379367</v>
      </c>
      <c r="U92" s="25" t="str">
        <f>IF(OR(INDEX(Auction!$H$13:$H$683,MATCH(B92,Auction!$A$13:$A$683,0))&gt;0,IFERROR(INDEX(CheatSheet!$M$5:$M$64,MATCH(B92,CheatSheet!$J$5:$J$64,0)),"")&lt;&gt;""),"Yes","No")</f>
        <v>No</v>
      </c>
      <c r="V92" s="218"/>
      <c r="W92" s="1"/>
      <c r="X92" s="100">
        <f t="shared" ca="1" si="6"/>
        <v>1</v>
      </c>
      <c r="Y92" s="1">
        <f t="shared" ca="1" si="7"/>
        <v>-20.020000000000003</v>
      </c>
      <c r="Z92" s="145" t="str">
        <f t="shared" ca="1" si="5"/>
        <v>RB11</v>
      </c>
      <c r="AA92" s="1">
        <f ca="1">Y92*LeagueInfo!$H$5</f>
        <v>-9.1559653829874197</v>
      </c>
      <c r="AB92" s="1"/>
      <c r="AC92" s="1"/>
    </row>
    <row r="93" spans="1:29" x14ac:dyDescent="0.25">
      <c r="A93" s="1">
        <f>RANK(O93,O$3:O$174)</f>
        <v>91</v>
      </c>
      <c r="B93" s="1" t="s">
        <v>507</v>
      </c>
      <c r="C93" s="1" t="s">
        <v>32</v>
      </c>
      <c r="D93" s="1">
        <f>VLOOKUP(E93,BYEs!$A$2:$B$34,2,FALSE)</f>
        <v>10</v>
      </c>
      <c r="E93" s="1" t="s">
        <v>372</v>
      </c>
      <c r="F93" s="249">
        <v>0</v>
      </c>
      <c r="G93" s="250">
        <v>0</v>
      </c>
      <c r="H93" s="249">
        <v>30.6</v>
      </c>
      <c r="I93" s="247">
        <v>119.6</v>
      </c>
      <c r="J93" s="250">
        <v>0.8</v>
      </c>
      <c r="K93" s="249">
        <v>12.5</v>
      </c>
      <c r="L93" s="247">
        <v>96.3</v>
      </c>
      <c r="M93" s="250">
        <v>0.7</v>
      </c>
      <c r="N93" s="251">
        <v>0.8</v>
      </c>
      <c r="O93" s="253">
        <f>(I93*RBRushingYd)+(J93*RBRushingTD)+(K93*RBReceptions)+(L93*RBRecYd)+(M93*RBRecTD)+(N93*RBFuml)+(H93*RBRushAtt)</f>
        <v>28.99</v>
      </c>
      <c r="P93" s="1" t="str">
        <f ca="1">IF(A93&lt;=RBStarters,"Starter",IF(A93&gt;RBStarters+RBBench,"Undrafted","Bench"))</f>
        <v>Undrafted</v>
      </c>
      <c r="Q93" s="47">
        <f ca="1">IFERROR(MAX(O93-LARGE(O$3:O$174,RBStarters),0),0)</f>
        <v>0</v>
      </c>
      <c r="R93" s="47">
        <f ca="1">IFERROR(IF(AllowNegative="Yes",O93-LARGE(O$3:O$174,RBCount),MAX(O93-LARGE(O$3:O$174,RBCount),0)),0)</f>
        <v>-40.250000000000014</v>
      </c>
      <c r="S93" s="108">
        <f ca="1">(R93-Q93)*BenchPF+Q93*StarterPF</f>
        <v>-9.6397079279577174</v>
      </c>
      <c r="T93" s="108">
        <f ca="1">S93*Auction!$A$2</f>
        <v>-9.6397079279577174</v>
      </c>
      <c r="U93" s="25" t="str">
        <f>IF(OR(INDEX(Auction!$H$13:$H$683,MATCH(B93,Auction!$A$13:$A$683,0))&gt;0,IFERROR(INDEX(CheatSheet!$M$5:$M$64,MATCH(B93,CheatSheet!$J$5:$J$64,0)),"")&lt;&gt;""),"Yes","No")</f>
        <v>No</v>
      </c>
      <c r="V93" s="218"/>
      <c r="W93" s="1"/>
      <c r="X93" s="100">
        <f t="shared" ca="1" si="6"/>
        <v>1</v>
      </c>
      <c r="Y93" s="1">
        <f t="shared" ca="1" si="7"/>
        <v>-20.125000000000007</v>
      </c>
      <c r="Z93" s="145" t="str">
        <f t="shared" ca="1" si="5"/>
        <v>RB11</v>
      </c>
      <c r="AA93" s="1">
        <f ca="1">Y93*LeagueInfo!$H$5</f>
        <v>-9.2039861804506415</v>
      </c>
      <c r="AB93" s="1"/>
      <c r="AC93" s="1"/>
    </row>
    <row r="94" spans="1:29" x14ac:dyDescent="0.25">
      <c r="A94" s="1">
        <f>RANK(O94,O$3:O$174)</f>
        <v>92</v>
      </c>
      <c r="B94" s="1" t="s">
        <v>461</v>
      </c>
      <c r="C94" s="1" t="s">
        <v>32</v>
      </c>
      <c r="D94" s="1">
        <f>VLOOKUP(E94,BYEs!$A$2:$B$34,2,FALSE)</f>
        <v>8</v>
      </c>
      <c r="E94" s="1" t="s">
        <v>370</v>
      </c>
      <c r="F94" s="249">
        <v>0</v>
      </c>
      <c r="G94" s="250">
        <v>0</v>
      </c>
      <c r="H94" s="249">
        <v>24.8</v>
      </c>
      <c r="I94" s="247">
        <v>100.2</v>
      </c>
      <c r="J94" s="250">
        <v>0.5</v>
      </c>
      <c r="K94" s="249">
        <v>15</v>
      </c>
      <c r="L94" s="247">
        <v>131.1</v>
      </c>
      <c r="M94" s="250">
        <v>0.5</v>
      </c>
      <c r="N94" s="251">
        <v>0.1</v>
      </c>
      <c r="O94" s="253">
        <f>(I94*RBRushingYd)+(J94*RBRushingTD)+(K94*RBReceptions)+(L94*RBRecYd)+(M94*RBRecTD)+(N94*RBFuml)+(H94*RBRushAtt)</f>
        <v>28.930000000000003</v>
      </c>
      <c r="P94" s="1" t="str">
        <f ca="1">IF(A94&lt;=RBStarters,"Starter",IF(A94&gt;RBStarters+RBBench,"Undrafted","Bench"))</f>
        <v>Undrafted</v>
      </c>
      <c r="Q94" s="47">
        <f ca="1">IFERROR(MAX(O94-LARGE(O$3:O$174,RBStarters),0),0)</f>
        <v>0</v>
      </c>
      <c r="R94" s="47">
        <f ca="1">IFERROR(IF(AllowNegative="Yes",O94-LARGE(O$3:O$174,RBCount),MAX(O94-LARGE(O$3:O$174,RBCount),0)),0)</f>
        <v>-40.31</v>
      </c>
      <c r="S94" s="108">
        <f ca="1">(R94-Q94)*BenchPF+Q94*StarterPF</f>
        <v>-9.6540776789062228</v>
      </c>
      <c r="T94" s="108">
        <f ca="1">S94*Auction!$A$2</f>
        <v>-9.6540776789062228</v>
      </c>
      <c r="U94" s="25" t="str">
        <f>IF(OR(INDEX(Auction!$H$13:$H$683,MATCH(B94,Auction!$A$13:$A$683,0))&gt;0,IFERROR(INDEX(CheatSheet!$M$5:$M$64,MATCH(B94,CheatSheet!$J$5:$J$64,0)),"")&lt;&gt;""),"Yes","No")</f>
        <v>No</v>
      </c>
      <c r="V94" s="218"/>
      <c r="W94" s="1"/>
      <c r="X94" s="100">
        <f t="shared" ca="1" si="6"/>
        <v>1</v>
      </c>
      <c r="Y94" s="1">
        <f t="shared" ca="1" si="7"/>
        <v>-20.155000000000001</v>
      </c>
      <c r="Z94" s="145" t="str">
        <f t="shared" ca="1" si="5"/>
        <v>RB11</v>
      </c>
      <c r="AA94" s="1">
        <f ca="1">Y94*LeagueInfo!$H$5</f>
        <v>-9.2177064082972731</v>
      </c>
      <c r="AB94" s="1"/>
      <c r="AC94" s="1"/>
    </row>
    <row r="95" spans="1:29" x14ac:dyDescent="0.25">
      <c r="A95" s="1">
        <f>RANK(O95,O$3:O$174)</f>
        <v>93</v>
      </c>
      <c r="B95" s="1" t="s">
        <v>468</v>
      </c>
      <c r="C95" s="1" t="s">
        <v>32</v>
      </c>
      <c r="D95" s="1">
        <f>VLOOKUP(E95,BYEs!$A$2:$B$34,2,FALSE)</f>
        <v>7</v>
      </c>
      <c r="E95" s="1" t="s">
        <v>385</v>
      </c>
      <c r="F95" s="249">
        <v>0</v>
      </c>
      <c r="G95" s="250">
        <v>0</v>
      </c>
      <c r="H95" s="249">
        <v>44.3</v>
      </c>
      <c r="I95" s="247">
        <v>175.6</v>
      </c>
      <c r="J95" s="250">
        <v>0.7</v>
      </c>
      <c r="K95" s="249">
        <v>9</v>
      </c>
      <c r="L95" s="247">
        <v>59.2</v>
      </c>
      <c r="M95" s="250">
        <v>0.2</v>
      </c>
      <c r="N95" s="251">
        <v>0.9</v>
      </c>
      <c r="O95" s="253">
        <f>(I95*RBRushingYd)+(J95*RBRushingTD)+(K95*RBReceptions)+(L95*RBRecYd)+(M95*RBRecTD)+(N95*RBFuml)+(H95*RBRushAtt)</f>
        <v>27.08</v>
      </c>
      <c r="P95" s="1" t="str">
        <f ca="1">IF(A95&lt;=RBStarters,"Starter",IF(A95&gt;RBStarters+RBBench,"Undrafted","Bench"))</f>
        <v>Undrafted</v>
      </c>
      <c r="Q95" s="47">
        <f ca="1">IFERROR(MAX(O95-LARGE(O$3:O$174,RBStarters),0),0)</f>
        <v>0</v>
      </c>
      <c r="R95" s="47">
        <f ca="1">IFERROR(IF(AllowNegative="Yes",O95-LARGE(O$3:O$174,RBCount),MAX(O95-LARGE(O$3:O$174,RBCount),0)),0)</f>
        <v>-42.160000000000011</v>
      </c>
      <c r="S95" s="108">
        <f ca="1">(R95-Q95)*BenchPF+Q95*StarterPF</f>
        <v>-10.097144999818568</v>
      </c>
      <c r="T95" s="108">
        <f ca="1">S95*Auction!$A$2</f>
        <v>-10.097144999818568</v>
      </c>
      <c r="U95" s="25" t="str">
        <f>IF(OR(INDEX(Auction!$H$13:$H$683,MATCH(B95,Auction!$A$13:$A$683,0))&gt;0,IFERROR(INDEX(CheatSheet!$M$5:$M$64,MATCH(B95,CheatSheet!$J$5:$J$64,0)),"")&lt;&gt;""),"Yes","No")</f>
        <v>No</v>
      </c>
      <c r="V95" s="218"/>
      <c r="W95" s="1"/>
      <c r="X95" s="100">
        <f t="shared" ca="1" si="6"/>
        <v>1</v>
      </c>
      <c r="Y95" s="1">
        <f t="shared" ca="1" si="7"/>
        <v>-21.080000000000005</v>
      </c>
      <c r="Z95" s="145" t="str">
        <f t="shared" ca="1" si="5"/>
        <v>RB11</v>
      </c>
      <c r="AA95" s="1">
        <f ca="1">Y95*LeagueInfo!$H$5</f>
        <v>-9.6407467669018398</v>
      </c>
      <c r="AB95" s="1"/>
      <c r="AC95" s="1"/>
    </row>
    <row r="96" spans="1:29" x14ac:dyDescent="0.25">
      <c r="A96" s="1">
        <f>RANK(O96,O$3:O$174)</f>
        <v>94</v>
      </c>
      <c r="B96" s="1" t="s">
        <v>464</v>
      </c>
      <c r="C96" s="1" t="s">
        <v>32</v>
      </c>
      <c r="D96" s="1">
        <f>VLOOKUP(E96,BYEs!$A$2:$B$34,2,FALSE)</f>
        <v>6</v>
      </c>
      <c r="E96" s="1" t="s">
        <v>364</v>
      </c>
      <c r="F96" s="249">
        <v>0</v>
      </c>
      <c r="G96" s="250">
        <v>0</v>
      </c>
      <c r="H96" s="249">
        <v>31.8</v>
      </c>
      <c r="I96" s="247">
        <v>124.6</v>
      </c>
      <c r="J96" s="250">
        <v>0.9</v>
      </c>
      <c r="K96" s="249">
        <v>9.1999999999999993</v>
      </c>
      <c r="L96" s="247">
        <v>67.8</v>
      </c>
      <c r="M96" s="250">
        <v>0.4</v>
      </c>
      <c r="N96" s="251">
        <v>0.2</v>
      </c>
      <c r="O96" s="253">
        <f>(I96*RBRushingYd)+(J96*RBRushingTD)+(K96*RBReceptions)+(L96*RBRecYd)+(M96*RBRecTD)+(N96*RBFuml)+(H96*RBRushAtt)</f>
        <v>26.64</v>
      </c>
      <c r="P96" s="1" t="str">
        <f ca="1">IF(A96&lt;=RBStarters,"Starter",IF(A96&gt;RBStarters+RBBench,"Undrafted","Bench"))</f>
        <v>Undrafted</v>
      </c>
      <c r="Q96" s="47">
        <f ca="1">IFERROR(MAX(O96-LARGE(O$3:O$174,RBStarters),0),0)</f>
        <v>0</v>
      </c>
      <c r="R96" s="47">
        <f ca="1">IFERROR(IF(AllowNegative="Yes",O96-LARGE(O$3:O$174,RBCount),MAX(O96-LARGE(O$3:O$174,RBCount),0)),0)</f>
        <v>-42.600000000000009</v>
      </c>
      <c r="S96" s="108">
        <f ca="1">(R96-Q96)*BenchPF+Q96*StarterPF</f>
        <v>-10.202523173440962</v>
      </c>
      <c r="T96" s="108">
        <f ca="1">S96*Auction!$A$2</f>
        <v>-10.202523173440962</v>
      </c>
      <c r="U96" s="25" t="str">
        <f>IF(OR(INDEX(Auction!$H$13:$H$683,MATCH(B96,Auction!$A$13:$A$683,0))&gt;0,IFERROR(INDEX(CheatSheet!$M$5:$M$64,MATCH(B96,CheatSheet!$J$5:$J$64,0)),"")&lt;&gt;""),"Yes","No")</f>
        <v>No</v>
      </c>
      <c r="V96" s="218"/>
      <c r="W96" s="1"/>
      <c r="X96" s="100">
        <f t="shared" ca="1" si="6"/>
        <v>1</v>
      </c>
      <c r="Y96" s="1">
        <f t="shared" ca="1" si="7"/>
        <v>-21.300000000000004</v>
      </c>
      <c r="Z96" s="145" t="str">
        <f t="shared" ca="1" si="5"/>
        <v>RB11</v>
      </c>
      <c r="AA96" s="1">
        <f ca="1">Y96*LeagueInfo!$H$5</f>
        <v>-9.7413617711104923</v>
      </c>
      <c r="AB96" s="1"/>
      <c r="AC96" s="1"/>
    </row>
    <row r="97" spans="1:29" x14ac:dyDescent="0.25">
      <c r="A97" s="1">
        <f>RANK(O97,O$3:O$174)</f>
        <v>95</v>
      </c>
      <c r="B97" s="1" t="s">
        <v>472</v>
      </c>
      <c r="C97" s="1" t="s">
        <v>32</v>
      </c>
      <c r="D97" s="1">
        <f>VLOOKUP(E97,BYEs!$A$2:$B$34,2,FALSE)</f>
        <v>8</v>
      </c>
      <c r="E97" s="1" t="s">
        <v>350</v>
      </c>
      <c r="F97" s="249">
        <v>0</v>
      </c>
      <c r="G97" s="250">
        <v>0</v>
      </c>
      <c r="H97" s="249">
        <v>21.2</v>
      </c>
      <c r="I97" s="247">
        <v>97.9</v>
      </c>
      <c r="J97" s="250">
        <v>1.5</v>
      </c>
      <c r="K97" s="249">
        <v>7.4</v>
      </c>
      <c r="L97" s="247">
        <v>54.8</v>
      </c>
      <c r="M97" s="250">
        <v>0.4</v>
      </c>
      <c r="N97" s="251">
        <v>0.9</v>
      </c>
      <c r="O97" s="253">
        <f>(I97*RBRushingYd)+(J97*RBRushingTD)+(K97*RBReceptions)+(L97*RBRecYd)+(M97*RBRecTD)+(N97*RBFuml)+(H97*RBRushAtt)</f>
        <v>24.87</v>
      </c>
      <c r="P97" s="1" t="str">
        <f ca="1">IF(A97&lt;=RBStarters,"Starter",IF(A97&gt;RBStarters+RBBench,"Undrafted","Bench"))</f>
        <v>Undrafted</v>
      </c>
      <c r="Q97" s="47">
        <f ca="1">IFERROR(MAX(O97-LARGE(O$3:O$174,RBStarters),0),0)</f>
        <v>0</v>
      </c>
      <c r="R97" s="47">
        <f ca="1">IFERROR(IF(AllowNegative="Yes",O97-LARGE(O$3:O$174,RBCount),MAX(O97-LARGE(O$3:O$174,RBCount),0)),0)</f>
        <v>-44.370000000000005</v>
      </c>
      <c r="S97" s="108">
        <f ca="1">(R97-Q97)*BenchPF+Q97*StarterPF</f>
        <v>-10.626430826421959</v>
      </c>
      <c r="T97" s="108">
        <f ca="1">S97*Auction!$A$2</f>
        <v>-10.626430826421959</v>
      </c>
      <c r="U97" s="25" t="str">
        <f>IF(OR(INDEX(Auction!$H$13:$H$683,MATCH(B97,Auction!$A$13:$A$683,0))&gt;0,IFERROR(INDEX(CheatSheet!$M$5:$M$64,MATCH(B97,CheatSheet!$J$5:$J$64,0)),"")&lt;&gt;""),"Yes","No")</f>
        <v>No</v>
      </c>
      <c r="V97" s="218"/>
      <c r="W97" s="1"/>
      <c r="X97" s="100">
        <f t="shared" ca="1" si="6"/>
        <v>1</v>
      </c>
      <c r="Y97" s="1">
        <f t="shared" ca="1" si="7"/>
        <v>-22.185000000000002</v>
      </c>
      <c r="Z97" s="145" t="str">
        <f t="shared" ca="1" si="5"/>
        <v>RB11</v>
      </c>
      <c r="AA97" s="1">
        <f ca="1">Y97*LeagueInfo!$H$5</f>
        <v>-10.146108492586208</v>
      </c>
      <c r="AB97" s="1"/>
      <c r="AC97" s="1"/>
    </row>
    <row r="98" spans="1:29" x14ac:dyDescent="0.25">
      <c r="A98" s="1">
        <f>RANK(O98,O$3:O$174)</f>
        <v>96</v>
      </c>
      <c r="B98" s="1" t="s">
        <v>481</v>
      </c>
      <c r="C98" s="1" t="s">
        <v>32</v>
      </c>
      <c r="D98" s="1">
        <f>VLOOKUP(E98,BYEs!$A$2:$B$34,2,FALSE)</f>
        <v>10</v>
      </c>
      <c r="E98" s="1" t="s">
        <v>365</v>
      </c>
      <c r="F98" s="249">
        <v>0</v>
      </c>
      <c r="G98" s="250">
        <v>0</v>
      </c>
      <c r="H98" s="249">
        <v>34.6</v>
      </c>
      <c r="I98" s="247">
        <v>144.30000000000001</v>
      </c>
      <c r="J98" s="250">
        <v>1.3</v>
      </c>
      <c r="K98" s="249">
        <v>5.2</v>
      </c>
      <c r="L98" s="247">
        <v>40.700000000000003</v>
      </c>
      <c r="M98" s="250">
        <v>0.2</v>
      </c>
      <c r="N98" s="251">
        <v>1.5</v>
      </c>
      <c r="O98" s="253">
        <f>(I98*RBRushingYd)+(J98*RBRushingTD)+(K98*RBReceptions)+(L98*RBRecYd)+(M98*RBRecTD)+(N98*RBFuml)+(H98*RBRushAtt)</f>
        <v>24.500000000000004</v>
      </c>
      <c r="P98" s="1" t="str">
        <f ca="1">IF(A98&lt;=RBStarters,"Starter",IF(A98&gt;RBStarters+RBBench,"Undrafted","Bench"))</f>
        <v>Undrafted</v>
      </c>
      <c r="Q98" s="47">
        <f ca="1">IFERROR(MAX(O98-LARGE(O$3:O$174,RBStarters),0),0)</f>
        <v>0</v>
      </c>
      <c r="R98" s="47">
        <f ca="1">IFERROR(IF(AllowNegative="Yes",O98-LARGE(O$3:O$174,RBCount),MAX(O98-LARGE(O$3:O$174,RBCount),0)),0)</f>
        <v>-44.740000000000009</v>
      </c>
      <c r="S98" s="108">
        <f ca="1">(R98-Q98)*BenchPF+Q98*StarterPF</f>
        <v>-10.715044290604428</v>
      </c>
      <c r="T98" s="108">
        <f ca="1">S98*Auction!$A$2</f>
        <v>-10.715044290604428</v>
      </c>
      <c r="U98" s="25" t="str">
        <f>IF(OR(INDEX(Auction!$H$13:$H$683,MATCH(B98,Auction!$A$13:$A$683,0))&gt;0,IFERROR(INDEX(CheatSheet!$M$5:$M$64,MATCH(B98,CheatSheet!$J$5:$J$64,0)),"")&lt;&gt;""),"Yes","No")</f>
        <v>No</v>
      </c>
      <c r="V98" s="218"/>
      <c r="W98" s="1"/>
      <c r="X98" s="100">
        <f t="shared" ca="1" si="6"/>
        <v>1</v>
      </c>
      <c r="Y98" s="1">
        <f t="shared" ca="1" si="7"/>
        <v>-22.370000000000005</v>
      </c>
      <c r="Z98" s="145" t="str">
        <f t="shared" ca="1" si="5"/>
        <v>RB11</v>
      </c>
      <c r="AA98" s="1">
        <f ca="1">Y98*LeagueInfo!$H$5</f>
        <v>-10.230716564307121</v>
      </c>
      <c r="AB98" s="1"/>
      <c r="AC98" s="1"/>
    </row>
    <row r="99" spans="1:29" x14ac:dyDescent="0.25">
      <c r="A99" s="1">
        <f>RANK(O99,O$3:O$174)</f>
        <v>97</v>
      </c>
      <c r="B99" s="1" t="s">
        <v>466</v>
      </c>
      <c r="C99" s="1" t="s">
        <v>32</v>
      </c>
      <c r="D99" s="1">
        <f>VLOOKUP(E99,BYEs!$A$2:$B$34,2,FALSE)</f>
        <v>8</v>
      </c>
      <c r="E99" s="1" t="s">
        <v>380</v>
      </c>
      <c r="F99" s="249">
        <v>0</v>
      </c>
      <c r="G99" s="250">
        <v>0</v>
      </c>
      <c r="H99" s="249">
        <v>25.7</v>
      </c>
      <c r="I99" s="247">
        <v>100.9</v>
      </c>
      <c r="J99" s="250">
        <v>0.4</v>
      </c>
      <c r="K99" s="249">
        <v>13.2</v>
      </c>
      <c r="L99" s="247">
        <v>104.6</v>
      </c>
      <c r="M99" s="250">
        <v>0.3</v>
      </c>
      <c r="N99" s="251">
        <v>0.4</v>
      </c>
      <c r="O99" s="253">
        <f>(I99*RBRushingYd)+(J99*RBRushingTD)+(K99*RBReceptions)+(L99*RBRecYd)+(M99*RBRecTD)+(N99*RBFuml)+(H99*RBRushAtt)</f>
        <v>23.950000000000003</v>
      </c>
      <c r="P99" s="1" t="str">
        <f ca="1">IF(A99&lt;=RBStarters,"Starter",IF(A99&gt;RBStarters+RBBench,"Undrafted","Bench"))</f>
        <v>Undrafted</v>
      </c>
      <c r="Q99" s="47">
        <f ca="1">IFERROR(MAX(O99-LARGE(O$3:O$174,RBStarters),0),0)</f>
        <v>0</v>
      </c>
      <c r="R99" s="47">
        <f ca="1">IFERROR(IF(AllowNegative="Yes",O99-LARGE(O$3:O$174,RBCount),MAX(O99-LARGE(O$3:O$174,RBCount),0)),0)</f>
        <v>-45.290000000000006</v>
      </c>
      <c r="S99" s="108">
        <f ca="1">(R99-Q99)*BenchPF+Q99*StarterPF</f>
        <v>-10.846767007632421</v>
      </c>
      <c r="T99" s="108">
        <f ca="1">S99*Auction!$A$2</f>
        <v>-10.846767007632421</v>
      </c>
      <c r="U99" s="25" t="str">
        <f>IF(OR(INDEX(Auction!$H$13:$H$683,MATCH(B99,Auction!$A$13:$A$683,0))&gt;0,IFERROR(INDEX(CheatSheet!$M$5:$M$64,MATCH(B99,CheatSheet!$J$5:$J$64,0)),"")&lt;&gt;""),"Yes","No")</f>
        <v>No</v>
      </c>
      <c r="V99" s="218"/>
      <c r="W99" s="1"/>
      <c r="X99" s="100">
        <f t="shared" ca="1" si="6"/>
        <v>1</v>
      </c>
      <c r="Y99" s="1">
        <f t="shared" ca="1" si="7"/>
        <v>-22.645000000000003</v>
      </c>
      <c r="Z99" s="145" t="str">
        <f t="shared" ref="Z99:Z130" ca="1" si="8">CONCATENATE("RB",ROUND((LARGE($Y$3:$Y$174,1)-$Y99)/(STDEVP($Y$3:$Y$174)/2)+1,0))</f>
        <v>RB11</v>
      </c>
      <c r="AA99" s="1">
        <f ca="1">Y99*LeagueInfo!$H$5</f>
        <v>-10.356485319567938</v>
      </c>
      <c r="AB99" s="1"/>
      <c r="AC99" s="1"/>
    </row>
    <row r="100" spans="1:29" x14ac:dyDescent="0.25">
      <c r="A100" s="1">
        <f>RANK(O100,O$3:O$174)</f>
        <v>98</v>
      </c>
      <c r="B100" s="47" t="s">
        <v>470</v>
      </c>
      <c r="C100" s="47" t="s">
        <v>32</v>
      </c>
      <c r="D100" s="1">
        <f>VLOOKUP(E100,BYEs!$A$2:$B$34,2,FALSE)</f>
        <v>8</v>
      </c>
      <c r="E100" s="47" t="s">
        <v>350</v>
      </c>
      <c r="F100" s="249">
        <v>0</v>
      </c>
      <c r="G100" s="250">
        <v>0</v>
      </c>
      <c r="H100" s="249">
        <v>31.2</v>
      </c>
      <c r="I100" s="247">
        <v>123.1</v>
      </c>
      <c r="J100" s="250">
        <v>0.9</v>
      </c>
      <c r="K100" s="249">
        <v>6.2</v>
      </c>
      <c r="L100" s="247">
        <v>49.9</v>
      </c>
      <c r="M100" s="250">
        <v>0.1</v>
      </c>
      <c r="N100" s="247">
        <v>0.1</v>
      </c>
      <c r="O100" s="253">
        <f>(I100*RBRushingYd)+(J100*RBRushingTD)+(K100*RBReceptions)+(L100*RBRecYd)+(M100*RBRecTD)+(N100*RBFuml)+(H100*RBRushAtt)</f>
        <v>23.100000000000005</v>
      </c>
      <c r="P100" s="47" t="str">
        <f ca="1">IF(A100&lt;=RBStarters,"Starter",IF(A100&gt;RBStarters+RBBench,"Undrafted","Bench"))</f>
        <v>Undrafted</v>
      </c>
      <c r="Q100" s="47">
        <f ca="1">IFERROR(MAX(O100-LARGE(O$3:O$174,RBStarters),0),0)</f>
        <v>0</v>
      </c>
      <c r="R100" s="47">
        <f ca="1">IFERROR(IF(AllowNegative="Yes",O100-LARGE(O$3:O$174,RBCount),MAX(O100-LARGE(O$3:O$174,RBCount),0)),0)</f>
        <v>-46.14</v>
      </c>
      <c r="S100" s="108">
        <f ca="1">(R100-Q100)*BenchPF+Q100*StarterPF</f>
        <v>-11.050338479402956</v>
      </c>
      <c r="T100" s="108">
        <f ca="1">S100*Auction!$A$2</f>
        <v>-11.050338479402956</v>
      </c>
      <c r="U100" s="25" t="str">
        <f>IF(OR(INDEX(Auction!$H$13:$H$683,MATCH(B100,Auction!$A$13:$A$683,0))&gt;0,IFERROR(INDEX(CheatSheet!$M$5:$M$64,MATCH(B100,CheatSheet!$J$5:$J$64,0)),"")&lt;&gt;""),"Yes","No")</f>
        <v>No</v>
      </c>
      <c r="V100" s="218"/>
      <c r="W100" s="1"/>
      <c r="X100" s="100">
        <f t="shared" ca="1" si="6"/>
        <v>1</v>
      </c>
      <c r="Y100" s="1">
        <f t="shared" ca="1" si="7"/>
        <v>-23.07</v>
      </c>
      <c r="Z100" s="145" t="str">
        <f t="shared" ca="1" si="8"/>
        <v>RB11</v>
      </c>
      <c r="AA100" s="1">
        <f ca="1">Y100*LeagueInfo!$H$5</f>
        <v>-10.550855214061924</v>
      </c>
      <c r="AB100" s="1"/>
      <c r="AC100" s="1"/>
    </row>
    <row r="101" spans="1:29" x14ac:dyDescent="0.25">
      <c r="A101" s="1">
        <f>RANK(O101,O$3:O$174)</f>
        <v>99</v>
      </c>
      <c r="B101" s="1" t="s">
        <v>476</v>
      </c>
      <c r="C101" s="1" t="s">
        <v>32</v>
      </c>
      <c r="D101" s="1">
        <f>VLOOKUP(E101,BYEs!$A$2:$B$34,2,FALSE)</f>
        <v>5</v>
      </c>
      <c r="E101" s="1" t="s">
        <v>352</v>
      </c>
      <c r="F101" s="249">
        <v>0</v>
      </c>
      <c r="G101" s="250">
        <v>0</v>
      </c>
      <c r="H101" s="249">
        <v>9.9</v>
      </c>
      <c r="I101" s="247">
        <v>29.8</v>
      </c>
      <c r="J101" s="250">
        <v>1.8</v>
      </c>
      <c r="K101" s="249">
        <v>10.4</v>
      </c>
      <c r="L101" s="247">
        <v>63</v>
      </c>
      <c r="M101" s="250">
        <v>0.4</v>
      </c>
      <c r="N101" s="251">
        <v>0</v>
      </c>
      <c r="O101" s="253">
        <f>(I101*RBRushingYd)+(J101*RBRushingTD)+(K101*RBReceptions)+(L101*RBRecYd)+(M101*RBRecTD)+(N101*RBFuml)+(H101*RBRushAtt)</f>
        <v>22.480000000000004</v>
      </c>
      <c r="P101" s="1" t="str">
        <f ca="1">IF(A101&lt;=RBStarters,"Starter",IF(A101&gt;RBStarters+RBBench,"Undrafted","Bench"))</f>
        <v>Undrafted</v>
      </c>
      <c r="Q101" s="47">
        <f ca="1">IFERROR(MAX(O101-LARGE(O$3:O$174,RBStarters),0),0)</f>
        <v>0</v>
      </c>
      <c r="R101" s="47">
        <f ca="1">IFERROR(IF(AllowNegative="Yes",O101-LARGE(O$3:O$174,RBCount),MAX(O101-LARGE(O$3:O$174,RBCount),0)),0)</f>
        <v>-46.760000000000005</v>
      </c>
      <c r="S101" s="108">
        <f ca="1">(R101-Q101)*BenchPF+Q101*StarterPF</f>
        <v>-11.198825905870876</v>
      </c>
      <c r="T101" s="108">
        <f ca="1">S101*Auction!$A$2</f>
        <v>-11.198825905870876</v>
      </c>
      <c r="U101" s="25" t="str">
        <f>IF(OR(INDEX(Auction!$H$13:$H$683,MATCH(B101,Auction!$A$13:$A$683,0))&gt;0,IFERROR(INDEX(CheatSheet!$M$5:$M$64,MATCH(B101,CheatSheet!$J$5:$J$64,0)),"")&lt;&gt;""),"Yes","No")</f>
        <v>No</v>
      </c>
      <c r="V101" s="218"/>
      <c r="W101" s="1"/>
      <c r="X101" s="100">
        <f t="shared" ca="1" si="6"/>
        <v>1</v>
      </c>
      <c r="Y101" s="1">
        <f t="shared" ca="1" si="7"/>
        <v>-23.380000000000003</v>
      </c>
      <c r="Z101" s="145" t="str">
        <f t="shared" ca="1" si="8"/>
        <v>RB11</v>
      </c>
      <c r="AA101" s="1">
        <f ca="1">Y101*LeagueInfo!$H$5</f>
        <v>-10.692630901810482</v>
      </c>
      <c r="AB101" s="1"/>
      <c r="AC101" s="1"/>
    </row>
    <row r="102" spans="1:29" x14ac:dyDescent="0.25">
      <c r="A102" s="1">
        <f>RANK(O102,O$3:O$174)</f>
        <v>100</v>
      </c>
      <c r="B102" s="1" t="s">
        <v>485</v>
      </c>
      <c r="C102" s="1" t="s">
        <v>32</v>
      </c>
      <c r="D102" s="1">
        <f>VLOOKUP(E102,BYEs!$A$2:$B$34,2,FALSE)</f>
        <v>8</v>
      </c>
      <c r="E102" s="1" t="s">
        <v>380</v>
      </c>
      <c r="F102" s="249">
        <v>0</v>
      </c>
      <c r="G102" s="250">
        <v>0</v>
      </c>
      <c r="H102" s="249">
        <v>33.1</v>
      </c>
      <c r="I102" s="247">
        <v>121.4</v>
      </c>
      <c r="J102" s="250">
        <v>0.7</v>
      </c>
      <c r="K102" s="249">
        <v>8.1</v>
      </c>
      <c r="L102" s="247">
        <v>60.9</v>
      </c>
      <c r="M102" s="250">
        <v>0.1</v>
      </c>
      <c r="N102" s="251">
        <v>0.4</v>
      </c>
      <c r="O102" s="253">
        <f>(I102*RBRushingYd)+(J102*RBRushingTD)+(K102*RBReceptions)+(L102*RBRecYd)+(M102*RBRecTD)+(N102*RBFuml)+(H102*RBRushAtt)</f>
        <v>22.23</v>
      </c>
      <c r="P102" s="1" t="str">
        <f ca="1">IF(A102&lt;=RBStarters,"Starter",IF(A102&gt;RBStarters+RBBench,"Undrafted","Bench"))</f>
        <v>Undrafted</v>
      </c>
      <c r="Q102" s="47">
        <f ca="1">IFERROR(MAX(O102-LARGE(O$3:O$174,RBStarters),0),0)</f>
        <v>0</v>
      </c>
      <c r="R102" s="47">
        <f ca="1">IFERROR(IF(AllowNegative="Yes",O102-LARGE(O$3:O$174,RBCount),MAX(O102-LARGE(O$3:O$174,RBCount),0)),0)</f>
        <v>-47.010000000000005</v>
      </c>
      <c r="S102" s="108">
        <f ca="1">(R102-Q102)*BenchPF+Q102*StarterPF</f>
        <v>-11.258699868156329</v>
      </c>
      <c r="T102" s="108">
        <f ca="1">S102*Auction!$A$2</f>
        <v>-11.258699868156329</v>
      </c>
      <c r="U102" s="25" t="str">
        <f>IF(OR(INDEX(Auction!$H$13:$H$683,MATCH(B102,Auction!$A$13:$A$683,0))&gt;0,IFERROR(INDEX(CheatSheet!$M$5:$M$64,MATCH(B102,CheatSheet!$J$5:$J$64,0)),"")&lt;&gt;""),"Yes","No")</f>
        <v>No</v>
      </c>
      <c r="V102" s="218"/>
      <c r="W102" s="1"/>
      <c r="X102" s="100">
        <f t="shared" ca="1" si="6"/>
        <v>1</v>
      </c>
      <c r="Y102" s="1">
        <f t="shared" ca="1" si="7"/>
        <v>-23.505000000000003</v>
      </c>
      <c r="Z102" s="145" t="str">
        <f t="shared" ca="1" si="8"/>
        <v>RB11</v>
      </c>
      <c r="AA102" s="1">
        <f ca="1">Y102*LeagueInfo!$H$5</f>
        <v>-10.749798517838126</v>
      </c>
      <c r="AB102" s="1"/>
      <c r="AC102" s="1"/>
    </row>
    <row r="103" spans="1:29" x14ac:dyDescent="0.25">
      <c r="A103" s="1">
        <f>RANK(O103,O$3:O$174)</f>
        <v>101</v>
      </c>
      <c r="B103" s="1" t="s">
        <v>465</v>
      </c>
      <c r="C103" s="1" t="s">
        <v>32</v>
      </c>
      <c r="D103" s="1">
        <f>VLOOKUP(E103,BYEs!$A$2:$B$34,2,FALSE)</f>
        <v>8</v>
      </c>
      <c r="E103" s="1" t="s">
        <v>370</v>
      </c>
      <c r="F103" s="249">
        <v>0</v>
      </c>
      <c r="G103" s="250">
        <v>0</v>
      </c>
      <c r="H103" s="249">
        <v>24.8</v>
      </c>
      <c r="I103" s="247">
        <v>121.3</v>
      </c>
      <c r="J103" s="250">
        <v>0.8</v>
      </c>
      <c r="K103" s="249">
        <v>6.6</v>
      </c>
      <c r="L103" s="247">
        <v>52.5</v>
      </c>
      <c r="M103" s="250">
        <v>0.1</v>
      </c>
      <c r="N103" s="251">
        <v>0.8</v>
      </c>
      <c r="O103" s="253">
        <f>(I103*RBRushingYd)+(J103*RBRushingTD)+(K103*RBReceptions)+(L103*RBRecYd)+(M103*RBRecTD)+(N103*RBFuml)+(H103*RBRushAtt)</f>
        <v>21.18</v>
      </c>
      <c r="P103" s="1" t="str">
        <f ca="1">IF(A103&lt;=RBStarters,"Starter",IF(A103&gt;RBStarters+RBBench,"Undrafted","Bench"))</f>
        <v>Undrafted</v>
      </c>
      <c r="Q103" s="47">
        <f ca="1">IFERROR(MAX(O103-LARGE(O$3:O$174,RBStarters),0),0)</f>
        <v>0</v>
      </c>
      <c r="R103" s="47">
        <f ca="1">IFERROR(IF(AllowNegative="Yes",O103-LARGE(O$3:O$174,RBCount),MAX(O103-LARGE(O$3:O$174,RBCount),0)),0)</f>
        <v>-48.060000000000009</v>
      </c>
      <c r="S103" s="108">
        <f ca="1">(R103-Q103)*BenchPF+Q103*StarterPF</f>
        <v>-11.510170509755227</v>
      </c>
      <c r="T103" s="108">
        <f ca="1">S103*Auction!$A$2</f>
        <v>-11.510170509755227</v>
      </c>
      <c r="U103" s="25" t="str">
        <f>IF(OR(INDEX(Auction!$H$13:$H$683,MATCH(B103,Auction!$A$13:$A$683,0))&gt;0,IFERROR(INDEX(CheatSheet!$M$5:$M$64,MATCH(B103,CheatSheet!$J$5:$J$64,0)),"")&lt;&gt;""),"Yes","No")</f>
        <v>No</v>
      </c>
      <c r="V103" s="218"/>
      <c r="W103" s="1"/>
      <c r="X103" s="100">
        <f t="shared" ca="1" si="6"/>
        <v>1</v>
      </c>
      <c r="Y103" s="1">
        <f t="shared" ca="1" si="7"/>
        <v>-24.030000000000005</v>
      </c>
      <c r="Z103" s="145" t="str">
        <f t="shared" ca="1" si="8"/>
        <v>RB11</v>
      </c>
      <c r="AA103" s="1">
        <f ca="1">Y103*LeagueInfo!$H$5</f>
        <v>-10.98990250515423</v>
      </c>
      <c r="AB103" s="1"/>
      <c r="AC103" s="1"/>
    </row>
    <row r="104" spans="1:29" x14ac:dyDescent="0.25">
      <c r="A104" s="1">
        <f>RANK(O104,O$3:O$174)</f>
        <v>102</v>
      </c>
      <c r="B104" s="1" t="s">
        <v>519</v>
      </c>
      <c r="C104" s="1" t="s">
        <v>32</v>
      </c>
      <c r="D104" s="1">
        <f>VLOOKUP(E104,BYEs!$A$2:$B$34,2,FALSE)</f>
        <v>11</v>
      </c>
      <c r="E104" s="1" t="s">
        <v>378</v>
      </c>
      <c r="F104" s="249">
        <v>0</v>
      </c>
      <c r="G104" s="250">
        <v>0</v>
      </c>
      <c r="H104" s="249">
        <v>26.9</v>
      </c>
      <c r="I104" s="247">
        <v>115.8</v>
      </c>
      <c r="J104" s="250">
        <v>0.8</v>
      </c>
      <c r="K104" s="249">
        <v>4.0999999999999996</v>
      </c>
      <c r="L104" s="247">
        <v>28</v>
      </c>
      <c r="M104" s="250">
        <v>0.2</v>
      </c>
      <c r="N104" s="251">
        <v>1.8</v>
      </c>
      <c r="O104" s="253">
        <f>(I104*RBRushingYd)+(J104*RBRushingTD)+(K104*RBReceptions)+(L104*RBRecYd)+(M104*RBRecTD)+(N104*RBFuml)+(H104*RBRushAtt)</f>
        <v>16.78</v>
      </c>
      <c r="P104" s="1" t="str">
        <f ca="1">IF(A104&lt;=RBStarters,"Starter",IF(A104&gt;RBStarters+RBBench,"Undrafted","Bench"))</f>
        <v>Undrafted</v>
      </c>
      <c r="Q104" s="47">
        <f ca="1">IFERROR(MAX(O104-LARGE(O$3:O$174,RBStarters),0),0)</f>
        <v>0</v>
      </c>
      <c r="R104" s="47">
        <f ca="1">IFERROR(IF(AllowNegative="Yes",O104-LARGE(O$3:O$174,RBCount),MAX(O104-LARGE(O$3:O$174,RBCount),0)),0)</f>
        <v>-52.460000000000008</v>
      </c>
      <c r="S104" s="108">
        <f ca="1">(R104-Q104)*BenchPF+Q104*StarterPF</f>
        <v>-12.563952245979175</v>
      </c>
      <c r="T104" s="108">
        <f ca="1">S104*Auction!$A$2</f>
        <v>-12.563952245979175</v>
      </c>
      <c r="U104" s="25" t="str">
        <f>IF(OR(INDEX(Auction!$H$13:$H$683,MATCH(B104,Auction!$A$13:$A$683,0))&gt;0,IFERROR(INDEX(CheatSheet!$M$5:$M$64,MATCH(B104,CheatSheet!$J$5:$J$64,0)),"")&lt;&gt;""),"Yes","No")</f>
        <v>No</v>
      </c>
      <c r="V104" s="218"/>
      <c r="W104" s="1"/>
      <c r="X104" s="100">
        <f t="shared" ca="1" si="6"/>
        <v>1</v>
      </c>
      <c r="Y104" s="1">
        <f t="shared" ca="1" si="7"/>
        <v>-26.230000000000004</v>
      </c>
      <c r="Z104" s="145" t="str">
        <f t="shared" ca="1" si="8"/>
        <v>RB12</v>
      </c>
      <c r="AA104" s="1">
        <f ca="1">Y104*LeagueInfo!$H$5</f>
        <v>-11.99605254724076</v>
      </c>
      <c r="AB104" s="1"/>
      <c r="AC104" s="1"/>
    </row>
    <row r="105" spans="1:29" x14ac:dyDescent="0.25">
      <c r="A105" s="1">
        <f>RANK(O105,O$3:O$174)</f>
        <v>103</v>
      </c>
      <c r="B105" s="1" t="s">
        <v>477</v>
      </c>
      <c r="C105" s="1" t="s">
        <v>32</v>
      </c>
      <c r="D105" s="1">
        <f>VLOOKUP(E105,BYEs!$A$2:$B$34,2,FALSE)</f>
        <v>9</v>
      </c>
      <c r="E105" s="1" t="s">
        <v>361</v>
      </c>
      <c r="F105" s="249">
        <v>0</v>
      </c>
      <c r="G105" s="250">
        <v>0</v>
      </c>
      <c r="H105" s="249">
        <v>28.3</v>
      </c>
      <c r="I105" s="247">
        <v>104.5</v>
      </c>
      <c r="J105" s="250">
        <v>0.6</v>
      </c>
      <c r="K105" s="249">
        <v>2</v>
      </c>
      <c r="L105" s="247">
        <v>17</v>
      </c>
      <c r="M105" s="250">
        <v>0.1</v>
      </c>
      <c r="N105" s="251">
        <v>0</v>
      </c>
      <c r="O105" s="253">
        <f>(I105*RBRushingYd)+(J105*RBRushingTD)+(K105*RBReceptions)+(L105*RBRecYd)+(M105*RBRecTD)+(N105*RBFuml)+(H105*RBRushAtt)</f>
        <v>16.350000000000001</v>
      </c>
      <c r="P105" s="1" t="str">
        <f ca="1">IF(A105&lt;=RBStarters,"Starter",IF(A105&gt;RBStarters+RBBench,"Undrafted","Bench"))</f>
        <v>Undrafted</v>
      </c>
      <c r="Q105" s="47">
        <f ca="1">IFERROR(MAX(O105-LARGE(O$3:O$174,RBStarters),0),0)</f>
        <v>0</v>
      </c>
      <c r="R105" s="47">
        <f ca="1">IFERROR(IF(AllowNegative="Yes",O105-LARGE(O$3:O$174,RBCount),MAX(O105-LARGE(O$3:O$174,RBCount),0)),0)</f>
        <v>-52.890000000000008</v>
      </c>
      <c r="S105" s="108">
        <f ca="1">(R105-Q105)*BenchPF+Q105*StarterPF</f>
        <v>-12.666935461110151</v>
      </c>
      <c r="T105" s="108">
        <f ca="1">S105*Auction!$A$2</f>
        <v>-12.666935461110151</v>
      </c>
      <c r="U105" s="25" t="str">
        <f>IF(OR(INDEX(Auction!$H$13:$H$683,MATCH(B105,Auction!$A$13:$A$683,0))&gt;0,IFERROR(INDEX(CheatSheet!$M$5:$M$64,MATCH(B105,CheatSheet!$J$5:$J$64,0)),"")&lt;&gt;""),"Yes","No")</f>
        <v>No</v>
      </c>
      <c r="V105" s="218"/>
      <c r="W105" s="1"/>
      <c r="X105" s="100">
        <f t="shared" ca="1" si="6"/>
        <v>1</v>
      </c>
      <c r="Y105" s="1">
        <f t="shared" ca="1" si="7"/>
        <v>-26.445000000000004</v>
      </c>
      <c r="Z105" s="145" t="str">
        <f t="shared" ca="1" si="8"/>
        <v>RB12</v>
      </c>
      <c r="AA105" s="1">
        <f ca="1">Y105*LeagueInfo!$H$5</f>
        <v>-12.094380846808306</v>
      </c>
      <c r="AB105" s="1"/>
      <c r="AC105" s="1"/>
    </row>
    <row r="106" spans="1:29" x14ac:dyDescent="0.25">
      <c r="A106" s="1">
        <f>RANK(O106,O$3:O$174)</f>
        <v>104</v>
      </c>
      <c r="B106" s="1" t="s">
        <v>479</v>
      </c>
      <c r="C106" s="1" t="s">
        <v>32</v>
      </c>
      <c r="D106" s="1">
        <f>VLOOKUP(E106,BYEs!$A$2:$B$34,2,FALSE)</f>
        <v>11</v>
      </c>
      <c r="E106" s="1" t="s">
        <v>356</v>
      </c>
      <c r="F106" s="249">
        <v>0</v>
      </c>
      <c r="G106" s="250">
        <v>0</v>
      </c>
      <c r="H106" s="249">
        <v>24.2</v>
      </c>
      <c r="I106" s="247">
        <v>97.5</v>
      </c>
      <c r="J106" s="250">
        <v>0.5</v>
      </c>
      <c r="K106" s="249">
        <v>4.5</v>
      </c>
      <c r="L106" s="247">
        <v>34.200000000000003</v>
      </c>
      <c r="M106" s="250">
        <v>0</v>
      </c>
      <c r="N106" s="251">
        <v>0</v>
      </c>
      <c r="O106" s="253">
        <f>(I106*RBRushingYd)+(J106*RBRushingTD)+(K106*RBReceptions)+(L106*RBRecYd)+(M106*RBRecTD)+(N106*RBFuml)+(H106*RBRushAtt)</f>
        <v>16.170000000000002</v>
      </c>
      <c r="P106" s="1" t="str">
        <f ca="1">IF(A106&lt;=RBStarters,"Starter",IF(A106&gt;RBStarters+RBBench,"Undrafted","Bench"))</f>
        <v>Undrafted</v>
      </c>
      <c r="Q106" s="47">
        <f ca="1">IFERROR(MAX(O106-LARGE(O$3:O$174,RBStarters),0),0)</f>
        <v>0</v>
      </c>
      <c r="R106" s="47">
        <f ca="1">IFERROR(IF(AllowNegative="Yes",O106-LARGE(O$3:O$174,RBCount),MAX(O106-LARGE(O$3:O$174,RBCount),0)),0)</f>
        <v>-53.070000000000007</v>
      </c>
      <c r="S106" s="108">
        <f ca="1">(R106-Q106)*BenchPF+Q106*StarterPF</f>
        <v>-12.710044713955677</v>
      </c>
      <c r="T106" s="108">
        <f ca="1">S106*Auction!$A$2</f>
        <v>-12.710044713955677</v>
      </c>
      <c r="U106" s="25" t="str">
        <f>IF(OR(INDEX(Auction!$H$13:$H$683,MATCH(B106,Auction!$A$13:$A$683,0))&gt;0,IFERROR(INDEX(CheatSheet!$M$5:$M$64,MATCH(B106,CheatSheet!$J$5:$J$64,0)),"")&lt;&gt;""),"Yes","No")</f>
        <v>No</v>
      </c>
      <c r="V106" s="218"/>
      <c r="W106" s="1"/>
      <c r="X106" s="100">
        <f t="shared" ca="1" si="6"/>
        <v>1</v>
      </c>
      <c r="Y106" s="1">
        <f t="shared" ca="1" si="7"/>
        <v>-26.535000000000004</v>
      </c>
      <c r="Z106" s="145" t="str">
        <f t="shared" ca="1" si="8"/>
        <v>RB12</v>
      </c>
      <c r="AA106" s="1">
        <f ca="1">Y106*LeagueInfo!$H$5</f>
        <v>-12.13554153034821</v>
      </c>
      <c r="AB106" s="1"/>
      <c r="AC106" s="1"/>
    </row>
    <row r="107" spans="1:29" x14ac:dyDescent="0.25">
      <c r="A107" s="1">
        <f>RANK(O107,O$3:O$174)</f>
        <v>105</v>
      </c>
      <c r="B107" s="1" t="s">
        <v>500</v>
      </c>
      <c r="C107" s="1" t="s">
        <v>32</v>
      </c>
      <c r="D107" s="1">
        <f>VLOOKUP(E107,BYEs!$A$2:$B$34,2,FALSE)</f>
        <v>5</v>
      </c>
      <c r="E107" s="1" t="s">
        <v>384</v>
      </c>
      <c r="F107" s="249">
        <v>0</v>
      </c>
      <c r="G107" s="250">
        <v>0</v>
      </c>
      <c r="H107" s="249">
        <v>24.5</v>
      </c>
      <c r="I107" s="247">
        <v>95.5</v>
      </c>
      <c r="J107" s="250">
        <v>0.4</v>
      </c>
      <c r="K107" s="249">
        <v>3.9</v>
      </c>
      <c r="L107" s="247">
        <v>37.299999999999997</v>
      </c>
      <c r="M107" s="250">
        <v>0</v>
      </c>
      <c r="N107" s="251">
        <v>0.1</v>
      </c>
      <c r="O107" s="253">
        <f>(I107*RBRushingYd)+(J107*RBRushingTD)+(K107*RBReceptions)+(L107*RBRecYd)+(M107*RBRecTD)+(N107*RBFuml)+(H107*RBRushAtt)</f>
        <v>15.480000000000002</v>
      </c>
      <c r="P107" s="1" t="str">
        <f ca="1">IF(A107&lt;=RBStarters,"Starter",IF(A107&gt;RBStarters+RBBench,"Undrafted","Bench"))</f>
        <v>Undrafted</v>
      </c>
      <c r="Q107" s="47">
        <f ca="1">IFERROR(MAX(O107-LARGE(O$3:O$174,RBStarters),0),0)</f>
        <v>0</v>
      </c>
      <c r="R107" s="47">
        <f ca="1">IFERROR(IF(AllowNegative="Yes",O107-LARGE(O$3:O$174,RBCount),MAX(O107-LARGE(O$3:O$174,RBCount),0)),0)</f>
        <v>-53.760000000000005</v>
      </c>
      <c r="S107" s="108">
        <f ca="1">(R107-Q107)*BenchPF+Q107*StarterPF</f>
        <v>-12.875296849863522</v>
      </c>
      <c r="T107" s="108">
        <f ca="1">S107*Auction!$A$2</f>
        <v>-12.875296849863522</v>
      </c>
      <c r="U107" s="25" t="str">
        <f>IF(OR(INDEX(Auction!$H$13:$H$683,MATCH(B107,Auction!$A$13:$A$683,0))&gt;0,IFERROR(INDEX(CheatSheet!$M$5:$M$64,MATCH(B107,CheatSheet!$J$5:$J$64,0)),"")&lt;&gt;""),"Yes","No")</f>
        <v>No</v>
      </c>
      <c r="V107" s="218"/>
      <c r="W107" s="1"/>
      <c r="X107" s="100">
        <f t="shared" ca="1" si="6"/>
        <v>1</v>
      </c>
      <c r="Y107" s="1">
        <f t="shared" ca="1" si="7"/>
        <v>-26.880000000000003</v>
      </c>
      <c r="Z107" s="145" t="str">
        <f t="shared" ca="1" si="8"/>
        <v>RB12</v>
      </c>
      <c r="AA107" s="1">
        <f ca="1">Y107*LeagueInfo!$H$5</f>
        <v>-12.293324150584507</v>
      </c>
      <c r="AB107" s="1"/>
      <c r="AC107" s="1"/>
    </row>
    <row r="108" spans="1:29" x14ac:dyDescent="0.25">
      <c r="A108" s="1">
        <f>RANK(O108,O$3:O$174)</f>
        <v>106</v>
      </c>
      <c r="B108" s="1" t="s">
        <v>484</v>
      </c>
      <c r="C108" s="1" t="s">
        <v>32</v>
      </c>
      <c r="D108" s="1">
        <f>VLOOKUP(E108,BYEs!$A$2:$B$34,2,FALSE)</f>
        <v>7</v>
      </c>
      <c r="E108" s="1" t="s">
        <v>362</v>
      </c>
      <c r="F108" s="249">
        <v>0</v>
      </c>
      <c r="G108" s="250">
        <v>0</v>
      </c>
      <c r="H108" s="249">
        <v>15.6</v>
      </c>
      <c r="I108" s="247">
        <v>57.9</v>
      </c>
      <c r="J108" s="250">
        <v>0.8</v>
      </c>
      <c r="K108" s="249">
        <v>5.8</v>
      </c>
      <c r="L108" s="247">
        <v>45.9</v>
      </c>
      <c r="M108" s="250">
        <v>0</v>
      </c>
      <c r="N108" s="251">
        <v>0.1</v>
      </c>
      <c r="O108" s="253">
        <f>(I108*RBRushingYd)+(J108*RBRushingTD)+(K108*RBReceptions)+(L108*RBRecYd)+(M108*RBRecTD)+(N108*RBFuml)+(H108*RBRushAtt)</f>
        <v>14.98</v>
      </c>
      <c r="P108" s="1" t="str">
        <f ca="1">IF(A108&lt;=RBStarters,"Starter",IF(A108&gt;RBStarters+RBBench,"Undrafted","Bench"))</f>
        <v>Undrafted</v>
      </c>
      <c r="Q108" s="47">
        <f ca="1">IFERROR(MAX(O108-LARGE(O$3:O$174,RBStarters),0),0)</f>
        <v>0</v>
      </c>
      <c r="R108" s="47">
        <f ca="1">IFERROR(IF(AllowNegative="Yes",O108-LARGE(O$3:O$174,RBCount),MAX(O108-LARGE(O$3:O$174,RBCount),0)),0)</f>
        <v>-54.260000000000005</v>
      </c>
      <c r="S108" s="108">
        <f ca="1">(R108-Q108)*BenchPF+Q108*StarterPF</f>
        <v>-12.995044774434426</v>
      </c>
      <c r="T108" s="108">
        <f ca="1">S108*Auction!$A$2</f>
        <v>-12.995044774434426</v>
      </c>
      <c r="U108" s="25" t="str">
        <f>IF(OR(INDEX(Auction!$H$13:$H$683,MATCH(B108,Auction!$A$13:$A$683,0))&gt;0,IFERROR(INDEX(CheatSheet!$M$5:$M$64,MATCH(B108,CheatSheet!$J$5:$J$64,0)),"")&lt;&gt;""),"Yes","No")</f>
        <v>No</v>
      </c>
      <c r="V108" s="218"/>
      <c r="W108" s="1"/>
      <c r="X108" s="100">
        <f t="shared" ca="1" si="6"/>
        <v>1</v>
      </c>
      <c r="Y108" s="1">
        <f t="shared" ca="1" si="7"/>
        <v>-27.130000000000003</v>
      </c>
      <c r="Z108" s="145" t="str">
        <f t="shared" ca="1" si="8"/>
        <v>RB12</v>
      </c>
      <c r="AA108" s="1">
        <f ca="1">Y108*LeagueInfo!$H$5</f>
        <v>-12.407659382639794</v>
      </c>
      <c r="AB108" s="1"/>
      <c r="AC108" s="1"/>
    </row>
    <row r="109" spans="1:29" x14ac:dyDescent="0.25">
      <c r="A109" s="1">
        <f>RANK(O109,O$3:O$174)</f>
        <v>107</v>
      </c>
      <c r="B109" s="1" t="s">
        <v>478</v>
      </c>
      <c r="C109" s="1" t="s">
        <v>32</v>
      </c>
      <c r="D109" s="1">
        <f>VLOOKUP(E109,BYEs!$A$2:$B$34,2,FALSE)</f>
        <v>9</v>
      </c>
      <c r="E109" s="1" t="s">
        <v>376</v>
      </c>
      <c r="F109" s="249">
        <v>0</v>
      </c>
      <c r="G109" s="250">
        <v>0</v>
      </c>
      <c r="H109" s="249">
        <v>15.9</v>
      </c>
      <c r="I109" s="247">
        <v>68.900000000000006</v>
      </c>
      <c r="J109" s="250">
        <v>0.2</v>
      </c>
      <c r="K109" s="249">
        <v>9.1</v>
      </c>
      <c r="L109" s="247">
        <v>69.400000000000006</v>
      </c>
      <c r="M109" s="250">
        <v>0</v>
      </c>
      <c r="N109" s="251">
        <v>0.1</v>
      </c>
      <c r="O109" s="253">
        <f>(I109*RBRushingYd)+(J109*RBRushingTD)+(K109*RBReceptions)+(L109*RBRecYd)+(M109*RBRecTD)+(N109*RBFuml)+(H109*RBRushAtt)</f>
        <v>14.830000000000002</v>
      </c>
      <c r="P109" s="1" t="str">
        <f ca="1">IF(A109&lt;=RBStarters,"Starter",IF(A109&gt;RBStarters+RBBench,"Undrafted","Bench"))</f>
        <v>Undrafted</v>
      </c>
      <c r="Q109" s="47">
        <f ca="1">IFERROR(MAX(O109-LARGE(O$3:O$174,RBStarters),0),0)</f>
        <v>0</v>
      </c>
      <c r="R109" s="47">
        <f ca="1">IFERROR(IF(AllowNegative="Yes",O109-LARGE(O$3:O$174,RBCount),MAX(O109-LARGE(O$3:O$174,RBCount),0)),0)</f>
        <v>-54.410000000000011</v>
      </c>
      <c r="S109" s="108">
        <f ca="1">(R109-Q109)*BenchPF+Q109*StarterPF</f>
        <v>-13.030969151805698</v>
      </c>
      <c r="T109" s="108">
        <f ca="1">S109*Auction!$A$2</f>
        <v>-13.030969151805698</v>
      </c>
      <c r="U109" s="25" t="str">
        <f>IF(OR(INDEX(Auction!$H$13:$H$683,MATCH(B109,Auction!$A$13:$A$683,0))&gt;0,IFERROR(INDEX(CheatSheet!$M$5:$M$64,MATCH(B109,CheatSheet!$J$5:$J$64,0)),"")&lt;&gt;""),"Yes","No")</f>
        <v>No</v>
      </c>
      <c r="V109" s="218"/>
      <c r="W109" s="1"/>
      <c r="X109" s="100">
        <f t="shared" ca="1" si="6"/>
        <v>1</v>
      </c>
      <c r="Y109" s="1">
        <f t="shared" ca="1" si="7"/>
        <v>-27.205000000000005</v>
      </c>
      <c r="Z109" s="145" t="str">
        <f t="shared" ca="1" si="8"/>
        <v>RB12</v>
      </c>
      <c r="AA109" s="1">
        <f ca="1">Y109*LeagueInfo!$H$5</f>
        <v>-12.441959952256381</v>
      </c>
      <c r="AB109" s="1"/>
      <c r="AC109" s="1"/>
    </row>
    <row r="110" spans="1:29" x14ac:dyDescent="0.25">
      <c r="A110" s="1">
        <f>RANK(O110,O$3:O$174)</f>
        <v>108</v>
      </c>
      <c r="B110" s="1" t="s">
        <v>480</v>
      </c>
      <c r="C110" s="1" t="s">
        <v>32</v>
      </c>
      <c r="D110" s="1">
        <f>VLOOKUP(E110,BYEs!$A$2:$B$34,2,FALSE)</f>
        <v>5</v>
      </c>
      <c r="E110" s="1" t="s">
        <v>353</v>
      </c>
      <c r="F110" s="249">
        <v>0</v>
      </c>
      <c r="G110" s="250">
        <v>0</v>
      </c>
      <c r="H110" s="249">
        <v>21.6</v>
      </c>
      <c r="I110" s="247">
        <v>87.2</v>
      </c>
      <c r="J110" s="250">
        <v>0.5</v>
      </c>
      <c r="K110" s="249">
        <v>2.6</v>
      </c>
      <c r="L110" s="247">
        <v>21.2</v>
      </c>
      <c r="M110" s="250">
        <v>0.1</v>
      </c>
      <c r="N110" s="251">
        <v>0.1</v>
      </c>
      <c r="O110" s="253">
        <f>(I110*RBRushingYd)+(J110*RBRushingTD)+(K110*RBReceptions)+(L110*RBRecYd)+(M110*RBRecTD)+(N110*RBFuml)+(H110*RBRushAtt)</f>
        <v>14.24</v>
      </c>
      <c r="P110" s="1" t="str">
        <f ca="1">IF(A110&lt;=RBStarters,"Starter",IF(A110&gt;RBStarters+RBBench,"Undrafted","Bench"))</f>
        <v>Undrafted</v>
      </c>
      <c r="Q110" s="47">
        <f ca="1">IFERROR(MAX(O110-LARGE(O$3:O$174,RBStarters),0),0)</f>
        <v>0</v>
      </c>
      <c r="R110" s="47">
        <f ca="1">IFERROR(IF(AllowNegative="Yes",O110-LARGE(O$3:O$174,RBCount),MAX(O110-LARGE(O$3:O$174,RBCount),0)),0)</f>
        <v>-55.000000000000007</v>
      </c>
      <c r="S110" s="108">
        <f ca="1">(R110-Q110)*BenchPF+Q110*StarterPF</f>
        <v>-13.172271702799364</v>
      </c>
      <c r="T110" s="108">
        <f ca="1">S110*Auction!$A$2</f>
        <v>-13.172271702799364</v>
      </c>
      <c r="U110" s="25" t="str">
        <f>IF(OR(INDEX(Auction!$H$13:$H$683,MATCH(B110,Auction!$A$13:$A$683,0))&gt;0,IFERROR(INDEX(CheatSheet!$M$5:$M$64,MATCH(B110,CheatSheet!$J$5:$J$64,0)),"")&lt;&gt;""),"Yes","No")</f>
        <v>No</v>
      </c>
      <c r="V110" s="218"/>
      <c r="W110" s="1"/>
      <c r="X110" s="100">
        <f t="shared" ca="1" si="6"/>
        <v>1</v>
      </c>
      <c r="Y110" s="1">
        <f t="shared" ca="1" si="7"/>
        <v>-27.500000000000004</v>
      </c>
      <c r="Z110" s="145" t="str">
        <f t="shared" ca="1" si="8"/>
        <v>RB12</v>
      </c>
      <c r="AA110" s="1">
        <f ca="1">Y110*LeagueInfo!$H$5</f>
        <v>-12.57687552608162</v>
      </c>
      <c r="AB110" s="1"/>
      <c r="AC110" s="1"/>
    </row>
    <row r="111" spans="1:29" x14ac:dyDescent="0.25">
      <c r="A111" s="1">
        <f>RANK(O111,O$3:O$174)</f>
        <v>109</v>
      </c>
      <c r="B111" s="1" t="s">
        <v>490</v>
      </c>
      <c r="C111" s="1" t="s">
        <v>32</v>
      </c>
      <c r="D111" s="1">
        <f>VLOOKUP(E111,BYEs!$A$2:$B$34,2,FALSE)</f>
        <v>9</v>
      </c>
      <c r="E111" s="1" t="s">
        <v>361</v>
      </c>
      <c r="F111" s="249">
        <v>0</v>
      </c>
      <c r="G111" s="250">
        <v>0</v>
      </c>
      <c r="H111" s="249">
        <v>22.3</v>
      </c>
      <c r="I111" s="247">
        <v>84.3</v>
      </c>
      <c r="J111" s="250">
        <v>0.4</v>
      </c>
      <c r="K111" s="249">
        <v>5</v>
      </c>
      <c r="L111" s="247">
        <v>37.4</v>
      </c>
      <c r="M111" s="250">
        <v>0.2</v>
      </c>
      <c r="N111" s="251">
        <v>1</v>
      </c>
      <c r="O111" s="253">
        <f>(I111*RBRushingYd)+(J111*RBRushingTD)+(K111*RBReceptions)+(L111*RBRecYd)+(M111*RBRecTD)+(N111*RBFuml)+(H111*RBRushAtt)</f>
        <v>13.77</v>
      </c>
      <c r="P111" s="1" t="str">
        <f ca="1">IF(A111&lt;=RBStarters,"Starter",IF(A111&gt;RBStarters+RBBench,"Undrafted","Bench"))</f>
        <v>Undrafted</v>
      </c>
      <c r="Q111" s="47">
        <f ca="1">IFERROR(MAX(O111-LARGE(O$3:O$174,RBStarters),0),0)</f>
        <v>0</v>
      </c>
      <c r="R111" s="47">
        <f ca="1">IFERROR(IF(AllowNegative="Yes",O111-LARGE(O$3:O$174,RBCount),MAX(O111-LARGE(O$3:O$174,RBCount),0)),0)</f>
        <v>-55.470000000000013</v>
      </c>
      <c r="S111" s="108">
        <f ca="1">(R111-Q111)*BenchPF+Q111*StarterPF</f>
        <v>-13.284834751896014</v>
      </c>
      <c r="T111" s="108">
        <f ca="1">S111*Auction!$A$2</f>
        <v>-13.284834751896014</v>
      </c>
      <c r="U111" s="25" t="str">
        <f>IF(OR(INDEX(Auction!$H$13:$H$683,MATCH(B111,Auction!$A$13:$A$683,0))&gt;0,IFERROR(INDEX(CheatSheet!$M$5:$M$64,MATCH(B111,CheatSheet!$J$5:$J$64,0)),"")&lt;&gt;""),"Yes","No")</f>
        <v>No</v>
      </c>
      <c r="V111" s="218"/>
      <c r="W111" s="1"/>
      <c r="X111" s="100">
        <f t="shared" ca="1" si="6"/>
        <v>1</v>
      </c>
      <c r="Y111" s="1">
        <f t="shared" ca="1" si="7"/>
        <v>-27.735000000000007</v>
      </c>
      <c r="Z111" s="145" t="str">
        <f t="shared" ca="1" si="8"/>
        <v>RB12</v>
      </c>
      <c r="AA111" s="1">
        <f ca="1">Y111*LeagueInfo!$H$5</f>
        <v>-12.684350644213591</v>
      </c>
      <c r="AB111" s="1"/>
      <c r="AC111" s="1"/>
    </row>
    <row r="112" spans="1:29" x14ac:dyDescent="0.25">
      <c r="A112" s="1">
        <f>RANK(O112,O$3:O$174)</f>
        <v>110</v>
      </c>
      <c r="B112" s="1" t="s">
        <v>488</v>
      </c>
      <c r="C112" s="1" t="s">
        <v>32</v>
      </c>
      <c r="D112" s="1">
        <f>VLOOKUP(E112,BYEs!$A$2:$B$34,2,FALSE)</f>
        <v>10</v>
      </c>
      <c r="E112" s="1" t="s">
        <v>365</v>
      </c>
      <c r="F112" s="249">
        <v>0</v>
      </c>
      <c r="G112" s="250">
        <v>0</v>
      </c>
      <c r="H112" s="249">
        <v>9.8000000000000007</v>
      </c>
      <c r="I112" s="247">
        <v>38.4</v>
      </c>
      <c r="J112" s="250">
        <v>0.3</v>
      </c>
      <c r="K112" s="249">
        <v>6.5</v>
      </c>
      <c r="L112" s="247">
        <v>58.6</v>
      </c>
      <c r="M112" s="250">
        <v>0.2</v>
      </c>
      <c r="N112" s="251">
        <v>0</v>
      </c>
      <c r="O112" s="253">
        <f>(I112*RBRushingYd)+(J112*RBRushingTD)+(K112*RBReceptions)+(L112*RBRecYd)+(M112*RBRecTD)+(N112*RBFuml)+(H112*RBRushAtt)</f>
        <v>12.7</v>
      </c>
      <c r="P112" s="1" t="str">
        <f ca="1">IF(A112&lt;=RBStarters,"Starter",IF(A112&gt;RBStarters+RBBench,"Undrafted","Bench"))</f>
        <v>Undrafted</v>
      </c>
      <c r="Q112" s="47">
        <f ca="1">IFERROR(MAX(O112-LARGE(O$3:O$174,RBStarters),0),0)</f>
        <v>0</v>
      </c>
      <c r="R112" s="47">
        <f ca="1">IFERROR(IF(AllowNegative="Yes",O112-LARGE(O$3:O$174,RBCount),MAX(O112-LARGE(O$3:O$174,RBCount),0)),0)</f>
        <v>-56.540000000000006</v>
      </c>
      <c r="S112" s="108">
        <f ca="1">(R112-Q112)*BenchPF+Q112*StarterPF</f>
        <v>-13.541095310477745</v>
      </c>
      <c r="T112" s="108">
        <f ca="1">S112*Auction!$A$2</f>
        <v>-13.541095310477745</v>
      </c>
      <c r="U112" s="25" t="str">
        <f>IF(OR(INDEX(Auction!$H$13:$H$683,MATCH(B112,Auction!$A$13:$A$683,0))&gt;0,IFERROR(INDEX(CheatSheet!$M$5:$M$64,MATCH(B112,CheatSheet!$J$5:$J$64,0)),"")&lt;&gt;""),"Yes","No")</f>
        <v>No</v>
      </c>
      <c r="V112" s="218"/>
      <c r="W112" s="1"/>
      <c r="X112" s="100">
        <f t="shared" ca="1" si="6"/>
        <v>1</v>
      </c>
      <c r="Y112" s="1">
        <f t="shared" ca="1" si="7"/>
        <v>-28.270000000000003</v>
      </c>
      <c r="Z112" s="145" t="str">
        <f t="shared" ca="1" si="8"/>
        <v>RB12</v>
      </c>
      <c r="AA112" s="1">
        <f ca="1">Y112*LeagueInfo!$H$5</f>
        <v>-12.929028040811906</v>
      </c>
      <c r="AB112" s="1"/>
      <c r="AC112" s="1"/>
    </row>
    <row r="113" spans="1:29" x14ac:dyDescent="0.25">
      <c r="A113" s="1">
        <f>RANK(O113,O$3:O$174)</f>
        <v>111</v>
      </c>
      <c r="B113" s="1" t="s">
        <v>473</v>
      </c>
      <c r="C113" s="1" t="s">
        <v>32</v>
      </c>
      <c r="D113" s="1">
        <f>VLOOKUP(E113,BYEs!$A$2:$B$34,2,FALSE)</f>
        <v>9</v>
      </c>
      <c r="E113" s="1" t="s">
        <v>361</v>
      </c>
      <c r="F113" s="249">
        <v>0</v>
      </c>
      <c r="G113" s="250">
        <v>0</v>
      </c>
      <c r="H113" s="249">
        <v>19.600000000000001</v>
      </c>
      <c r="I113" s="247">
        <v>69.599999999999994</v>
      </c>
      <c r="J113" s="250">
        <v>0.5</v>
      </c>
      <c r="K113" s="249">
        <v>4.5999999999999996</v>
      </c>
      <c r="L113" s="247">
        <v>31.1</v>
      </c>
      <c r="M113" s="250">
        <v>0</v>
      </c>
      <c r="N113" s="251">
        <v>0.2</v>
      </c>
      <c r="O113" s="253">
        <f>(I113*RBRushingYd)+(J113*RBRushingTD)+(K113*RBReceptions)+(L113*RBRecYd)+(M113*RBRecTD)+(N113*RBFuml)+(H113*RBRushAtt)</f>
        <v>12.67</v>
      </c>
      <c r="P113" s="1" t="str">
        <f ca="1">IF(A113&lt;=RBStarters,"Starter",IF(A113&gt;RBStarters+RBBench,"Undrafted","Bench"))</f>
        <v>Undrafted</v>
      </c>
      <c r="Q113" s="47">
        <f ca="1">IFERROR(MAX(O113-LARGE(O$3:O$174,RBStarters),0),0)</f>
        <v>0</v>
      </c>
      <c r="R113" s="47">
        <f ca="1">IFERROR(IF(AllowNegative="Yes",O113-LARGE(O$3:O$174,RBCount),MAX(O113-LARGE(O$3:O$174,RBCount),0)),0)</f>
        <v>-56.570000000000007</v>
      </c>
      <c r="S113" s="108">
        <f ca="1">(R113-Q113)*BenchPF+Q113*StarterPF</f>
        <v>-13.548280185952001</v>
      </c>
      <c r="T113" s="108">
        <f ca="1">S113*Auction!$A$2</f>
        <v>-13.548280185952001</v>
      </c>
      <c r="U113" s="25" t="str">
        <f>IF(OR(INDEX(Auction!$H$13:$H$683,MATCH(B113,Auction!$A$13:$A$683,0))&gt;0,IFERROR(INDEX(CheatSheet!$M$5:$M$64,MATCH(B113,CheatSheet!$J$5:$J$64,0)),"")&lt;&gt;""),"Yes","No")</f>
        <v>No</v>
      </c>
      <c r="V113" s="218"/>
      <c r="W113" s="1"/>
      <c r="X113" s="100">
        <f t="shared" ca="1" si="6"/>
        <v>1</v>
      </c>
      <c r="Y113" s="1">
        <f t="shared" ca="1" si="7"/>
        <v>-28.285000000000004</v>
      </c>
      <c r="Z113" s="145" t="str">
        <f t="shared" ca="1" si="8"/>
        <v>RB12</v>
      </c>
      <c r="AA113" s="1">
        <f ca="1">Y113*LeagueInfo!$H$5</f>
        <v>-12.935888154735222</v>
      </c>
      <c r="AB113" s="1"/>
      <c r="AC113" s="1"/>
    </row>
    <row r="114" spans="1:29" x14ac:dyDescent="0.25">
      <c r="A114" s="1">
        <f>RANK(O114,O$3:O$174)</f>
        <v>112</v>
      </c>
      <c r="B114" s="1" t="s">
        <v>548</v>
      </c>
      <c r="C114" s="47" t="s">
        <v>32</v>
      </c>
      <c r="D114" s="1">
        <f>VLOOKUP(E114,BYEs!$A$2:$B$34,2,FALSE)</f>
        <v>6</v>
      </c>
      <c r="E114" s="1" t="s">
        <v>360</v>
      </c>
      <c r="F114" s="249">
        <v>0</v>
      </c>
      <c r="G114" s="250">
        <v>0</v>
      </c>
      <c r="H114" s="249">
        <v>17.2</v>
      </c>
      <c r="I114" s="247">
        <v>63.3</v>
      </c>
      <c r="J114" s="250">
        <v>0.4</v>
      </c>
      <c r="K114" s="249">
        <v>5.3</v>
      </c>
      <c r="L114" s="247">
        <v>38.9</v>
      </c>
      <c r="M114" s="250">
        <v>0</v>
      </c>
      <c r="N114" s="247">
        <v>0</v>
      </c>
      <c r="O114" s="253">
        <f>(I114*RBRushingYd)+(J114*RBRushingTD)+(K114*RBReceptions)+(L114*RBRecYd)+(M114*RBRecTD)+(N114*RBFuml)+(H114*RBRushAtt)</f>
        <v>12.620000000000001</v>
      </c>
      <c r="P114" s="47" t="str">
        <f ca="1">IF(A114&lt;=RBStarters,"Starter",IF(A114&gt;RBStarters+RBBench,"Undrafted","Bench"))</f>
        <v>Undrafted</v>
      </c>
      <c r="Q114" s="47">
        <f ca="1">IFERROR(MAX(O114-LARGE(O$3:O$174,RBStarters),0),0)</f>
        <v>0</v>
      </c>
      <c r="R114" s="47">
        <f ca="1">IFERROR(IF(AllowNegative="Yes",O114-LARGE(O$3:O$174,RBCount),MAX(O114-LARGE(O$3:O$174,RBCount),0)),0)</f>
        <v>-56.620000000000005</v>
      </c>
      <c r="S114" s="108">
        <f ca="1">(R114-Q114)*BenchPF+Q114*StarterPF</f>
        <v>-13.560254978409089</v>
      </c>
      <c r="T114" s="108">
        <f ca="1">S114*Auction!$A$2</f>
        <v>-13.560254978409089</v>
      </c>
      <c r="U114" s="25" t="str">
        <f>IF(OR(INDEX(Auction!$H$13:$H$683,MATCH(B114,Auction!$A$13:$A$683,0))&gt;0,IFERROR(INDEX(CheatSheet!$M$5:$M$64,MATCH(B114,CheatSheet!$J$5:$J$64,0)),"")&lt;&gt;""),"Yes","No")</f>
        <v>No</v>
      </c>
      <c r="V114" s="218"/>
      <c r="W114" s="1"/>
      <c r="X114" s="100">
        <f t="shared" ca="1" si="6"/>
        <v>1</v>
      </c>
      <c r="Y114" s="1">
        <f t="shared" ca="1" si="7"/>
        <v>-28.310000000000002</v>
      </c>
      <c r="Z114" s="145" t="str">
        <f t="shared" ca="1" si="8"/>
        <v>RB12</v>
      </c>
      <c r="AA114" s="1">
        <f ca="1">Y114*LeagueInfo!$H$5</f>
        <v>-12.947321677940751</v>
      </c>
      <c r="AB114" s="1"/>
      <c r="AC114" s="1"/>
    </row>
    <row r="115" spans="1:29" x14ac:dyDescent="0.25">
      <c r="A115" s="1">
        <f>RANK(O115,O$3:O$174)</f>
        <v>113</v>
      </c>
      <c r="B115" s="1" t="s">
        <v>483</v>
      </c>
      <c r="C115" s="1" t="s">
        <v>32</v>
      </c>
      <c r="D115" s="1">
        <f>VLOOKUP(E115,BYEs!$A$2:$B$34,2,FALSE)</f>
        <v>8</v>
      </c>
      <c r="E115" s="1" t="s">
        <v>368</v>
      </c>
      <c r="F115" s="249">
        <v>0</v>
      </c>
      <c r="G115" s="250">
        <v>0</v>
      </c>
      <c r="H115" s="249">
        <v>17.7</v>
      </c>
      <c r="I115" s="247">
        <v>65.8</v>
      </c>
      <c r="J115" s="250">
        <v>0.3</v>
      </c>
      <c r="K115" s="249">
        <v>4.5</v>
      </c>
      <c r="L115" s="247">
        <v>35.200000000000003</v>
      </c>
      <c r="M115" s="250">
        <v>0.1</v>
      </c>
      <c r="N115" s="251">
        <v>0.1</v>
      </c>
      <c r="O115" s="253">
        <f>(I115*RBRushingYd)+(J115*RBRushingTD)+(K115*RBReceptions)+(L115*RBRecYd)+(M115*RBRecTD)+(N115*RBFuml)+(H115*RBRushAtt)</f>
        <v>12.299999999999999</v>
      </c>
      <c r="P115" s="1" t="str">
        <f ca="1">IF(A115&lt;=RBStarters,"Starter",IF(A115&gt;RBStarters+RBBench,"Undrafted","Bench"))</f>
        <v>Undrafted</v>
      </c>
      <c r="Q115" s="47">
        <f ca="1">IFERROR(MAX(O115-LARGE(O$3:O$174,RBStarters),0),0)</f>
        <v>0</v>
      </c>
      <c r="R115" s="47">
        <f ca="1">IFERROR(IF(AllowNegative="Yes",O115-LARGE(O$3:O$174,RBCount),MAX(O115-LARGE(O$3:O$174,RBCount),0)),0)</f>
        <v>-56.940000000000012</v>
      </c>
      <c r="S115" s="108">
        <f ca="1">(R115-Q115)*BenchPF+Q115*StarterPF</f>
        <v>-13.63689365013447</v>
      </c>
      <c r="T115" s="108">
        <f ca="1">S115*Auction!$A$2</f>
        <v>-13.63689365013447</v>
      </c>
      <c r="U115" s="25" t="str">
        <f>IF(OR(INDEX(Auction!$H$13:$H$683,MATCH(B115,Auction!$A$13:$A$683,0))&gt;0,IFERROR(INDEX(CheatSheet!$M$5:$M$64,MATCH(B115,CheatSheet!$J$5:$J$64,0)),"")&lt;&gt;""),"Yes","No")</f>
        <v>No</v>
      </c>
      <c r="V115" s="218"/>
      <c r="W115" s="1"/>
      <c r="X115" s="100">
        <f t="shared" ca="1" si="6"/>
        <v>1</v>
      </c>
      <c r="Y115" s="1">
        <f t="shared" ca="1" si="7"/>
        <v>-28.470000000000006</v>
      </c>
      <c r="Z115" s="145" t="str">
        <f t="shared" ca="1" si="8"/>
        <v>RB12</v>
      </c>
      <c r="AA115" s="1">
        <f ca="1">Y115*LeagueInfo!$H$5</f>
        <v>-13.020496226456135</v>
      </c>
      <c r="AB115" s="1"/>
      <c r="AC115" s="1"/>
    </row>
    <row r="116" spans="1:29" x14ac:dyDescent="0.25">
      <c r="A116" s="1">
        <f>RANK(O116,O$3:O$174)</f>
        <v>114</v>
      </c>
      <c r="B116" s="1" t="s">
        <v>489</v>
      </c>
      <c r="C116" s="1" t="s">
        <v>32</v>
      </c>
      <c r="D116" s="1">
        <f>VLOOKUP(E116,BYEs!$A$2:$B$34,2,FALSE)</f>
        <v>5</v>
      </c>
      <c r="E116" s="1" t="s">
        <v>384</v>
      </c>
      <c r="F116" s="249">
        <v>0</v>
      </c>
      <c r="G116" s="250">
        <v>0</v>
      </c>
      <c r="H116" s="249">
        <v>5.3</v>
      </c>
      <c r="I116" s="247">
        <v>27.2</v>
      </c>
      <c r="J116" s="250">
        <v>0.6</v>
      </c>
      <c r="K116" s="249">
        <v>6.7</v>
      </c>
      <c r="L116" s="247">
        <v>53.7</v>
      </c>
      <c r="M116" s="250">
        <v>0.1</v>
      </c>
      <c r="N116" s="251">
        <v>0</v>
      </c>
      <c r="O116" s="253">
        <f>(I116*RBRushingYd)+(J116*RBRushingTD)+(K116*RBReceptions)+(L116*RBRecYd)+(M116*RBRecTD)+(N116*RBFuml)+(H116*RBRushAtt)</f>
        <v>12.290000000000001</v>
      </c>
      <c r="P116" s="1" t="str">
        <f ca="1">IF(A116&lt;=RBStarters,"Starter",IF(A116&gt;RBStarters+RBBench,"Undrafted","Bench"))</f>
        <v>Undrafted</v>
      </c>
      <c r="Q116" s="47">
        <f ca="1">IFERROR(MAX(O116-LARGE(O$3:O$174,RBStarters),0),0)</f>
        <v>0</v>
      </c>
      <c r="R116" s="47">
        <f ca="1">IFERROR(IF(AllowNegative="Yes",O116-LARGE(O$3:O$174,RBCount),MAX(O116-LARGE(O$3:O$174,RBCount),0)),0)</f>
        <v>-56.95000000000001</v>
      </c>
      <c r="S116" s="108">
        <f ca="1">(R116-Q116)*BenchPF+Q116*StarterPF</f>
        <v>-13.639288608625886</v>
      </c>
      <c r="T116" s="108">
        <f ca="1">S116*Auction!$A$2</f>
        <v>-13.639288608625886</v>
      </c>
      <c r="U116" s="25" t="str">
        <f>IF(OR(INDEX(Auction!$H$13:$H$683,MATCH(B116,Auction!$A$13:$A$683,0))&gt;0,IFERROR(INDEX(CheatSheet!$M$5:$M$64,MATCH(B116,CheatSheet!$J$5:$J$64,0)),"")&lt;&gt;""),"Yes","No")</f>
        <v>No</v>
      </c>
      <c r="V116" s="218"/>
      <c r="W116" s="1"/>
      <c r="X116" s="100">
        <f t="shared" ca="1" si="6"/>
        <v>1</v>
      </c>
      <c r="Y116" s="1">
        <f t="shared" ca="1" si="7"/>
        <v>-28.475000000000005</v>
      </c>
      <c r="Z116" s="145" t="str">
        <f t="shared" ca="1" si="8"/>
        <v>RB12</v>
      </c>
      <c r="AA116" s="1">
        <f ca="1">Y116*LeagueInfo!$H$5</f>
        <v>-13.022782931097241</v>
      </c>
      <c r="AB116" s="1"/>
      <c r="AC116" s="1"/>
    </row>
    <row r="117" spans="1:29" x14ac:dyDescent="0.25">
      <c r="A117" s="1">
        <f>RANK(O117,O$3:O$174)</f>
        <v>115</v>
      </c>
      <c r="B117" s="1" t="s">
        <v>547</v>
      </c>
      <c r="C117" s="1" t="s">
        <v>32</v>
      </c>
      <c r="D117" s="1">
        <f>VLOOKUP(E117,BYEs!$A$2:$B$34,2,FALSE)</f>
        <v>6</v>
      </c>
      <c r="E117" s="1" t="s">
        <v>366</v>
      </c>
      <c r="F117" s="249">
        <v>0</v>
      </c>
      <c r="G117" s="250">
        <v>0</v>
      </c>
      <c r="H117" s="249">
        <v>15.8</v>
      </c>
      <c r="I117" s="247">
        <v>55.9</v>
      </c>
      <c r="J117" s="250">
        <v>0.3</v>
      </c>
      <c r="K117" s="249">
        <v>7</v>
      </c>
      <c r="L117" s="247">
        <v>43.5</v>
      </c>
      <c r="M117" s="250">
        <v>0</v>
      </c>
      <c r="N117" s="251">
        <v>0</v>
      </c>
      <c r="O117" s="253">
        <f>(I117*RBRushingYd)+(J117*RBRushingTD)+(K117*RBReceptions)+(L117*RBRecYd)+(M117*RBRecTD)+(N117*RBFuml)+(H117*RBRushAtt)</f>
        <v>11.74</v>
      </c>
      <c r="P117" s="1" t="str">
        <f ca="1">IF(A117&lt;=RBStarters,"Starter",IF(A117&gt;RBStarters+RBBench,"Undrafted","Bench"))</f>
        <v>Undrafted</v>
      </c>
      <c r="Q117" s="47">
        <f ca="1">IFERROR(MAX(O117-LARGE(O$3:O$174,RBStarters),0),0)</f>
        <v>0</v>
      </c>
      <c r="R117" s="47">
        <f ca="1">IFERROR(IF(AllowNegative="Yes",O117-LARGE(O$3:O$174,RBCount),MAX(O117-LARGE(O$3:O$174,RBCount),0)),0)</f>
        <v>-57.500000000000007</v>
      </c>
      <c r="S117" s="108">
        <f ca="1">(R117-Q117)*BenchPF+Q117*StarterPF</f>
        <v>-13.77101132565388</v>
      </c>
      <c r="T117" s="108">
        <f ca="1">S117*Auction!$A$2</f>
        <v>-13.77101132565388</v>
      </c>
      <c r="U117" s="25" t="str">
        <f>IF(OR(INDEX(Auction!$H$13:$H$683,MATCH(B117,Auction!$A$13:$A$683,0))&gt;0,IFERROR(INDEX(CheatSheet!$M$5:$M$64,MATCH(B117,CheatSheet!$J$5:$J$64,0)),"")&lt;&gt;""),"Yes","No")</f>
        <v>No</v>
      </c>
      <c r="V117" s="218"/>
      <c r="W117" s="1"/>
      <c r="X117" s="100">
        <f t="shared" ca="1" si="6"/>
        <v>1</v>
      </c>
      <c r="Y117" s="1">
        <f t="shared" ca="1" si="7"/>
        <v>-28.750000000000004</v>
      </c>
      <c r="Z117" s="145" t="str">
        <f t="shared" ca="1" si="8"/>
        <v>RB12</v>
      </c>
      <c r="AA117" s="1">
        <f ca="1">Y117*LeagueInfo!$H$5</f>
        <v>-13.148551686358056</v>
      </c>
      <c r="AB117" s="1"/>
      <c r="AC117" s="1"/>
    </row>
    <row r="118" spans="1:29" x14ac:dyDescent="0.25">
      <c r="A118" s="1">
        <f>RANK(O118,O$3:O$174)</f>
        <v>116</v>
      </c>
      <c r="B118" s="1" t="s">
        <v>486</v>
      </c>
      <c r="C118" s="1" t="s">
        <v>32</v>
      </c>
      <c r="D118" s="1">
        <f>VLOOKUP(E118,BYEs!$A$2:$B$34,2,FALSE)</f>
        <v>11</v>
      </c>
      <c r="E118" s="1" t="s">
        <v>357</v>
      </c>
      <c r="F118" s="249">
        <v>0</v>
      </c>
      <c r="G118" s="250">
        <v>0</v>
      </c>
      <c r="H118" s="249">
        <v>16.100000000000001</v>
      </c>
      <c r="I118" s="247">
        <v>64.2</v>
      </c>
      <c r="J118" s="250">
        <v>0.7</v>
      </c>
      <c r="K118" s="249">
        <v>1</v>
      </c>
      <c r="L118" s="247">
        <v>12.3</v>
      </c>
      <c r="M118" s="250">
        <v>0</v>
      </c>
      <c r="N118" s="251">
        <v>0.1</v>
      </c>
      <c r="O118" s="253">
        <f>(I118*RBRushingYd)+(J118*RBRushingTD)+(K118*RBReceptions)+(L118*RBRecYd)+(M118*RBRecTD)+(N118*RBFuml)+(H118*RBRushAtt)</f>
        <v>11.650000000000002</v>
      </c>
      <c r="P118" s="1" t="str">
        <f ca="1">IF(A118&lt;=RBStarters,"Starter",IF(A118&gt;RBStarters+RBBench,"Undrafted","Bench"))</f>
        <v>Undrafted</v>
      </c>
      <c r="Q118" s="47">
        <f ca="1">IFERROR(MAX(O118-LARGE(O$3:O$174,RBStarters),0),0)</f>
        <v>0</v>
      </c>
      <c r="R118" s="47">
        <f ca="1">IFERROR(IF(AllowNegative="Yes",O118-LARGE(O$3:O$174,RBCount),MAX(O118-LARGE(O$3:O$174,RBCount),0)),0)</f>
        <v>-57.59</v>
      </c>
      <c r="S118" s="108">
        <f ca="1">(R118-Q118)*BenchPF+Q118*StarterPF</f>
        <v>-13.792565952076641</v>
      </c>
      <c r="T118" s="108">
        <f ca="1">S118*Auction!$A$2</f>
        <v>-13.792565952076641</v>
      </c>
      <c r="U118" s="25" t="str">
        <f>IF(OR(INDEX(Auction!$H$13:$H$683,MATCH(B118,Auction!$A$13:$A$683,0))&gt;0,IFERROR(INDEX(CheatSheet!$M$5:$M$64,MATCH(B118,CheatSheet!$J$5:$J$64,0)),"")&lt;&gt;""),"Yes","No")</f>
        <v>No</v>
      </c>
      <c r="V118" s="218"/>
      <c r="W118" s="1"/>
      <c r="X118" s="100">
        <f t="shared" ca="1" si="6"/>
        <v>1</v>
      </c>
      <c r="Y118" s="1">
        <f t="shared" ca="1" si="7"/>
        <v>-28.795000000000002</v>
      </c>
      <c r="Z118" s="145" t="str">
        <f t="shared" ca="1" si="8"/>
        <v>RB12</v>
      </c>
      <c r="AA118" s="1">
        <f ca="1">Y118*LeagueInfo!$H$5</f>
        <v>-13.169132028128008</v>
      </c>
      <c r="AB118" s="1"/>
      <c r="AC118" s="1"/>
    </row>
    <row r="119" spans="1:29" x14ac:dyDescent="0.25">
      <c r="A119" s="1">
        <f>RANK(O119,O$3:O$174)</f>
        <v>117</v>
      </c>
      <c r="B119" s="1" t="s">
        <v>502</v>
      </c>
      <c r="C119" s="1" t="s">
        <v>32</v>
      </c>
      <c r="D119" s="1">
        <f>VLOOKUP(E119,BYEs!$A$2:$B$34,2,FALSE)</f>
        <v>5</v>
      </c>
      <c r="E119" s="1" t="s">
        <v>353</v>
      </c>
      <c r="F119" s="249">
        <v>0</v>
      </c>
      <c r="G119" s="250">
        <v>0</v>
      </c>
      <c r="H119" s="249">
        <v>16.2</v>
      </c>
      <c r="I119" s="247">
        <v>66.5</v>
      </c>
      <c r="J119" s="250">
        <v>0.3</v>
      </c>
      <c r="K119" s="249">
        <v>3.1</v>
      </c>
      <c r="L119" s="247">
        <v>27.1</v>
      </c>
      <c r="M119" s="250">
        <v>0</v>
      </c>
      <c r="N119" s="251">
        <v>0.1</v>
      </c>
      <c r="O119" s="253">
        <f>(I119*RBRushingYd)+(J119*RBRushingTD)+(K119*RBReceptions)+(L119*RBRecYd)+(M119*RBRecTD)+(N119*RBFuml)+(H119*RBRushAtt)</f>
        <v>10.96</v>
      </c>
      <c r="P119" s="1" t="str">
        <f ca="1">IF(A119&lt;=RBStarters,"Starter",IF(A119&gt;RBStarters+RBBench,"Undrafted","Bench"))</f>
        <v>Undrafted</v>
      </c>
      <c r="Q119" s="47">
        <f ca="1">IFERROR(MAX(O119-LARGE(O$3:O$174,RBStarters),0),0)</f>
        <v>0</v>
      </c>
      <c r="R119" s="47">
        <f ca="1">IFERROR(IF(AllowNegative="Yes",O119-LARGE(O$3:O$174,RBCount),MAX(O119-LARGE(O$3:O$174,RBCount),0)),0)</f>
        <v>-58.280000000000008</v>
      </c>
      <c r="S119" s="108">
        <f ca="1">(R119-Q119)*BenchPF+Q119*StarterPF</f>
        <v>-13.957818087984489</v>
      </c>
      <c r="T119" s="108">
        <f ca="1">S119*Auction!$A$2</f>
        <v>-13.957818087984489</v>
      </c>
      <c r="U119" s="25" t="str">
        <f>IF(OR(INDEX(Auction!$H$13:$H$683,MATCH(B119,Auction!$A$13:$A$683,0))&gt;0,IFERROR(INDEX(CheatSheet!$M$5:$M$64,MATCH(B119,CheatSheet!$J$5:$J$64,0)),"")&lt;&gt;""),"Yes","No")</f>
        <v>No</v>
      </c>
      <c r="V119" s="218"/>
      <c r="W119" s="1"/>
      <c r="X119" s="100">
        <f t="shared" ca="1" si="6"/>
        <v>1</v>
      </c>
      <c r="Y119" s="1">
        <f t="shared" ca="1" si="7"/>
        <v>-29.140000000000004</v>
      </c>
      <c r="Z119" s="145" t="str">
        <f t="shared" ca="1" si="8"/>
        <v>RB12</v>
      </c>
      <c r="AA119" s="1">
        <f ca="1">Y119*LeagueInfo!$H$5</f>
        <v>-13.326914648364305</v>
      </c>
      <c r="AB119" s="1"/>
      <c r="AC119" s="1"/>
    </row>
    <row r="120" spans="1:29" x14ac:dyDescent="0.25">
      <c r="A120" s="1">
        <f>RANK(O120,O$3:O$174)</f>
        <v>118</v>
      </c>
      <c r="B120" s="1" t="s">
        <v>487</v>
      </c>
      <c r="C120" s="1" t="s">
        <v>32</v>
      </c>
      <c r="D120" s="1">
        <f>VLOOKUP(E120,BYEs!$A$2:$B$34,2,FALSE)</f>
        <v>9</v>
      </c>
      <c r="E120" s="1" t="s">
        <v>376</v>
      </c>
      <c r="F120" s="249">
        <v>0</v>
      </c>
      <c r="G120" s="250">
        <v>0</v>
      </c>
      <c r="H120" s="249">
        <v>17.7</v>
      </c>
      <c r="I120" s="247">
        <v>68.3</v>
      </c>
      <c r="J120" s="250">
        <v>0.3</v>
      </c>
      <c r="K120" s="249">
        <v>2.2000000000000002</v>
      </c>
      <c r="L120" s="247">
        <v>18.7</v>
      </c>
      <c r="M120" s="250">
        <v>0</v>
      </c>
      <c r="N120" s="251">
        <v>0.1</v>
      </c>
      <c r="O120" s="253">
        <f>(I120*RBRushingYd)+(J120*RBRushingTD)+(K120*RBReceptions)+(L120*RBRecYd)+(M120*RBRecTD)+(N120*RBFuml)+(H120*RBRushAtt)</f>
        <v>10.3</v>
      </c>
      <c r="P120" s="1" t="str">
        <f ca="1">IF(A120&lt;=RBStarters,"Starter",IF(A120&gt;RBStarters+RBBench,"Undrafted","Bench"))</f>
        <v>Undrafted</v>
      </c>
      <c r="Q120" s="47">
        <f ca="1">IFERROR(MAX(O120-LARGE(O$3:O$174,RBStarters),0),0)</f>
        <v>0</v>
      </c>
      <c r="R120" s="47">
        <f ca="1">IFERROR(IF(AllowNegative="Yes",O120-LARGE(O$3:O$174,RBCount),MAX(O120-LARGE(O$3:O$174,RBCount),0)),0)</f>
        <v>-58.940000000000012</v>
      </c>
      <c r="S120" s="108">
        <f ca="1">(R120-Q120)*BenchPF+Q120*StarterPF</f>
        <v>-14.115885348418082</v>
      </c>
      <c r="T120" s="108">
        <f ca="1">S120*Auction!$A$2</f>
        <v>-14.115885348418082</v>
      </c>
      <c r="U120" s="25" t="str">
        <f>IF(OR(INDEX(Auction!$H$13:$H$683,MATCH(B120,Auction!$A$13:$A$683,0))&gt;0,IFERROR(INDEX(CheatSheet!$M$5:$M$64,MATCH(B120,CheatSheet!$J$5:$J$64,0)),"")&lt;&gt;""),"Yes","No")</f>
        <v>No</v>
      </c>
      <c r="V120" s="218"/>
      <c r="W120" s="1"/>
      <c r="X120" s="100">
        <f t="shared" ca="1" si="6"/>
        <v>1</v>
      </c>
      <c r="Y120" s="1">
        <f t="shared" ca="1" si="7"/>
        <v>-29.470000000000006</v>
      </c>
      <c r="Z120" s="145" t="str">
        <f t="shared" ca="1" si="8"/>
        <v>RB12</v>
      </c>
      <c r="AA120" s="1">
        <f ca="1">Y120*LeagueInfo!$H$5</f>
        <v>-13.477837154677285</v>
      </c>
      <c r="AB120" s="1"/>
      <c r="AC120" s="1"/>
    </row>
    <row r="121" spans="1:29" x14ac:dyDescent="0.25">
      <c r="A121" s="1">
        <f>RANK(O121,O$3:O$174)</f>
        <v>119</v>
      </c>
      <c r="B121" s="1" t="s">
        <v>492</v>
      </c>
      <c r="C121" s="1" t="s">
        <v>32</v>
      </c>
      <c r="D121" s="1">
        <f>VLOOKUP(E121,BYEs!$A$2:$B$34,2,FALSE)</f>
        <v>7</v>
      </c>
      <c r="E121" s="1" t="s">
        <v>362</v>
      </c>
      <c r="F121" s="249">
        <v>0</v>
      </c>
      <c r="G121" s="250">
        <v>0</v>
      </c>
      <c r="H121" s="249">
        <v>17.399999999999999</v>
      </c>
      <c r="I121" s="247">
        <v>63.5</v>
      </c>
      <c r="J121" s="250">
        <v>0.3</v>
      </c>
      <c r="K121" s="249">
        <v>3.5</v>
      </c>
      <c r="L121" s="247">
        <v>22.5</v>
      </c>
      <c r="M121" s="250">
        <v>0</v>
      </c>
      <c r="N121" s="251">
        <v>0.1</v>
      </c>
      <c r="O121" s="253">
        <f>(I121*RBRushingYd)+(J121*RBRushingTD)+(K121*RBReceptions)+(L121*RBRecYd)+(M121*RBRecTD)+(N121*RBFuml)+(H121*RBRushAtt)</f>
        <v>10.200000000000001</v>
      </c>
      <c r="P121" s="1" t="str">
        <f ca="1">IF(A121&lt;=RBStarters,"Starter",IF(A121&gt;RBStarters+RBBench,"Undrafted","Bench"))</f>
        <v>Undrafted</v>
      </c>
      <c r="Q121" s="47">
        <f ca="1">IFERROR(MAX(O121-LARGE(O$3:O$174,RBStarters),0),0)</f>
        <v>0</v>
      </c>
      <c r="R121" s="47">
        <f ca="1">IFERROR(IF(AllowNegative="Yes",O121-LARGE(O$3:O$174,RBCount),MAX(O121-LARGE(O$3:O$174,RBCount),0)),0)</f>
        <v>-59.040000000000006</v>
      </c>
      <c r="S121" s="108">
        <f ca="1">(R121-Q121)*BenchPF+Q121*StarterPF</f>
        <v>-14.139834933332262</v>
      </c>
      <c r="T121" s="108">
        <f ca="1">S121*Auction!$A$2</f>
        <v>-14.139834933332262</v>
      </c>
      <c r="U121" s="25" t="str">
        <f>IF(OR(INDEX(Auction!$H$13:$H$683,MATCH(B121,Auction!$A$13:$A$683,0))&gt;0,IFERROR(INDEX(CheatSheet!$M$5:$M$64,MATCH(B121,CheatSheet!$J$5:$J$64,0)),"")&lt;&gt;""),"Yes","No")</f>
        <v>No</v>
      </c>
      <c r="V121" s="218"/>
      <c r="W121" s="1"/>
      <c r="X121" s="100">
        <f t="shared" ca="1" si="6"/>
        <v>1</v>
      </c>
      <c r="Y121" s="1">
        <f t="shared" ca="1" si="7"/>
        <v>-29.520000000000003</v>
      </c>
      <c r="Z121" s="145" t="str">
        <f t="shared" ca="1" si="8"/>
        <v>RB12</v>
      </c>
      <c r="AA121" s="1">
        <f ca="1">Y121*LeagueInfo!$H$5</f>
        <v>-13.500704201088341</v>
      </c>
      <c r="AB121" s="1"/>
      <c r="AC121" s="1"/>
    </row>
    <row r="122" spans="1:29" x14ac:dyDescent="0.25">
      <c r="A122" s="1">
        <f>RANK(O122,O$3:O$174)</f>
        <v>120</v>
      </c>
      <c r="B122" s="1" t="s">
        <v>497</v>
      </c>
      <c r="C122" s="1" t="s">
        <v>32</v>
      </c>
      <c r="D122" s="1">
        <f>VLOOKUP(E122,BYEs!$A$2:$B$34,2,FALSE)</f>
        <v>10</v>
      </c>
      <c r="E122" s="1" t="s">
        <v>371</v>
      </c>
      <c r="F122" s="249">
        <v>0</v>
      </c>
      <c r="G122" s="250">
        <v>0</v>
      </c>
      <c r="H122" s="249">
        <v>13.7</v>
      </c>
      <c r="I122" s="247">
        <v>49.3</v>
      </c>
      <c r="J122" s="250">
        <v>0.3</v>
      </c>
      <c r="K122" s="249">
        <v>4.5</v>
      </c>
      <c r="L122" s="247">
        <v>30.6</v>
      </c>
      <c r="M122" s="250">
        <v>0.1</v>
      </c>
      <c r="N122" s="251">
        <v>0.1</v>
      </c>
      <c r="O122" s="253">
        <f>(I122*RBRushingYd)+(J122*RBRushingTD)+(K122*RBReceptions)+(L122*RBRecYd)+(M122*RBRecTD)+(N122*RBFuml)+(H122*RBRushAtt)</f>
        <v>10.19</v>
      </c>
      <c r="P122" s="1" t="str">
        <f ca="1">IF(A122&lt;=RBStarters,"Starter",IF(A122&gt;RBStarters+RBBench,"Undrafted","Bench"))</f>
        <v>Undrafted</v>
      </c>
      <c r="Q122" s="47">
        <f ca="1">IFERROR(MAX(O122-LARGE(O$3:O$174,RBStarters),0),0)</f>
        <v>0</v>
      </c>
      <c r="R122" s="47">
        <f ca="1">IFERROR(IF(AllowNegative="Yes",O122-LARGE(O$3:O$174,RBCount),MAX(O122-LARGE(O$3:O$174,RBCount),0)),0)</f>
        <v>-59.050000000000011</v>
      </c>
      <c r="S122" s="108">
        <f ca="1">(R122-Q122)*BenchPF+Q122*StarterPF</f>
        <v>-14.142229891823682</v>
      </c>
      <c r="T122" s="108">
        <f ca="1">S122*Auction!$A$2</f>
        <v>-14.142229891823682</v>
      </c>
      <c r="U122" s="25" t="str">
        <f>IF(OR(INDEX(Auction!$H$13:$H$683,MATCH(B122,Auction!$A$13:$A$683,0))&gt;0,IFERROR(INDEX(CheatSheet!$M$5:$M$64,MATCH(B122,CheatSheet!$J$5:$J$64,0)),"")&lt;&gt;""),"Yes","No")</f>
        <v>No</v>
      </c>
      <c r="V122" s="218"/>
      <c r="W122" s="1"/>
      <c r="X122" s="100">
        <f t="shared" ca="1" si="6"/>
        <v>1</v>
      </c>
      <c r="Y122" s="1">
        <f t="shared" ca="1" si="7"/>
        <v>-29.525000000000006</v>
      </c>
      <c r="Z122" s="145" t="str">
        <f t="shared" ca="1" si="8"/>
        <v>RB12</v>
      </c>
      <c r="AA122" s="1">
        <f ca="1">Y122*LeagueInfo!$H$5</f>
        <v>-13.502990905729449</v>
      </c>
      <c r="AB122" s="1"/>
      <c r="AC122" s="1"/>
    </row>
    <row r="123" spans="1:29" x14ac:dyDescent="0.25">
      <c r="A123" s="1">
        <f>RANK(O123,O$3:O$174)</f>
        <v>121</v>
      </c>
      <c r="B123" s="1" t="s">
        <v>491</v>
      </c>
      <c r="C123" s="1" t="s">
        <v>32</v>
      </c>
      <c r="D123" s="1">
        <f>VLOOKUP(E123,BYEs!$A$2:$B$34,2,FALSE)</f>
        <v>5</v>
      </c>
      <c r="E123" s="1" t="s">
        <v>352</v>
      </c>
      <c r="F123" s="249">
        <v>0</v>
      </c>
      <c r="G123" s="250">
        <v>0</v>
      </c>
      <c r="H123" s="249">
        <v>3.3</v>
      </c>
      <c r="I123" s="247">
        <v>13.7</v>
      </c>
      <c r="J123" s="250">
        <v>0</v>
      </c>
      <c r="K123" s="249">
        <v>10.9</v>
      </c>
      <c r="L123" s="247">
        <v>81</v>
      </c>
      <c r="M123" s="250">
        <v>0.1</v>
      </c>
      <c r="N123" s="251">
        <v>0.1</v>
      </c>
      <c r="O123" s="253">
        <f>(I123*RBRushingYd)+(J123*RBRushingTD)+(K123*RBReceptions)+(L123*RBRecYd)+(M123*RBRecTD)+(N123*RBFuml)+(H123*RBRushAtt)</f>
        <v>9.8699999999999992</v>
      </c>
      <c r="P123" s="1" t="str">
        <f ca="1">IF(A123&lt;=RBStarters,"Starter",IF(A123&gt;RBStarters+RBBench,"Undrafted","Bench"))</f>
        <v>Undrafted</v>
      </c>
      <c r="Q123" s="47">
        <f ca="1">IFERROR(MAX(O123-LARGE(O$3:O$174,RBStarters),0),0)</f>
        <v>0</v>
      </c>
      <c r="R123" s="47">
        <f ca="1">IFERROR(IF(AllowNegative="Yes",O123-LARGE(O$3:O$174,RBCount),MAX(O123-LARGE(O$3:O$174,RBCount),0)),0)</f>
        <v>-59.370000000000012</v>
      </c>
      <c r="S123" s="108">
        <f ca="1">(R123-Q123)*BenchPF+Q123*StarterPF</f>
        <v>-14.218868563549059</v>
      </c>
      <c r="T123" s="108">
        <f ca="1">S123*Auction!$A$2</f>
        <v>-14.218868563549059</v>
      </c>
      <c r="U123" s="25" t="str">
        <f>IF(OR(INDEX(Auction!$H$13:$H$683,MATCH(B123,Auction!$A$13:$A$683,0))&gt;0,IFERROR(INDEX(CheatSheet!$M$5:$M$64,MATCH(B123,CheatSheet!$J$5:$J$64,0)),"")&lt;&gt;""),"Yes","No")</f>
        <v>No</v>
      </c>
      <c r="V123" s="218"/>
      <c r="W123" s="1"/>
      <c r="X123" s="100">
        <f t="shared" ca="1" si="6"/>
        <v>1</v>
      </c>
      <c r="Y123" s="1">
        <f t="shared" ca="1" si="7"/>
        <v>-29.685000000000006</v>
      </c>
      <c r="Z123" s="145" t="str">
        <f t="shared" ca="1" si="8"/>
        <v>RB12</v>
      </c>
      <c r="AA123" s="1">
        <f ca="1">Y123*LeagueInfo!$H$5</f>
        <v>-13.576165454244833</v>
      </c>
      <c r="AB123" s="1"/>
      <c r="AC123" s="1"/>
    </row>
    <row r="124" spans="1:29" x14ac:dyDescent="0.25">
      <c r="A124" s="1">
        <f>RANK(O124,O$3:O$174)</f>
        <v>122</v>
      </c>
      <c r="B124" s="1" t="s">
        <v>474</v>
      </c>
      <c r="C124" s="1" t="s">
        <v>32</v>
      </c>
      <c r="D124" s="1">
        <f>VLOOKUP(E124,BYEs!$A$2:$B$34,2,FALSE)</f>
        <v>9</v>
      </c>
      <c r="E124" s="1" t="s">
        <v>363</v>
      </c>
      <c r="F124" s="249">
        <v>0</v>
      </c>
      <c r="G124" s="250">
        <v>0</v>
      </c>
      <c r="H124" s="249">
        <v>15.8</v>
      </c>
      <c r="I124" s="247">
        <v>59.8</v>
      </c>
      <c r="J124" s="250">
        <v>0.1</v>
      </c>
      <c r="K124" s="249">
        <v>3.9</v>
      </c>
      <c r="L124" s="247">
        <v>32.700000000000003</v>
      </c>
      <c r="M124" s="250">
        <v>0</v>
      </c>
      <c r="N124" s="251">
        <v>0.1</v>
      </c>
      <c r="O124" s="253">
        <f>(I124*RBRushingYd)+(J124*RBRushingTD)+(K124*RBReceptions)+(L124*RBRecYd)+(M124*RBRecTD)+(N124*RBFuml)+(H124*RBRushAtt)</f>
        <v>9.6500000000000021</v>
      </c>
      <c r="P124" s="1" t="str">
        <f ca="1">IF(A124&lt;=RBStarters,"Starter",IF(A124&gt;RBStarters+RBBench,"Undrafted","Bench"))</f>
        <v>Undrafted</v>
      </c>
      <c r="Q124" s="47">
        <f ca="1">IFERROR(MAX(O124-LARGE(O$3:O$174,RBStarters),0),0)</f>
        <v>0</v>
      </c>
      <c r="R124" s="47">
        <f ca="1">IFERROR(IF(AllowNegative="Yes",O124-LARGE(O$3:O$174,RBCount),MAX(O124-LARGE(O$3:O$174,RBCount),0)),0)</f>
        <v>-59.59</v>
      </c>
      <c r="S124" s="108">
        <f ca="1">(R124-Q124)*BenchPF+Q124*StarterPF</f>
        <v>-14.271557650360254</v>
      </c>
      <c r="T124" s="108">
        <f ca="1">S124*Auction!$A$2</f>
        <v>-14.271557650360254</v>
      </c>
      <c r="U124" s="25" t="str">
        <f>IF(OR(INDEX(Auction!$H$13:$H$683,MATCH(B124,Auction!$A$13:$A$683,0))&gt;0,IFERROR(INDEX(CheatSheet!$M$5:$M$64,MATCH(B124,CheatSheet!$J$5:$J$64,0)),"")&lt;&gt;""),"Yes","No")</f>
        <v>No</v>
      </c>
      <c r="V124" s="218"/>
      <c r="W124" s="1"/>
      <c r="X124" s="100">
        <f t="shared" ca="1" si="6"/>
        <v>1</v>
      </c>
      <c r="Y124" s="1">
        <f t="shared" ca="1" si="7"/>
        <v>-29.795000000000002</v>
      </c>
      <c r="Z124" s="145" t="str">
        <f t="shared" ca="1" si="8"/>
        <v>RB12</v>
      </c>
      <c r="AA124" s="1">
        <f ca="1">Y124*LeagueInfo!$H$5</f>
        <v>-13.626472956349158</v>
      </c>
      <c r="AB124" s="1"/>
      <c r="AC124" s="1"/>
    </row>
    <row r="125" spans="1:29" x14ac:dyDescent="0.25">
      <c r="A125" s="1">
        <f>RANK(O125,O$3:O$174)</f>
        <v>123</v>
      </c>
      <c r="B125" s="1" t="s">
        <v>537</v>
      </c>
      <c r="C125" s="1" t="s">
        <v>32</v>
      </c>
      <c r="D125" s="1">
        <f>VLOOKUP(E125,BYEs!$A$2:$B$34,2,FALSE)</f>
        <v>11</v>
      </c>
      <c r="E125" s="1" t="s">
        <v>374</v>
      </c>
      <c r="F125" s="249">
        <v>0</v>
      </c>
      <c r="G125" s="250">
        <v>0</v>
      </c>
      <c r="H125" s="249">
        <v>8.4</v>
      </c>
      <c r="I125" s="247">
        <v>35.700000000000003</v>
      </c>
      <c r="J125" s="250">
        <v>0.3</v>
      </c>
      <c r="K125" s="249">
        <v>5.5</v>
      </c>
      <c r="L125" s="247">
        <v>42.1</v>
      </c>
      <c r="M125" s="250">
        <v>0</v>
      </c>
      <c r="N125" s="251">
        <v>0</v>
      </c>
      <c r="O125" s="253">
        <f>(I125*RBRushingYd)+(J125*RBRushingTD)+(K125*RBReceptions)+(L125*RBRecYd)+(M125*RBRecTD)+(N125*RBFuml)+(H125*RBRushAtt)</f>
        <v>9.58</v>
      </c>
      <c r="P125" s="1" t="str">
        <f ca="1">IF(A125&lt;=RBStarters,"Starter",IF(A125&gt;RBStarters+RBBench,"Undrafted","Bench"))</f>
        <v>Undrafted</v>
      </c>
      <c r="Q125" s="47">
        <f ca="1">IFERROR(MAX(O125-LARGE(O$3:O$174,RBStarters),0),0)</f>
        <v>0</v>
      </c>
      <c r="R125" s="47">
        <f ca="1">IFERROR(IF(AllowNegative="Yes",O125-LARGE(O$3:O$174,RBCount),MAX(O125-LARGE(O$3:O$174,RBCount),0)),0)</f>
        <v>-59.660000000000011</v>
      </c>
      <c r="S125" s="108">
        <f ca="1">(R125-Q125)*BenchPF+Q125*StarterPF</f>
        <v>-14.288322359800183</v>
      </c>
      <c r="T125" s="108">
        <f ca="1">S125*Auction!$A$2</f>
        <v>-14.288322359800183</v>
      </c>
      <c r="U125" s="25" t="str">
        <f>IF(OR(INDEX(Auction!$H$13:$H$683,MATCH(B125,Auction!$A$13:$A$683,0))&gt;0,IFERROR(INDEX(CheatSheet!$M$5:$M$64,MATCH(B125,CheatSheet!$J$5:$J$64,0)),"")&lt;&gt;""),"Yes","No")</f>
        <v>No</v>
      </c>
      <c r="V125" s="218"/>
      <c r="W125" s="1"/>
      <c r="X125" s="100">
        <f t="shared" ca="1" si="6"/>
        <v>1</v>
      </c>
      <c r="Y125" s="1">
        <f t="shared" ca="1" si="7"/>
        <v>-29.830000000000005</v>
      </c>
      <c r="Z125" s="145" t="str">
        <f t="shared" ca="1" si="8"/>
        <v>RB12</v>
      </c>
      <c r="AA125" s="1">
        <f ca="1">Y125*LeagueInfo!$H$5</f>
        <v>-13.642479888836899</v>
      </c>
      <c r="AB125" s="1"/>
      <c r="AC125" s="1"/>
    </row>
    <row r="126" spans="1:29" x14ac:dyDescent="0.25">
      <c r="A126" s="1">
        <f>RANK(O126,O$3:O$174)</f>
        <v>123</v>
      </c>
      <c r="B126" s="1" t="s">
        <v>539</v>
      </c>
      <c r="C126" s="1" t="s">
        <v>32</v>
      </c>
      <c r="D126" s="1">
        <f>VLOOKUP(E126,BYEs!$A$2:$B$34,2,FALSE)</f>
        <v>11</v>
      </c>
      <c r="E126" s="1" t="s">
        <v>374</v>
      </c>
      <c r="F126" s="249">
        <v>0</v>
      </c>
      <c r="G126" s="250">
        <v>0</v>
      </c>
      <c r="H126" s="249">
        <v>8.4</v>
      </c>
      <c r="I126" s="247">
        <v>35.700000000000003</v>
      </c>
      <c r="J126" s="250">
        <v>0.3</v>
      </c>
      <c r="K126" s="249">
        <v>5.5</v>
      </c>
      <c r="L126" s="247">
        <v>42.1</v>
      </c>
      <c r="M126" s="250">
        <v>0</v>
      </c>
      <c r="N126" s="251">
        <v>0</v>
      </c>
      <c r="O126" s="253">
        <f>(I126*RBRushingYd)+(J126*RBRushingTD)+(K126*RBReceptions)+(L126*RBRecYd)+(M126*RBRecTD)+(N126*RBFuml)+(H126*RBRushAtt)</f>
        <v>9.58</v>
      </c>
      <c r="P126" s="1" t="str">
        <f ca="1">IF(A126&lt;=RBStarters,"Starter",IF(A126&gt;RBStarters+RBBench,"Undrafted","Bench"))</f>
        <v>Undrafted</v>
      </c>
      <c r="Q126" s="47">
        <f ca="1">IFERROR(MAX(O126-LARGE(O$3:O$174,RBStarters),0),0)</f>
        <v>0</v>
      </c>
      <c r="R126" s="47">
        <f ca="1">IFERROR(IF(AllowNegative="Yes",O126-LARGE(O$3:O$174,RBCount),MAX(O126-LARGE(O$3:O$174,RBCount),0)),0)</f>
        <v>-59.660000000000011</v>
      </c>
      <c r="S126" s="108">
        <f ca="1">(R126-Q126)*BenchPF+Q126*StarterPF</f>
        <v>-14.288322359800183</v>
      </c>
      <c r="T126" s="108">
        <f ca="1">S126*Auction!$A$2</f>
        <v>-14.288322359800183</v>
      </c>
      <c r="U126" s="25" t="str">
        <f>IF(OR(INDEX(Auction!$H$13:$H$683,MATCH(B126,Auction!$A$13:$A$683,0))&gt;0,IFERROR(INDEX(CheatSheet!$M$5:$M$64,MATCH(B126,CheatSheet!$J$5:$J$64,0)),"")&lt;&gt;""),"Yes","No")</f>
        <v>No</v>
      </c>
      <c r="V126" s="218"/>
      <c r="W126" s="1"/>
      <c r="X126" s="100">
        <f t="shared" ca="1" si="6"/>
        <v>1</v>
      </c>
      <c r="Y126" s="1">
        <f t="shared" ca="1" si="7"/>
        <v>-29.830000000000005</v>
      </c>
      <c r="Z126" s="145" t="str">
        <f t="shared" ca="1" si="8"/>
        <v>RB12</v>
      </c>
      <c r="AA126" s="1">
        <f ca="1">Y126*LeagueInfo!$H$5</f>
        <v>-13.642479888836899</v>
      </c>
      <c r="AB126" s="1"/>
      <c r="AC126" s="1"/>
    </row>
    <row r="127" spans="1:29" x14ac:dyDescent="0.25">
      <c r="A127" s="1">
        <f>RANK(O127,O$3:O$174)</f>
        <v>125</v>
      </c>
      <c r="B127" s="1" t="s">
        <v>495</v>
      </c>
      <c r="C127" s="1" t="s">
        <v>32</v>
      </c>
      <c r="D127" s="1">
        <f>VLOOKUP(E127,BYEs!$A$2:$B$34,2,FALSE)</f>
        <v>11</v>
      </c>
      <c r="E127" s="1" t="s">
        <v>357</v>
      </c>
      <c r="F127" s="249">
        <v>0</v>
      </c>
      <c r="G127" s="250">
        <v>0</v>
      </c>
      <c r="H127" s="249">
        <v>12.1</v>
      </c>
      <c r="I127" s="247">
        <v>51.5</v>
      </c>
      <c r="J127" s="250">
        <v>0.2</v>
      </c>
      <c r="K127" s="249">
        <v>4.3</v>
      </c>
      <c r="L127" s="247">
        <v>33.6</v>
      </c>
      <c r="M127" s="250">
        <v>0</v>
      </c>
      <c r="N127" s="251">
        <v>0.1</v>
      </c>
      <c r="O127" s="253">
        <f>(I127*RBRushingYd)+(J127*RBRushingTD)+(K127*RBReceptions)+(L127*RBRecYd)+(M127*RBRecTD)+(N127*RBFuml)+(H127*RBRushAtt)</f>
        <v>9.5100000000000016</v>
      </c>
      <c r="P127" s="1" t="str">
        <f ca="1">IF(A127&lt;=RBStarters,"Starter",IF(A127&gt;RBStarters+RBBench,"Undrafted","Bench"))</f>
        <v>Undrafted</v>
      </c>
      <c r="Q127" s="47">
        <f ca="1">IFERROR(MAX(O127-LARGE(O$3:O$174,RBStarters),0),0)</f>
        <v>0</v>
      </c>
      <c r="R127" s="47">
        <f ca="1">IFERROR(IF(AllowNegative="Yes",O127-LARGE(O$3:O$174,RBCount),MAX(O127-LARGE(O$3:O$174,RBCount),0)),0)</f>
        <v>-59.730000000000004</v>
      </c>
      <c r="S127" s="108">
        <f ca="1">(R127-Q127)*BenchPF+Q127*StarterPF</f>
        <v>-14.305087069240107</v>
      </c>
      <c r="T127" s="108">
        <f ca="1">S127*Auction!$A$2</f>
        <v>-14.305087069240107</v>
      </c>
      <c r="U127" s="25" t="str">
        <f>IF(OR(INDEX(Auction!$H$13:$H$683,MATCH(B127,Auction!$A$13:$A$683,0))&gt;0,IFERROR(INDEX(CheatSheet!$M$5:$M$64,MATCH(B127,CheatSheet!$J$5:$J$64,0)),"")&lt;&gt;""),"Yes","No")</f>
        <v>No</v>
      </c>
      <c r="V127" s="218"/>
      <c r="W127" s="1"/>
      <c r="X127" s="100">
        <f t="shared" ca="1" si="6"/>
        <v>1</v>
      </c>
      <c r="Y127" s="1">
        <f t="shared" ca="1" si="7"/>
        <v>-29.865000000000002</v>
      </c>
      <c r="Z127" s="145" t="str">
        <f t="shared" ca="1" si="8"/>
        <v>RB12</v>
      </c>
      <c r="AA127" s="1">
        <f ca="1">Y127*LeagueInfo!$H$5</f>
        <v>-13.658486821324638</v>
      </c>
      <c r="AB127" s="1"/>
      <c r="AC127" s="1"/>
    </row>
    <row r="128" spans="1:29" x14ac:dyDescent="0.25">
      <c r="A128" s="1">
        <f>RANK(O128,O$3:O$174)</f>
        <v>126</v>
      </c>
      <c r="B128" s="1" t="s">
        <v>501</v>
      </c>
      <c r="C128" s="1" t="s">
        <v>32</v>
      </c>
      <c r="D128" s="1">
        <f>VLOOKUP(E128,BYEs!$A$2:$B$34,2,FALSE)</f>
        <v>7</v>
      </c>
      <c r="E128" s="1" t="s">
        <v>385</v>
      </c>
      <c r="F128" s="249">
        <v>0</v>
      </c>
      <c r="G128" s="250">
        <v>0</v>
      </c>
      <c r="H128" s="249">
        <v>5.4</v>
      </c>
      <c r="I128" s="247">
        <v>20.8</v>
      </c>
      <c r="J128" s="250">
        <v>0.1</v>
      </c>
      <c r="K128" s="249">
        <v>6.7</v>
      </c>
      <c r="L128" s="247">
        <v>55.1</v>
      </c>
      <c r="M128" s="250">
        <v>0.2</v>
      </c>
      <c r="N128" s="251">
        <v>0</v>
      </c>
      <c r="O128" s="253">
        <f>(I128*RBRushingYd)+(J128*RBRushingTD)+(K128*RBReceptions)+(L128*RBRecYd)+(M128*RBRecTD)+(N128*RBFuml)+(H128*RBRushAtt)</f>
        <v>9.39</v>
      </c>
      <c r="P128" s="1" t="str">
        <f ca="1">IF(A128&lt;=RBStarters,"Starter",IF(A128&gt;RBStarters+RBBench,"Undrafted","Bench"))</f>
        <v>Undrafted</v>
      </c>
      <c r="Q128" s="47">
        <f ca="1">IFERROR(MAX(O128-LARGE(O$3:O$174,RBStarters),0),0)</f>
        <v>0</v>
      </c>
      <c r="R128" s="47">
        <f ca="1">IFERROR(IF(AllowNegative="Yes",O128-LARGE(O$3:O$174,RBCount),MAX(O128-LARGE(O$3:O$174,RBCount),0)),0)</f>
        <v>-59.850000000000009</v>
      </c>
      <c r="S128" s="108">
        <f ca="1">(R128-Q128)*BenchPF+Q128*StarterPF</f>
        <v>-14.333826571137125</v>
      </c>
      <c r="T128" s="108">
        <f ca="1">S128*Auction!$A$2</f>
        <v>-14.333826571137125</v>
      </c>
      <c r="U128" s="25" t="str">
        <f>IF(OR(INDEX(Auction!$H$13:$H$683,MATCH(B128,Auction!$A$13:$A$683,0))&gt;0,IFERROR(INDEX(CheatSheet!$M$5:$M$64,MATCH(B128,CheatSheet!$J$5:$J$64,0)),"")&lt;&gt;""),"Yes","No")</f>
        <v>No</v>
      </c>
      <c r="V128" s="218"/>
      <c r="W128" s="1"/>
      <c r="X128" s="100">
        <f t="shared" ca="1" si="6"/>
        <v>1</v>
      </c>
      <c r="Y128" s="1">
        <f t="shared" ca="1" si="7"/>
        <v>-29.925000000000004</v>
      </c>
      <c r="Z128" s="145" t="str">
        <f t="shared" ca="1" si="8"/>
        <v>RB12</v>
      </c>
      <c r="AA128" s="1">
        <f ca="1">Y128*LeagueInfo!$H$5</f>
        <v>-13.685927277017909</v>
      </c>
      <c r="AB128" s="1"/>
      <c r="AC128" s="1"/>
    </row>
    <row r="129" spans="1:29" x14ac:dyDescent="0.25">
      <c r="A129" s="1">
        <f>RANK(O129,O$3:O$174)</f>
        <v>127</v>
      </c>
      <c r="B129" s="1" t="s">
        <v>493</v>
      </c>
      <c r="C129" s="1" t="s">
        <v>32</v>
      </c>
      <c r="D129" s="1">
        <f>VLOOKUP(E129,BYEs!$A$2:$B$34,2,FALSE)</f>
        <v>6</v>
      </c>
      <c r="E129" s="1" t="s">
        <v>354</v>
      </c>
      <c r="F129" s="249">
        <v>0</v>
      </c>
      <c r="G129" s="250">
        <v>0</v>
      </c>
      <c r="H129" s="249">
        <v>15.5</v>
      </c>
      <c r="I129" s="247">
        <v>62.5</v>
      </c>
      <c r="J129" s="250">
        <v>0.2</v>
      </c>
      <c r="K129" s="249">
        <v>2.5</v>
      </c>
      <c r="L129" s="247">
        <v>22.5</v>
      </c>
      <c r="M129" s="250">
        <v>0</v>
      </c>
      <c r="N129" s="251">
        <v>0.3</v>
      </c>
      <c r="O129" s="253">
        <f>(I129*RBRushingYd)+(J129*RBRushingTD)+(K129*RBReceptions)+(L129*RBRecYd)+(M129*RBRecTD)+(N129*RBFuml)+(H129*RBRushAtt)</f>
        <v>9.1</v>
      </c>
      <c r="P129" s="1" t="str">
        <f ca="1">IF(A129&lt;=RBStarters,"Starter",IF(A129&gt;RBStarters+RBBench,"Undrafted","Bench"))</f>
        <v>Undrafted</v>
      </c>
      <c r="Q129" s="47">
        <f ca="1">IFERROR(MAX(O129-LARGE(O$3:O$174,RBStarters),0),0)</f>
        <v>0</v>
      </c>
      <c r="R129" s="47">
        <f ca="1">IFERROR(IF(AllowNegative="Yes",O129-LARGE(O$3:O$174,RBCount),MAX(O129-LARGE(O$3:O$174,RBCount),0)),0)</f>
        <v>-60.140000000000008</v>
      </c>
      <c r="S129" s="108">
        <f ca="1">(R129-Q129)*BenchPF+Q129*StarterPF</f>
        <v>-14.40328036738825</v>
      </c>
      <c r="T129" s="108">
        <f ca="1">S129*Auction!$A$2</f>
        <v>-14.40328036738825</v>
      </c>
      <c r="U129" s="25" t="str">
        <f>IF(OR(INDEX(Auction!$H$13:$H$683,MATCH(B129,Auction!$A$13:$A$683,0))&gt;0,IFERROR(INDEX(CheatSheet!$M$5:$M$64,MATCH(B129,CheatSheet!$J$5:$J$64,0)),"")&lt;&gt;""),"Yes","No")</f>
        <v>No</v>
      </c>
      <c r="V129" s="218"/>
      <c r="W129" s="1"/>
      <c r="X129" s="100">
        <f t="shared" ca="1" si="6"/>
        <v>1</v>
      </c>
      <c r="Y129" s="1">
        <f t="shared" ca="1" si="7"/>
        <v>-30.070000000000004</v>
      </c>
      <c r="Z129" s="145" t="str">
        <f t="shared" ca="1" si="8"/>
        <v>RB12</v>
      </c>
      <c r="AA129" s="1">
        <f ca="1">Y129*LeagueInfo!$H$5</f>
        <v>-13.752241711609974</v>
      </c>
      <c r="AB129" s="1"/>
      <c r="AC129" s="1"/>
    </row>
    <row r="130" spans="1:29" x14ac:dyDescent="0.25">
      <c r="A130" s="1">
        <f>RANK(O130,O$3:O$174)</f>
        <v>128</v>
      </c>
      <c r="B130" s="1" t="s">
        <v>494</v>
      </c>
      <c r="C130" s="1" t="s">
        <v>32</v>
      </c>
      <c r="D130" s="1">
        <f>VLOOKUP(E130,BYEs!$A$2:$B$34,2,FALSE)</f>
        <v>9</v>
      </c>
      <c r="E130" s="1" t="s">
        <v>387</v>
      </c>
      <c r="F130" s="249">
        <v>0</v>
      </c>
      <c r="G130" s="250">
        <v>0</v>
      </c>
      <c r="H130" s="249">
        <v>12.2</v>
      </c>
      <c r="I130" s="247">
        <v>44.5</v>
      </c>
      <c r="J130" s="250">
        <v>0.3</v>
      </c>
      <c r="K130" s="249">
        <v>2.6</v>
      </c>
      <c r="L130" s="247">
        <v>22.3</v>
      </c>
      <c r="M130" s="250">
        <v>0</v>
      </c>
      <c r="N130" s="251">
        <v>0.1</v>
      </c>
      <c r="O130" s="253">
        <f>(I130*RBRushingYd)+(J130*RBRushingTD)+(K130*RBReceptions)+(L130*RBRecYd)+(M130*RBRecTD)+(N130*RBFuml)+(H130*RBRushAtt)</f>
        <v>8.2800000000000011</v>
      </c>
      <c r="P130" s="1" t="str">
        <f ca="1">IF(A130&lt;=RBStarters,"Starter",IF(A130&gt;RBStarters+RBBench,"Undrafted","Bench"))</f>
        <v>Undrafted</v>
      </c>
      <c r="Q130" s="47">
        <f ca="1">IFERROR(MAX(O130-LARGE(O$3:O$174,RBStarters),0),0)</f>
        <v>0</v>
      </c>
      <c r="R130" s="47">
        <f ca="1">IFERROR(IF(AllowNegative="Yes",O130-LARGE(O$3:O$174,RBCount),MAX(O130-LARGE(O$3:O$174,RBCount),0)),0)</f>
        <v>-60.960000000000008</v>
      </c>
      <c r="S130" s="108">
        <f ca="1">(R130-Q130)*BenchPF+Q130*StarterPF</f>
        <v>-14.59966696368453</v>
      </c>
      <c r="T130" s="108">
        <f ca="1">S130*Auction!$A$2</f>
        <v>-14.59966696368453</v>
      </c>
      <c r="U130" s="25" t="str">
        <f>IF(OR(INDEX(Auction!$H$13:$H$683,MATCH(B130,Auction!$A$13:$A$683,0))&gt;0,IFERROR(INDEX(CheatSheet!$M$5:$M$64,MATCH(B130,CheatSheet!$J$5:$J$64,0)),"")&lt;&gt;""),"Yes","No")</f>
        <v>No</v>
      </c>
      <c r="V130" s="218"/>
      <c r="W130" s="1"/>
      <c r="X130" s="100">
        <f t="shared" ca="1" si="6"/>
        <v>1</v>
      </c>
      <c r="Y130" s="1">
        <f t="shared" ca="1" si="7"/>
        <v>-30.480000000000004</v>
      </c>
      <c r="Z130" s="145" t="str">
        <f t="shared" ca="1" si="8"/>
        <v>RB12</v>
      </c>
      <c r="AA130" s="1">
        <f ca="1">Y130*LeagueInfo!$H$5</f>
        <v>-13.939751492180646</v>
      </c>
      <c r="AB130" s="1"/>
      <c r="AC130" s="1"/>
    </row>
    <row r="131" spans="1:29" x14ac:dyDescent="0.25">
      <c r="A131" s="1">
        <f>RANK(O131,O$3:O$174)</f>
        <v>129</v>
      </c>
      <c r="B131" s="1" t="s">
        <v>503</v>
      </c>
      <c r="C131" s="1" t="s">
        <v>32</v>
      </c>
      <c r="D131" s="1">
        <f>VLOOKUP(E131,BYEs!$A$2:$B$34,2,FALSE)</f>
        <v>8</v>
      </c>
      <c r="E131" s="1" t="s">
        <v>367</v>
      </c>
      <c r="F131" s="249">
        <v>0</v>
      </c>
      <c r="G131" s="250">
        <v>0</v>
      </c>
      <c r="H131" s="249">
        <v>10.5</v>
      </c>
      <c r="I131" s="247">
        <v>42.3</v>
      </c>
      <c r="J131" s="250">
        <v>0.3</v>
      </c>
      <c r="K131" s="249">
        <v>1.2</v>
      </c>
      <c r="L131" s="247">
        <v>12.3</v>
      </c>
      <c r="M131" s="250">
        <v>0.2</v>
      </c>
      <c r="N131" s="251">
        <v>0.2</v>
      </c>
      <c r="O131" s="253">
        <f>(I131*RBRushingYd)+(J131*RBRushingTD)+(K131*RBReceptions)+(L131*RBRecYd)+(M131*RBRecTD)+(N131*RBFuml)+(H131*RBRushAtt)</f>
        <v>8.06</v>
      </c>
      <c r="P131" s="1" t="str">
        <f ca="1">IF(A131&lt;=RBStarters,"Starter",IF(A131&gt;RBStarters+RBBench,"Undrafted","Bench"))</f>
        <v>Undrafted</v>
      </c>
      <c r="Q131" s="47">
        <f ca="1">IFERROR(MAX(O131-LARGE(O$3:O$174,RBStarters),0),0)</f>
        <v>0</v>
      </c>
      <c r="R131" s="47">
        <f ca="1">IFERROR(IF(AllowNegative="Yes",O131-LARGE(O$3:O$174,RBCount),MAX(O131-LARGE(O$3:O$174,RBCount),0)),0)</f>
        <v>-61.180000000000007</v>
      </c>
      <c r="S131" s="108">
        <f ca="1">(R131-Q131)*BenchPF+Q131*StarterPF</f>
        <v>-14.652356050495728</v>
      </c>
      <c r="T131" s="108">
        <f ca="1">S131*Auction!$A$2</f>
        <v>-14.652356050495728</v>
      </c>
      <c r="U131" s="25" t="str">
        <f>IF(OR(INDEX(Auction!$H$13:$H$683,MATCH(B131,Auction!$A$13:$A$683,0))&gt;0,IFERROR(INDEX(CheatSheet!$M$5:$M$64,MATCH(B131,CheatSheet!$J$5:$J$64,0)),"")&lt;&gt;""),"Yes","No")</f>
        <v>No</v>
      </c>
      <c r="V131" s="218"/>
      <c r="W131" s="1"/>
      <c r="X131" s="100">
        <f t="shared" ca="1" si="6"/>
        <v>1</v>
      </c>
      <c r="Y131" s="1">
        <f t="shared" ca="1" si="7"/>
        <v>-30.590000000000003</v>
      </c>
      <c r="Z131" s="145" t="str">
        <f t="shared" ref="Z131:Z162" ca="1" si="9">CONCATENATE("RB",ROUND((LARGE($Y$3:$Y$174,1)-$Y131)/(STDEVP($Y$3:$Y$174)/2)+1,0))</f>
        <v>RB12</v>
      </c>
      <c r="AA131" s="1">
        <f ca="1">Y131*LeagueInfo!$H$5</f>
        <v>-13.990058994284972</v>
      </c>
      <c r="AB131" s="1"/>
      <c r="AC131" s="1"/>
    </row>
    <row r="132" spans="1:29" x14ac:dyDescent="0.25">
      <c r="A132" s="1">
        <f>RANK(O132,O$3:O$174)</f>
        <v>130</v>
      </c>
      <c r="B132" s="1" t="s">
        <v>504</v>
      </c>
      <c r="C132" s="1" t="s">
        <v>32</v>
      </c>
      <c r="D132" s="1">
        <f>VLOOKUP(E132,BYEs!$A$2:$B$34,2,FALSE)</f>
        <v>8</v>
      </c>
      <c r="E132" s="1" t="s">
        <v>350</v>
      </c>
      <c r="F132" s="249">
        <v>0</v>
      </c>
      <c r="G132" s="250">
        <v>0</v>
      </c>
      <c r="H132" s="249">
        <v>10</v>
      </c>
      <c r="I132" s="247">
        <v>41</v>
      </c>
      <c r="J132" s="250">
        <v>0.3</v>
      </c>
      <c r="K132" s="249">
        <v>2</v>
      </c>
      <c r="L132" s="247">
        <v>16</v>
      </c>
      <c r="M132" s="250">
        <v>0.1</v>
      </c>
      <c r="N132" s="251">
        <v>0.1</v>
      </c>
      <c r="O132" s="253">
        <f>(I132*RBRushingYd)+(J132*RBRushingTD)+(K132*RBReceptions)+(L132*RBRecYd)+(M132*RBRecTD)+(N132*RBFuml)+(H132*RBRushAtt)</f>
        <v>7.8999999999999995</v>
      </c>
      <c r="P132" s="1" t="str">
        <f ca="1">IF(A132&lt;=RBStarters,"Starter",IF(A132&gt;RBStarters+RBBench,"Undrafted","Bench"))</f>
        <v>Undrafted</v>
      </c>
      <c r="Q132" s="47">
        <f ca="1">IFERROR(MAX(O132-LARGE(O$3:O$174,RBStarters),0),0)</f>
        <v>0</v>
      </c>
      <c r="R132" s="47">
        <f ca="1">IFERROR(IF(AllowNegative="Yes",O132-LARGE(O$3:O$174,RBCount),MAX(O132-LARGE(O$3:O$174,RBCount),0)),0)</f>
        <v>-61.340000000000011</v>
      </c>
      <c r="S132" s="108">
        <f ca="1">(R132-Q132)*BenchPF+Q132*StarterPF</f>
        <v>-14.690675386358418</v>
      </c>
      <c r="T132" s="108">
        <f ca="1">S132*Auction!$A$2</f>
        <v>-14.690675386358418</v>
      </c>
      <c r="U132" s="25" t="str">
        <f>IF(OR(INDEX(Auction!$H$13:$H$683,MATCH(B132,Auction!$A$13:$A$683,0))&gt;0,IFERROR(INDEX(CheatSheet!$M$5:$M$64,MATCH(B132,CheatSheet!$J$5:$J$64,0)),"")&lt;&gt;""),"Yes","No")</f>
        <v>No</v>
      </c>
      <c r="V132" s="218"/>
      <c r="W132" s="1"/>
      <c r="X132" s="100">
        <f t="shared" ref="X132:X174" ca="1" si="10">SUMIFS($Y$3:$Y$157,$Y$3:$Y$157,"&gt;0",$U$3:$U$157,"No")/SUMIF($Y$3:$Y$157,"&gt;0")</f>
        <v>1</v>
      </c>
      <c r="Y132" s="1">
        <f t="shared" ref="Y132:Y174" ca="1" si="11">AVERAGE(Q132:R132)</f>
        <v>-30.670000000000005</v>
      </c>
      <c r="Z132" s="145" t="str">
        <f t="shared" ca="1" si="9"/>
        <v>RB12</v>
      </c>
      <c r="AA132" s="1">
        <f ca="1">Y132*LeagueInfo!$H$5</f>
        <v>-14.026646268542665</v>
      </c>
      <c r="AB132" s="1"/>
      <c r="AC132" s="1"/>
    </row>
    <row r="133" spans="1:29" x14ac:dyDescent="0.25">
      <c r="A133" s="1">
        <f>RANK(O133,O$3:O$174)</f>
        <v>131</v>
      </c>
      <c r="B133" s="1" t="s">
        <v>544</v>
      </c>
      <c r="C133" s="1" t="s">
        <v>32</v>
      </c>
      <c r="D133" s="1">
        <f>VLOOKUP(E133,BYEs!$A$2:$B$34,2,FALSE)</f>
        <v>9</v>
      </c>
      <c r="E133" s="1" t="s">
        <v>351</v>
      </c>
      <c r="F133" s="249">
        <v>0</v>
      </c>
      <c r="G133" s="250">
        <v>0</v>
      </c>
      <c r="H133" s="249">
        <v>12</v>
      </c>
      <c r="I133" s="247">
        <v>45.9</v>
      </c>
      <c r="J133" s="250">
        <v>0.2</v>
      </c>
      <c r="K133" s="249">
        <v>2.7</v>
      </c>
      <c r="L133" s="247">
        <v>18.600000000000001</v>
      </c>
      <c r="M133" s="250">
        <v>0</v>
      </c>
      <c r="N133" s="251">
        <v>0</v>
      </c>
      <c r="O133" s="253">
        <f>(I133*RBRushingYd)+(J133*RBRushingTD)+(K133*RBReceptions)+(L133*RBRecYd)+(M133*RBRecTD)+(N133*RBFuml)+(H133*RBRushAtt)</f>
        <v>7.65</v>
      </c>
      <c r="P133" s="1" t="str">
        <f ca="1">IF(A133&lt;=RBStarters,"Starter",IF(A133&gt;RBStarters+RBBench,"Undrafted","Bench"))</f>
        <v>Undrafted</v>
      </c>
      <c r="Q133" s="47">
        <f ca="1">IFERROR(MAX(O133-LARGE(O$3:O$174,RBStarters),0),0)</f>
        <v>0</v>
      </c>
      <c r="R133" s="47">
        <f ca="1">IFERROR(IF(AllowNegative="Yes",O133-LARGE(O$3:O$174,RBCount),MAX(O133-LARGE(O$3:O$174,RBCount),0)),0)</f>
        <v>-61.590000000000011</v>
      </c>
      <c r="S133" s="108">
        <f ca="1">(R133-Q133)*BenchPF+Q133*StarterPF</f>
        <v>-14.750549348643869</v>
      </c>
      <c r="T133" s="108">
        <f ca="1">S133*Auction!$A$2</f>
        <v>-14.750549348643869</v>
      </c>
      <c r="U133" s="25" t="str">
        <f>IF(OR(INDEX(Auction!$H$13:$H$683,MATCH(B133,Auction!$A$13:$A$683,0))&gt;0,IFERROR(INDEX(CheatSheet!$M$5:$M$64,MATCH(B133,CheatSheet!$J$5:$J$64,0)),"")&lt;&gt;""),"Yes","No")</f>
        <v>No</v>
      </c>
      <c r="V133" s="218"/>
      <c r="W133" s="1"/>
      <c r="X133" s="100">
        <f t="shared" ca="1" si="10"/>
        <v>1</v>
      </c>
      <c r="Y133" s="1">
        <f t="shared" ca="1" si="11"/>
        <v>-30.795000000000005</v>
      </c>
      <c r="Z133" s="145" t="str">
        <f t="shared" ca="1" si="9"/>
        <v>RB12</v>
      </c>
      <c r="AA133" s="1">
        <f ca="1">Y133*LeagueInfo!$H$5</f>
        <v>-14.08381388457031</v>
      </c>
      <c r="AB133" s="1"/>
      <c r="AC133" s="1"/>
    </row>
    <row r="134" spans="1:29" x14ac:dyDescent="0.25">
      <c r="A134" s="1">
        <f>RANK(O134,O$3:O$174)</f>
        <v>132</v>
      </c>
      <c r="B134" s="1" t="s">
        <v>506</v>
      </c>
      <c r="C134" s="1" t="s">
        <v>32</v>
      </c>
      <c r="D134" s="1">
        <f>VLOOKUP(E134,BYEs!$A$2:$B$34,2,FALSE)</f>
        <v>11</v>
      </c>
      <c r="E134" s="1" t="s">
        <v>357</v>
      </c>
      <c r="F134" s="249">
        <v>0</v>
      </c>
      <c r="G134" s="250">
        <v>0</v>
      </c>
      <c r="H134" s="249">
        <v>4.4000000000000004</v>
      </c>
      <c r="I134" s="247">
        <v>18.600000000000001</v>
      </c>
      <c r="J134" s="250">
        <v>0.2</v>
      </c>
      <c r="K134" s="249">
        <v>3.9</v>
      </c>
      <c r="L134" s="247">
        <v>33.700000000000003</v>
      </c>
      <c r="M134" s="250">
        <v>0.2</v>
      </c>
      <c r="N134" s="251">
        <v>0</v>
      </c>
      <c r="O134" s="253">
        <f>(I134*RBRushingYd)+(J134*RBRushingTD)+(K134*RBReceptions)+(L134*RBRecYd)+(M134*RBRecTD)+(N134*RBFuml)+(H134*RBRushAtt)</f>
        <v>7.6300000000000017</v>
      </c>
      <c r="P134" s="1" t="str">
        <f ca="1">IF(A134&lt;=RBStarters,"Starter",IF(A134&gt;RBStarters+RBBench,"Undrafted","Bench"))</f>
        <v>Undrafted</v>
      </c>
      <c r="Q134" s="47">
        <f ca="1">IFERROR(MAX(O134-LARGE(O$3:O$174,RBStarters),0),0)</f>
        <v>0</v>
      </c>
      <c r="R134" s="47">
        <f ca="1">IFERROR(IF(AllowNegative="Yes",O134-LARGE(O$3:O$174,RBCount),MAX(O134-LARGE(O$3:O$174,RBCount),0)),0)</f>
        <v>-61.610000000000007</v>
      </c>
      <c r="S134" s="108">
        <f ca="1">(R134-Q134)*BenchPF+Q134*StarterPF</f>
        <v>-14.755339265626704</v>
      </c>
      <c r="T134" s="108">
        <f ca="1">S134*Auction!$A$2</f>
        <v>-14.755339265626704</v>
      </c>
      <c r="U134" s="25" t="str">
        <f>IF(OR(INDEX(Auction!$H$13:$H$683,MATCH(B134,Auction!$A$13:$A$683,0))&gt;0,IFERROR(INDEX(CheatSheet!$M$5:$M$64,MATCH(B134,CheatSheet!$J$5:$J$64,0)),"")&lt;&gt;""),"Yes","No")</f>
        <v>No</v>
      </c>
      <c r="V134" s="218"/>
      <c r="W134" s="1"/>
      <c r="X134" s="100">
        <f t="shared" ca="1" si="10"/>
        <v>1</v>
      </c>
      <c r="Y134" s="1">
        <f t="shared" ca="1" si="11"/>
        <v>-30.805000000000003</v>
      </c>
      <c r="Z134" s="145" t="str">
        <f t="shared" ca="1" si="9"/>
        <v>RB12</v>
      </c>
      <c r="AA134" s="1">
        <f ca="1">Y134*LeagueInfo!$H$5</f>
        <v>-14.08838729385252</v>
      </c>
      <c r="AB134" s="1"/>
      <c r="AC134" s="1"/>
    </row>
    <row r="135" spans="1:29" x14ac:dyDescent="0.25">
      <c r="A135" s="1">
        <f>RANK(O135,O$3:O$174)</f>
        <v>133</v>
      </c>
      <c r="B135" s="1" t="s">
        <v>508</v>
      </c>
      <c r="C135" s="1" t="s">
        <v>32</v>
      </c>
      <c r="D135" s="1">
        <f>VLOOKUP(E135,BYEs!$A$2:$B$34,2,FALSE)</f>
        <v>5</v>
      </c>
      <c r="E135" s="1" t="s">
        <v>358</v>
      </c>
      <c r="F135" s="249">
        <v>0</v>
      </c>
      <c r="G135" s="250">
        <v>0</v>
      </c>
      <c r="H135" s="249">
        <v>9</v>
      </c>
      <c r="I135" s="247">
        <v>39</v>
      </c>
      <c r="J135" s="250">
        <v>0.4</v>
      </c>
      <c r="K135" s="249">
        <v>2.2000000000000002</v>
      </c>
      <c r="L135" s="247">
        <v>14.4</v>
      </c>
      <c r="M135" s="250">
        <v>0</v>
      </c>
      <c r="N135" s="251">
        <v>0.1</v>
      </c>
      <c r="O135" s="253">
        <f>(I135*RBRushingYd)+(J135*RBRushingTD)+(K135*RBReceptions)+(L135*RBRecYd)+(M135*RBRecTD)+(N135*RBFuml)+(H135*RBRushAtt)</f>
        <v>7.5400000000000009</v>
      </c>
      <c r="P135" s="1" t="str">
        <f ca="1">IF(A135&lt;=RBStarters,"Starter",IF(A135&gt;RBStarters+RBBench,"Undrafted","Bench"))</f>
        <v>Undrafted</v>
      </c>
      <c r="Q135" s="47">
        <f ca="1">IFERROR(MAX(O135-LARGE(O$3:O$174,RBStarters),0),0)</f>
        <v>0</v>
      </c>
      <c r="R135" s="47">
        <f ca="1">IFERROR(IF(AllowNegative="Yes",O135-LARGE(O$3:O$174,RBCount),MAX(O135-LARGE(O$3:O$174,RBCount),0)),0)</f>
        <v>-61.70000000000001</v>
      </c>
      <c r="S135" s="108">
        <f ca="1">(R135-Q135)*BenchPF+Q135*StarterPF</f>
        <v>-14.776893892049468</v>
      </c>
      <c r="T135" s="108">
        <f ca="1">S135*Auction!$A$2</f>
        <v>-14.776893892049468</v>
      </c>
      <c r="U135" s="25" t="str">
        <f>IF(OR(INDEX(Auction!$H$13:$H$683,MATCH(B135,Auction!$A$13:$A$683,0))&gt;0,IFERROR(INDEX(CheatSheet!$M$5:$M$64,MATCH(B135,CheatSheet!$J$5:$J$64,0)),"")&lt;&gt;""),"Yes","No")</f>
        <v>No</v>
      </c>
      <c r="V135" s="218"/>
      <c r="W135" s="1"/>
      <c r="X135" s="100">
        <f t="shared" ca="1" si="10"/>
        <v>1</v>
      </c>
      <c r="Y135" s="1">
        <f t="shared" ca="1" si="11"/>
        <v>-30.850000000000005</v>
      </c>
      <c r="Z135" s="145" t="str">
        <f t="shared" ca="1" si="9"/>
        <v>RB12</v>
      </c>
      <c r="AA135" s="1">
        <f ca="1">Y135*LeagueInfo!$H$5</f>
        <v>-14.108967635622472</v>
      </c>
      <c r="AB135" s="1"/>
      <c r="AC135" s="1"/>
    </row>
    <row r="136" spans="1:29" x14ac:dyDescent="0.25">
      <c r="A136" s="1">
        <f>RANK(O136,O$3:O$174)</f>
        <v>134</v>
      </c>
      <c r="B136" s="1" t="s">
        <v>923</v>
      </c>
      <c r="C136" s="1" t="s">
        <v>32</v>
      </c>
      <c r="D136" s="1">
        <f>VLOOKUP(E136,BYEs!$A$2:$B$34,2,FALSE)</f>
        <v>8</v>
      </c>
      <c r="E136" s="1" t="s">
        <v>367</v>
      </c>
      <c r="F136" s="249">
        <v>0</v>
      </c>
      <c r="G136" s="250">
        <v>0</v>
      </c>
      <c r="H136" s="249">
        <v>6</v>
      </c>
      <c r="I136" s="247">
        <v>36</v>
      </c>
      <c r="J136" s="250">
        <v>0.1</v>
      </c>
      <c r="K136" s="249">
        <v>4</v>
      </c>
      <c r="L136" s="247">
        <v>30</v>
      </c>
      <c r="M136" s="250">
        <v>0.1</v>
      </c>
      <c r="N136" s="251">
        <v>0.2</v>
      </c>
      <c r="O136" s="253">
        <f>(I136*RBRushingYd)+(J136*RBRushingTD)+(K136*RBReceptions)+(L136*RBRecYd)+(M136*RBRecTD)+(N136*RBFuml)+(H136*RBRushAtt)</f>
        <v>7.4</v>
      </c>
      <c r="P136" s="1" t="str">
        <f ca="1">IF(A136&lt;=RBStarters,"Starter",IF(A136&gt;RBStarters+RBBench,"Undrafted","Bench"))</f>
        <v>Undrafted</v>
      </c>
      <c r="Q136" s="47">
        <f ca="1">IFERROR(MAX(O136-LARGE(O$3:O$174,RBStarters),0),0)</f>
        <v>0</v>
      </c>
      <c r="R136" s="47">
        <f ca="1">IFERROR(IF(AllowNegative="Yes",O136-LARGE(O$3:O$174,RBCount),MAX(O136-LARGE(O$3:O$174,RBCount),0)),0)</f>
        <v>-61.840000000000011</v>
      </c>
      <c r="S136" s="108">
        <f ca="1">(R136-Q136)*BenchPF+Q136*StarterPF</f>
        <v>-14.810423310929322</v>
      </c>
      <c r="T136" s="108">
        <f ca="1">S136*Auction!$A$2</f>
        <v>-14.810423310929322</v>
      </c>
      <c r="U136" s="25" t="str">
        <f>IF(OR(INDEX(Auction!$H$13:$H$683,MATCH(B136,Auction!$A$13:$A$683,0))&gt;0,IFERROR(INDEX(CheatSheet!$M$5:$M$64,MATCH(B136,CheatSheet!$J$5:$J$64,0)),"")&lt;&gt;""),"Yes","No")</f>
        <v>No</v>
      </c>
      <c r="V136" s="218"/>
      <c r="W136" s="1"/>
      <c r="X136" s="100">
        <f t="shared" ca="1" si="10"/>
        <v>1</v>
      </c>
      <c r="Y136" s="1">
        <f t="shared" ca="1" si="11"/>
        <v>-30.920000000000005</v>
      </c>
      <c r="Z136" s="145" t="str">
        <f t="shared" ca="1" si="9"/>
        <v>RB12</v>
      </c>
      <c r="AA136" s="1">
        <f ca="1">Y136*LeagueInfo!$H$5</f>
        <v>-14.140981500597952</v>
      </c>
      <c r="AB136" s="1"/>
      <c r="AC136" s="1"/>
    </row>
    <row r="137" spans="1:29" x14ac:dyDescent="0.25">
      <c r="A137" s="1">
        <f>RANK(O137,O$3:O$174)</f>
        <v>135</v>
      </c>
      <c r="B137" s="1" t="s">
        <v>510</v>
      </c>
      <c r="C137" s="1" t="s">
        <v>32</v>
      </c>
      <c r="D137" s="1">
        <f>VLOOKUP(E137,BYEs!$A$2:$B$34,2,FALSE)</f>
        <v>11</v>
      </c>
      <c r="E137" s="1" t="s">
        <v>356</v>
      </c>
      <c r="F137" s="249">
        <v>0</v>
      </c>
      <c r="G137" s="250">
        <v>0</v>
      </c>
      <c r="H137" s="249">
        <v>10.7</v>
      </c>
      <c r="I137" s="247">
        <v>45</v>
      </c>
      <c r="J137" s="250">
        <v>0.3</v>
      </c>
      <c r="K137" s="249">
        <v>2</v>
      </c>
      <c r="L137" s="247">
        <v>14.3</v>
      </c>
      <c r="M137" s="250">
        <v>0</v>
      </c>
      <c r="N137" s="251">
        <v>0.2</v>
      </c>
      <c r="O137" s="253">
        <f>(I137*RBRushingYd)+(J137*RBRushingTD)+(K137*RBReceptions)+(L137*RBRecYd)+(M137*RBRecTD)+(N137*RBFuml)+(H137*RBRushAtt)</f>
        <v>7.33</v>
      </c>
      <c r="P137" s="1" t="str">
        <f ca="1">IF(A137&lt;=RBStarters,"Starter",IF(A137&gt;RBStarters+RBBench,"Undrafted","Bench"))</f>
        <v>Undrafted</v>
      </c>
      <c r="Q137" s="47">
        <f ca="1">IFERROR(MAX(O137-LARGE(O$3:O$174,RBStarters),0),0)</f>
        <v>0</v>
      </c>
      <c r="R137" s="47">
        <f ca="1">IFERROR(IF(AllowNegative="Yes",O137-LARGE(O$3:O$174,RBCount),MAX(O137-LARGE(O$3:O$174,RBCount),0)),0)</f>
        <v>-61.910000000000011</v>
      </c>
      <c r="S137" s="108">
        <f ca="1">(R137-Q137)*BenchPF+Q137*StarterPF</f>
        <v>-14.827188020369247</v>
      </c>
      <c r="T137" s="108">
        <f ca="1">S137*Auction!$A$2</f>
        <v>-14.827188020369247</v>
      </c>
      <c r="U137" s="25" t="str">
        <f>IF(OR(INDEX(Auction!$H$13:$H$683,MATCH(B137,Auction!$A$13:$A$683,0))&gt;0,IFERROR(INDEX(CheatSheet!$M$5:$M$64,MATCH(B137,CheatSheet!$J$5:$J$64,0)),"")&lt;&gt;""),"Yes","No")</f>
        <v>No</v>
      </c>
      <c r="V137" s="218"/>
      <c r="W137" s="1"/>
      <c r="X137" s="100">
        <f t="shared" ca="1" si="10"/>
        <v>1</v>
      </c>
      <c r="Y137" s="1">
        <f t="shared" ca="1" si="11"/>
        <v>-30.955000000000005</v>
      </c>
      <c r="Z137" s="145" t="str">
        <f t="shared" ca="1" si="9"/>
        <v>RB12</v>
      </c>
      <c r="AA137" s="1">
        <f ca="1">Y137*LeagueInfo!$H$5</f>
        <v>-14.156988433085694</v>
      </c>
      <c r="AB137" s="1"/>
      <c r="AC137" s="1"/>
    </row>
    <row r="138" spans="1:29" x14ac:dyDescent="0.25">
      <c r="A138" s="1">
        <f>RANK(O138,O$3:O$174)</f>
        <v>136</v>
      </c>
      <c r="B138" s="1" t="s">
        <v>541</v>
      </c>
      <c r="C138" s="1" t="s">
        <v>32</v>
      </c>
      <c r="D138" s="1">
        <f>VLOOKUP(E138,BYEs!$A$2:$B$34,2,FALSE)</f>
        <v>6</v>
      </c>
      <c r="E138" s="1" t="s">
        <v>354</v>
      </c>
      <c r="F138" s="249">
        <v>0</v>
      </c>
      <c r="G138" s="250">
        <v>0</v>
      </c>
      <c r="H138" s="249">
        <v>1.6</v>
      </c>
      <c r="I138" s="247">
        <v>4.7</v>
      </c>
      <c r="J138" s="250">
        <v>0</v>
      </c>
      <c r="K138" s="249">
        <v>9.1</v>
      </c>
      <c r="L138" s="247">
        <v>66.599999999999994</v>
      </c>
      <c r="M138" s="250">
        <v>0</v>
      </c>
      <c r="N138" s="251">
        <v>0</v>
      </c>
      <c r="O138" s="253">
        <f>(I138*RBRushingYd)+(J138*RBRushingTD)+(K138*RBReceptions)+(L138*RBRecYd)+(M138*RBRecTD)+(N138*RBFuml)+(H138*RBRushAtt)</f>
        <v>7.13</v>
      </c>
      <c r="P138" s="1" t="str">
        <f ca="1">IF(A138&lt;=RBStarters,"Starter",IF(A138&gt;RBStarters+RBBench,"Undrafted","Bench"))</f>
        <v>Undrafted</v>
      </c>
      <c r="Q138" s="47">
        <f ca="1">IFERROR(MAX(O138-LARGE(O$3:O$174,RBStarters),0),0)</f>
        <v>0</v>
      </c>
      <c r="R138" s="47">
        <f ca="1">IFERROR(IF(AllowNegative="Yes",O138-LARGE(O$3:O$174,RBCount),MAX(O138-LARGE(O$3:O$174,RBCount),0)),0)</f>
        <v>-62.110000000000007</v>
      </c>
      <c r="S138" s="108">
        <f ca="1">(R138-Q138)*BenchPF+Q138*StarterPF</f>
        <v>-14.875087190197608</v>
      </c>
      <c r="T138" s="108">
        <f ca="1">S138*Auction!$A$2</f>
        <v>-14.875087190197608</v>
      </c>
      <c r="U138" s="25" t="str">
        <f>IF(OR(INDEX(Auction!$H$13:$H$683,MATCH(B138,Auction!$A$13:$A$683,0))&gt;0,IFERROR(INDEX(CheatSheet!$M$5:$M$64,MATCH(B138,CheatSheet!$J$5:$J$64,0)),"")&lt;&gt;""),"Yes","No")</f>
        <v>No</v>
      </c>
      <c r="V138" s="218"/>
      <c r="W138" s="1"/>
      <c r="X138" s="100">
        <f t="shared" ca="1" si="10"/>
        <v>1</v>
      </c>
      <c r="Y138" s="1">
        <f t="shared" ca="1" si="11"/>
        <v>-31.055000000000003</v>
      </c>
      <c r="Z138" s="145" t="str">
        <f t="shared" ca="1" si="9"/>
        <v>RB12</v>
      </c>
      <c r="AA138" s="1">
        <f ca="1">Y138*LeagueInfo!$H$5</f>
        <v>-14.202722525907808</v>
      </c>
      <c r="AB138" s="1"/>
      <c r="AC138" s="1"/>
    </row>
    <row r="139" spans="1:29" x14ac:dyDescent="0.25">
      <c r="A139" s="1">
        <f>RANK(O139,O$3:O$174)</f>
        <v>137</v>
      </c>
      <c r="B139" s="1" t="s">
        <v>512</v>
      </c>
      <c r="C139" s="1" t="s">
        <v>32</v>
      </c>
      <c r="D139" s="1">
        <f>VLOOKUP(E139,BYEs!$A$2:$B$34,2,FALSE)</f>
        <v>11</v>
      </c>
      <c r="E139" s="1" t="s">
        <v>355</v>
      </c>
      <c r="F139" s="249">
        <v>0</v>
      </c>
      <c r="G139" s="250">
        <v>0</v>
      </c>
      <c r="H139" s="249">
        <v>9.3000000000000007</v>
      </c>
      <c r="I139" s="247">
        <v>28.5</v>
      </c>
      <c r="J139" s="250">
        <v>0.1</v>
      </c>
      <c r="K139" s="249">
        <v>5.6</v>
      </c>
      <c r="L139" s="247">
        <v>40.5</v>
      </c>
      <c r="M139" s="250">
        <v>0</v>
      </c>
      <c r="N139" s="251">
        <v>0.2</v>
      </c>
      <c r="O139" s="253">
        <f>(I139*RBRushingYd)+(J139*RBRushingTD)+(K139*RBReceptions)+(L139*RBRecYd)+(M139*RBRecTD)+(N139*RBFuml)+(H139*RBRushAtt)</f>
        <v>7.1</v>
      </c>
      <c r="P139" s="1" t="str">
        <f ca="1">IF(A139&lt;=RBStarters,"Starter",IF(A139&gt;RBStarters+RBBench,"Undrafted","Bench"))</f>
        <v>Undrafted</v>
      </c>
      <c r="Q139" s="47">
        <f ca="1">IFERROR(MAX(O139-LARGE(O$3:O$174,RBStarters),0),0)</f>
        <v>0</v>
      </c>
      <c r="R139" s="47">
        <f ca="1">IFERROR(IF(AllowNegative="Yes",O139-LARGE(O$3:O$174,RBCount),MAX(O139-LARGE(O$3:O$174,RBCount),0)),0)</f>
        <v>-62.140000000000008</v>
      </c>
      <c r="S139" s="108">
        <f ca="1">(R139-Q139)*BenchPF+Q139*StarterPF</f>
        <v>-14.882272065671863</v>
      </c>
      <c r="T139" s="108">
        <f ca="1">S139*Auction!$A$2</f>
        <v>-14.882272065671863</v>
      </c>
      <c r="U139" s="25" t="str">
        <f>IF(OR(INDEX(Auction!$H$13:$H$683,MATCH(B139,Auction!$A$13:$A$683,0))&gt;0,IFERROR(INDEX(CheatSheet!$M$5:$M$64,MATCH(B139,CheatSheet!$J$5:$J$64,0)),"")&lt;&gt;""),"Yes","No")</f>
        <v>No</v>
      </c>
      <c r="V139" s="218"/>
      <c r="W139" s="1"/>
      <c r="X139" s="100">
        <f t="shared" ca="1" si="10"/>
        <v>1</v>
      </c>
      <c r="Y139" s="1">
        <f t="shared" ca="1" si="11"/>
        <v>-31.070000000000004</v>
      </c>
      <c r="Z139" s="145" t="str">
        <f t="shared" ca="1" si="9"/>
        <v>RB12</v>
      </c>
      <c r="AA139" s="1">
        <f ca="1">Y139*LeagueInfo!$H$5</f>
        <v>-14.209582639831124</v>
      </c>
      <c r="AB139" s="1"/>
      <c r="AC139" s="1"/>
    </row>
    <row r="140" spans="1:29" x14ac:dyDescent="0.25">
      <c r="A140" s="1">
        <f>RANK(O140,O$3:O$174)</f>
        <v>138</v>
      </c>
      <c r="B140" s="1" t="s">
        <v>540</v>
      </c>
      <c r="C140" s="1" t="s">
        <v>32</v>
      </c>
      <c r="D140" s="1">
        <f>VLOOKUP(E140,BYEs!$A$2:$B$34,2,FALSE)</f>
        <v>11</v>
      </c>
      <c r="E140" s="1" t="s">
        <v>356</v>
      </c>
      <c r="F140" s="249">
        <v>0</v>
      </c>
      <c r="G140" s="250">
        <v>0</v>
      </c>
      <c r="H140" s="249">
        <v>8.3000000000000007</v>
      </c>
      <c r="I140" s="247">
        <v>33.799999999999997</v>
      </c>
      <c r="J140" s="250">
        <v>0.1</v>
      </c>
      <c r="K140" s="249">
        <v>3.8</v>
      </c>
      <c r="L140" s="247">
        <v>30.4</v>
      </c>
      <c r="M140" s="250">
        <v>0</v>
      </c>
      <c r="N140" s="251">
        <v>0</v>
      </c>
      <c r="O140" s="253">
        <f>(I140*RBRushingYd)+(J140*RBRushingTD)+(K140*RBReceptions)+(L140*RBRecYd)+(M140*RBRecTD)+(N140*RBFuml)+(H140*RBRushAtt)</f>
        <v>7.02</v>
      </c>
      <c r="P140" s="1" t="str">
        <f ca="1">IF(A140&lt;=RBStarters,"Starter",IF(A140&gt;RBStarters+RBBench,"Undrafted","Bench"))</f>
        <v>Undrafted</v>
      </c>
      <c r="Q140" s="47">
        <f ca="1">IFERROR(MAX(O140-LARGE(O$3:O$174,RBStarters),0),0)</f>
        <v>0</v>
      </c>
      <c r="R140" s="47">
        <f ca="1">IFERROR(IF(AllowNegative="Yes",O140-LARGE(O$3:O$174,RBCount),MAX(O140-LARGE(O$3:O$174,RBCount),0)),0)</f>
        <v>-62.220000000000013</v>
      </c>
      <c r="S140" s="108">
        <f ca="1">(R140-Q140)*BenchPF+Q140*StarterPF</f>
        <v>-14.901431733603209</v>
      </c>
      <c r="T140" s="108">
        <f ca="1">S140*Auction!$A$2</f>
        <v>-14.901431733603209</v>
      </c>
      <c r="U140" s="25" t="str">
        <f>IF(OR(INDEX(Auction!$H$13:$H$683,MATCH(B140,Auction!$A$13:$A$683,0))&gt;0,IFERROR(INDEX(CheatSheet!$M$5:$M$64,MATCH(B140,CheatSheet!$J$5:$J$64,0)),"")&lt;&gt;""),"Yes","No")</f>
        <v>No</v>
      </c>
      <c r="V140" s="218"/>
      <c r="W140" s="1"/>
      <c r="X140" s="100">
        <f t="shared" ca="1" si="10"/>
        <v>1</v>
      </c>
      <c r="Y140" s="1">
        <f t="shared" ca="1" si="11"/>
        <v>-31.110000000000007</v>
      </c>
      <c r="Z140" s="145" t="str">
        <f t="shared" ca="1" si="9"/>
        <v>RB12</v>
      </c>
      <c r="AA140" s="1">
        <f ca="1">Y140*LeagueInfo!$H$5</f>
        <v>-14.227876276959972</v>
      </c>
      <c r="AB140" s="1"/>
      <c r="AC140" s="1"/>
    </row>
    <row r="141" spans="1:29" x14ac:dyDescent="0.25">
      <c r="A141" s="1">
        <f>RANK(O141,O$3:O$174)</f>
        <v>139</v>
      </c>
      <c r="B141" s="1" t="s">
        <v>511</v>
      </c>
      <c r="C141" s="1" t="s">
        <v>32</v>
      </c>
      <c r="D141" s="1">
        <f>VLOOKUP(E141,BYEs!$A$2:$B$34,2,FALSE)</f>
        <v>6</v>
      </c>
      <c r="E141" s="1" t="s">
        <v>364</v>
      </c>
      <c r="F141" s="249">
        <v>0</v>
      </c>
      <c r="G141" s="250">
        <v>0</v>
      </c>
      <c r="H141" s="249">
        <v>5</v>
      </c>
      <c r="I141" s="247">
        <v>18</v>
      </c>
      <c r="J141" s="250">
        <v>0.1</v>
      </c>
      <c r="K141" s="249">
        <v>5.2</v>
      </c>
      <c r="L141" s="247">
        <v>39.5</v>
      </c>
      <c r="M141" s="250">
        <v>0.1</v>
      </c>
      <c r="N141" s="251">
        <v>0</v>
      </c>
      <c r="O141" s="253">
        <f>(I141*RBRushingYd)+(J141*RBRushingTD)+(K141*RBReceptions)+(L141*RBRecYd)+(M141*RBRecTD)+(N141*RBFuml)+(H141*RBRushAtt)</f>
        <v>6.9500000000000011</v>
      </c>
      <c r="P141" s="1" t="str">
        <f ca="1">IF(A141&lt;=RBStarters,"Starter",IF(A141&gt;RBStarters+RBBench,"Undrafted","Bench"))</f>
        <v>Undrafted</v>
      </c>
      <c r="Q141" s="47">
        <f ca="1">IFERROR(MAX(O141-LARGE(O$3:O$174,RBStarters),0),0)</f>
        <v>0</v>
      </c>
      <c r="R141" s="47">
        <f ca="1">IFERROR(IF(AllowNegative="Yes",O141-LARGE(O$3:O$174,RBCount),MAX(O141-LARGE(O$3:O$174,RBCount),0)),0)</f>
        <v>-62.290000000000006</v>
      </c>
      <c r="S141" s="108">
        <f ca="1">(R141-Q141)*BenchPF+Q141*StarterPF</f>
        <v>-14.918196443043133</v>
      </c>
      <c r="T141" s="108">
        <f ca="1">S141*Auction!$A$2</f>
        <v>-14.918196443043133</v>
      </c>
      <c r="U141" s="25" t="str">
        <f>IF(OR(INDEX(Auction!$H$13:$H$683,MATCH(B141,Auction!$A$13:$A$683,0))&gt;0,IFERROR(INDEX(CheatSheet!$M$5:$M$64,MATCH(B141,CheatSheet!$J$5:$J$64,0)),"")&lt;&gt;""),"Yes","No")</f>
        <v>No</v>
      </c>
      <c r="V141" s="218"/>
      <c r="W141" s="1"/>
      <c r="X141" s="100">
        <f t="shared" ca="1" si="10"/>
        <v>1</v>
      </c>
      <c r="Y141" s="1">
        <f t="shared" ca="1" si="11"/>
        <v>-31.145000000000003</v>
      </c>
      <c r="Z141" s="145" t="str">
        <f t="shared" ca="1" si="9"/>
        <v>RB12</v>
      </c>
      <c r="AA141" s="1">
        <f ca="1">Y141*LeagueInfo!$H$5</f>
        <v>-14.243883209447711</v>
      </c>
      <c r="AB141" s="1"/>
      <c r="AC141" s="1"/>
    </row>
    <row r="142" spans="1:29" x14ac:dyDescent="0.25">
      <c r="A142" s="1">
        <f>RANK(O142,O$3:O$174)</f>
        <v>140</v>
      </c>
      <c r="B142" s="1" t="s">
        <v>513</v>
      </c>
      <c r="C142" s="1" t="s">
        <v>32</v>
      </c>
      <c r="D142" s="1">
        <f>VLOOKUP(E142,BYEs!$A$2:$B$34,2,FALSE)</f>
        <v>10</v>
      </c>
      <c r="E142" s="1" t="s">
        <v>365</v>
      </c>
      <c r="F142" s="249">
        <v>0</v>
      </c>
      <c r="G142" s="250">
        <v>0</v>
      </c>
      <c r="H142" s="249">
        <v>10</v>
      </c>
      <c r="I142" s="247">
        <v>40</v>
      </c>
      <c r="J142" s="250">
        <v>0.2</v>
      </c>
      <c r="K142" s="249">
        <v>2</v>
      </c>
      <c r="L142" s="247">
        <v>12</v>
      </c>
      <c r="M142" s="250">
        <v>0.1</v>
      </c>
      <c r="N142" s="251">
        <v>0.1</v>
      </c>
      <c r="O142" s="253">
        <f>(I142*RBRushingYd)+(J142*RBRushingTD)+(K142*RBReceptions)+(L142*RBRecYd)+(M142*RBRecTD)+(N142*RBFuml)+(H142*RBRushAtt)</f>
        <v>6.8</v>
      </c>
      <c r="P142" s="1" t="str">
        <f ca="1">IF(A142&lt;=RBStarters,"Starter",IF(A142&gt;RBStarters+RBBench,"Undrafted","Bench"))</f>
        <v>Undrafted</v>
      </c>
      <c r="Q142" s="47">
        <f ca="1">IFERROR(MAX(O142-LARGE(O$3:O$174,RBStarters),0),0)</f>
        <v>0</v>
      </c>
      <c r="R142" s="47">
        <f ca="1">IFERROR(IF(AllowNegative="Yes",O142-LARGE(O$3:O$174,RBCount),MAX(O142-LARGE(O$3:O$174,RBCount),0)),0)</f>
        <v>-62.440000000000012</v>
      </c>
      <c r="S142" s="108">
        <f ca="1">(R142-Q142)*BenchPF+Q142*StarterPF</f>
        <v>-14.954120820414406</v>
      </c>
      <c r="T142" s="108">
        <f ca="1">S142*Auction!$A$2</f>
        <v>-14.954120820414406</v>
      </c>
      <c r="U142" s="25" t="str">
        <f>IF(OR(INDEX(Auction!$H$13:$H$683,MATCH(B142,Auction!$A$13:$A$683,0))&gt;0,IFERROR(INDEX(CheatSheet!$M$5:$M$64,MATCH(B142,CheatSheet!$J$5:$J$64,0)),"")&lt;&gt;""),"Yes","No")</f>
        <v>No</v>
      </c>
      <c r="V142" s="218"/>
      <c r="W142" s="1"/>
      <c r="X142" s="100">
        <f t="shared" ca="1" si="10"/>
        <v>1</v>
      </c>
      <c r="Y142" s="1">
        <f t="shared" ca="1" si="11"/>
        <v>-31.220000000000006</v>
      </c>
      <c r="Z142" s="145" t="str">
        <f t="shared" ca="1" si="9"/>
        <v>RB12</v>
      </c>
      <c r="AA142" s="1">
        <f ca="1">Y142*LeagueInfo!$H$5</f>
        <v>-14.278183779064298</v>
      </c>
      <c r="AB142" s="1"/>
      <c r="AC142" s="1"/>
    </row>
    <row r="143" spans="1:29" x14ac:dyDescent="0.25">
      <c r="A143" s="1">
        <f>RANK(O143,O$3:O$174)</f>
        <v>141</v>
      </c>
      <c r="B143" s="1" t="s">
        <v>505</v>
      </c>
      <c r="C143" s="1" t="s">
        <v>32</v>
      </c>
      <c r="D143" s="1">
        <f>VLOOKUP(E143,BYEs!$A$2:$B$34,2,FALSE)</f>
        <v>11</v>
      </c>
      <c r="E143" s="1" t="s">
        <v>378</v>
      </c>
      <c r="F143" s="249">
        <v>0</v>
      </c>
      <c r="G143" s="250">
        <v>0</v>
      </c>
      <c r="H143" s="249">
        <v>9.1999999999999993</v>
      </c>
      <c r="I143" s="247">
        <v>39.200000000000003</v>
      </c>
      <c r="J143" s="250">
        <v>0.1</v>
      </c>
      <c r="K143" s="249">
        <v>1.7</v>
      </c>
      <c r="L143" s="247">
        <v>18.399999999999999</v>
      </c>
      <c r="M143" s="250">
        <v>0.1</v>
      </c>
      <c r="N143" s="251">
        <v>0.1</v>
      </c>
      <c r="O143" s="253">
        <f>(I143*RBRushingYd)+(J143*RBRushingTD)+(K143*RBReceptions)+(L143*RBRecYd)+(M143*RBRecTD)+(N143*RBFuml)+(H143*RBRushAtt)</f>
        <v>6.7600000000000007</v>
      </c>
      <c r="P143" s="1" t="str">
        <f ca="1">IF(A143&lt;=RBStarters,"Starter",IF(A143&gt;RBStarters+RBBench,"Undrafted","Bench"))</f>
        <v>Undrafted</v>
      </c>
      <c r="Q143" s="47">
        <f ca="1">IFERROR(MAX(O143-LARGE(O$3:O$174,RBStarters),0),0)</f>
        <v>0</v>
      </c>
      <c r="R143" s="47">
        <f ca="1">IFERROR(IF(AllowNegative="Yes",O143-LARGE(O$3:O$174,RBCount),MAX(O143-LARGE(O$3:O$174,RBCount),0)),0)</f>
        <v>-62.480000000000011</v>
      </c>
      <c r="S143" s="108">
        <f ca="1">(R143-Q143)*BenchPF+Q143*StarterPF</f>
        <v>-14.963700654380078</v>
      </c>
      <c r="T143" s="108">
        <f ca="1">S143*Auction!$A$2</f>
        <v>-14.963700654380078</v>
      </c>
      <c r="U143" s="25" t="str">
        <f>IF(OR(INDEX(Auction!$H$13:$H$683,MATCH(B143,Auction!$A$13:$A$683,0))&gt;0,IFERROR(INDEX(CheatSheet!$M$5:$M$64,MATCH(B143,CheatSheet!$J$5:$J$64,0)),"")&lt;&gt;""),"Yes","No")</f>
        <v>No</v>
      </c>
      <c r="V143" s="218"/>
      <c r="W143" s="1"/>
      <c r="X143" s="100">
        <f t="shared" ca="1" si="10"/>
        <v>1</v>
      </c>
      <c r="Y143" s="1">
        <f t="shared" ca="1" si="11"/>
        <v>-31.240000000000006</v>
      </c>
      <c r="Z143" s="145" t="str">
        <f t="shared" ca="1" si="9"/>
        <v>RB12</v>
      </c>
      <c r="AA143" s="1">
        <f ca="1">Y143*LeagueInfo!$H$5</f>
        <v>-14.287330597628721</v>
      </c>
      <c r="AB143" s="1"/>
      <c r="AC143" s="1"/>
    </row>
    <row r="144" spans="1:29" x14ac:dyDescent="0.25">
      <c r="A144" s="1">
        <f>RANK(O144,O$3:O$174)</f>
        <v>142</v>
      </c>
      <c r="B144" s="1" t="s">
        <v>543</v>
      </c>
      <c r="C144" s="1" t="s">
        <v>32</v>
      </c>
      <c r="D144" s="1">
        <f>VLOOKUP(E144,BYEs!$A$2:$B$34,2,FALSE)</f>
        <v>9</v>
      </c>
      <c r="E144" s="1" t="s">
        <v>363</v>
      </c>
      <c r="F144" s="249">
        <v>0</v>
      </c>
      <c r="G144" s="250">
        <v>0</v>
      </c>
      <c r="H144" s="249">
        <v>8</v>
      </c>
      <c r="I144" s="247">
        <v>33.9</v>
      </c>
      <c r="J144" s="250">
        <v>0.2</v>
      </c>
      <c r="K144" s="249">
        <v>3.2</v>
      </c>
      <c r="L144" s="247">
        <v>21.3</v>
      </c>
      <c r="M144" s="250">
        <v>0</v>
      </c>
      <c r="N144" s="251">
        <v>0</v>
      </c>
      <c r="O144" s="253">
        <f>(I144*RBRushingYd)+(J144*RBRushingTD)+(K144*RBReceptions)+(L144*RBRecYd)+(M144*RBRecTD)+(N144*RBFuml)+(H144*RBRushAtt)</f>
        <v>6.7200000000000006</v>
      </c>
      <c r="P144" s="1" t="str">
        <f ca="1">IF(A144&lt;=RBStarters,"Starter",IF(A144&gt;RBStarters+RBBench,"Undrafted","Bench"))</f>
        <v>Undrafted</v>
      </c>
      <c r="Q144" s="47">
        <f ca="1">IFERROR(MAX(O144-LARGE(O$3:O$174,RBStarters),0),0)</f>
        <v>0</v>
      </c>
      <c r="R144" s="47">
        <f ca="1">IFERROR(IF(AllowNegative="Yes",O144-LARGE(O$3:O$174,RBCount),MAX(O144-LARGE(O$3:O$174,RBCount),0)),0)</f>
        <v>-62.52000000000001</v>
      </c>
      <c r="S144" s="108">
        <f ca="1">(R144-Q144)*BenchPF+Q144*StarterPF</f>
        <v>-14.97328048834575</v>
      </c>
      <c r="T144" s="108">
        <f ca="1">S144*Auction!$A$2</f>
        <v>-14.97328048834575</v>
      </c>
      <c r="U144" s="25" t="str">
        <f>IF(OR(INDEX(Auction!$H$13:$H$683,MATCH(B144,Auction!$A$13:$A$683,0))&gt;0,IFERROR(INDEX(CheatSheet!$M$5:$M$64,MATCH(B144,CheatSheet!$J$5:$J$64,0)),"")&lt;&gt;""),"Yes","No")</f>
        <v>No</v>
      </c>
      <c r="V144" s="218"/>
      <c r="W144" s="1"/>
      <c r="X144" s="100">
        <f t="shared" ca="1" si="10"/>
        <v>1</v>
      </c>
      <c r="Y144" s="1">
        <f t="shared" ca="1" si="11"/>
        <v>-31.260000000000005</v>
      </c>
      <c r="Z144" s="145" t="str">
        <f t="shared" ca="1" si="9"/>
        <v>RB12</v>
      </c>
      <c r="AA144" s="1">
        <f ca="1">Y144*LeagueInfo!$H$5</f>
        <v>-14.296477416193143</v>
      </c>
      <c r="AB144" s="1"/>
      <c r="AC144" s="1"/>
    </row>
    <row r="145" spans="1:29" x14ac:dyDescent="0.25">
      <c r="A145" s="1">
        <f>RANK(O145,O$3:O$174)</f>
        <v>143</v>
      </c>
      <c r="B145" s="1" t="s">
        <v>514</v>
      </c>
      <c r="C145" s="1" t="s">
        <v>32</v>
      </c>
      <c r="D145" s="1">
        <f>VLOOKUP(E145,BYEs!$A$2:$B$34,2,FALSE)</f>
        <v>9</v>
      </c>
      <c r="E145" s="1" t="s">
        <v>361</v>
      </c>
      <c r="F145" s="249">
        <v>0</v>
      </c>
      <c r="G145" s="250">
        <v>0</v>
      </c>
      <c r="H145" s="249">
        <v>3.9</v>
      </c>
      <c r="I145" s="247">
        <v>15.9</v>
      </c>
      <c r="J145" s="250">
        <v>0.2</v>
      </c>
      <c r="K145" s="249">
        <v>3.5</v>
      </c>
      <c r="L145" s="247">
        <v>38.6</v>
      </c>
      <c r="M145" s="250">
        <v>0</v>
      </c>
      <c r="N145" s="251">
        <v>0</v>
      </c>
      <c r="O145" s="253">
        <f>(I145*RBRushingYd)+(J145*RBRushingTD)+(K145*RBReceptions)+(L145*RBRecYd)+(M145*RBRecTD)+(N145*RBFuml)+(H145*RBRushAtt)</f>
        <v>6.65</v>
      </c>
      <c r="P145" s="1" t="str">
        <f ca="1">IF(A145&lt;=RBStarters,"Starter",IF(A145&gt;RBStarters+RBBench,"Undrafted","Bench"))</f>
        <v>Undrafted</v>
      </c>
      <c r="Q145" s="47">
        <f ca="1">IFERROR(MAX(O145-LARGE(O$3:O$174,RBStarters),0),0)</f>
        <v>0</v>
      </c>
      <c r="R145" s="47">
        <f ca="1">IFERROR(IF(AllowNegative="Yes",O145-LARGE(O$3:O$174,RBCount),MAX(O145-LARGE(O$3:O$174,RBCount),0)),0)</f>
        <v>-62.590000000000011</v>
      </c>
      <c r="S145" s="108">
        <f ca="1">(R145-Q145)*BenchPF+Q145*StarterPF</f>
        <v>-14.990045197785676</v>
      </c>
      <c r="T145" s="108">
        <f ca="1">S145*Auction!$A$2</f>
        <v>-14.990045197785676</v>
      </c>
      <c r="U145" s="25" t="str">
        <f>IF(OR(INDEX(Auction!$H$13:$H$683,MATCH(B145,Auction!$A$13:$A$683,0))&gt;0,IFERROR(INDEX(CheatSheet!$M$5:$M$64,MATCH(B145,CheatSheet!$J$5:$J$64,0)),"")&lt;&gt;""),"Yes","No")</f>
        <v>No</v>
      </c>
      <c r="V145" s="218"/>
      <c r="W145" s="1"/>
      <c r="X145" s="100">
        <f t="shared" ca="1" si="10"/>
        <v>1</v>
      </c>
      <c r="Y145" s="1">
        <f t="shared" ca="1" si="11"/>
        <v>-31.295000000000005</v>
      </c>
      <c r="Z145" s="145" t="str">
        <f t="shared" ca="1" si="9"/>
        <v>RB12</v>
      </c>
      <c r="AA145" s="1">
        <f ca="1">Y145*LeagueInfo!$H$5</f>
        <v>-14.312484348680883</v>
      </c>
      <c r="AB145" s="1"/>
      <c r="AC145" s="1"/>
    </row>
    <row r="146" spans="1:29" x14ac:dyDescent="0.25">
      <c r="A146" s="1">
        <f>RANK(O146,O$3:O$174)</f>
        <v>144</v>
      </c>
      <c r="B146" s="1" t="s">
        <v>545</v>
      </c>
      <c r="C146" s="1" t="s">
        <v>32</v>
      </c>
      <c r="D146" s="1">
        <f>VLOOKUP(E146,BYEs!$A$2:$B$34,2,FALSE)</f>
        <v>10</v>
      </c>
      <c r="E146" s="1" t="s">
        <v>369</v>
      </c>
      <c r="F146" s="249">
        <v>0</v>
      </c>
      <c r="G146" s="250">
        <v>0</v>
      </c>
      <c r="H146" s="249">
        <v>8.3000000000000007</v>
      </c>
      <c r="I146" s="247">
        <v>32.799999999999997</v>
      </c>
      <c r="J146" s="250">
        <v>0.2</v>
      </c>
      <c r="K146" s="249">
        <v>3.3</v>
      </c>
      <c r="L146" s="247">
        <v>19.399999999999999</v>
      </c>
      <c r="M146" s="250">
        <v>0</v>
      </c>
      <c r="N146" s="251">
        <v>0</v>
      </c>
      <c r="O146" s="253">
        <f>(I146*RBRushingYd)+(J146*RBRushingTD)+(K146*RBReceptions)+(L146*RBRecYd)+(M146*RBRecTD)+(N146*RBFuml)+(H146*RBRushAtt)</f>
        <v>6.42</v>
      </c>
      <c r="P146" s="1" t="str">
        <f ca="1">IF(A146&lt;=RBStarters,"Starter",IF(A146&gt;RBStarters+RBBench,"Undrafted","Bench"))</f>
        <v>Undrafted</v>
      </c>
      <c r="Q146" s="47">
        <f ca="1">IFERROR(MAX(O146-LARGE(O$3:O$174,RBStarters),0),0)</f>
        <v>0</v>
      </c>
      <c r="R146" s="47">
        <f ca="1">IFERROR(IF(AllowNegative="Yes",O146-LARGE(O$3:O$174,RBCount),MAX(O146-LARGE(O$3:O$174,RBCount),0)),0)</f>
        <v>-62.820000000000007</v>
      </c>
      <c r="S146" s="108">
        <f ca="1">(R146-Q146)*BenchPF+Q146*StarterPF</f>
        <v>-15.04512924308829</v>
      </c>
      <c r="T146" s="108">
        <f ca="1">S146*Auction!$A$2</f>
        <v>-15.04512924308829</v>
      </c>
      <c r="U146" s="25" t="str">
        <f>IF(OR(INDEX(Auction!$H$13:$H$683,MATCH(B146,Auction!$A$13:$A$683,0))&gt;0,IFERROR(INDEX(CheatSheet!$M$5:$M$64,MATCH(B146,CheatSheet!$J$5:$J$64,0)),"")&lt;&gt;""),"Yes","No")</f>
        <v>No</v>
      </c>
      <c r="V146" s="218"/>
      <c r="W146" s="1"/>
      <c r="X146" s="100">
        <f t="shared" ca="1" si="10"/>
        <v>1</v>
      </c>
      <c r="Y146" s="1">
        <f t="shared" ca="1" si="11"/>
        <v>-31.410000000000004</v>
      </c>
      <c r="Z146" s="145" t="str">
        <f t="shared" ca="1" si="9"/>
        <v>RB12</v>
      </c>
      <c r="AA146" s="1">
        <f ca="1">Y146*LeagueInfo!$H$5</f>
        <v>-14.365078555426315</v>
      </c>
      <c r="AB146" s="1"/>
      <c r="AC146" s="1"/>
    </row>
    <row r="147" spans="1:29" x14ac:dyDescent="0.25">
      <c r="A147" s="1">
        <f>RANK(O147,O$3:O$174)</f>
        <v>145</v>
      </c>
      <c r="B147" s="1" t="s">
        <v>535</v>
      </c>
      <c r="C147" s="1" t="s">
        <v>32</v>
      </c>
      <c r="D147" s="1">
        <f>VLOOKUP(E147,BYEs!$A$2:$B$34,2,FALSE)</f>
        <v>6</v>
      </c>
      <c r="E147" s="1" t="s">
        <v>364</v>
      </c>
      <c r="F147" s="249">
        <v>0</v>
      </c>
      <c r="G147" s="250">
        <v>0</v>
      </c>
      <c r="H147" s="249">
        <v>9.8000000000000007</v>
      </c>
      <c r="I147" s="247">
        <v>33.6</v>
      </c>
      <c r="J147" s="250">
        <v>0.1</v>
      </c>
      <c r="K147" s="249">
        <v>3.7</v>
      </c>
      <c r="L147" s="247">
        <v>21.8</v>
      </c>
      <c r="M147" s="250">
        <v>0</v>
      </c>
      <c r="N147" s="251">
        <v>0</v>
      </c>
      <c r="O147" s="253">
        <f>(I147*RBRushingYd)+(J147*RBRushingTD)+(K147*RBReceptions)+(L147*RBRecYd)+(M147*RBRecTD)+(N147*RBFuml)+(H147*RBRushAtt)</f>
        <v>6.1400000000000006</v>
      </c>
      <c r="P147" s="1" t="str">
        <f ca="1">IF(A147&lt;=RBStarters,"Starter",IF(A147&gt;RBStarters+RBBench,"Undrafted","Bench"))</f>
        <v>Undrafted</v>
      </c>
      <c r="Q147" s="47">
        <f ca="1">IFERROR(MAX(O147-LARGE(O$3:O$174,RBStarters),0),0)</f>
        <v>0</v>
      </c>
      <c r="R147" s="47">
        <f ca="1">IFERROR(IF(AllowNegative="Yes",O147-LARGE(O$3:O$174,RBCount),MAX(O147-LARGE(O$3:O$174,RBCount),0)),0)</f>
        <v>-63.100000000000009</v>
      </c>
      <c r="S147" s="108">
        <f ca="1">(R147-Q147)*BenchPF+Q147*StarterPF</f>
        <v>-15.112188080847996</v>
      </c>
      <c r="T147" s="108">
        <f ca="1">S147*Auction!$A$2</f>
        <v>-15.112188080847996</v>
      </c>
      <c r="U147" s="25" t="str">
        <f>IF(OR(INDEX(Auction!$H$13:$H$683,MATCH(B147,Auction!$A$13:$A$683,0))&gt;0,IFERROR(INDEX(CheatSheet!$M$5:$M$64,MATCH(B147,CheatSheet!$J$5:$J$64,0)),"")&lt;&gt;""),"Yes","No")</f>
        <v>No</v>
      </c>
      <c r="V147" s="218"/>
      <c r="W147" s="1"/>
      <c r="X147" s="100">
        <f t="shared" ca="1" si="10"/>
        <v>1</v>
      </c>
      <c r="Y147" s="1">
        <f t="shared" ca="1" si="11"/>
        <v>-31.550000000000004</v>
      </c>
      <c r="Z147" s="145" t="str">
        <f t="shared" ca="1" si="9"/>
        <v>RB12</v>
      </c>
      <c r="AA147" s="1">
        <f ca="1">Y147*LeagueInfo!$H$5</f>
        <v>-14.429106285377276</v>
      </c>
      <c r="AB147" s="1"/>
      <c r="AC147" s="1"/>
    </row>
    <row r="148" spans="1:29" x14ac:dyDescent="0.25">
      <c r="A148" s="1">
        <f>RANK(O148,O$3:O$174)</f>
        <v>146</v>
      </c>
      <c r="B148" s="1" t="s">
        <v>517</v>
      </c>
      <c r="C148" s="1" t="s">
        <v>32</v>
      </c>
      <c r="D148" s="1">
        <f>VLOOKUP(E148,BYEs!$A$2:$B$34,2,FALSE)</f>
        <v>10</v>
      </c>
      <c r="E148" s="1" t="s">
        <v>371</v>
      </c>
      <c r="F148" s="249">
        <v>0</v>
      </c>
      <c r="G148" s="250">
        <v>0</v>
      </c>
      <c r="H148" s="249">
        <v>9.1</v>
      </c>
      <c r="I148" s="247">
        <v>36.799999999999997</v>
      </c>
      <c r="J148" s="250">
        <v>0.2</v>
      </c>
      <c r="K148" s="249">
        <v>2.5</v>
      </c>
      <c r="L148" s="247">
        <v>15</v>
      </c>
      <c r="M148" s="250">
        <v>0</v>
      </c>
      <c r="N148" s="251">
        <v>0.2</v>
      </c>
      <c r="O148" s="253">
        <f>(I148*RBRushingYd)+(J148*RBRushingTD)+(K148*RBReceptions)+(L148*RBRecYd)+(M148*RBRecTD)+(N148*RBFuml)+(H148*RBRushAtt)</f>
        <v>5.9799999999999995</v>
      </c>
      <c r="P148" s="1" t="str">
        <f ca="1">IF(A148&lt;=RBStarters,"Starter",IF(A148&gt;RBStarters+RBBench,"Undrafted","Bench"))</f>
        <v>Undrafted</v>
      </c>
      <c r="Q148" s="47">
        <f ca="1">IFERROR(MAX(O148-LARGE(O$3:O$174,RBStarters),0),0)</f>
        <v>0</v>
      </c>
      <c r="R148" s="47">
        <f ca="1">IFERROR(IF(AllowNegative="Yes",O148-LARGE(O$3:O$174,RBCount),MAX(O148-LARGE(O$3:O$174,RBCount),0)),0)</f>
        <v>-63.260000000000012</v>
      </c>
      <c r="S148" s="108">
        <f ca="1">(R148-Q148)*BenchPF+Q148*StarterPF</f>
        <v>-15.150507416710687</v>
      </c>
      <c r="T148" s="108">
        <f ca="1">S148*Auction!$A$2</f>
        <v>-15.150507416710687</v>
      </c>
      <c r="U148" s="25" t="str">
        <f>IF(OR(INDEX(Auction!$H$13:$H$683,MATCH(B148,Auction!$A$13:$A$683,0))&gt;0,IFERROR(INDEX(CheatSheet!$M$5:$M$64,MATCH(B148,CheatSheet!$J$5:$J$64,0)),"")&lt;&gt;""),"Yes","No")</f>
        <v>No</v>
      </c>
      <c r="V148" s="218"/>
      <c r="W148" s="1"/>
      <c r="X148" s="100">
        <f t="shared" ca="1" si="10"/>
        <v>1</v>
      </c>
      <c r="Y148" s="1">
        <f t="shared" ca="1" si="11"/>
        <v>-31.630000000000006</v>
      </c>
      <c r="Z148" s="145" t="str">
        <f t="shared" ca="1" si="9"/>
        <v>RB12</v>
      </c>
      <c r="AA148" s="1">
        <f ca="1">Y148*LeagueInfo!$H$5</f>
        <v>-14.465693559634969</v>
      </c>
      <c r="AB148" s="1"/>
      <c r="AC148" s="1"/>
    </row>
    <row r="149" spans="1:29" x14ac:dyDescent="0.25">
      <c r="A149" s="1">
        <f>RANK(O149,O$3:O$174)</f>
        <v>147</v>
      </c>
      <c r="B149" s="1" t="s">
        <v>499</v>
      </c>
      <c r="C149" s="1" t="s">
        <v>32</v>
      </c>
      <c r="D149" s="1">
        <f>VLOOKUP(E149,BYEs!$A$2:$B$34,2,FALSE)</f>
        <v>8</v>
      </c>
      <c r="E149" s="1" t="s">
        <v>370</v>
      </c>
      <c r="F149" s="249">
        <v>0</v>
      </c>
      <c r="G149" s="250">
        <v>0</v>
      </c>
      <c r="H149" s="249">
        <v>8</v>
      </c>
      <c r="I149" s="247">
        <v>29.5</v>
      </c>
      <c r="J149" s="250">
        <v>0.2</v>
      </c>
      <c r="K149" s="249">
        <v>1.5</v>
      </c>
      <c r="L149" s="247">
        <v>11.5</v>
      </c>
      <c r="M149" s="250">
        <v>0.1</v>
      </c>
      <c r="N149" s="251">
        <v>0.1</v>
      </c>
      <c r="O149" s="253">
        <f>(I149*RBRushingYd)+(J149*RBRushingTD)+(K149*RBReceptions)+(L149*RBRecYd)+(M149*RBRecTD)+(N149*RBFuml)+(H149*RBRushAtt)</f>
        <v>5.7</v>
      </c>
      <c r="P149" s="1" t="str">
        <f ca="1">IF(A149&lt;=RBStarters,"Starter",IF(A149&gt;RBStarters+RBBench,"Undrafted","Bench"))</f>
        <v>Undrafted</v>
      </c>
      <c r="Q149" s="47">
        <f ca="1">IFERROR(MAX(O149-LARGE(O$3:O$174,RBStarters),0),0)</f>
        <v>0</v>
      </c>
      <c r="R149" s="47">
        <f ca="1">IFERROR(IF(AllowNegative="Yes",O149-LARGE(O$3:O$174,RBCount),MAX(O149-LARGE(O$3:O$174,RBCount),0)),0)</f>
        <v>-63.540000000000006</v>
      </c>
      <c r="S149" s="108">
        <f ca="1">(R149-Q149)*BenchPF+Q149*StarterPF</f>
        <v>-15.217566254470391</v>
      </c>
      <c r="T149" s="108">
        <f ca="1">S149*Auction!$A$2</f>
        <v>-15.217566254470391</v>
      </c>
      <c r="U149" s="25" t="str">
        <f>IF(OR(INDEX(Auction!$H$13:$H$683,MATCH(B149,Auction!$A$13:$A$683,0))&gt;0,IFERROR(INDEX(CheatSheet!$M$5:$M$64,MATCH(B149,CheatSheet!$J$5:$J$64,0)),"")&lt;&gt;""),"Yes","No")</f>
        <v>No</v>
      </c>
      <c r="V149" s="218"/>
      <c r="W149" s="1"/>
      <c r="X149" s="100">
        <f t="shared" ca="1" si="10"/>
        <v>1</v>
      </c>
      <c r="Y149" s="1">
        <f t="shared" ca="1" si="11"/>
        <v>-31.770000000000003</v>
      </c>
      <c r="Z149" s="145" t="str">
        <f t="shared" ca="1" si="9"/>
        <v>RB12</v>
      </c>
      <c r="AA149" s="1">
        <f ca="1">Y149*LeagueInfo!$H$5</f>
        <v>-14.529721289585929</v>
      </c>
      <c r="AB149" s="1"/>
      <c r="AC149" s="1"/>
    </row>
    <row r="150" spans="1:29" x14ac:dyDescent="0.25">
      <c r="A150" s="1">
        <f>RANK(O150,O$3:O$174)</f>
        <v>148</v>
      </c>
      <c r="B150" s="1" t="s">
        <v>516</v>
      </c>
      <c r="C150" s="1" t="s">
        <v>32</v>
      </c>
      <c r="D150" s="1">
        <f>VLOOKUP(E150,BYEs!$A$2:$B$34,2,FALSE)</f>
        <v>8</v>
      </c>
      <c r="E150" s="1" t="s">
        <v>359</v>
      </c>
      <c r="F150" s="249">
        <v>0</v>
      </c>
      <c r="G150" s="250">
        <v>0</v>
      </c>
      <c r="H150" s="249">
        <v>5</v>
      </c>
      <c r="I150" s="247">
        <v>16.3</v>
      </c>
      <c r="J150" s="250">
        <v>0.1</v>
      </c>
      <c r="K150" s="249">
        <v>2.5</v>
      </c>
      <c r="L150" s="247">
        <v>23.5</v>
      </c>
      <c r="M150" s="250">
        <v>0.1</v>
      </c>
      <c r="N150" s="251">
        <v>0</v>
      </c>
      <c r="O150" s="253">
        <f>(I150*RBRushingYd)+(J150*RBRushingTD)+(K150*RBReceptions)+(L150*RBRecYd)+(M150*RBRecTD)+(N150*RBFuml)+(H150*RBRushAtt)</f>
        <v>5.18</v>
      </c>
      <c r="P150" s="1" t="str">
        <f ca="1">IF(A150&lt;=RBStarters,"Starter",IF(A150&gt;RBStarters+RBBench,"Undrafted","Bench"))</f>
        <v>Undrafted</v>
      </c>
      <c r="Q150" s="47">
        <f ca="1">IFERROR(MAX(O150-LARGE(O$3:O$174,RBStarters),0),0)</f>
        <v>0</v>
      </c>
      <c r="R150" s="47">
        <f ca="1">IFERROR(IF(AllowNegative="Yes",O150-LARGE(O$3:O$174,RBCount),MAX(O150-LARGE(O$3:O$174,RBCount),0)),0)</f>
        <v>-64.06</v>
      </c>
      <c r="S150" s="108">
        <f ca="1">(R150-Q150)*BenchPF+Q150*StarterPF</f>
        <v>-15.34210409602413</v>
      </c>
      <c r="T150" s="108">
        <f ca="1">S150*Auction!$A$2</f>
        <v>-15.34210409602413</v>
      </c>
      <c r="U150" s="25" t="str">
        <f>IF(OR(INDEX(Auction!$H$13:$H$683,MATCH(B150,Auction!$A$13:$A$683,0))&gt;0,IFERROR(INDEX(CheatSheet!$M$5:$M$64,MATCH(B150,CheatSheet!$J$5:$J$64,0)),"")&lt;&gt;""),"Yes","No")</f>
        <v>No</v>
      </c>
      <c r="V150" s="218"/>
      <c r="W150" s="1"/>
      <c r="X150" s="100">
        <f t="shared" ca="1" si="10"/>
        <v>1</v>
      </c>
      <c r="Y150" s="1">
        <f t="shared" ca="1" si="11"/>
        <v>-32.03</v>
      </c>
      <c r="Z150" s="145" t="str">
        <f t="shared" ca="1" si="9"/>
        <v>RB12</v>
      </c>
      <c r="AA150" s="1">
        <f ca="1">Y150*LeagueInfo!$H$5</f>
        <v>-14.648629930923427</v>
      </c>
      <c r="AB150" s="1"/>
      <c r="AC150" s="1"/>
    </row>
    <row r="151" spans="1:29" x14ac:dyDescent="0.25">
      <c r="A151" s="1">
        <f>RANK(O151,O$3:O$174)</f>
        <v>149</v>
      </c>
      <c r="B151" s="1" t="s">
        <v>542</v>
      </c>
      <c r="C151" s="1" t="s">
        <v>32</v>
      </c>
      <c r="D151" s="1">
        <f>VLOOKUP(E151,BYEs!$A$2:$B$34,2,FALSE)</f>
        <v>5</v>
      </c>
      <c r="E151" s="1" t="s">
        <v>358</v>
      </c>
      <c r="F151" s="249">
        <v>0</v>
      </c>
      <c r="G151" s="250">
        <v>0</v>
      </c>
      <c r="H151" s="249">
        <v>6.7</v>
      </c>
      <c r="I151" s="247">
        <v>27.9</v>
      </c>
      <c r="J151" s="250">
        <v>0</v>
      </c>
      <c r="K151" s="249">
        <v>2</v>
      </c>
      <c r="L151" s="247">
        <v>22.8</v>
      </c>
      <c r="M151" s="250">
        <v>0</v>
      </c>
      <c r="N151" s="251">
        <v>0</v>
      </c>
      <c r="O151" s="253">
        <f>(I151*RBRushingYd)+(J151*RBRushingTD)+(K151*RBReceptions)+(L151*RBRecYd)+(M151*RBRecTD)+(N151*RBFuml)+(H151*RBRushAtt)</f>
        <v>5.07</v>
      </c>
      <c r="P151" s="1" t="str">
        <f ca="1">IF(A151&lt;=RBStarters,"Starter",IF(A151&gt;RBStarters+RBBench,"Undrafted","Bench"))</f>
        <v>Undrafted</v>
      </c>
      <c r="Q151" s="47">
        <f ca="1">IFERROR(MAX(O151-LARGE(O$3:O$174,RBStarters),0),0)</f>
        <v>0</v>
      </c>
      <c r="R151" s="47">
        <f ca="1">IFERROR(IF(AllowNegative="Yes",O151-LARGE(O$3:O$174,RBCount),MAX(O151-LARGE(O$3:O$174,RBCount),0)),0)</f>
        <v>-64.170000000000016</v>
      </c>
      <c r="S151" s="108">
        <f ca="1">(R151-Q151)*BenchPF+Q151*StarterPF</f>
        <v>-15.368448639429731</v>
      </c>
      <c r="T151" s="108">
        <f ca="1">S151*Auction!$A$2</f>
        <v>-15.368448639429731</v>
      </c>
      <c r="U151" s="25" t="str">
        <f>IF(OR(INDEX(Auction!$H$13:$H$683,MATCH(B151,Auction!$A$13:$A$683,0))&gt;0,IFERROR(INDEX(CheatSheet!$M$5:$M$64,MATCH(B151,CheatSheet!$J$5:$J$64,0)),"")&lt;&gt;""),"Yes","No")</f>
        <v>No</v>
      </c>
      <c r="V151" s="218"/>
      <c r="W151" s="1"/>
      <c r="X151" s="100">
        <f t="shared" ca="1" si="10"/>
        <v>1</v>
      </c>
      <c r="Y151" s="1">
        <f t="shared" ca="1" si="11"/>
        <v>-32.085000000000008</v>
      </c>
      <c r="Z151" s="145" t="str">
        <f t="shared" ca="1" si="9"/>
        <v>RB12</v>
      </c>
      <c r="AA151" s="1">
        <f ca="1">Y151*LeagueInfo!$H$5</f>
        <v>-14.673783681975593</v>
      </c>
      <c r="AB151" s="1"/>
      <c r="AC151" s="1"/>
    </row>
    <row r="152" spans="1:29" x14ac:dyDescent="0.25">
      <c r="A152" s="1">
        <f>RANK(O152,O$3:O$174)</f>
        <v>150</v>
      </c>
      <c r="B152" s="1" t="s">
        <v>515</v>
      </c>
      <c r="C152" s="1" t="s">
        <v>32</v>
      </c>
      <c r="D152" s="1">
        <f>VLOOKUP(E152,BYEs!$A$2:$B$34,2,FALSE)</f>
        <v>8</v>
      </c>
      <c r="E152" s="1" t="s">
        <v>359</v>
      </c>
      <c r="F152" s="249">
        <v>0</v>
      </c>
      <c r="G152" s="250">
        <v>0</v>
      </c>
      <c r="H152" s="249">
        <v>8.3000000000000007</v>
      </c>
      <c r="I152" s="247">
        <v>30.8</v>
      </c>
      <c r="J152" s="250">
        <v>0.1</v>
      </c>
      <c r="K152" s="249">
        <v>1.3</v>
      </c>
      <c r="L152" s="247">
        <v>9.6</v>
      </c>
      <c r="M152" s="250">
        <v>0.1</v>
      </c>
      <c r="N152" s="251">
        <v>0.1</v>
      </c>
      <c r="O152" s="253">
        <f>(I152*RBRushingYd)+(J152*RBRushingTD)+(K152*RBReceptions)+(L152*RBRecYd)+(M152*RBRecTD)+(N152*RBFuml)+(H152*RBRushAtt)</f>
        <v>5.04</v>
      </c>
      <c r="P152" s="1" t="str">
        <f ca="1">IF(A152&lt;=RBStarters,"Starter",IF(A152&gt;RBStarters+RBBench,"Undrafted","Bench"))</f>
        <v>Undrafted</v>
      </c>
      <c r="Q152" s="47">
        <f ca="1">IFERROR(MAX(O152-LARGE(O$3:O$174,RBStarters),0),0)</f>
        <v>0</v>
      </c>
      <c r="R152" s="47">
        <f ca="1">IFERROR(IF(AllowNegative="Yes",O152-LARGE(O$3:O$174,RBCount),MAX(O152-LARGE(O$3:O$174,RBCount),0)),0)</f>
        <v>-64.2</v>
      </c>
      <c r="S152" s="108">
        <f ca="1">(R152-Q152)*BenchPF+Q152*StarterPF</f>
        <v>-15.375633514903983</v>
      </c>
      <c r="T152" s="108">
        <f ca="1">S152*Auction!$A$2</f>
        <v>-15.375633514903983</v>
      </c>
      <c r="U152" s="25" t="str">
        <f>IF(OR(INDEX(Auction!$H$13:$H$683,MATCH(B152,Auction!$A$13:$A$683,0))&gt;0,IFERROR(INDEX(CheatSheet!$M$5:$M$64,MATCH(B152,CheatSheet!$J$5:$J$64,0)),"")&lt;&gt;""),"Yes","No")</f>
        <v>No</v>
      </c>
      <c r="V152" s="218"/>
      <c r="W152" s="1"/>
      <c r="X152" s="100">
        <f t="shared" ca="1" si="10"/>
        <v>1</v>
      </c>
      <c r="Y152" s="1">
        <f t="shared" ca="1" si="11"/>
        <v>-32.1</v>
      </c>
      <c r="Z152" s="145" t="str">
        <f t="shared" ca="1" si="9"/>
        <v>RB12</v>
      </c>
      <c r="AA152" s="1">
        <f ca="1">Y152*LeagueInfo!$H$5</f>
        <v>-14.680643795898908</v>
      </c>
      <c r="AB152" s="1"/>
      <c r="AC152" s="1"/>
    </row>
    <row r="153" spans="1:29" x14ac:dyDescent="0.25">
      <c r="A153" s="1">
        <f>RANK(O153,O$3:O$174)</f>
        <v>151</v>
      </c>
      <c r="B153" s="1" t="s">
        <v>518</v>
      </c>
      <c r="C153" s="1" t="s">
        <v>32</v>
      </c>
      <c r="D153" s="1">
        <f>VLOOKUP(E153,BYEs!$A$2:$B$34,2,FALSE)</f>
        <v>7</v>
      </c>
      <c r="E153" s="1" t="s">
        <v>385</v>
      </c>
      <c r="F153" s="249">
        <v>0</v>
      </c>
      <c r="G153" s="250">
        <v>0</v>
      </c>
      <c r="H153" s="249">
        <v>6.5</v>
      </c>
      <c r="I153" s="247">
        <v>32</v>
      </c>
      <c r="J153" s="250">
        <v>0.1</v>
      </c>
      <c r="K153" s="249">
        <v>2.1</v>
      </c>
      <c r="L153" s="247">
        <v>14</v>
      </c>
      <c r="M153" s="250">
        <v>0</v>
      </c>
      <c r="N153" s="251">
        <v>0.1</v>
      </c>
      <c r="O153" s="253">
        <f>(I153*RBRushingYd)+(J153*RBRushingTD)+(K153*RBReceptions)+(L153*RBRecYd)+(M153*RBRecTD)+(N153*RBFuml)+(H153*RBRushAtt)</f>
        <v>5</v>
      </c>
      <c r="P153" s="1" t="str">
        <f ca="1">IF(A153&lt;=RBStarters,"Starter",IF(A153&gt;RBStarters+RBBench,"Undrafted","Bench"))</f>
        <v>Undrafted</v>
      </c>
      <c r="Q153" s="47">
        <f ca="1">IFERROR(MAX(O153-LARGE(O$3:O$174,RBStarters),0),0)</f>
        <v>0</v>
      </c>
      <c r="R153" s="47">
        <f ca="1">IFERROR(IF(AllowNegative="Yes",O153-LARGE(O$3:O$174,RBCount),MAX(O153-LARGE(O$3:O$174,RBCount),0)),0)</f>
        <v>-64.240000000000009</v>
      </c>
      <c r="S153" s="108">
        <f ca="1">(R153-Q153)*BenchPF+Q153*StarterPF</f>
        <v>-15.385213348869657</v>
      </c>
      <c r="T153" s="108">
        <f ca="1">S153*Auction!$A$2</f>
        <v>-15.385213348869657</v>
      </c>
      <c r="U153" s="25" t="str">
        <f>IF(OR(INDEX(Auction!$H$13:$H$683,MATCH(B153,Auction!$A$13:$A$683,0))&gt;0,IFERROR(INDEX(CheatSheet!$M$5:$M$64,MATCH(B153,CheatSheet!$J$5:$J$64,0)),"")&lt;&gt;""),"Yes","No")</f>
        <v>No</v>
      </c>
      <c r="V153" s="218"/>
      <c r="W153" s="1"/>
      <c r="X153" s="100">
        <f t="shared" ca="1" si="10"/>
        <v>1</v>
      </c>
      <c r="Y153" s="1">
        <f t="shared" ca="1" si="11"/>
        <v>-32.120000000000005</v>
      </c>
      <c r="Z153" s="145" t="str">
        <f t="shared" ca="1" si="9"/>
        <v>RB12</v>
      </c>
      <c r="AA153" s="1">
        <f ca="1">Y153*LeagueInfo!$H$5</f>
        <v>-14.689790614463332</v>
      </c>
      <c r="AB153" s="1"/>
      <c r="AC153" s="1"/>
    </row>
    <row r="154" spans="1:29" x14ac:dyDescent="0.25">
      <c r="A154" s="1">
        <f>RANK(O154,O$3:O$174)</f>
        <v>152</v>
      </c>
      <c r="B154" s="1" t="s">
        <v>924</v>
      </c>
      <c r="C154" s="1" t="s">
        <v>32</v>
      </c>
      <c r="D154" s="1">
        <f>VLOOKUP(E154,BYEs!$A$2:$B$34,2,FALSE)</f>
        <v>5</v>
      </c>
      <c r="E154" s="1" t="s">
        <v>352</v>
      </c>
      <c r="F154" s="249">
        <v>0</v>
      </c>
      <c r="G154" s="250">
        <v>0</v>
      </c>
      <c r="H154" s="249">
        <v>3</v>
      </c>
      <c r="I154" s="247">
        <v>7</v>
      </c>
      <c r="J154" s="250">
        <v>0.2</v>
      </c>
      <c r="K154" s="249">
        <v>1</v>
      </c>
      <c r="L154" s="247">
        <v>14</v>
      </c>
      <c r="M154" s="250">
        <v>0.2</v>
      </c>
      <c r="N154" s="251">
        <v>0</v>
      </c>
      <c r="O154" s="253">
        <f>(I154*RBRushingYd)+(J154*RBRushingTD)+(K154*RBReceptions)+(L154*RBRecYd)+(M154*RBRecTD)+(N154*RBFuml)+(H154*RBRushAtt)</f>
        <v>4.5000000000000009</v>
      </c>
      <c r="P154" s="1" t="str">
        <f ca="1">IF(A154&lt;=RBStarters,"Starter",IF(A154&gt;RBStarters+RBBench,"Undrafted","Bench"))</f>
        <v>Undrafted</v>
      </c>
      <c r="Q154" s="47">
        <f ca="1">IFERROR(MAX(O154-LARGE(O$3:O$174,RBStarters),0),0)</f>
        <v>0</v>
      </c>
      <c r="R154" s="47">
        <f ca="1">IFERROR(IF(AllowNegative="Yes",O154-LARGE(O$3:O$174,RBCount),MAX(O154-LARGE(O$3:O$174,RBCount),0)),0)</f>
        <v>-64.740000000000009</v>
      </c>
      <c r="S154" s="108">
        <f ca="1">(R154-Q154)*BenchPF+Q154*StarterPF</f>
        <v>-15.504961273440561</v>
      </c>
      <c r="T154" s="108">
        <f ca="1">S154*Auction!$A$2</f>
        <v>-15.504961273440561</v>
      </c>
      <c r="U154" s="25" t="str">
        <f>IF(OR(INDEX(Auction!$H$13:$H$683,MATCH(B154,Auction!$A$13:$A$683,0))&gt;0,IFERROR(INDEX(CheatSheet!$M$5:$M$64,MATCH(B154,CheatSheet!$J$5:$J$64,0)),"")&lt;&gt;""),"Yes","No")</f>
        <v>No</v>
      </c>
      <c r="V154" s="218"/>
      <c r="W154" s="1"/>
      <c r="X154" s="100">
        <f t="shared" ca="1" si="10"/>
        <v>1</v>
      </c>
      <c r="Y154" s="1">
        <f t="shared" ca="1" si="11"/>
        <v>-32.370000000000005</v>
      </c>
      <c r="Z154" s="145" t="str">
        <f t="shared" ca="1" si="9"/>
        <v>RB12</v>
      </c>
      <c r="AA154" s="1">
        <f ca="1">Y154*LeagueInfo!$H$5</f>
        <v>-14.80412584651862</v>
      </c>
      <c r="AB154" s="1"/>
      <c r="AC154" s="1"/>
    </row>
    <row r="155" spans="1:29" x14ac:dyDescent="0.25">
      <c r="A155" s="1">
        <f>RANK(O155,O$3:O$174)</f>
        <v>153</v>
      </c>
      <c r="B155" s="1" t="s">
        <v>496</v>
      </c>
      <c r="C155" s="1" t="s">
        <v>32</v>
      </c>
      <c r="D155" s="1">
        <f>VLOOKUP(E155,BYEs!$A$2:$B$34,2,FALSE)</f>
        <v>9</v>
      </c>
      <c r="E155" s="1" t="s">
        <v>363</v>
      </c>
      <c r="F155" s="249">
        <v>0</v>
      </c>
      <c r="G155" s="250">
        <v>0</v>
      </c>
      <c r="H155" s="249">
        <v>8.8000000000000007</v>
      </c>
      <c r="I155" s="247">
        <v>29.2</v>
      </c>
      <c r="J155" s="250">
        <v>0</v>
      </c>
      <c r="K155" s="249">
        <v>2.6</v>
      </c>
      <c r="L155" s="247">
        <v>17.7</v>
      </c>
      <c r="M155" s="250">
        <v>0</v>
      </c>
      <c r="N155" s="251">
        <v>0.1</v>
      </c>
      <c r="O155" s="253">
        <f>(I155*RBRushingYd)+(J155*RBRushingTD)+(K155*RBReceptions)+(L155*RBRecYd)+(M155*RBRecTD)+(N155*RBFuml)+(H155*RBRushAtt)</f>
        <v>4.4899999999999993</v>
      </c>
      <c r="P155" s="1" t="str">
        <f ca="1">IF(A155&lt;=RBStarters,"Starter",IF(A155&gt;RBStarters+RBBench,"Undrafted","Bench"))</f>
        <v>Undrafted</v>
      </c>
      <c r="Q155" s="47">
        <f ca="1">IFERROR(MAX(O155-LARGE(O$3:O$174,RBStarters),0),0)</f>
        <v>0</v>
      </c>
      <c r="R155" s="47">
        <f ca="1">IFERROR(IF(AllowNegative="Yes",O155-LARGE(O$3:O$174,RBCount),MAX(O155-LARGE(O$3:O$174,RBCount),0)),0)</f>
        <v>-64.750000000000014</v>
      </c>
      <c r="S155" s="108">
        <f ca="1">(R155-Q155)*BenchPF+Q155*StarterPF</f>
        <v>-15.507356231931979</v>
      </c>
      <c r="T155" s="108">
        <f ca="1">S155*Auction!$A$2</f>
        <v>-15.507356231931979</v>
      </c>
      <c r="U155" s="25" t="str">
        <f>IF(OR(INDEX(Auction!$H$13:$H$683,MATCH(B155,Auction!$A$13:$A$683,0))&gt;0,IFERROR(INDEX(CheatSheet!$M$5:$M$64,MATCH(B155,CheatSheet!$J$5:$J$64,0)),"")&lt;&gt;""),"Yes","No")</f>
        <v>No</v>
      </c>
      <c r="V155" s="218"/>
      <c r="W155" s="1"/>
      <c r="X155" s="100">
        <f t="shared" ca="1" si="10"/>
        <v>1</v>
      </c>
      <c r="Y155" s="1">
        <f t="shared" ca="1" si="11"/>
        <v>-32.375000000000007</v>
      </c>
      <c r="Z155" s="145" t="str">
        <f t="shared" ca="1" si="9"/>
        <v>RB12</v>
      </c>
      <c r="AA155" s="1">
        <f ca="1">Y155*LeagueInfo!$H$5</f>
        <v>-14.806412551159726</v>
      </c>
      <c r="AB155" s="1"/>
      <c r="AC155" s="1"/>
    </row>
    <row r="156" spans="1:29" x14ac:dyDescent="0.25">
      <c r="A156" s="1">
        <f>RANK(O156,O$3:O$174)</f>
        <v>154</v>
      </c>
      <c r="B156" s="1" t="s">
        <v>524</v>
      </c>
      <c r="C156" s="1" t="s">
        <v>32</v>
      </c>
      <c r="D156" s="1">
        <f>VLOOKUP(E156,BYEs!$A$2:$B$34,2,FALSE)</f>
        <v>6</v>
      </c>
      <c r="E156" s="1" t="s">
        <v>360</v>
      </c>
      <c r="F156" s="249">
        <v>0</v>
      </c>
      <c r="G156" s="250">
        <v>0</v>
      </c>
      <c r="H156" s="249">
        <v>4.2</v>
      </c>
      <c r="I156" s="247">
        <v>16.100000000000001</v>
      </c>
      <c r="J156" s="250">
        <v>0.2</v>
      </c>
      <c r="K156" s="249">
        <v>2.2000000000000002</v>
      </c>
      <c r="L156" s="247">
        <v>14.2</v>
      </c>
      <c r="M156" s="250">
        <v>0</v>
      </c>
      <c r="N156" s="251">
        <v>0</v>
      </c>
      <c r="O156" s="253">
        <f>(I156*RBRushingYd)+(J156*RBRushingTD)+(K156*RBReceptions)+(L156*RBRecYd)+(M156*RBRecTD)+(N156*RBFuml)+(H156*RBRushAtt)</f>
        <v>4.2300000000000004</v>
      </c>
      <c r="P156" s="1" t="str">
        <f ca="1">IF(A156&lt;=RBStarters,"Starter",IF(A156&gt;RBStarters+RBBench,"Undrafted","Bench"))</f>
        <v>Undrafted</v>
      </c>
      <c r="Q156" s="47">
        <f ca="1">IFERROR(MAX(O156-LARGE(O$3:O$174,RBStarters),0),0)</f>
        <v>0</v>
      </c>
      <c r="R156" s="47">
        <f ca="1">IFERROR(IF(AllowNegative="Yes",O156-LARGE(O$3:O$174,RBCount),MAX(O156-LARGE(O$3:O$174,RBCount),0)),0)</f>
        <v>-65.010000000000005</v>
      </c>
      <c r="S156" s="108">
        <f ca="1">(R156-Q156)*BenchPF+Q156*StarterPF</f>
        <v>-15.569625152708847</v>
      </c>
      <c r="T156" s="108">
        <f ca="1">S156*Auction!$A$2</f>
        <v>-15.569625152708847</v>
      </c>
      <c r="U156" s="25" t="str">
        <f>IF(OR(INDEX(Auction!$H$13:$H$683,MATCH(B156,Auction!$A$13:$A$683,0))&gt;0,IFERROR(INDEX(CheatSheet!$M$5:$M$64,MATCH(B156,CheatSheet!$J$5:$J$64,0)),"")&lt;&gt;""),"Yes","No")</f>
        <v>No</v>
      </c>
      <c r="V156" s="218"/>
      <c r="W156" s="1"/>
      <c r="X156" s="100">
        <f t="shared" ca="1" si="10"/>
        <v>1</v>
      </c>
      <c r="Y156" s="1">
        <f t="shared" ca="1" si="11"/>
        <v>-32.505000000000003</v>
      </c>
      <c r="Z156" s="145" t="str">
        <f t="shared" ca="1" si="9"/>
        <v>RB12</v>
      </c>
      <c r="AA156" s="1">
        <f ca="1">Y156*LeagueInfo!$H$5</f>
        <v>-14.865866871828473</v>
      </c>
      <c r="AB156" s="1"/>
      <c r="AC156" s="1"/>
    </row>
    <row r="157" spans="1:29" x14ac:dyDescent="0.25">
      <c r="A157" s="1">
        <f>RANK(O157,O$3:O$174)</f>
        <v>155</v>
      </c>
      <c r="B157" s="1" t="s">
        <v>521</v>
      </c>
      <c r="C157" s="1" t="s">
        <v>32</v>
      </c>
      <c r="D157" s="1">
        <f>VLOOKUP(E157,BYEs!$A$2:$B$34,2,FALSE)</f>
        <v>9</v>
      </c>
      <c r="E157" s="1" t="s">
        <v>351</v>
      </c>
      <c r="F157" s="249">
        <v>0</v>
      </c>
      <c r="G157" s="250">
        <v>0</v>
      </c>
      <c r="H157" s="249">
        <v>3.9</v>
      </c>
      <c r="I157" s="247">
        <v>13.9</v>
      </c>
      <c r="J157" s="250">
        <v>0</v>
      </c>
      <c r="K157" s="249">
        <v>2.5</v>
      </c>
      <c r="L157" s="247">
        <v>20.100000000000001</v>
      </c>
      <c r="M157" s="250">
        <v>0.2</v>
      </c>
      <c r="N157" s="251">
        <v>0.2</v>
      </c>
      <c r="O157" s="253">
        <f>(I157*RBRushingYd)+(J157*RBRushingTD)+(K157*RBReceptions)+(L157*RBRecYd)+(M157*RBRecTD)+(N157*RBFuml)+(H157*RBRushAtt)</f>
        <v>4.2</v>
      </c>
      <c r="P157" s="1" t="str">
        <f ca="1">IF(A157&lt;=RBStarters,"Starter",IF(A157&gt;RBStarters+RBBench,"Undrafted","Bench"))</f>
        <v>Undrafted</v>
      </c>
      <c r="Q157" s="47">
        <f ca="1">IFERROR(MAX(O157-LARGE(O$3:O$174,RBStarters),0),0)</f>
        <v>0</v>
      </c>
      <c r="R157" s="47">
        <f ca="1">IFERROR(IF(AllowNegative="Yes",O157-LARGE(O$3:O$174,RBCount),MAX(O157-LARGE(O$3:O$174,RBCount),0)),0)</f>
        <v>-65.040000000000006</v>
      </c>
      <c r="S157" s="108">
        <f ca="1">(R157-Q157)*BenchPF+Q157*StarterPF</f>
        <v>-15.576810028183102</v>
      </c>
      <c r="T157" s="108">
        <f ca="1">S157*Auction!$A$2</f>
        <v>-15.576810028183102</v>
      </c>
      <c r="U157" s="25" t="str">
        <f>IF(OR(INDEX(Auction!$H$13:$H$683,MATCH(B157,Auction!$A$13:$A$683,0))&gt;0,IFERROR(INDEX(CheatSheet!$M$5:$M$64,MATCH(B157,CheatSheet!$J$5:$J$64,0)),"")&lt;&gt;""),"Yes","No")</f>
        <v>No</v>
      </c>
      <c r="V157" s="218"/>
      <c r="W157" s="1"/>
      <c r="X157" s="100">
        <f t="shared" ca="1" si="10"/>
        <v>1</v>
      </c>
      <c r="Y157" s="1">
        <f t="shared" ca="1" si="11"/>
        <v>-32.520000000000003</v>
      </c>
      <c r="Z157" s="145" t="str">
        <f t="shared" ca="1" si="9"/>
        <v>RB12</v>
      </c>
      <c r="AA157" s="1">
        <f ca="1">Y157*LeagueInfo!$H$5</f>
        <v>-14.872726985751791</v>
      </c>
      <c r="AB157" s="1"/>
      <c r="AC157" s="1"/>
    </row>
    <row r="158" spans="1:29" x14ac:dyDescent="0.25">
      <c r="A158" s="1">
        <f>RANK(O158,O$3:O$174)</f>
        <v>156</v>
      </c>
      <c r="B158" s="1" t="s">
        <v>528</v>
      </c>
      <c r="C158" s="1" t="s">
        <v>32</v>
      </c>
      <c r="D158" s="1">
        <f>VLOOKUP(E158,BYEs!$A$2:$B$34,2,FALSE)</f>
        <v>6</v>
      </c>
      <c r="E158" s="1" t="s">
        <v>360</v>
      </c>
      <c r="F158" s="249">
        <v>0</v>
      </c>
      <c r="G158" s="250">
        <v>0</v>
      </c>
      <c r="H158" s="249">
        <v>3.4</v>
      </c>
      <c r="I158" s="247">
        <v>12</v>
      </c>
      <c r="J158" s="250">
        <v>0.1</v>
      </c>
      <c r="K158" s="249">
        <v>2.4</v>
      </c>
      <c r="L158" s="247">
        <v>16.5</v>
      </c>
      <c r="M158" s="250">
        <v>0.1</v>
      </c>
      <c r="N158" s="251">
        <v>0</v>
      </c>
      <c r="O158" s="253">
        <f>(I158*RBRushingYd)+(J158*RBRushingTD)+(K158*RBReceptions)+(L158*RBRecYd)+(M158*RBRecTD)+(N158*RBFuml)+(H158*RBRushAtt)</f>
        <v>4.0500000000000007</v>
      </c>
      <c r="P158" s="1" t="str">
        <f ca="1">IF(A158&lt;=RBStarters,"Starter",IF(A158&gt;RBStarters+RBBench,"Undrafted","Bench"))</f>
        <v>Undrafted</v>
      </c>
      <c r="Q158" s="47">
        <f ca="1">IFERROR(MAX(O158-LARGE(O$3:O$174,RBStarters),0),0)</f>
        <v>0</v>
      </c>
      <c r="R158" s="47">
        <f ca="1">IFERROR(IF(AllowNegative="Yes",O158-LARGE(O$3:O$174,RBCount),MAX(O158-LARGE(O$3:O$174,RBCount),0)),0)</f>
        <v>-65.190000000000012</v>
      </c>
      <c r="S158" s="108">
        <f ca="1">(R158-Q158)*BenchPF+Q158*StarterPF</f>
        <v>-15.612734405554374</v>
      </c>
      <c r="T158" s="108">
        <f ca="1">S158*Auction!$A$2</f>
        <v>-15.612734405554374</v>
      </c>
      <c r="U158" s="25" t="str">
        <f>IF(OR(INDEX(Auction!$H$13:$H$683,MATCH(B158,Auction!$A$13:$A$683,0))&gt;0,IFERROR(INDEX(CheatSheet!$M$5:$M$64,MATCH(B158,CheatSheet!$J$5:$J$64,0)),"")&lt;&gt;""),"Yes","No")</f>
        <v>No</v>
      </c>
      <c r="V158" s="218"/>
      <c r="W158" s="1"/>
      <c r="X158" s="100">
        <f t="shared" ca="1" si="10"/>
        <v>1</v>
      </c>
      <c r="Y158" s="1">
        <f t="shared" ca="1" si="11"/>
        <v>-32.595000000000006</v>
      </c>
      <c r="Z158" s="145" t="str">
        <f t="shared" ca="1" si="9"/>
        <v>RB12</v>
      </c>
      <c r="AA158" s="1">
        <f ca="1">Y158*LeagueInfo!$H$5</f>
        <v>-14.907027555368378</v>
      </c>
      <c r="AB158" s="1"/>
      <c r="AC158" s="1"/>
    </row>
    <row r="159" spans="1:29" x14ac:dyDescent="0.25">
      <c r="A159" s="1">
        <f>RANK(O159,O$3:O$174)</f>
        <v>157</v>
      </c>
      <c r="B159" s="1" t="s">
        <v>520</v>
      </c>
      <c r="C159" s="1" t="s">
        <v>32</v>
      </c>
      <c r="D159" s="1">
        <f>VLOOKUP(E159,BYEs!$A$2:$B$34,2,FALSE)</f>
        <v>5</v>
      </c>
      <c r="E159" s="1" t="s">
        <v>384</v>
      </c>
      <c r="F159" s="249">
        <v>0</v>
      </c>
      <c r="G159" s="250">
        <v>0</v>
      </c>
      <c r="H159" s="249">
        <v>6.8</v>
      </c>
      <c r="I159" s="247">
        <v>24.3</v>
      </c>
      <c r="J159" s="250">
        <v>0.2</v>
      </c>
      <c r="K159" s="249">
        <v>1.6</v>
      </c>
      <c r="L159" s="247">
        <v>9.9</v>
      </c>
      <c r="M159" s="250">
        <v>0</v>
      </c>
      <c r="N159" s="251">
        <v>0.3</v>
      </c>
      <c r="O159" s="253">
        <f>(I159*RBRushingYd)+(J159*RBRushingTD)+(K159*RBReceptions)+(L159*RBRecYd)+(M159*RBRecTD)+(N159*RBFuml)+(H159*RBRushAtt)</f>
        <v>4.0200000000000005</v>
      </c>
      <c r="P159" s="1" t="str">
        <f ca="1">IF(A159&lt;=RBStarters,"Starter",IF(A159&gt;RBStarters+RBBench,"Undrafted","Bench"))</f>
        <v>Undrafted</v>
      </c>
      <c r="Q159" s="47">
        <f ca="1">IFERROR(MAX(O159-LARGE(O$3:O$174,RBStarters),0),0)</f>
        <v>0</v>
      </c>
      <c r="R159" s="47">
        <f ca="1">IFERROR(IF(AllowNegative="Yes",O159-LARGE(O$3:O$174,RBCount),MAX(O159-LARGE(O$3:O$174,RBCount),0)),0)</f>
        <v>-65.220000000000013</v>
      </c>
      <c r="S159" s="108">
        <f ca="1">(R159-Q159)*BenchPF+Q159*StarterPF</f>
        <v>-15.619919281028627</v>
      </c>
      <c r="T159" s="108">
        <f ca="1">S159*Auction!$A$2</f>
        <v>-15.619919281028627</v>
      </c>
      <c r="U159" s="25" t="str">
        <f>IF(OR(INDEX(Auction!$H$13:$H$683,MATCH(B159,Auction!$A$13:$A$683,0))&gt;0,IFERROR(INDEX(CheatSheet!$M$5:$M$64,MATCH(B159,CheatSheet!$J$5:$J$64,0)),"")&lt;&gt;""),"Yes","No")</f>
        <v>No</v>
      </c>
      <c r="V159" s="218"/>
      <c r="W159" s="1"/>
      <c r="X159" s="100">
        <f t="shared" ca="1" si="10"/>
        <v>1</v>
      </c>
      <c r="Y159" s="1">
        <f t="shared" ca="1" si="11"/>
        <v>-32.610000000000007</v>
      </c>
      <c r="Z159" s="145" t="str">
        <f t="shared" ca="1" si="9"/>
        <v>RB12</v>
      </c>
      <c r="AA159" s="1">
        <f ca="1">Y159*LeagueInfo!$H$5</f>
        <v>-14.913887669291697</v>
      </c>
      <c r="AB159" s="1"/>
      <c r="AC159" s="1"/>
    </row>
    <row r="160" spans="1:29" x14ac:dyDescent="0.25">
      <c r="A160" s="1">
        <f>RANK(O160,O$3:O$174)</f>
        <v>158</v>
      </c>
      <c r="B160" s="1" t="s">
        <v>523</v>
      </c>
      <c r="C160" s="1" t="s">
        <v>32</v>
      </c>
      <c r="D160" s="1">
        <f>VLOOKUP(E160,BYEs!$A$2:$B$34,2,FALSE)</f>
        <v>11</v>
      </c>
      <c r="E160" s="1" t="s">
        <v>355</v>
      </c>
      <c r="F160" s="249">
        <v>0</v>
      </c>
      <c r="G160" s="250">
        <v>0</v>
      </c>
      <c r="H160" s="249">
        <v>8</v>
      </c>
      <c r="I160" s="247">
        <v>27</v>
      </c>
      <c r="J160" s="250">
        <v>0.1</v>
      </c>
      <c r="K160" s="249">
        <v>1</v>
      </c>
      <c r="L160" s="247">
        <v>9</v>
      </c>
      <c r="M160" s="250">
        <v>0</v>
      </c>
      <c r="N160" s="251">
        <v>0.1</v>
      </c>
      <c r="O160" s="253">
        <f>(I160*RBRushingYd)+(J160*RBRushingTD)+(K160*RBReceptions)+(L160*RBRecYd)+(M160*RBRecTD)+(N160*RBFuml)+(H160*RBRushAtt)</f>
        <v>4</v>
      </c>
      <c r="P160" s="1" t="str">
        <f ca="1">IF(A160&lt;=RBStarters,"Starter",IF(A160&gt;RBStarters+RBBench,"Undrafted","Bench"))</f>
        <v>Undrafted</v>
      </c>
      <c r="Q160" s="47">
        <f ca="1">IFERROR(MAX(O160-LARGE(O$3:O$174,RBStarters),0),0)</f>
        <v>0</v>
      </c>
      <c r="R160" s="47">
        <f ca="1">IFERROR(IF(AllowNegative="Yes",O160-LARGE(O$3:O$174,RBCount),MAX(O160-LARGE(O$3:O$174,RBCount),0)),0)</f>
        <v>-65.240000000000009</v>
      </c>
      <c r="S160" s="108">
        <f ca="1">(R160-Q160)*BenchPF+Q160*StarterPF</f>
        <v>-15.624709198011463</v>
      </c>
      <c r="T160" s="108">
        <f ca="1">S160*Auction!$A$2</f>
        <v>-15.624709198011463</v>
      </c>
      <c r="U160" s="25" t="str">
        <f>IF(OR(INDEX(Auction!$H$13:$H$683,MATCH(B160,Auction!$A$13:$A$683,0))&gt;0,IFERROR(INDEX(CheatSheet!$M$5:$M$64,MATCH(B160,CheatSheet!$J$5:$J$64,0)),"")&lt;&gt;""),"Yes","No")</f>
        <v>No</v>
      </c>
      <c r="V160" s="218"/>
      <c r="W160" s="1"/>
      <c r="X160" s="100">
        <f t="shared" ca="1" si="10"/>
        <v>1</v>
      </c>
      <c r="Y160" s="1">
        <f t="shared" ca="1" si="11"/>
        <v>-32.620000000000005</v>
      </c>
      <c r="Z160" s="145" t="str">
        <f t="shared" ca="1" si="9"/>
        <v>RB12</v>
      </c>
      <c r="AA160" s="1">
        <f ca="1">Y160*LeagueInfo!$H$5</f>
        <v>-14.918461078573907</v>
      </c>
      <c r="AB160" s="1"/>
      <c r="AC160" s="1"/>
    </row>
    <row r="161" spans="1:29" x14ac:dyDescent="0.25">
      <c r="A161" s="1">
        <f>RANK(O161,O$3:O$174)</f>
        <v>159</v>
      </c>
      <c r="B161" s="1" t="s">
        <v>522</v>
      </c>
      <c r="C161" s="1" t="s">
        <v>32</v>
      </c>
      <c r="D161" s="1">
        <f>VLOOKUP(E161,BYEs!$A$2:$B$34,2,FALSE)</f>
        <v>5</v>
      </c>
      <c r="E161" s="1" t="s">
        <v>352</v>
      </c>
      <c r="F161" s="249">
        <v>0</v>
      </c>
      <c r="G161" s="250">
        <v>0</v>
      </c>
      <c r="H161" s="249">
        <v>6.3</v>
      </c>
      <c r="I161" s="247">
        <v>21.7</v>
      </c>
      <c r="J161" s="250">
        <v>0.1</v>
      </c>
      <c r="K161" s="249">
        <v>2.2999999999999998</v>
      </c>
      <c r="L161" s="247">
        <v>13.6</v>
      </c>
      <c r="M161" s="250">
        <v>0</v>
      </c>
      <c r="N161" s="251">
        <v>0.1</v>
      </c>
      <c r="O161" s="253">
        <f>(I161*RBRushingYd)+(J161*RBRushingTD)+(K161*RBReceptions)+(L161*RBRecYd)+(M161*RBRecTD)+(N161*RBFuml)+(H161*RBRushAtt)</f>
        <v>3.9299999999999997</v>
      </c>
      <c r="P161" s="1" t="str">
        <f ca="1">IF(A161&lt;=RBStarters,"Starter",IF(A161&gt;RBStarters+RBBench,"Undrafted","Bench"))</f>
        <v>Undrafted</v>
      </c>
      <c r="Q161" s="47">
        <f ca="1">IFERROR(MAX(O161-LARGE(O$3:O$174,RBStarters),0),0)</f>
        <v>0</v>
      </c>
      <c r="R161" s="47">
        <f ca="1">IFERROR(IF(AllowNegative="Yes",O161-LARGE(O$3:O$174,RBCount),MAX(O161-LARGE(O$3:O$174,RBCount),0)),0)</f>
        <v>-65.31</v>
      </c>
      <c r="S161" s="108">
        <f ca="1">(R161-Q161)*BenchPF+Q161*StarterPF</f>
        <v>-15.641473907451388</v>
      </c>
      <c r="T161" s="108">
        <f ca="1">S161*Auction!$A$2</f>
        <v>-15.641473907451388</v>
      </c>
      <c r="U161" s="25" t="str">
        <f>IF(OR(INDEX(Auction!$H$13:$H$683,MATCH(B161,Auction!$A$13:$A$683,0))&gt;0,IFERROR(INDEX(CheatSheet!$M$5:$M$64,MATCH(B161,CheatSheet!$J$5:$J$64,0)),"")&lt;&gt;""),"Yes","No")</f>
        <v>No</v>
      </c>
      <c r="V161" s="218"/>
      <c r="W161" s="1"/>
      <c r="X161" s="100">
        <f t="shared" ca="1" si="10"/>
        <v>1</v>
      </c>
      <c r="Y161" s="1">
        <f t="shared" ca="1" si="11"/>
        <v>-32.655000000000001</v>
      </c>
      <c r="Z161" s="145" t="str">
        <f t="shared" ca="1" si="9"/>
        <v>RB12</v>
      </c>
      <c r="AA161" s="1">
        <f ca="1">Y161*LeagueInfo!$H$5</f>
        <v>-14.934468011061645</v>
      </c>
      <c r="AB161" s="1"/>
      <c r="AC161" s="1"/>
    </row>
    <row r="162" spans="1:29" x14ac:dyDescent="0.25">
      <c r="A162" s="1">
        <f>RANK(O162,O$3:O$174)</f>
        <v>160</v>
      </c>
      <c r="B162" s="1" t="s">
        <v>525</v>
      </c>
      <c r="C162" s="1" t="s">
        <v>32</v>
      </c>
      <c r="D162" s="1">
        <f>VLOOKUP(E162,BYEs!$A$2:$B$34,2,FALSE)</f>
        <v>9</v>
      </c>
      <c r="E162" s="1" t="s">
        <v>351</v>
      </c>
      <c r="F162" s="249">
        <v>0</v>
      </c>
      <c r="G162" s="250">
        <v>0</v>
      </c>
      <c r="H162" s="249">
        <v>3.2</v>
      </c>
      <c r="I162" s="247">
        <v>10.199999999999999</v>
      </c>
      <c r="J162" s="250">
        <v>0.1</v>
      </c>
      <c r="K162" s="249">
        <v>2.9</v>
      </c>
      <c r="L162" s="247">
        <v>22.5</v>
      </c>
      <c r="M162" s="250">
        <v>0</v>
      </c>
      <c r="N162" s="251">
        <v>0</v>
      </c>
      <c r="O162" s="253">
        <f>(I162*RBRushingYd)+(J162*RBRushingTD)+(K162*RBReceptions)+(L162*RBRecYd)+(M162*RBRecTD)+(N162*RBFuml)+(H162*RBRushAtt)</f>
        <v>3.87</v>
      </c>
      <c r="P162" s="1" t="str">
        <f ca="1">IF(A162&lt;=RBStarters,"Starter",IF(A162&gt;RBStarters+RBBench,"Undrafted","Bench"))</f>
        <v>Undrafted</v>
      </c>
      <c r="Q162" s="47">
        <f ca="1">IFERROR(MAX(O162-LARGE(O$3:O$174,RBStarters),0),0)</f>
        <v>0</v>
      </c>
      <c r="R162" s="47">
        <f ca="1">IFERROR(IF(AllowNegative="Yes",O162-LARGE(O$3:O$174,RBCount),MAX(O162-LARGE(O$3:O$174,RBCount),0)),0)</f>
        <v>-65.37</v>
      </c>
      <c r="S162" s="108">
        <f ca="1">(R162-Q162)*BenchPF+Q162*StarterPF</f>
        <v>-15.655843658399897</v>
      </c>
      <c r="T162" s="108">
        <f ca="1">S162*Auction!$A$2</f>
        <v>-15.655843658399897</v>
      </c>
      <c r="U162" s="25" t="str">
        <f>IF(OR(INDEX(Auction!$H$13:$H$683,MATCH(B162,Auction!$A$13:$A$683,0))&gt;0,IFERROR(INDEX(CheatSheet!$M$5:$M$64,MATCH(B162,CheatSheet!$J$5:$J$64,0)),"")&lt;&gt;""),"Yes","No")</f>
        <v>No</v>
      </c>
      <c r="V162" s="218"/>
      <c r="W162" s="1"/>
      <c r="X162" s="100">
        <f t="shared" ca="1" si="10"/>
        <v>1</v>
      </c>
      <c r="Y162" s="1">
        <f t="shared" ca="1" si="11"/>
        <v>-32.685000000000002</v>
      </c>
      <c r="Z162" s="145" t="str">
        <f t="shared" ca="1" si="9"/>
        <v>RB12</v>
      </c>
      <c r="AA162" s="1">
        <f ca="1">Y162*LeagueInfo!$H$5</f>
        <v>-14.94818823890828</v>
      </c>
      <c r="AB162" s="1"/>
      <c r="AC162" s="1"/>
    </row>
    <row r="163" spans="1:29" x14ac:dyDescent="0.25">
      <c r="A163" s="1">
        <f>RANK(O163,O$3:O$174)</f>
        <v>161</v>
      </c>
      <c r="B163" s="1" t="s">
        <v>325</v>
      </c>
      <c r="C163" s="1" t="s">
        <v>32</v>
      </c>
      <c r="D163" s="1">
        <f>VLOOKUP(E163,BYEs!$A$2:$B$34,2,FALSE)</f>
        <v>7</v>
      </c>
      <c r="E163" s="1" t="s">
        <v>385</v>
      </c>
      <c r="F163" s="249">
        <v>0</v>
      </c>
      <c r="G163" s="250">
        <v>0</v>
      </c>
      <c r="H163" s="249">
        <v>2.8</v>
      </c>
      <c r="I163" s="247">
        <v>9.9</v>
      </c>
      <c r="J163" s="250">
        <v>0.1</v>
      </c>
      <c r="K163" s="249">
        <v>2.5</v>
      </c>
      <c r="L163" s="247">
        <v>21.7</v>
      </c>
      <c r="M163" s="250">
        <v>0</v>
      </c>
      <c r="N163" s="251">
        <v>0</v>
      </c>
      <c r="O163" s="253">
        <f>(I163*RBRushingYd)+(J163*RBRushingTD)+(K163*RBReceptions)+(L163*RBRecYd)+(M163*RBRecTD)+(N163*RBFuml)+(H163*RBRushAtt)</f>
        <v>3.7600000000000002</v>
      </c>
      <c r="P163" s="1" t="str">
        <f ca="1">IF(A163&lt;=RBStarters,"Starter",IF(A163&gt;RBStarters+RBBench,"Undrafted","Bench"))</f>
        <v>Undrafted</v>
      </c>
      <c r="Q163" s="47">
        <f ca="1">IFERROR(MAX(O163-LARGE(O$3:O$174,RBStarters),0),0)</f>
        <v>0</v>
      </c>
      <c r="R163" s="47">
        <f ca="1">IFERROR(IF(AllowNegative="Yes",O163-LARGE(O$3:O$174,RBCount),MAX(O163-LARGE(O$3:O$174,RBCount),0)),0)</f>
        <v>-65.48</v>
      </c>
      <c r="S163" s="108">
        <f ca="1">(R163-Q163)*BenchPF+Q163*StarterPF</f>
        <v>-15.682188201805495</v>
      </c>
      <c r="T163" s="108">
        <f ca="1">S163*Auction!$A$2</f>
        <v>-15.682188201805495</v>
      </c>
      <c r="U163" s="25" t="str">
        <f>IF(OR(INDEX(Auction!$H$13:$H$683,MATCH(B163,Auction!$A$13:$A$683,0))&gt;0,IFERROR(INDEX(CheatSheet!$M$5:$M$64,MATCH(B163,CheatSheet!$J$5:$J$64,0)),"")&lt;&gt;""),"Yes","No")</f>
        <v>No</v>
      </c>
      <c r="V163" s="218"/>
      <c r="W163" s="1"/>
      <c r="X163" s="100">
        <f t="shared" ca="1" si="10"/>
        <v>1</v>
      </c>
      <c r="Y163" s="1">
        <f t="shared" ca="1" si="11"/>
        <v>-32.74</v>
      </c>
      <c r="Z163" s="145" t="str">
        <f t="shared" ref="Z163:Z174" ca="1" si="12">CONCATENATE("RB",ROUND((LARGE($Y$3:$Y$174,1)-$Y163)/(STDEVP($Y$3:$Y$174)/2)+1,0))</f>
        <v>RB12</v>
      </c>
      <c r="AA163" s="1">
        <f ca="1">Y163*LeagueInfo!$H$5</f>
        <v>-14.973341989960444</v>
      </c>
      <c r="AB163" s="1"/>
      <c r="AC163" s="1"/>
    </row>
    <row r="164" spans="1:29" x14ac:dyDescent="0.25">
      <c r="A164" s="1">
        <f>RANK(O164,O$3:O$174)</f>
        <v>162</v>
      </c>
      <c r="B164" s="1" t="s">
        <v>546</v>
      </c>
      <c r="C164" s="1" t="s">
        <v>32</v>
      </c>
      <c r="D164" s="1">
        <f>VLOOKUP(E164,BYEs!$A$2:$B$34,2,FALSE)</f>
        <v>8</v>
      </c>
      <c r="E164" s="1" t="s">
        <v>350</v>
      </c>
      <c r="F164" s="249">
        <v>0</v>
      </c>
      <c r="G164" s="250">
        <v>0</v>
      </c>
      <c r="H164" s="249">
        <v>4.4000000000000004</v>
      </c>
      <c r="I164" s="247">
        <v>14.7</v>
      </c>
      <c r="J164" s="250">
        <v>0.1</v>
      </c>
      <c r="K164" s="249">
        <v>2.8</v>
      </c>
      <c r="L164" s="247">
        <v>16.600000000000001</v>
      </c>
      <c r="M164" s="250">
        <v>0</v>
      </c>
      <c r="N164" s="251">
        <v>0</v>
      </c>
      <c r="O164" s="253">
        <f>(I164*RBRushingYd)+(J164*RBRushingTD)+(K164*RBReceptions)+(L164*RBRecYd)+(M164*RBRecTD)+(N164*RBFuml)+(H164*RBRushAtt)</f>
        <v>3.7300000000000004</v>
      </c>
      <c r="P164" s="1" t="str">
        <f ca="1">IF(A164&lt;=RBStarters,"Starter",IF(A164&gt;RBStarters+RBBench,"Undrafted","Bench"))</f>
        <v>Undrafted</v>
      </c>
      <c r="Q164" s="47">
        <f ca="1">IFERROR(MAX(O164-LARGE(O$3:O$174,RBStarters),0),0)</f>
        <v>0</v>
      </c>
      <c r="R164" s="47">
        <f ca="1">IFERROR(IF(AllowNegative="Yes",O164-LARGE(O$3:O$174,RBCount),MAX(O164-LARGE(O$3:O$174,RBCount),0)),0)</f>
        <v>-65.510000000000005</v>
      </c>
      <c r="S164" s="108">
        <f ca="1">(R164-Q164)*BenchPF+Q164*StarterPF</f>
        <v>-15.68937307727975</v>
      </c>
      <c r="T164" s="108">
        <f ca="1">S164*Auction!$A$2</f>
        <v>-15.68937307727975</v>
      </c>
      <c r="U164" s="25" t="str">
        <f>IF(OR(INDEX(Auction!$H$13:$H$683,MATCH(B164,Auction!$A$13:$A$683,0))&gt;0,IFERROR(INDEX(CheatSheet!$M$5:$M$64,MATCH(B164,CheatSheet!$J$5:$J$64,0)),"")&lt;&gt;""),"Yes","No")</f>
        <v>No</v>
      </c>
      <c r="V164" s="218"/>
      <c r="W164" s="1"/>
      <c r="X164" s="100">
        <f t="shared" ca="1" si="10"/>
        <v>1</v>
      </c>
      <c r="Y164" s="1">
        <f t="shared" ca="1" si="11"/>
        <v>-32.755000000000003</v>
      </c>
      <c r="Z164" s="145" t="str">
        <f t="shared" ca="1" si="12"/>
        <v>RB12</v>
      </c>
      <c r="AA164" s="1">
        <f ca="1">Y164*LeagueInfo!$H$5</f>
        <v>-14.980202103883761</v>
      </c>
      <c r="AB164" s="1"/>
      <c r="AC164" s="1"/>
    </row>
    <row r="165" spans="1:29" x14ac:dyDescent="0.25">
      <c r="A165" s="1">
        <f>RANK(O165,O$3:O$174)</f>
        <v>163</v>
      </c>
      <c r="B165" s="1" t="s">
        <v>527</v>
      </c>
      <c r="C165" s="1" t="s">
        <v>32</v>
      </c>
      <c r="D165" s="1">
        <f>VLOOKUP(E165,BYEs!$A$2:$B$34,2,FALSE)</f>
        <v>9</v>
      </c>
      <c r="E165" s="1" t="s">
        <v>387</v>
      </c>
      <c r="F165" s="249">
        <v>0</v>
      </c>
      <c r="G165" s="250">
        <v>0</v>
      </c>
      <c r="H165" s="249">
        <v>3.1</v>
      </c>
      <c r="I165" s="247">
        <v>11.1</v>
      </c>
      <c r="J165" s="250">
        <v>0.1</v>
      </c>
      <c r="K165" s="249">
        <v>2.5</v>
      </c>
      <c r="L165" s="247">
        <v>16.2</v>
      </c>
      <c r="M165" s="250">
        <v>0</v>
      </c>
      <c r="N165" s="251">
        <v>0</v>
      </c>
      <c r="O165" s="253">
        <f>(I165*RBRushingYd)+(J165*RBRushingTD)+(K165*RBReceptions)+(L165*RBRecYd)+(M165*RBRecTD)+(N165*RBFuml)+(H165*RBRushAtt)</f>
        <v>3.33</v>
      </c>
      <c r="P165" s="1" t="str">
        <f ca="1">IF(A165&lt;=RBStarters,"Starter",IF(A165&gt;RBStarters+RBBench,"Undrafted","Bench"))</f>
        <v>Undrafted</v>
      </c>
      <c r="Q165" s="47">
        <f ca="1">IFERROR(MAX(O165-LARGE(O$3:O$174,RBStarters),0),0)</f>
        <v>0</v>
      </c>
      <c r="R165" s="47">
        <f ca="1">IFERROR(IF(AllowNegative="Yes",O165-LARGE(O$3:O$174,RBCount),MAX(O165-LARGE(O$3:O$174,RBCount),0)),0)</f>
        <v>-65.910000000000011</v>
      </c>
      <c r="S165" s="108">
        <f ca="1">(R165-Q165)*BenchPF+Q165*StarterPF</f>
        <v>-15.785171416936475</v>
      </c>
      <c r="T165" s="108">
        <f ca="1">S165*Auction!$A$2</f>
        <v>-15.785171416936475</v>
      </c>
      <c r="U165" s="25" t="str">
        <f>IF(OR(INDEX(Auction!$H$13:$H$683,MATCH(B165,Auction!$A$13:$A$683,0))&gt;0,IFERROR(INDEX(CheatSheet!$M$5:$M$64,MATCH(B165,CheatSheet!$J$5:$J$64,0)),"")&lt;&gt;""),"Yes","No")</f>
        <v>No</v>
      </c>
      <c r="V165" s="218"/>
      <c r="W165" s="1"/>
      <c r="X165" s="100">
        <f t="shared" ca="1" si="10"/>
        <v>1</v>
      </c>
      <c r="Y165" s="1">
        <f t="shared" ca="1" si="11"/>
        <v>-32.955000000000005</v>
      </c>
      <c r="Z165" s="145" t="str">
        <f t="shared" ca="1" si="12"/>
        <v>RB12</v>
      </c>
      <c r="AA165" s="1">
        <f ca="1">Y165*LeagueInfo!$H$5</f>
        <v>-15.071670289527992</v>
      </c>
      <c r="AB165" s="1"/>
      <c r="AC165" s="1"/>
    </row>
    <row r="166" spans="1:29" x14ac:dyDescent="0.25">
      <c r="A166" s="1">
        <f>RANK(O166,O$3:O$174)</f>
        <v>164</v>
      </c>
      <c r="B166" s="1" t="s">
        <v>538</v>
      </c>
      <c r="C166" s="1" t="s">
        <v>32</v>
      </c>
      <c r="D166" s="1">
        <f>VLOOKUP(E166,BYEs!$A$2:$B$34,2,FALSE)</f>
        <v>6</v>
      </c>
      <c r="E166" s="1" t="s">
        <v>366</v>
      </c>
      <c r="F166" s="249">
        <v>0</v>
      </c>
      <c r="G166" s="250">
        <v>0</v>
      </c>
      <c r="H166" s="249">
        <v>3.9</v>
      </c>
      <c r="I166" s="247">
        <v>10.8</v>
      </c>
      <c r="J166" s="250">
        <v>0.1</v>
      </c>
      <c r="K166" s="249">
        <v>1.7</v>
      </c>
      <c r="L166" s="247">
        <v>12.8</v>
      </c>
      <c r="M166" s="250">
        <v>0</v>
      </c>
      <c r="N166" s="251">
        <v>0</v>
      </c>
      <c r="O166" s="253">
        <f>(I166*RBRushingYd)+(J166*RBRushingTD)+(K166*RBReceptions)+(L166*RBRecYd)+(M166*RBRecTD)+(N166*RBFuml)+(H166*RBRushAtt)</f>
        <v>2.9600000000000004</v>
      </c>
      <c r="P166" s="1" t="str">
        <f ca="1">IF(A166&lt;=RBStarters,"Starter",IF(A166&gt;RBStarters+RBBench,"Undrafted","Bench"))</f>
        <v>Undrafted</v>
      </c>
      <c r="Q166" s="47">
        <f ca="1">IFERROR(MAX(O166-LARGE(O$3:O$174,RBStarters),0),0)</f>
        <v>0</v>
      </c>
      <c r="R166" s="47">
        <f ca="1">IFERROR(IF(AllowNegative="Yes",O166-LARGE(O$3:O$174,RBCount),MAX(O166-LARGE(O$3:O$174,RBCount),0)),0)</f>
        <v>-66.280000000000015</v>
      </c>
      <c r="S166" s="108">
        <f ca="1">(R166-Q166)*BenchPF+Q166*StarterPF</f>
        <v>-15.873784881118944</v>
      </c>
      <c r="T166" s="108">
        <f ca="1">S166*Auction!$A$2</f>
        <v>-15.873784881118944</v>
      </c>
      <c r="U166" s="25" t="str">
        <f>IF(OR(INDEX(Auction!$H$13:$H$683,MATCH(B166,Auction!$A$13:$A$683,0))&gt;0,IFERROR(INDEX(CheatSheet!$M$5:$M$64,MATCH(B166,CheatSheet!$J$5:$J$64,0)),"")&lt;&gt;""),"Yes","No")</f>
        <v>No</v>
      </c>
      <c r="V166" s="218"/>
      <c r="W166" s="1"/>
      <c r="X166" s="100">
        <f t="shared" ca="1" si="10"/>
        <v>1</v>
      </c>
      <c r="Y166" s="1">
        <f t="shared" ca="1" si="11"/>
        <v>-33.140000000000008</v>
      </c>
      <c r="Z166" s="145" t="str">
        <f t="shared" ca="1" si="12"/>
        <v>RB12</v>
      </c>
      <c r="AA166" s="1">
        <f ca="1">Y166*LeagueInfo!$H$5</f>
        <v>-15.156278361248907</v>
      </c>
      <c r="AB166" s="1"/>
      <c r="AC166" s="1"/>
    </row>
    <row r="167" spans="1:29" x14ac:dyDescent="0.25">
      <c r="A167" s="1">
        <f>RANK(O167,O$3:O$174)</f>
        <v>165</v>
      </c>
      <c r="B167" s="1" t="s">
        <v>532</v>
      </c>
      <c r="C167" s="1" t="s">
        <v>32</v>
      </c>
      <c r="D167" s="1">
        <f>VLOOKUP(E167,BYEs!$A$2:$B$34,2,FALSE)</f>
        <v>11</v>
      </c>
      <c r="E167" s="1" t="s">
        <v>382</v>
      </c>
      <c r="F167" s="249">
        <v>0</v>
      </c>
      <c r="G167" s="250">
        <v>0</v>
      </c>
      <c r="H167" s="249">
        <v>5</v>
      </c>
      <c r="I167" s="247">
        <v>18</v>
      </c>
      <c r="J167" s="250">
        <v>0.1</v>
      </c>
      <c r="K167" s="249">
        <v>1</v>
      </c>
      <c r="L167" s="247">
        <v>8</v>
      </c>
      <c r="M167" s="250">
        <v>0</v>
      </c>
      <c r="N167" s="251">
        <v>0.2</v>
      </c>
      <c r="O167" s="253">
        <f>(I167*RBRushingYd)+(J167*RBRushingTD)+(K167*RBReceptions)+(L167*RBRecYd)+(M167*RBRecTD)+(N167*RBFuml)+(H167*RBRushAtt)</f>
        <v>2.8000000000000003</v>
      </c>
      <c r="P167" s="1" t="str">
        <f ca="1">IF(A167&lt;=RBStarters,"Starter",IF(A167&gt;RBStarters+RBBench,"Undrafted","Bench"))</f>
        <v>Undrafted</v>
      </c>
      <c r="Q167" s="47">
        <f ca="1">IFERROR(MAX(O167-LARGE(O$3:O$174,RBStarters),0),0)</f>
        <v>0</v>
      </c>
      <c r="R167" s="47">
        <f ca="1">IFERROR(IF(AllowNegative="Yes",O167-LARGE(O$3:O$174,RBCount),MAX(O167-LARGE(O$3:O$174,RBCount),0)),0)</f>
        <v>-66.440000000000012</v>
      </c>
      <c r="S167" s="108">
        <f ca="1">(R167-Q167)*BenchPF+Q167*StarterPF</f>
        <v>-15.912104216981632</v>
      </c>
      <c r="T167" s="108">
        <f ca="1">S167*Auction!$A$2</f>
        <v>-15.912104216981632</v>
      </c>
      <c r="U167" s="25" t="str">
        <f>IF(OR(INDEX(Auction!$H$13:$H$683,MATCH(B167,Auction!$A$13:$A$683,0))&gt;0,IFERROR(INDEX(CheatSheet!$M$5:$M$64,MATCH(B167,CheatSheet!$J$5:$J$64,0)),"")&lt;&gt;""),"Yes","No")</f>
        <v>No</v>
      </c>
      <c r="V167" s="218"/>
      <c r="W167" s="1"/>
      <c r="X167" s="100">
        <f t="shared" ca="1" si="10"/>
        <v>1</v>
      </c>
      <c r="Y167" s="1">
        <f t="shared" ca="1" si="11"/>
        <v>-33.220000000000006</v>
      </c>
      <c r="Z167" s="145" t="str">
        <f t="shared" ca="1" si="12"/>
        <v>RB12</v>
      </c>
      <c r="AA167" s="1">
        <f ca="1">Y167*LeagueInfo!$H$5</f>
        <v>-15.192865635506598</v>
      </c>
      <c r="AB167" s="1"/>
      <c r="AC167" s="1"/>
    </row>
    <row r="168" spans="1:29" x14ac:dyDescent="0.25">
      <c r="A168" s="1">
        <f>RANK(O168,O$3:O$174)</f>
        <v>166</v>
      </c>
      <c r="B168" s="1" t="s">
        <v>529</v>
      </c>
      <c r="C168" s="1" t="s">
        <v>32</v>
      </c>
      <c r="D168" s="1">
        <f>VLOOKUP(E168,BYEs!$A$2:$B$34,2,FALSE)</f>
        <v>10</v>
      </c>
      <c r="E168" s="1" t="s">
        <v>372</v>
      </c>
      <c r="F168" s="249">
        <v>0</v>
      </c>
      <c r="G168" s="250">
        <v>0</v>
      </c>
      <c r="H168" s="249">
        <v>3.1</v>
      </c>
      <c r="I168" s="247">
        <v>12.3</v>
      </c>
      <c r="J168" s="250">
        <v>0</v>
      </c>
      <c r="K168" s="249">
        <v>1.6</v>
      </c>
      <c r="L168" s="247">
        <v>10.1</v>
      </c>
      <c r="M168" s="250">
        <v>0</v>
      </c>
      <c r="N168" s="251">
        <v>0</v>
      </c>
      <c r="O168" s="253">
        <f>(I168*RBRushingYd)+(J168*RBRushingTD)+(K168*RBReceptions)+(L168*RBRecYd)+(M168*RBRecTD)+(N168*RBFuml)+(H168*RBRushAtt)</f>
        <v>2.2400000000000002</v>
      </c>
      <c r="P168" s="1" t="str">
        <f ca="1">IF(A168&lt;=RBStarters,"Starter",IF(A168&gt;RBStarters+RBBench,"Undrafted","Bench"))</f>
        <v>Undrafted</v>
      </c>
      <c r="Q168" s="47">
        <f ca="1">IFERROR(MAX(O168-LARGE(O$3:O$174,RBStarters),0),0)</f>
        <v>0</v>
      </c>
      <c r="R168" s="47">
        <f ca="1">IFERROR(IF(AllowNegative="Yes",O168-LARGE(O$3:O$174,RBCount),MAX(O168-LARGE(O$3:O$174,RBCount),0)),0)</f>
        <v>-67.000000000000014</v>
      </c>
      <c r="S168" s="108">
        <f ca="1">(R168-Q168)*BenchPF+Q168*StarterPF</f>
        <v>-16.046221892501045</v>
      </c>
      <c r="T168" s="108">
        <f ca="1">S168*Auction!$A$2</f>
        <v>-16.046221892501045</v>
      </c>
      <c r="U168" s="25" t="str">
        <f>IF(OR(INDEX(Auction!$H$13:$H$683,MATCH(B168,Auction!$A$13:$A$683,0))&gt;0,IFERROR(INDEX(CheatSheet!$M$5:$M$64,MATCH(B168,CheatSheet!$J$5:$J$64,0)),"")&lt;&gt;""),"Yes","No")</f>
        <v>No</v>
      </c>
      <c r="V168" s="218"/>
      <c r="W168" s="1"/>
      <c r="X168" s="100">
        <f t="shared" ca="1" si="10"/>
        <v>1</v>
      </c>
      <c r="Y168" s="1">
        <f t="shared" ca="1" si="11"/>
        <v>-33.500000000000007</v>
      </c>
      <c r="Z168" s="145" t="str">
        <f t="shared" ca="1" si="12"/>
        <v>RB12</v>
      </c>
      <c r="AA168" s="1">
        <f ca="1">Y168*LeagueInfo!$H$5</f>
        <v>-15.32092109540852</v>
      </c>
      <c r="AB168" s="1"/>
      <c r="AC168" s="1"/>
    </row>
    <row r="169" spans="1:29" x14ac:dyDescent="0.25">
      <c r="A169" s="1">
        <f>RANK(O169,O$3:O$174)</f>
        <v>167</v>
      </c>
      <c r="B169" s="1" t="s">
        <v>526</v>
      </c>
      <c r="C169" s="1" t="s">
        <v>32</v>
      </c>
      <c r="D169" s="1">
        <f>VLOOKUP(E169,BYEs!$A$2:$B$34,2,FALSE)</f>
        <v>6</v>
      </c>
      <c r="E169" s="1" t="s">
        <v>364</v>
      </c>
      <c r="F169" s="249">
        <v>0</v>
      </c>
      <c r="G169" s="250">
        <v>0</v>
      </c>
      <c r="H169" s="249">
        <v>2</v>
      </c>
      <c r="I169" s="247">
        <v>5</v>
      </c>
      <c r="J169" s="250">
        <v>0</v>
      </c>
      <c r="K169" s="249">
        <v>1</v>
      </c>
      <c r="L169" s="247">
        <v>14</v>
      </c>
      <c r="M169" s="250">
        <v>0.1</v>
      </c>
      <c r="N169" s="251">
        <v>0.2</v>
      </c>
      <c r="O169" s="253">
        <f>(I169*RBRushingYd)+(J169*RBRushingTD)+(K169*RBReceptions)+(L169*RBRecYd)+(M169*RBRecTD)+(N169*RBFuml)+(H169*RBRushAtt)</f>
        <v>2.1</v>
      </c>
      <c r="P169" s="1" t="str">
        <f ca="1">IF(A169&lt;=RBStarters,"Starter",IF(A169&gt;RBStarters+RBBench,"Undrafted","Bench"))</f>
        <v>Undrafted</v>
      </c>
      <c r="Q169" s="47">
        <f ca="1">IFERROR(MAX(O169-LARGE(O$3:O$174,RBStarters),0),0)</f>
        <v>0</v>
      </c>
      <c r="R169" s="47">
        <f ca="1">IFERROR(IF(AllowNegative="Yes",O169-LARGE(O$3:O$174,RBCount),MAX(O169-LARGE(O$3:O$174,RBCount),0)),0)</f>
        <v>-67.140000000000015</v>
      </c>
      <c r="S169" s="108">
        <f ca="1">(R169-Q169)*BenchPF+Q169*StarterPF</f>
        <v>-16.079751311380896</v>
      </c>
      <c r="T169" s="108">
        <f ca="1">S169*Auction!$A$2</f>
        <v>-16.079751311380896</v>
      </c>
      <c r="U169" s="25" t="str">
        <f>IF(OR(INDEX(Auction!$H$13:$H$683,MATCH(B169,Auction!$A$13:$A$683,0))&gt;0,IFERROR(INDEX(CheatSheet!$M$5:$M$64,MATCH(B169,CheatSheet!$J$5:$J$64,0)),"")&lt;&gt;""),"Yes","No")</f>
        <v>No</v>
      </c>
      <c r="V169" s="218"/>
      <c r="W169" s="1"/>
      <c r="X169" s="100">
        <f t="shared" ca="1" si="10"/>
        <v>1</v>
      </c>
      <c r="Y169" s="1">
        <f t="shared" ca="1" si="11"/>
        <v>-33.570000000000007</v>
      </c>
      <c r="Z169" s="145" t="str">
        <f t="shared" ca="1" si="12"/>
        <v>RB12</v>
      </c>
      <c r="AA169" s="1">
        <f ca="1">Y169*LeagueInfo!$H$5</f>
        <v>-15.352934960384001</v>
      </c>
      <c r="AB169" s="1"/>
      <c r="AC169" s="1"/>
    </row>
    <row r="170" spans="1:29" x14ac:dyDescent="0.25">
      <c r="A170" s="1">
        <f>RANK(O170,O$3:O$174)</f>
        <v>168</v>
      </c>
      <c r="B170" s="1" t="s">
        <v>925</v>
      </c>
      <c r="C170" s="1" t="s">
        <v>32</v>
      </c>
      <c r="D170" s="1">
        <f>VLOOKUP(E170,BYEs!$A$2:$B$34,2,FALSE)</f>
        <v>8</v>
      </c>
      <c r="E170" s="1" t="s">
        <v>380</v>
      </c>
      <c r="F170" s="249">
        <v>0</v>
      </c>
      <c r="G170" s="250">
        <v>0</v>
      </c>
      <c r="H170" s="249">
        <v>2</v>
      </c>
      <c r="I170" s="247">
        <v>7</v>
      </c>
      <c r="J170" s="250">
        <v>0</v>
      </c>
      <c r="K170" s="249">
        <v>1</v>
      </c>
      <c r="L170" s="247">
        <v>9</v>
      </c>
      <c r="M170" s="250">
        <v>0</v>
      </c>
      <c r="N170" s="251">
        <v>0</v>
      </c>
      <c r="O170" s="253">
        <f>(I170*RBRushingYd)+(J170*RBRushingTD)+(K170*RBReceptions)+(L170*RBRecYd)+(M170*RBRecTD)+(N170*RBFuml)+(H170*RBRushAtt)</f>
        <v>1.6</v>
      </c>
      <c r="P170" s="1" t="str">
        <f ca="1">IF(A170&lt;=RBStarters,"Starter",IF(A170&gt;RBStarters+RBBench,"Undrafted","Bench"))</f>
        <v>Undrafted</v>
      </c>
      <c r="Q170" s="47">
        <f ca="1">IFERROR(MAX(O170-LARGE(O$3:O$174,RBStarters),0),0)</f>
        <v>0</v>
      </c>
      <c r="R170" s="47">
        <f ca="1">IFERROR(IF(AllowNegative="Yes",O170-LARGE(O$3:O$174,RBCount),MAX(O170-LARGE(O$3:O$174,RBCount),0)),0)</f>
        <v>-67.640000000000015</v>
      </c>
      <c r="S170" s="108">
        <f ca="1">(R170-Q170)*BenchPF+Q170*StarterPF</f>
        <v>-16.199499235951802</v>
      </c>
      <c r="T170" s="108">
        <f ca="1">S170*Auction!$A$2</f>
        <v>-16.199499235951802</v>
      </c>
      <c r="U170" s="25" t="str">
        <f>IF(OR(INDEX(Auction!$H$13:$H$683,MATCH(B170,Auction!$A$13:$A$683,0))&gt;0,IFERROR(INDEX(CheatSheet!$M$5:$M$64,MATCH(B170,CheatSheet!$J$5:$J$64,0)),"")&lt;&gt;""),"Yes","No")</f>
        <v>No</v>
      </c>
      <c r="V170" s="218"/>
      <c r="W170" s="1"/>
      <c r="X170" s="100">
        <f t="shared" ca="1" si="10"/>
        <v>1</v>
      </c>
      <c r="Y170" s="1">
        <f t="shared" ca="1" si="11"/>
        <v>-33.820000000000007</v>
      </c>
      <c r="Z170" s="145" t="str">
        <f t="shared" ca="1" si="12"/>
        <v>RB12</v>
      </c>
      <c r="AA170" s="1">
        <f ca="1">Y170*LeagueInfo!$H$5</f>
        <v>-15.467270192439289</v>
      </c>
      <c r="AB170" s="1"/>
      <c r="AC170" s="1"/>
    </row>
    <row r="171" spans="1:29" x14ac:dyDescent="0.25">
      <c r="A171" s="1">
        <f>RANK(O171,O$3:O$174)</f>
        <v>169</v>
      </c>
      <c r="B171" s="1" t="s">
        <v>530</v>
      </c>
      <c r="C171" s="1" t="s">
        <v>32</v>
      </c>
      <c r="D171" s="1">
        <f>VLOOKUP(E171,BYEs!$A$2:$B$34,2,FALSE)</f>
        <v>9</v>
      </c>
      <c r="E171" s="1" t="s">
        <v>363</v>
      </c>
      <c r="F171" s="249">
        <v>0</v>
      </c>
      <c r="G171" s="250">
        <v>0</v>
      </c>
      <c r="H171" s="249">
        <v>1.6</v>
      </c>
      <c r="I171" s="247">
        <v>5.3</v>
      </c>
      <c r="J171" s="250">
        <v>0</v>
      </c>
      <c r="K171" s="249">
        <v>1.7</v>
      </c>
      <c r="L171" s="247">
        <v>9.8000000000000007</v>
      </c>
      <c r="M171" s="250">
        <v>0</v>
      </c>
      <c r="N171" s="251">
        <v>0</v>
      </c>
      <c r="O171" s="253">
        <f>(I171*RBRushingYd)+(J171*RBRushingTD)+(K171*RBReceptions)+(L171*RBRecYd)+(M171*RBRecTD)+(N171*RBFuml)+(H171*RBRushAtt)</f>
        <v>1.5100000000000002</v>
      </c>
      <c r="P171" s="1" t="str">
        <f ca="1">IF(A171&lt;=RBStarters,"Starter",IF(A171&gt;RBStarters+RBBench,"Undrafted","Bench"))</f>
        <v>Undrafted</v>
      </c>
      <c r="Q171" s="47">
        <f ca="1">IFERROR(MAX(O171-LARGE(O$3:O$174,RBStarters),0),0)</f>
        <v>0</v>
      </c>
      <c r="R171" s="47">
        <f ca="1">IFERROR(IF(AllowNegative="Yes",O171-LARGE(O$3:O$174,RBCount),MAX(O171-LARGE(O$3:O$174,RBCount),0)),0)</f>
        <v>-67.73</v>
      </c>
      <c r="S171" s="108">
        <f ca="1">(R171-Q171)*BenchPF+Q171*StarterPF</f>
        <v>-16.221053862374561</v>
      </c>
      <c r="T171" s="108">
        <f ca="1">S171*Auction!$A$2</f>
        <v>-16.221053862374561</v>
      </c>
      <c r="U171" s="25" t="str">
        <f>IF(OR(INDEX(Auction!$H$13:$H$683,MATCH(B171,Auction!$A$13:$A$683,0))&gt;0,IFERROR(INDEX(CheatSheet!$M$5:$M$64,MATCH(B171,CheatSheet!$J$5:$J$64,0)),"")&lt;&gt;""),"Yes","No")</f>
        <v>No</v>
      </c>
      <c r="V171" s="218"/>
      <c r="W171" s="1"/>
      <c r="X171" s="100">
        <f t="shared" ca="1" si="10"/>
        <v>1</v>
      </c>
      <c r="Y171" s="1">
        <f t="shared" ca="1" si="11"/>
        <v>-33.865000000000002</v>
      </c>
      <c r="Z171" s="145" t="str">
        <f t="shared" ca="1" si="12"/>
        <v>RB12</v>
      </c>
      <c r="AA171" s="1">
        <f ca="1">Y171*LeagueInfo!$H$5</f>
        <v>-15.487850534209237</v>
      </c>
      <c r="AB171" s="1"/>
      <c r="AC171" s="1"/>
    </row>
    <row r="172" spans="1:29" x14ac:dyDescent="0.25">
      <c r="A172" s="1">
        <f>RANK(O172,O$3:O$174)</f>
        <v>170</v>
      </c>
      <c r="B172" s="1" t="s">
        <v>531</v>
      </c>
      <c r="C172" s="1" t="s">
        <v>32</v>
      </c>
      <c r="D172" s="1">
        <f>VLOOKUP(E172,BYEs!$A$2:$B$34,2,FALSE)</f>
        <v>8</v>
      </c>
      <c r="E172" s="1" t="s">
        <v>367</v>
      </c>
      <c r="F172" s="249">
        <v>0</v>
      </c>
      <c r="G172" s="250">
        <v>0</v>
      </c>
      <c r="H172" s="249">
        <v>2</v>
      </c>
      <c r="I172" s="247">
        <v>7</v>
      </c>
      <c r="J172" s="250">
        <v>0</v>
      </c>
      <c r="K172" s="249">
        <v>1</v>
      </c>
      <c r="L172" s="247">
        <v>7</v>
      </c>
      <c r="M172" s="250">
        <v>0</v>
      </c>
      <c r="N172" s="251">
        <v>0</v>
      </c>
      <c r="O172" s="253">
        <f>(I172*RBRushingYd)+(J172*RBRushingTD)+(K172*RBReceptions)+(L172*RBRecYd)+(M172*RBRecTD)+(N172*RBFuml)+(H172*RBRushAtt)</f>
        <v>1.4000000000000001</v>
      </c>
      <c r="P172" s="1" t="str">
        <f ca="1">IF(A172&lt;=RBStarters,"Starter",IF(A172&gt;RBStarters+RBBench,"Undrafted","Bench"))</f>
        <v>Undrafted</v>
      </c>
      <c r="Q172" s="47">
        <f ca="1">IFERROR(MAX(O172-LARGE(O$3:O$174,RBStarters),0),0)</f>
        <v>0</v>
      </c>
      <c r="R172" s="47">
        <f ca="1">IFERROR(IF(AllowNegative="Yes",O172-LARGE(O$3:O$174,RBCount),MAX(O172-LARGE(O$3:O$174,RBCount),0)),0)</f>
        <v>-67.84</v>
      </c>
      <c r="S172" s="108">
        <f ca="1">(R172-Q172)*BenchPF+Q172*StarterPF</f>
        <v>-16.24739840578016</v>
      </c>
      <c r="T172" s="108">
        <f ca="1">S172*Auction!$A$2</f>
        <v>-16.24739840578016</v>
      </c>
      <c r="U172" s="25" t="str">
        <f>IF(OR(INDEX(Auction!$H$13:$H$683,MATCH(B172,Auction!$A$13:$A$683,0))&gt;0,IFERROR(INDEX(CheatSheet!$M$5:$M$64,MATCH(B172,CheatSheet!$J$5:$J$64,0)),"")&lt;&gt;""),"Yes","No")</f>
        <v>No</v>
      </c>
      <c r="V172" s="218"/>
      <c r="W172" s="1"/>
      <c r="X172" s="100">
        <f t="shared" ca="1" si="10"/>
        <v>1</v>
      </c>
      <c r="Y172" s="1">
        <f t="shared" ca="1" si="11"/>
        <v>-33.92</v>
      </c>
      <c r="Z172" s="145" t="str">
        <f t="shared" ca="1" si="12"/>
        <v>RB12</v>
      </c>
      <c r="AA172" s="1">
        <f ca="1">Y172*LeagueInfo!$H$5</f>
        <v>-15.513004285261401</v>
      </c>
      <c r="AB172" s="1"/>
      <c r="AC172" s="1"/>
    </row>
    <row r="173" spans="1:29" x14ac:dyDescent="0.25">
      <c r="A173" s="1">
        <f>RANK(O173,O$3:O$174)</f>
        <v>171</v>
      </c>
      <c r="B173" s="1" t="s">
        <v>533</v>
      </c>
      <c r="C173" s="1" t="s">
        <v>32</v>
      </c>
      <c r="D173" s="1">
        <f>VLOOKUP(E173,BYEs!$A$2:$B$34,2,FALSE)</f>
        <v>9</v>
      </c>
      <c r="E173" s="1" t="s">
        <v>376</v>
      </c>
      <c r="F173" s="249">
        <v>0</v>
      </c>
      <c r="G173" s="250">
        <v>0</v>
      </c>
      <c r="H173" s="249">
        <v>1</v>
      </c>
      <c r="I173" s="247">
        <v>1</v>
      </c>
      <c r="J173" s="250">
        <v>0</v>
      </c>
      <c r="K173" s="249">
        <v>1</v>
      </c>
      <c r="L173" s="247">
        <v>8</v>
      </c>
      <c r="M173" s="250">
        <v>0.1</v>
      </c>
      <c r="N173" s="251">
        <v>0.2</v>
      </c>
      <c r="O173" s="253">
        <f>(I173*RBRushingYd)+(J173*RBRushingTD)+(K173*RBReceptions)+(L173*RBRecYd)+(M173*RBRecTD)+(N173*RBFuml)+(H173*RBRushAtt)</f>
        <v>1.1000000000000001</v>
      </c>
      <c r="P173" s="1" t="str">
        <f ca="1">IF(A173&lt;=RBStarters,"Starter",IF(A173&gt;RBStarters+RBBench,"Undrafted","Bench"))</f>
        <v>Undrafted</v>
      </c>
      <c r="Q173" s="47">
        <f ca="1">IFERROR(MAX(O173-LARGE(O$3:O$174,RBStarters),0),0)</f>
        <v>0</v>
      </c>
      <c r="R173" s="47">
        <f ca="1">IFERROR(IF(AllowNegative="Yes",O173-LARGE(O$3:O$174,RBCount),MAX(O173-LARGE(O$3:O$174,RBCount),0)),0)</f>
        <v>-68.140000000000015</v>
      </c>
      <c r="S173" s="108">
        <f ca="1">(R173-Q173)*BenchPF+Q173*StarterPF</f>
        <v>-16.319247160522703</v>
      </c>
      <c r="T173" s="108">
        <f ca="1">S173*Auction!$A$2</f>
        <v>-16.319247160522703</v>
      </c>
      <c r="U173" s="25" t="str">
        <f>IF(OR(INDEX(Auction!$H$13:$H$683,MATCH(B173,Auction!$A$13:$A$683,0))&gt;0,IFERROR(INDEX(CheatSheet!$M$5:$M$64,MATCH(B173,CheatSheet!$J$5:$J$64,0)),"")&lt;&gt;""),"Yes","No")</f>
        <v>No</v>
      </c>
      <c r="V173" s="218"/>
      <c r="W173" s="1"/>
      <c r="X173" s="100">
        <f t="shared" ca="1" si="10"/>
        <v>1</v>
      </c>
      <c r="Y173" s="1">
        <f t="shared" ca="1" si="11"/>
        <v>-34.070000000000007</v>
      </c>
      <c r="Z173" s="145" t="str">
        <f t="shared" ca="1" si="12"/>
        <v>RB12</v>
      </c>
      <c r="AA173" s="1">
        <f ca="1">Y173*LeagueInfo!$H$5</f>
        <v>-15.581605424494574</v>
      </c>
      <c r="AB173" s="1"/>
      <c r="AC173" s="1"/>
    </row>
    <row r="174" spans="1:29" x14ac:dyDescent="0.25">
      <c r="A174" s="1">
        <f>RANK(O174,O$3:O$174)</f>
        <v>171</v>
      </c>
      <c r="B174" s="1" t="s">
        <v>534</v>
      </c>
      <c r="C174" s="1" t="s">
        <v>32</v>
      </c>
      <c r="D174" s="1">
        <f>VLOOKUP(E174,BYEs!$A$2:$B$34,2,FALSE)</f>
        <v>8</v>
      </c>
      <c r="E174" s="1" t="s">
        <v>380</v>
      </c>
      <c r="F174" s="249">
        <v>0</v>
      </c>
      <c r="G174" s="250">
        <v>0</v>
      </c>
      <c r="H174" s="12">
        <v>2</v>
      </c>
      <c r="I174" s="1">
        <v>5</v>
      </c>
      <c r="J174" s="10">
        <v>0</v>
      </c>
      <c r="K174" s="12">
        <v>1</v>
      </c>
      <c r="L174" s="1">
        <v>6</v>
      </c>
      <c r="M174" s="10">
        <v>0</v>
      </c>
      <c r="N174" s="1">
        <v>0</v>
      </c>
      <c r="O174" s="253">
        <f>(I174*RBRushingYd)+(J174*RBRushingTD)+(K174*RBReceptions)+(L174*RBRecYd)+(M174*RBRecTD)+(N174*RBFuml)+(H174*RBRushAtt)</f>
        <v>1.1000000000000001</v>
      </c>
      <c r="P174" s="1" t="str">
        <f ca="1">IF(A174&lt;=RBStarters,"Starter",IF(A174&gt;RBStarters+RBBench,"Undrafted","Bench"))</f>
        <v>Undrafted</v>
      </c>
      <c r="Q174" s="47">
        <f ca="1">IFERROR(MAX(O174-LARGE(O$3:O$174,RBStarters),0),0)</f>
        <v>0</v>
      </c>
      <c r="R174" s="47">
        <f ca="1">IFERROR(IF(AllowNegative="Yes",O174-LARGE(O$3:O$174,RBCount),MAX(O174-LARGE(O$3:O$174,RBCount),0)),0)</f>
        <v>-68.140000000000015</v>
      </c>
      <c r="S174" s="108">
        <f ca="1">(R174-Q174)*BenchPF+Q174*StarterPF</f>
        <v>-16.319247160522703</v>
      </c>
      <c r="T174" s="108">
        <f ca="1">S174*Auction!$A$2</f>
        <v>-16.319247160522703</v>
      </c>
      <c r="U174" s="25" t="str">
        <f>IF(OR(INDEX(Auction!$H$13:$H$683,MATCH(B174,Auction!$A$13:$A$683,0))&gt;0,IFERROR(INDEX(CheatSheet!$M$5:$M$64,MATCH(B174,CheatSheet!$J$5:$J$64,0)),"")&lt;&gt;""),"Yes","No")</f>
        <v>No</v>
      </c>
      <c r="V174" s="218"/>
      <c r="W174" s="1"/>
      <c r="X174" s="100">
        <f t="shared" ca="1" si="10"/>
        <v>1</v>
      </c>
      <c r="Y174" s="1">
        <f t="shared" ca="1" si="11"/>
        <v>-34.070000000000007</v>
      </c>
      <c r="Z174" s="145" t="str">
        <f t="shared" ca="1" si="12"/>
        <v>RB12</v>
      </c>
      <c r="AA174" s="1">
        <f ca="1">Y174*LeagueInfo!$H$5</f>
        <v>-15.581605424494574</v>
      </c>
      <c r="AB174" s="1"/>
      <c r="AC174" s="1"/>
    </row>
  </sheetData>
  <autoFilter ref="A2:V157"/>
  <sortState ref="A3:V174">
    <sortCondition ref="A2:A225"/>
  </sortState>
  <mergeCells count="3">
    <mergeCell ref="F1:G1"/>
    <mergeCell ref="H1:J1"/>
    <mergeCell ref="K1:M1"/>
  </mergeCells>
  <conditionalFormatting sqref="B3:U174">
    <cfRule type="expression" dxfId="62" priority="14">
      <formula>$U3="Yes"</formula>
    </cfRule>
  </conditionalFormatting>
  <conditionalFormatting sqref="F3:M3">
    <cfRule type="expression" dxfId="61" priority="12">
      <formula>$U3="Yes"</formula>
    </cfRule>
  </conditionalFormatting>
  <conditionalFormatting sqref="O2:S2 C2:D2 F2:G2 A2">
    <cfRule type="expression" dxfId="60" priority="260">
      <formula>#REF!="Yes"</formula>
    </cfRule>
  </conditionalFormatting>
  <hyperlinks>
    <hyperlink ref="B29" r:id="rId1" display="http://www.fantasypros.com/nfl/players/danny-ware.php"/>
    <hyperlink ref="B93" r:id="rId2" display="http://www.fantasypros.com/nfl/players/david-johnson.php"/>
    <hyperlink ref="B123" r:id="rId3" display="http://www.fantasypros.com/nfl/players/jewel-hampton.php"/>
  </hyperlinks>
  <pageMargins left="0.7" right="0.7" top="0.75" bottom="0.75" header="0.3" footer="0.3"/>
  <pageSetup orientation="portrait" horizontalDpi="4294967294" verticalDpi="4294967294"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LeagueInfo!$H$97:$H$100</xm:f>
          </x14:formula1>
          <xm:sqref>V3:V174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231"/>
  <sheetViews>
    <sheetView topLeftCell="A2" workbookViewId="0">
      <selection activeCell="A3" sqref="A3:V231"/>
    </sheetView>
  </sheetViews>
  <sheetFormatPr defaultColWidth="8.85546875" defaultRowHeight="15" x14ac:dyDescent="0.25"/>
  <cols>
    <col min="1" max="1" width="7.140625" style="1" bestFit="1" customWidth="1"/>
    <col min="2" max="2" width="20.42578125" bestFit="1" customWidth="1"/>
    <col min="3" max="3" width="4.42578125" style="1" customWidth="1"/>
    <col min="4" max="4" width="6.140625" style="1" bestFit="1" customWidth="1"/>
    <col min="5" max="5" width="5.140625" style="1" customWidth="1"/>
    <col min="6" max="6" width="4.140625" style="1" customWidth="1"/>
    <col min="7" max="7" width="4.42578125" style="1" customWidth="1"/>
    <col min="8" max="8" width="5" bestFit="1" customWidth="1"/>
    <col min="9" max="9" width="5.42578125" bestFit="1" customWidth="1"/>
    <col min="10" max="10" width="4" bestFit="1" customWidth="1"/>
    <col min="11" max="11" width="6" bestFit="1" customWidth="1"/>
    <col min="12" max="12" width="8.140625" bestFit="1" customWidth="1"/>
    <col min="13" max="13" width="5" bestFit="1" customWidth="1"/>
    <col min="14" max="14" width="4" bestFit="1" customWidth="1"/>
    <col min="15" max="15" width="6.42578125" bestFit="1" customWidth="1"/>
    <col min="16" max="16" width="10.85546875" style="1" customWidth="1"/>
    <col min="17" max="17" width="8.140625" customWidth="1"/>
    <col min="19" max="19" width="8.42578125" bestFit="1" customWidth="1"/>
    <col min="20" max="20" width="8.140625" style="1" bestFit="1" customWidth="1"/>
    <col min="21" max="21" width="7.42578125" style="25" bestFit="1" customWidth="1"/>
    <col min="22" max="22" width="8.85546875" customWidth="1"/>
    <col min="23" max="23" width="8.85546875" hidden="1" customWidth="1"/>
    <col min="24" max="24" width="0" style="1" hidden="1" customWidth="1"/>
  </cols>
  <sheetData>
    <row r="1" spans="1:29" s="1" customFormat="1" x14ac:dyDescent="0.25">
      <c r="F1" s="277" t="s">
        <v>326</v>
      </c>
      <c r="G1" s="277"/>
      <c r="H1" s="277" t="s">
        <v>327</v>
      </c>
      <c r="I1" s="277"/>
      <c r="J1" s="277"/>
      <c r="K1" s="277" t="s">
        <v>430</v>
      </c>
      <c r="L1" s="277"/>
      <c r="M1" s="277"/>
      <c r="U1" s="25"/>
    </row>
    <row r="2" spans="1:29" s="1" customFormat="1" ht="24" thickBot="1" x14ac:dyDescent="0.3">
      <c r="A2" s="127" t="s">
        <v>328</v>
      </c>
      <c r="B2" s="127" t="s">
        <v>89</v>
      </c>
      <c r="C2" s="127" t="s">
        <v>329</v>
      </c>
      <c r="D2" s="127" t="s">
        <v>330</v>
      </c>
      <c r="E2" s="127" t="s">
        <v>331</v>
      </c>
      <c r="F2" s="127" t="s">
        <v>332</v>
      </c>
      <c r="G2" s="127" t="s">
        <v>333</v>
      </c>
      <c r="H2" s="127" t="s">
        <v>332</v>
      </c>
      <c r="I2" s="127" t="s">
        <v>334</v>
      </c>
      <c r="J2" s="127" t="s">
        <v>335</v>
      </c>
      <c r="K2" s="127" t="s">
        <v>431</v>
      </c>
      <c r="L2" s="127" t="s">
        <v>334</v>
      </c>
      <c r="M2" s="127" t="s">
        <v>335</v>
      </c>
      <c r="N2" s="127" t="s">
        <v>337</v>
      </c>
      <c r="O2" s="127" t="s">
        <v>338</v>
      </c>
      <c r="P2" s="127" t="s">
        <v>339</v>
      </c>
      <c r="Q2" s="127" t="s">
        <v>340</v>
      </c>
      <c r="R2" s="127" t="s">
        <v>341</v>
      </c>
      <c r="S2" s="127" t="s">
        <v>342</v>
      </c>
      <c r="T2" s="127" t="s">
        <v>343</v>
      </c>
      <c r="U2" s="127" t="s">
        <v>344</v>
      </c>
      <c r="V2" s="127" t="s">
        <v>345</v>
      </c>
      <c r="X2" s="127" t="s">
        <v>346</v>
      </c>
      <c r="Y2" s="127" t="s">
        <v>347</v>
      </c>
      <c r="Z2" s="127" t="s">
        <v>348</v>
      </c>
      <c r="AA2" s="127" t="s">
        <v>349</v>
      </c>
    </row>
    <row r="3" spans="1:29" ht="15.75" thickBot="1" x14ac:dyDescent="0.3">
      <c r="A3" s="47">
        <f>RANK(O3,O$3:O$231)</f>
        <v>1</v>
      </c>
      <c r="B3" s="1" t="s">
        <v>102</v>
      </c>
      <c r="C3" s="1" t="s">
        <v>39</v>
      </c>
      <c r="D3" s="1">
        <f>VLOOKUP(E3,BYEs!$A$2:$B$34,2,FALSE)</f>
        <v>5</v>
      </c>
      <c r="E3" s="1" t="s">
        <v>353</v>
      </c>
      <c r="F3" s="249">
        <v>0</v>
      </c>
      <c r="G3" s="250">
        <v>0</v>
      </c>
      <c r="H3" s="251">
        <v>0</v>
      </c>
      <c r="I3" s="251">
        <v>0.2</v>
      </c>
      <c r="J3" s="251">
        <v>0</v>
      </c>
      <c r="K3" s="249">
        <v>99.6</v>
      </c>
      <c r="L3" s="247">
        <v>1520.1</v>
      </c>
      <c r="M3" s="250">
        <v>9.1999999999999993</v>
      </c>
      <c r="N3" s="251">
        <v>0.7</v>
      </c>
      <c r="O3" s="252">
        <f>(I3*WRRushingYd)+(J3*WRRushingTD)+(K3*WRRec)+(L3*WRRecYd)+(M3*WRRecTD)+(N3*WRFuml)+(H3*WRRushAtt)</f>
        <v>205.82999999999998</v>
      </c>
      <c r="P3" s="1" t="str">
        <f ca="1">IF(A3&lt;=WRStarters,"Starter",IF(A3&gt;WRStarters+WRBench,"Undrafted","Bench"))</f>
        <v>Starter</v>
      </c>
      <c r="Q3" s="47">
        <f ca="1">IFERROR(MAX(O3-LARGE(O$3:O$231,WRStarters),0),0)</f>
        <v>82.269999999999968</v>
      </c>
      <c r="R3" s="47">
        <f ca="1">IFERROR(IF(AllowNegative="Yes",O3-LARGE(O$3:O$231,WRCount),MAX(O3-LARGE(O$3:O$231,WRCount),0)),0)</f>
        <v>116.20999999999998</v>
      </c>
      <c r="S3" s="108">
        <f ca="1">(R3-Q3)*BenchPF+Q3*StarterPF</f>
        <v>44.070999836410692</v>
      </c>
      <c r="T3" s="108">
        <f ca="1">S3*Auction!$A$2</f>
        <v>44.070999836410692</v>
      </c>
      <c r="U3" s="25" t="str">
        <f>IF(OR(INDEX(Auction!$H$13:$H$683,MATCH(B3,Auction!$A$13:$A$683,0))&gt;0,IFERROR(INDEX(CheatSheet!$V$5:$V$64,MATCH(B3,CheatSheet!$S$5:$S$64,0)),"")&lt;&gt;""),"Yes","No")</f>
        <v>No</v>
      </c>
      <c r="V3" s="218"/>
      <c r="W3" s="1"/>
      <c r="X3" s="143">
        <f ca="1">IFERROR(SUMIFS($Y$3:$Y231,$Y$3:$Y$231,"&gt;0",$U$3:$U$231,"No")/SUMIF($Y$3:$Y$231,"&gt;0"),0)</f>
        <v>1</v>
      </c>
      <c r="Y3" s="1">
        <f ca="1">AVERAGE(Q3:R3)</f>
        <v>99.239999999999981</v>
      </c>
      <c r="Z3" s="145" t="str">
        <f ca="1">CONCATENATE("WR",ROUND((LARGE($Y$3:$Y$231,1)-$Y3)/(STDEVP($Y$3:$Y$231)/2)+1,0))</f>
        <v>WR1</v>
      </c>
      <c r="AA3" s="1">
        <f ca="1">Y3*LeagueInfo!$H$5</f>
        <v>45.38651371666689</v>
      </c>
      <c r="AB3" s="1"/>
      <c r="AC3" s="1"/>
    </row>
    <row r="4" spans="1:29" ht="15.75" thickBot="1" x14ac:dyDescent="0.3">
      <c r="A4" s="47">
        <f>RANK(O4,O$3:O$231)</f>
        <v>2</v>
      </c>
      <c r="B4" s="1" t="s">
        <v>100</v>
      </c>
      <c r="C4" s="1" t="s">
        <v>39</v>
      </c>
      <c r="D4" s="1">
        <f>VLOOKUP(E4,BYEs!$A$2:$B$34,2,FALSE)</f>
        <v>9</v>
      </c>
      <c r="E4" s="1" t="s">
        <v>363</v>
      </c>
      <c r="F4" s="249">
        <v>0</v>
      </c>
      <c r="G4" s="250">
        <v>0</v>
      </c>
      <c r="H4" s="251">
        <v>3.1</v>
      </c>
      <c r="I4" s="251">
        <v>16.600000000000001</v>
      </c>
      <c r="J4" s="251">
        <v>0</v>
      </c>
      <c r="K4" s="249">
        <v>111.2</v>
      </c>
      <c r="L4" s="247">
        <v>1416.1</v>
      </c>
      <c r="M4" s="250">
        <v>10.4</v>
      </c>
      <c r="N4" s="251">
        <v>0.9</v>
      </c>
      <c r="O4" s="252">
        <f>(I4*WRRushingYd)+(J4*WRRushingTD)+(K4*WRRec)+(L4*WRRecYd)+(M4*WRRecTD)+(N4*WRFuml)+(H4*WRRushAtt)</f>
        <v>203.86999999999998</v>
      </c>
      <c r="P4" s="1" t="str">
        <f ca="1">IF(A4&lt;=WRStarters,"Starter",IF(A4&gt;WRStarters+WRBench,"Undrafted","Bench"))</f>
        <v>Starter</v>
      </c>
      <c r="Q4" s="47">
        <f ca="1">IFERROR(MAX(O4-LARGE(O$3:O$231,WRStarters),0),0)</f>
        <v>80.30999999999996</v>
      </c>
      <c r="R4" s="47">
        <f ca="1">IFERROR(IF(AllowNegative="Yes",O4-LARGE(O$3:O$231,WRCount),MAX(O4-LARGE(O$3:O$231,WRCount),0)),0)</f>
        <v>114.24999999999997</v>
      </c>
      <c r="S4" s="108">
        <f ca="1">(R4-Q4)*BenchPF+Q4*StarterPF</f>
        <v>43.214705670804591</v>
      </c>
      <c r="T4" s="108">
        <f ca="1">S4*Auction!$A$2</f>
        <v>43.214705670804591</v>
      </c>
      <c r="U4" s="25" t="str">
        <f>IF(OR(INDEX(Auction!$H$13:$H$683,MATCH(B4,Auction!$A$13:$A$683,0))&gt;0,IFERROR(INDEX(CheatSheet!$V$5:$V$64,MATCH(B4,CheatSheet!$S$5:$S$64,0)),"")&lt;&gt;""),"Yes","No")</f>
        <v>No</v>
      </c>
      <c r="V4" s="218"/>
      <c r="W4" s="1"/>
      <c r="X4" s="143">
        <f ca="1">IFERROR(SUMIFS($Y$3:$Y232,$Y$3:$Y$231,"&gt;0",$U$3:$U$231,"No")/SUMIF($Y$3:$Y$231,"&gt;0"),0)</f>
        <v>0</v>
      </c>
      <c r="Y4" s="1">
        <f t="shared" ref="Y4:Y67" ca="1" si="0">AVERAGE(Q4:R4)</f>
        <v>97.279999999999973</v>
      </c>
      <c r="Z4" s="145" t="str">
        <f ca="1">CONCATENATE("WR",ROUND((LARGE($Y$3:$Y$231,1)-$Y4)/(STDEVP($Y$3:$Y$231)/2)+1,0))</f>
        <v>WR1</v>
      </c>
      <c r="AA4" s="1">
        <f ca="1">Y4*LeagueInfo!$H$5</f>
        <v>44.490125497353432</v>
      </c>
      <c r="AB4" s="1"/>
      <c r="AC4" s="1"/>
    </row>
    <row r="5" spans="1:29" ht="15.75" thickBot="1" x14ac:dyDescent="0.3">
      <c r="A5" s="47">
        <f>RANK(O5,O$3:O$231)</f>
        <v>3</v>
      </c>
      <c r="B5" s="1" t="s">
        <v>101</v>
      </c>
      <c r="C5" s="1" t="s">
        <v>39</v>
      </c>
      <c r="D5" s="1">
        <f>VLOOKUP(E5,BYEs!$A$2:$B$34,2,FALSE)</f>
        <v>8</v>
      </c>
      <c r="E5" s="1" t="s">
        <v>368</v>
      </c>
      <c r="F5" s="249">
        <v>0</v>
      </c>
      <c r="G5" s="250">
        <v>0</v>
      </c>
      <c r="H5" s="251">
        <v>0.6</v>
      </c>
      <c r="I5" s="251">
        <v>4.5</v>
      </c>
      <c r="J5" s="251">
        <v>0</v>
      </c>
      <c r="K5" s="249">
        <v>97.2</v>
      </c>
      <c r="L5" s="247">
        <v>1329</v>
      </c>
      <c r="M5" s="250">
        <v>9.9</v>
      </c>
      <c r="N5" s="251">
        <v>1</v>
      </c>
      <c r="O5" s="252">
        <f>(I5*WRRushingYd)+(J5*WRRushingTD)+(K5*WRRec)+(L5*WRRecYd)+(M5*WRRecTD)+(N5*WRFuml)+(H5*WRRushAtt)</f>
        <v>190.75</v>
      </c>
      <c r="P5" s="1" t="str">
        <f ca="1">IF(A5&lt;=WRStarters,"Starter",IF(A5&gt;WRStarters+WRBench,"Undrafted","Bench"))</f>
        <v>Starter</v>
      </c>
      <c r="Q5" s="47">
        <f ca="1">IFERROR(MAX(O5-LARGE(O$3:O$231,WRStarters),0),0)</f>
        <v>67.189999999999984</v>
      </c>
      <c r="R5" s="47">
        <f ca="1">IFERROR(IF(AllowNegative="Yes",O5-LARGE(O$3:O$231,WRCount),MAX(O5-LARGE(O$3:O$231,WRCount),0)),0)</f>
        <v>101.13</v>
      </c>
      <c r="S5" s="108">
        <f ca="1">(R5-Q5)*BenchPF+Q5*StarterPF</f>
        <v>37.48277737858416</v>
      </c>
      <c r="T5" s="108">
        <f ca="1">S5*Auction!$A$2</f>
        <v>37.48277737858416</v>
      </c>
      <c r="U5" s="25" t="str">
        <f>IF(OR(INDEX(Auction!$H$13:$H$683,MATCH(B5,Auction!$A$13:$A$683,0))&gt;0,IFERROR(INDEX(CheatSheet!$V$5:$V$64,MATCH(B5,CheatSheet!$S$5:$S$64,0)),"")&lt;&gt;""),"Yes","No")</f>
        <v>No</v>
      </c>
      <c r="V5" s="218"/>
      <c r="W5" s="1"/>
      <c r="X5" s="143">
        <f ca="1">IFERROR(SUMIFS($Y$3:$Y233,$Y$3:$Y$231,"&gt;0",$U$3:$U$231,"No")/SUMIF($Y$3:$Y$231,"&gt;0"),0)</f>
        <v>0</v>
      </c>
      <c r="Y5" s="1">
        <f t="shared" ca="1" si="0"/>
        <v>84.16</v>
      </c>
      <c r="Z5" s="145" t="str">
        <f ca="1">CONCATENATE("WR",ROUND((LARGE($Y$3:$Y$231,1)-$Y5)/(STDEVP($Y$3:$Y$231)/2)+1,0))</f>
        <v>WR2</v>
      </c>
      <c r="AA5" s="1">
        <f ca="1">Y5*LeagueInfo!$H$5</f>
        <v>38.489812519091963</v>
      </c>
      <c r="AB5" s="1"/>
      <c r="AC5" s="1"/>
    </row>
    <row r="6" spans="1:29" ht="15.75" thickBot="1" x14ac:dyDescent="0.3">
      <c r="A6" s="47">
        <f>RANK(O6,O$3:O$231)</f>
        <v>4</v>
      </c>
      <c r="B6" s="1" t="s">
        <v>103</v>
      </c>
      <c r="C6" s="1" t="s">
        <v>39</v>
      </c>
      <c r="D6" s="1">
        <f>VLOOKUP(E6,BYEs!$A$2:$B$34,2,FALSE)</f>
        <v>11</v>
      </c>
      <c r="E6" s="1" t="s">
        <v>356</v>
      </c>
      <c r="F6" s="249">
        <v>0</v>
      </c>
      <c r="G6" s="250">
        <v>0</v>
      </c>
      <c r="H6" s="251">
        <v>0</v>
      </c>
      <c r="I6" s="251">
        <v>0</v>
      </c>
      <c r="J6" s="251">
        <v>0</v>
      </c>
      <c r="K6" s="249">
        <v>90</v>
      </c>
      <c r="L6" s="247">
        <v>1286.5</v>
      </c>
      <c r="M6" s="250">
        <v>9.4</v>
      </c>
      <c r="N6" s="251">
        <v>0.7</v>
      </c>
      <c r="O6" s="252">
        <f>(I6*WRRushingYd)+(J6*WRRushingTD)+(K6*WRRec)+(L6*WRRecYd)+(M6*WRRecTD)+(N6*WRFuml)+(H6*WRRushAtt)</f>
        <v>183.65</v>
      </c>
      <c r="P6" s="1" t="str">
        <f ca="1">IF(A6&lt;=WRStarters,"Starter",IF(A6&gt;WRStarters+WRBench,"Undrafted","Bench"))</f>
        <v>Starter</v>
      </c>
      <c r="Q6" s="47">
        <f ca="1">IFERROR(MAX(O6-LARGE(O$3:O$231,WRStarters),0),0)</f>
        <v>60.089999999999989</v>
      </c>
      <c r="R6" s="47">
        <f ca="1">IFERROR(IF(AllowNegative="Yes",O6-LARGE(O$3:O$231,WRCount),MAX(O6-LARGE(O$3:O$231,WRCount),0)),0)</f>
        <v>94.03</v>
      </c>
      <c r="S6" s="108">
        <f ca="1">(R6-Q6)*BenchPF+Q6*StarterPF</f>
        <v>34.380895452153894</v>
      </c>
      <c r="T6" s="108">
        <f ca="1">S6*Auction!$A$2</f>
        <v>34.380895452153894</v>
      </c>
      <c r="U6" s="25" t="str">
        <f>IF(OR(INDEX(Auction!$H$13:$H$683,MATCH(B6,Auction!$A$13:$A$683,0))&gt;0,IFERROR(INDEX(CheatSheet!$V$5:$V$64,MATCH(B6,CheatSheet!$S$5:$S$64,0)),"")&lt;&gt;""),"Yes","No")</f>
        <v>No</v>
      </c>
      <c r="V6" s="218"/>
      <c r="W6" s="1"/>
      <c r="X6" s="143">
        <f ca="1">IFERROR(SUMIFS($Y$3:$Y234,$Y$3:$Y$231,"&gt;0",$U$3:$U$231,"No")/SUMIF($Y$3:$Y$231,"&gt;0"),0)</f>
        <v>0</v>
      </c>
      <c r="Y6" s="1">
        <f t="shared" ca="1" si="0"/>
        <v>77.06</v>
      </c>
      <c r="Z6" s="145" t="str">
        <f ca="1">CONCATENATE("WR",ROUND((LARGE($Y$3:$Y$231,1)-$Y6)/(STDEVP($Y$3:$Y$231)/2)+1,0))</f>
        <v>WR2</v>
      </c>
      <c r="AA6" s="1">
        <f ca="1">Y6*LeagueInfo!$H$5</f>
        <v>35.242691928721797</v>
      </c>
      <c r="AB6" s="1"/>
      <c r="AC6" s="1"/>
    </row>
    <row r="7" spans="1:29" ht="15.75" thickBot="1" x14ac:dyDescent="0.3">
      <c r="A7" s="47">
        <f>RANK(O7,O$3:O$231)</f>
        <v>5</v>
      </c>
      <c r="B7" s="1" t="s">
        <v>109</v>
      </c>
      <c r="C7" s="1" t="s">
        <v>39</v>
      </c>
      <c r="D7" s="1">
        <f>VLOOKUP(E7,BYEs!$A$2:$B$34,2,FALSE)</f>
        <v>8</v>
      </c>
      <c r="E7" s="1" t="s">
        <v>350</v>
      </c>
      <c r="F7" s="249">
        <v>0</v>
      </c>
      <c r="G7" s="250">
        <v>0</v>
      </c>
      <c r="H7" s="251">
        <v>0</v>
      </c>
      <c r="I7" s="251">
        <v>0</v>
      </c>
      <c r="J7" s="251">
        <v>0</v>
      </c>
      <c r="K7" s="249">
        <v>90.1</v>
      </c>
      <c r="L7" s="247">
        <v>1215.2</v>
      </c>
      <c r="M7" s="250">
        <v>10.7</v>
      </c>
      <c r="N7" s="251">
        <v>1.2</v>
      </c>
      <c r="O7" s="252">
        <f>(I7*WRRushingYd)+(J7*WRRushingTD)+(K7*WRRec)+(L7*WRRecYd)+(M7*WRRecTD)+(N7*WRFuml)+(H7*WRRushAtt)</f>
        <v>183.32</v>
      </c>
      <c r="P7" s="1" t="str">
        <f ca="1">IF(A7&lt;=WRStarters,"Starter",IF(A7&gt;WRStarters+WRBench,"Undrafted","Bench"))</f>
        <v>Starter</v>
      </c>
      <c r="Q7" s="47">
        <f ca="1">IFERROR(MAX(O7-LARGE(O$3:O$231,WRStarters),0),0)</f>
        <v>59.759999999999977</v>
      </c>
      <c r="R7" s="47">
        <f ca="1">IFERROR(IF(AllowNegative="Yes",O7-LARGE(O$3:O$231,WRCount),MAX(O7-LARGE(O$3:O$231,WRCount),0)),0)</f>
        <v>93.699999999999989</v>
      </c>
      <c r="S7" s="108">
        <f ca="1">(R7-Q7)*BenchPF+Q7*StarterPF</f>
        <v>34.236723475291633</v>
      </c>
      <c r="T7" s="108">
        <f ca="1">S7*Auction!$A$2</f>
        <v>34.236723475291633</v>
      </c>
      <c r="U7" s="25" t="str">
        <f>IF(OR(INDEX(Auction!$H$13:$H$683,MATCH(B7,Auction!$A$13:$A$683,0))&gt;0,IFERROR(INDEX(CheatSheet!$V$5:$V$64,MATCH(B7,CheatSheet!$S$5:$S$64,0)),"")&lt;&gt;""),"Yes","No")</f>
        <v>No</v>
      </c>
      <c r="V7" s="218"/>
      <c r="W7" s="1"/>
      <c r="X7" s="143">
        <f ca="1">IFERROR(SUMIFS($Y$3:$Y235,$Y$3:$Y$231,"&gt;0",$U$3:$U$231,"No")/SUMIF($Y$3:$Y$231,"&gt;0"),0)</f>
        <v>0</v>
      </c>
      <c r="Y7" s="1">
        <f t="shared" ca="1" si="0"/>
        <v>76.72999999999999</v>
      </c>
      <c r="Z7" s="145" t="str">
        <f ca="1">CONCATENATE("WR",ROUND((LARGE($Y$3:$Y$231,1)-$Y7)/(STDEVP($Y$3:$Y$231)/2)+1,0))</f>
        <v>WR3</v>
      </c>
      <c r="AA7" s="1">
        <f ca="1">Y7*LeagueInfo!$H$5</f>
        <v>35.091769422408817</v>
      </c>
      <c r="AB7" s="1"/>
      <c r="AC7" s="1"/>
    </row>
    <row r="8" spans="1:29" ht="15.75" thickBot="1" x14ac:dyDescent="0.3">
      <c r="A8" s="47">
        <f>RANK(O8,O$3:O$231)</f>
        <v>6</v>
      </c>
      <c r="B8" s="1" t="s">
        <v>107</v>
      </c>
      <c r="C8" s="1" t="s">
        <v>39</v>
      </c>
      <c r="D8" s="1">
        <f>VLOOKUP(E8,BYEs!$A$2:$B$34,2,FALSE)</f>
        <v>6</v>
      </c>
      <c r="E8" s="1" t="s">
        <v>366</v>
      </c>
      <c r="F8" s="249">
        <v>0</v>
      </c>
      <c r="G8" s="250">
        <v>0</v>
      </c>
      <c r="H8" s="251">
        <v>0</v>
      </c>
      <c r="I8" s="251">
        <v>0</v>
      </c>
      <c r="J8" s="251">
        <v>0</v>
      </c>
      <c r="K8" s="249">
        <v>90.1</v>
      </c>
      <c r="L8" s="247">
        <v>1272.7</v>
      </c>
      <c r="M8" s="250">
        <v>7.9</v>
      </c>
      <c r="N8" s="251">
        <v>0.8</v>
      </c>
      <c r="O8" s="252">
        <f>(I8*WRRushingYd)+(J8*WRRushingTD)+(K8*WRRec)+(L8*WRRecYd)+(M8*WRRecTD)+(N8*WRFuml)+(H8*WRRushAtt)</f>
        <v>173.07000000000002</v>
      </c>
      <c r="P8" s="1" t="str">
        <f ca="1">IF(A8&lt;=WRStarters,"Starter",IF(A8&gt;WRStarters+WRBench,"Undrafted","Bench"))</f>
        <v>Starter</v>
      </c>
      <c r="Q8" s="47">
        <f ca="1">IFERROR(MAX(O8-LARGE(O$3:O$231,WRStarters),0),0)</f>
        <v>49.510000000000005</v>
      </c>
      <c r="R8" s="47">
        <f ca="1">IFERROR(IF(AllowNegative="Yes",O8-LARGE(O$3:O$231,WRCount),MAX(O8-LARGE(O$3:O$231,WRCount),0)),0)</f>
        <v>83.450000000000017</v>
      </c>
      <c r="S8" s="108">
        <f ca="1">(R8-Q8)*BenchPF+Q8*StarterPF</f>
        <v>29.758654496994424</v>
      </c>
      <c r="T8" s="108">
        <f ca="1">S8*Auction!$A$2</f>
        <v>29.758654496994424</v>
      </c>
      <c r="U8" s="25" t="str">
        <f>IF(OR(INDEX(Auction!$H$13:$H$683,MATCH(B8,Auction!$A$13:$A$683,0))&gt;0,IFERROR(INDEX(CheatSheet!$V$5:$V$64,MATCH(B8,CheatSheet!$S$5:$S$64,0)),"")&lt;&gt;""),"Yes","No")</f>
        <v>No</v>
      </c>
      <c r="V8" s="218"/>
      <c r="W8" s="1"/>
      <c r="X8" s="143">
        <f ca="1">IFERROR(SUMIFS($Y$3:$Y236,$Y$3:$Y$231,"&gt;0",$U$3:$U$231,"No")/SUMIF($Y$3:$Y$231,"&gt;0"),0)</f>
        <v>0</v>
      </c>
      <c r="Y8" s="1">
        <f t="shared" ca="1" si="0"/>
        <v>66.480000000000018</v>
      </c>
      <c r="Z8" s="145" t="str">
        <f ca="1">CONCATENATE("WR",ROUND((LARGE($Y$3:$Y$231,1)-$Y8)/(STDEVP($Y$3:$Y$231)/2)+1,0))</f>
        <v>WR3</v>
      </c>
      <c r="AA8" s="1">
        <f ca="1">Y8*LeagueInfo!$H$5</f>
        <v>30.404024908142045</v>
      </c>
      <c r="AB8" s="1"/>
      <c r="AC8" s="1"/>
    </row>
    <row r="9" spans="1:29" ht="15.75" thickBot="1" x14ac:dyDescent="0.3">
      <c r="A9" s="47">
        <f>RANK(O9,O$3:O$231)</f>
        <v>7</v>
      </c>
      <c r="B9" s="1" t="s">
        <v>111</v>
      </c>
      <c r="C9" s="1" t="s">
        <v>39</v>
      </c>
      <c r="D9" s="1">
        <f>VLOOKUP(E9,BYEs!$A$2:$B$34,2,FALSE)</f>
        <v>5</v>
      </c>
      <c r="E9" s="1" t="s">
        <v>352</v>
      </c>
      <c r="F9" s="249">
        <v>0</v>
      </c>
      <c r="G9" s="250">
        <v>0</v>
      </c>
      <c r="H9" s="251">
        <v>0</v>
      </c>
      <c r="I9" s="251">
        <v>0</v>
      </c>
      <c r="J9" s="251">
        <v>0</v>
      </c>
      <c r="K9" s="249">
        <v>94.5</v>
      </c>
      <c r="L9" s="247">
        <v>1192.8</v>
      </c>
      <c r="M9" s="250">
        <v>8.4</v>
      </c>
      <c r="N9" s="251">
        <v>0.7</v>
      </c>
      <c r="O9" s="252">
        <f>(I9*WRRushingYd)+(J9*WRRushingTD)+(K9*WRRec)+(L9*WRRecYd)+(M9*WRRecTD)+(N9*WRFuml)+(H9*WRRushAtt)</f>
        <v>168.28</v>
      </c>
      <c r="P9" s="1" t="str">
        <f ca="1">IF(A9&lt;=WRStarters,"Starter",IF(A9&gt;WRStarters+WRBench,"Undrafted","Bench"))</f>
        <v>Starter</v>
      </c>
      <c r="Q9" s="47">
        <f ca="1">IFERROR(MAX(O9-LARGE(O$3:O$231,WRStarters),0),0)</f>
        <v>44.719999999999985</v>
      </c>
      <c r="R9" s="47">
        <f ca="1">IFERROR(IF(AllowNegative="Yes",O9-LARGE(O$3:O$231,WRCount),MAX(O9-LARGE(O$3:O$231,WRCount),0)),0)</f>
        <v>78.66</v>
      </c>
      <c r="S9" s="108">
        <f ca="1">(R9-Q9)*BenchPF+Q9*StarterPF</f>
        <v>27.66597640859991</v>
      </c>
      <c r="T9" s="108">
        <f ca="1">S9*Auction!$A$2</f>
        <v>27.66597640859991</v>
      </c>
      <c r="U9" s="25" t="str">
        <f>IF(OR(INDEX(Auction!$H$13:$H$683,MATCH(B9,Auction!$A$13:$A$683,0))&gt;0,IFERROR(INDEX(CheatSheet!$V$5:$V$64,MATCH(B9,CheatSheet!$S$5:$S$64,0)),"")&lt;&gt;""),"Yes","No")</f>
        <v>No</v>
      </c>
      <c r="V9" s="218"/>
      <c r="W9" s="1"/>
      <c r="X9" s="143">
        <f ca="1">IFERROR(SUMIFS($Y$3:$Y237,$Y$3:$Y$231,"&gt;0",$U$3:$U$231,"No")/SUMIF($Y$3:$Y$231,"&gt;0"),0)</f>
        <v>0</v>
      </c>
      <c r="Y9" s="1">
        <f t="shared" ca="1" si="0"/>
        <v>61.689999999999991</v>
      </c>
      <c r="Z9" s="145" t="str">
        <f ca="1">CONCATENATE("WR",ROUND((LARGE($Y$3:$Y$231,1)-$Y9)/(STDEVP($Y$3:$Y$231)/2)+1,0))</f>
        <v>WR4</v>
      </c>
      <c r="AA9" s="1">
        <f ca="1">Y9*LeagueInfo!$H$5</f>
        <v>28.213361861962724</v>
      </c>
      <c r="AB9" s="1"/>
      <c r="AC9" s="1"/>
    </row>
    <row r="10" spans="1:29" ht="15.75" thickBot="1" x14ac:dyDescent="0.3">
      <c r="A10" s="47">
        <f>RANK(O10,O$3:O$231)</f>
        <v>8</v>
      </c>
      <c r="B10" s="1" t="s">
        <v>114</v>
      </c>
      <c r="C10" s="1" t="s">
        <v>39</v>
      </c>
      <c r="D10" s="1">
        <f>VLOOKUP(E10,BYEs!$A$2:$B$34,2,FALSE)</f>
        <v>11</v>
      </c>
      <c r="E10" s="1" t="s">
        <v>355</v>
      </c>
      <c r="F10" s="249">
        <v>0</v>
      </c>
      <c r="G10" s="250">
        <v>0</v>
      </c>
      <c r="H10" s="251">
        <v>0</v>
      </c>
      <c r="I10" s="251">
        <v>0</v>
      </c>
      <c r="J10" s="251">
        <v>0</v>
      </c>
      <c r="K10" s="249">
        <v>82.1</v>
      </c>
      <c r="L10" s="247">
        <v>1237.5</v>
      </c>
      <c r="M10" s="250">
        <v>6.8</v>
      </c>
      <c r="N10" s="251">
        <v>0.7</v>
      </c>
      <c r="O10" s="252">
        <f>(I10*WRRushingYd)+(J10*WRRushingTD)+(K10*WRRec)+(L10*WRRecYd)+(M10*WRRecTD)+(N10*WRFuml)+(H10*WRRushAtt)</f>
        <v>163.15</v>
      </c>
      <c r="P10" s="1" t="str">
        <f ca="1">IF(A10&lt;=WRStarters,"Starter",IF(A10&gt;WRStarters+WRBench,"Undrafted","Bench"))</f>
        <v>Starter</v>
      </c>
      <c r="Q10" s="47">
        <f ca="1">IFERROR(MAX(O10-LARGE(O$3:O$231,WRStarters),0),0)</f>
        <v>39.589999999999989</v>
      </c>
      <c r="R10" s="47">
        <f ca="1">IFERROR(IF(AllowNegative="Yes",O10-LARGE(O$3:O$231,WRCount),MAX(O10-LARGE(O$3:O$231,WRCount),0)),0)</f>
        <v>73.53</v>
      </c>
      <c r="S10" s="108">
        <f ca="1">(R10-Q10)*BenchPF+Q10*StarterPF</f>
        <v>25.424757495559447</v>
      </c>
      <c r="T10" s="108">
        <f ca="1">S10*Auction!$A$2</f>
        <v>25.424757495559447</v>
      </c>
      <c r="U10" s="25" t="str">
        <f>IF(OR(INDEX(Auction!$H$13:$H$683,MATCH(B10,Auction!$A$13:$A$683,0))&gt;0,IFERROR(INDEX(CheatSheet!$V$5:$V$64,MATCH(B10,CheatSheet!$S$5:$S$64,0)),"")&lt;&gt;""),"Yes","No")</f>
        <v>No</v>
      </c>
      <c r="V10" s="218"/>
      <c r="W10" s="1"/>
      <c r="X10" s="143">
        <f ca="1">IFERROR(SUMIFS($Y$3:$Y238,$Y$3:$Y$231,"&gt;0",$U$3:$U$231,"No")/SUMIF($Y$3:$Y$231,"&gt;0"),0)</f>
        <v>0</v>
      </c>
      <c r="Y10" s="1">
        <f t="shared" ca="1" si="0"/>
        <v>56.559999999999995</v>
      </c>
      <c r="Z10" s="145" t="str">
        <f ca="1">CONCATENATE("WR",ROUND((LARGE($Y$3:$Y$231,1)-$Y10)/(STDEVP($Y$3:$Y$231)/2)+1,0))</f>
        <v>WR4</v>
      </c>
      <c r="AA10" s="1">
        <f ca="1">Y10*LeagueInfo!$H$5</f>
        <v>25.867202900188229</v>
      </c>
      <c r="AB10" s="1"/>
      <c r="AC10" s="1"/>
    </row>
    <row r="11" spans="1:29" ht="15.75" thickBot="1" x14ac:dyDescent="0.3">
      <c r="A11" s="47">
        <f>RANK(O11,O$3:O$231)</f>
        <v>9</v>
      </c>
      <c r="B11" s="1" t="s">
        <v>112</v>
      </c>
      <c r="C11" s="1" t="s">
        <v>39</v>
      </c>
      <c r="D11" s="1">
        <f>VLOOKUP(E11,BYEs!$A$2:$B$34,2,FALSE)</f>
        <v>6</v>
      </c>
      <c r="E11" s="1" t="s">
        <v>360</v>
      </c>
      <c r="F11" s="249">
        <v>0</v>
      </c>
      <c r="G11" s="250">
        <v>0</v>
      </c>
      <c r="H11" s="251">
        <v>0</v>
      </c>
      <c r="I11" s="251">
        <v>0</v>
      </c>
      <c r="J11" s="251">
        <v>0</v>
      </c>
      <c r="K11" s="249">
        <v>72.7</v>
      </c>
      <c r="L11" s="247">
        <v>1072.9000000000001</v>
      </c>
      <c r="M11" s="250">
        <v>9</v>
      </c>
      <c r="N11" s="251">
        <v>1.3</v>
      </c>
      <c r="O11" s="252">
        <f>(I11*WRRushingYd)+(J11*WRRushingTD)+(K11*WRRec)+(L11*WRRecYd)+(M11*WRRecTD)+(N11*WRFuml)+(H11*WRRushAtt)</f>
        <v>158.69000000000003</v>
      </c>
      <c r="P11" s="1" t="str">
        <f ca="1">IF(A11&lt;=WRStarters,"Starter",IF(A11&gt;WRStarters+WRBench,"Undrafted","Bench"))</f>
        <v>Starter</v>
      </c>
      <c r="Q11" s="47">
        <f ca="1">IFERROR(MAX(O11-LARGE(O$3:O$231,WRStarters),0),0)</f>
        <v>35.13000000000001</v>
      </c>
      <c r="R11" s="47">
        <f ca="1">IFERROR(IF(AllowNegative="Yes",O11-LARGE(O$3:O$231,WRCount),MAX(O11-LARGE(O$3:O$231,WRCount),0)),0)</f>
        <v>69.070000000000022</v>
      </c>
      <c r="S11" s="108">
        <f ca="1">(R11-Q11)*BenchPF+Q11*StarterPF</f>
        <v>23.476251384027201</v>
      </c>
      <c r="T11" s="108">
        <f ca="1">S11*Auction!$A$2</f>
        <v>23.476251384027201</v>
      </c>
      <c r="U11" s="25" t="str">
        <f>IF(OR(INDEX(Auction!$H$13:$H$683,MATCH(B11,Auction!$A$13:$A$683,0))&gt;0,IFERROR(INDEX(CheatSheet!$V$5:$V$64,MATCH(B11,CheatSheet!$S$5:$S$64,0)),"")&lt;&gt;""),"Yes","No")</f>
        <v>No</v>
      </c>
      <c r="V11" s="218"/>
      <c r="W11" s="1"/>
      <c r="X11" s="143">
        <f ca="1">IFERROR(SUMIFS($Y$3:$Y239,$Y$3:$Y$231,"&gt;0",$U$3:$U$231,"No")/SUMIF($Y$3:$Y$231,"&gt;0"),0)</f>
        <v>0</v>
      </c>
      <c r="Y11" s="1">
        <f t="shared" ca="1" si="0"/>
        <v>52.100000000000016</v>
      </c>
      <c r="Z11" s="145" t="str">
        <f ca="1">CONCATENATE("WR",ROUND((LARGE($Y$3:$Y$231,1)-$Y11)/(STDEVP($Y$3:$Y$231)/2)+1,0))</f>
        <v>WR4</v>
      </c>
      <c r="AA11" s="1">
        <f ca="1">Y11*LeagueInfo!$H$5</f>
        <v>23.82746236032191</v>
      </c>
      <c r="AB11" s="1"/>
      <c r="AC11" s="1"/>
    </row>
    <row r="12" spans="1:29" ht="15.75" thickBot="1" x14ac:dyDescent="0.3">
      <c r="A12" s="47">
        <f>RANK(O12,O$3:O$231)</f>
        <v>10</v>
      </c>
      <c r="B12" s="1" t="s">
        <v>116</v>
      </c>
      <c r="C12" s="1" t="s">
        <v>39</v>
      </c>
      <c r="D12" s="1">
        <f>VLOOKUP(E12,BYEs!$A$2:$B$34,2,FALSE)</f>
        <v>6</v>
      </c>
      <c r="E12" s="1" t="s">
        <v>354</v>
      </c>
      <c r="F12" s="249">
        <v>0</v>
      </c>
      <c r="G12" s="250">
        <v>0</v>
      </c>
      <c r="H12" s="251">
        <v>2.2999999999999998</v>
      </c>
      <c r="I12" s="251">
        <v>12.2</v>
      </c>
      <c r="J12" s="251">
        <v>0.1</v>
      </c>
      <c r="K12" s="249">
        <v>86.7</v>
      </c>
      <c r="L12" s="247">
        <v>1081.8</v>
      </c>
      <c r="M12" s="250">
        <v>8.1</v>
      </c>
      <c r="N12" s="251">
        <v>0.6</v>
      </c>
      <c r="O12" s="252">
        <f>(I12*WRRushingYd)+(J12*WRRushingTD)+(K12*WRRec)+(L12*WRRecYd)+(M12*WRRecTD)+(N12*WRFuml)+(H12*WRRushAtt)</f>
        <v>157.4</v>
      </c>
      <c r="P12" s="1" t="str">
        <f ca="1">IF(A12&lt;=WRStarters,"Starter",IF(A12&gt;WRStarters+WRBench,"Undrafted","Bench"))</f>
        <v>Starter</v>
      </c>
      <c r="Q12" s="47">
        <f ca="1">IFERROR(MAX(O12-LARGE(O$3:O$231,WRStarters),0),0)</f>
        <v>33.839999999999989</v>
      </c>
      <c r="R12" s="47">
        <f ca="1">IFERROR(IF(AllowNegative="Yes",O12-LARGE(O$3:O$231,WRCount),MAX(O12-LARGE(O$3:O$231,WRCount),0)),0)</f>
        <v>67.78</v>
      </c>
      <c r="S12" s="108">
        <f ca="1">(R12-Q12)*BenchPF+Q12*StarterPF</f>
        <v>22.912670019929301</v>
      </c>
      <c r="T12" s="108">
        <f ca="1">S12*Auction!$A$2</f>
        <v>22.912670019929301</v>
      </c>
      <c r="U12" s="25" t="str">
        <f>IF(OR(INDEX(Auction!$H$13:$H$683,MATCH(B12,Auction!$A$13:$A$683,0))&gt;0,IFERROR(INDEX(CheatSheet!$V$5:$V$64,MATCH(B12,CheatSheet!$S$5:$S$64,0)),"")&lt;&gt;""),"Yes","No")</f>
        <v>No</v>
      </c>
      <c r="V12" s="218"/>
      <c r="W12" s="1"/>
      <c r="X12" s="143">
        <f ca="1">IFERROR(SUMIFS($Y$3:$Y240,$Y$3:$Y$231,"&gt;0",$U$3:$U$231,"No")/SUMIF($Y$3:$Y$231,"&gt;0"),0)</f>
        <v>0</v>
      </c>
      <c r="Y12" s="1">
        <f t="shared" ca="1" si="0"/>
        <v>50.809999999999995</v>
      </c>
      <c r="Z12" s="145" t="str">
        <f ca="1">CONCATENATE("WR",ROUND((LARGE($Y$3:$Y$231,1)-$Y12)/(STDEVP($Y$3:$Y$231)/2)+1,0))</f>
        <v>WR4</v>
      </c>
      <c r="AA12" s="1">
        <f ca="1">Y12*LeagueInfo!$H$5</f>
        <v>23.237492562916618</v>
      </c>
      <c r="AB12" s="1"/>
      <c r="AC12" s="1"/>
    </row>
    <row r="13" spans="1:29" ht="15.75" thickBot="1" x14ac:dyDescent="0.3">
      <c r="A13" s="47">
        <f>RANK(O13,O$3:O$231)</f>
        <v>11</v>
      </c>
      <c r="B13" s="1" t="s">
        <v>115</v>
      </c>
      <c r="C13" s="1" t="s">
        <v>39</v>
      </c>
      <c r="D13" s="1">
        <f>VLOOKUP(E13,BYEs!$A$2:$B$34,2,FALSE)</f>
        <v>10</v>
      </c>
      <c r="E13" s="1" t="s">
        <v>365</v>
      </c>
      <c r="F13" s="249">
        <v>0</v>
      </c>
      <c r="G13" s="250">
        <v>0</v>
      </c>
      <c r="H13" s="251">
        <v>1.8</v>
      </c>
      <c r="I13" s="251">
        <v>8.8000000000000007</v>
      </c>
      <c r="J13" s="251">
        <v>0</v>
      </c>
      <c r="K13" s="249">
        <v>83.7</v>
      </c>
      <c r="L13" s="247">
        <v>1159.9000000000001</v>
      </c>
      <c r="M13" s="250">
        <v>6.9</v>
      </c>
      <c r="N13" s="251">
        <v>0.7</v>
      </c>
      <c r="O13" s="252">
        <f>(I13*WRRushingYd)+(J13*WRRushingTD)+(K13*WRRec)+(L13*WRRecYd)+(M13*WRRecTD)+(N13*WRFuml)+(H13*WRRushAtt)</f>
        <v>156.87</v>
      </c>
      <c r="P13" s="1" t="str">
        <f ca="1">IF(A13&lt;=WRStarters,"Starter",IF(A13&gt;WRStarters+WRBench,"Undrafted","Bench"))</f>
        <v>Starter</v>
      </c>
      <c r="Q13" s="47">
        <f ca="1">IFERROR(MAX(O13-LARGE(O$3:O$231,WRStarters),0),0)</f>
        <v>33.309999999999988</v>
      </c>
      <c r="R13" s="47">
        <f ca="1">IFERROR(IF(AllowNegative="Yes",O13-LARGE(O$3:O$231,WRCount),MAX(O13-LARGE(O$3:O$231,WRCount),0)),0)</f>
        <v>67.25</v>
      </c>
      <c r="S13" s="108">
        <f ca="1">(R13-Q13)*BenchPF+Q13*StarterPF</f>
        <v>22.681121087392956</v>
      </c>
      <c r="T13" s="108">
        <f ca="1">S13*Auction!$A$2</f>
        <v>22.681121087392956</v>
      </c>
      <c r="U13" s="25" t="str">
        <f>IF(OR(INDEX(Auction!$H$13:$H$683,MATCH(B13,Auction!$A$13:$A$683,0))&gt;0,IFERROR(INDEX(CheatSheet!$V$5:$V$64,MATCH(B13,CheatSheet!$S$5:$S$64,0)),"")&lt;&gt;""),"Yes","No")</f>
        <v>No</v>
      </c>
      <c r="V13" s="218"/>
      <c r="W13" s="1"/>
      <c r="X13" s="143">
        <f ca="1">IFERROR(SUMIFS($Y$3:$Y241,$Y$3:$Y$231,"&gt;0",$U$3:$U$231,"No")/SUMIF($Y$3:$Y$231,"&gt;0"),0)</f>
        <v>0</v>
      </c>
      <c r="Y13" s="1">
        <f t="shared" ca="1" si="0"/>
        <v>50.279999999999994</v>
      </c>
      <c r="Z13" s="145" t="str">
        <f ca="1">CONCATENATE("WR",ROUND((LARGE($Y$3:$Y$231,1)-$Y13)/(STDEVP($Y$3:$Y$231)/2)+1,0))</f>
        <v>WR4</v>
      </c>
      <c r="AA13" s="1">
        <f ca="1">Y13*LeagueInfo!$H$5</f>
        <v>22.995101870959406</v>
      </c>
      <c r="AB13" s="1"/>
      <c r="AC13" s="1"/>
    </row>
    <row r="14" spans="1:29" ht="15.75" thickBot="1" x14ac:dyDescent="0.3">
      <c r="A14" s="47">
        <f>RANK(O14,O$3:O$231)</f>
        <v>12</v>
      </c>
      <c r="B14" s="1" t="s">
        <v>123</v>
      </c>
      <c r="C14" s="1" t="s">
        <v>39</v>
      </c>
      <c r="D14" s="1">
        <f>VLOOKUP(E14,BYEs!$A$2:$B$34,2,FALSE)</f>
        <v>9</v>
      </c>
      <c r="E14" s="1" t="s">
        <v>351</v>
      </c>
      <c r="F14" s="249">
        <v>0</v>
      </c>
      <c r="G14" s="250">
        <v>0</v>
      </c>
      <c r="H14" s="251">
        <v>5.4</v>
      </c>
      <c r="I14" s="251">
        <v>27.2</v>
      </c>
      <c r="J14" s="251">
        <v>0.1</v>
      </c>
      <c r="K14" s="249">
        <v>80.3</v>
      </c>
      <c r="L14" s="247">
        <v>1097.2</v>
      </c>
      <c r="M14" s="250">
        <v>7.2</v>
      </c>
      <c r="N14" s="251">
        <v>0.7</v>
      </c>
      <c r="O14" s="252">
        <f>(I14*WRRushingYd)+(J14*WRRushingTD)+(K14*WRRec)+(L14*WRRecYd)+(M14*WRRecTD)+(N14*WRFuml)+(H14*WRRushAtt)</f>
        <v>154.84</v>
      </c>
      <c r="P14" s="1" t="str">
        <f ca="1">IF(A14&lt;=WRStarters,"Starter",IF(A14&gt;WRStarters+WRBench,"Undrafted","Bench"))</f>
        <v>Starter</v>
      </c>
      <c r="Q14" s="47">
        <f ca="1">IFERROR(MAX(O14-LARGE(O$3:O$231,WRStarters),0),0)</f>
        <v>31.279999999999987</v>
      </c>
      <c r="R14" s="47">
        <f ca="1">IFERROR(IF(AllowNegative="Yes",O14-LARGE(O$3:O$231,WRCount),MAX(O14-LARGE(O$3:O$231,WRCount),0)),0)</f>
        <v>65.22</v>
      </c>
      <c r="S14" s="108">
        <f ca="1">(R14-Q14)*BenchPF+Q14*StarterPF</f>
        <v>21.794244987300921</v>
      </c>
      <c r="T14" s="108">
        <f ca="1">S14*Auction!$A$2</f>
        <v>21.794244987300921</v>
      </c>
      <c r="U14" s="25" t="str">
        <f>IF(OR(INDEX(Auction!$H$13:$H$683,MATCH(B14,Auction!$A$13:$A$683,0))&gt;0,IFERROR(INDEX(CheatSheet!$V$5:$V$64,MATCH(B14,CheatSheet!$S$5:$S$64,0)),"")&lt;&gt;""),"Yes","No")</f>
        <v>No</v>
      </c>
      <c r="V14" s="218"/>
      <c r="W14" s="1"/>
      <c r="X14" s="143">
        <f ca="1">IFERROR(SUMIFS($Y$3:$Y242,$Y$3:$Y$231,"&gt;0",$U$3:$U$231,"No")/SUMIF($Y$3:$Y$231,"&gt;0"),0)</f>
        <v>0</v>
      </c>
      <c r="Y14" s="1">
        <f t="shared" ca="1" si="0"/>
        <v>48.249999999999993</v>
      </c>
      <c r="Z14" s="145" t="str">
        <f ca="1">CONCATENATE("WR",ROUND((LARGE($Y$3:$Y$231,1)-$Y14)/(STDEVP($Y$3:$Y$231)/2)+1,0))</f>
        <v>WR4</v>
      </c>
      <c r="AA14" s="1">
        <f ca="1">Y14*LeagueInfo!$H$5</f>
        <v>22.066699786670473</v>
      </c>
      <c r="AB14" s="1"/>
      <c r="AC14" s="1"/>
    </row>
    <row r="15" spans="1:29" ht="15.75" thickBot="1" x14ac:dyDescent="0.3">
      <c r="A15" s="47">
        <f>RANK(O15,O$3:O$231)</f>
        <v>13</v>
      </c>
      <c r="B15" s="1" t="s">
        <v>119</v>
      </c>
      <c r="C15" s="1" t="s">
        <v>39</v>
      </c>
      <c r="D15" s="1">
        <f>VLOOKUP(E15,BYEs!$A$2:$B$34,2,FALSE)</f>
        <v>7</v>
      </c>
      <c r="E15" s="1" t="s">
        <v>385</v>
      </c>
      <c r="F15" s="249">
        <v>0</v>
      </c>
      <c r="G15" s="250">
        <v>0</v>
      </c>
      <c r="H15" s="251">
        <v>0</v>
      </c>
      <c r="I15" s="251">
        <v>0</v>
      </c>
      <c r="J15" s="251">
        <v>0</v>
      </c>
      <c r="K15" s="249">
        <v>83.4</v>
      </c>
      <c r="L15" s="247">
        <v>1100.5</v>
      </c>
      <c r="M15" s="250">
        <v>6.1</v>
      </c>
      <c r="N15" s="251">
        <v>0.7</v>
      </c>
      <c r="O15" s="252">
        <f>(I15*WRRushingYd)+(J15*WRRushingTD)+(K15*WRRec)+(L15*WRRecYd)+(M15*WRRecTD)+(N15*WRFuml)+(H15*WRRushAtt)</f>
        <v>145.25</v>
      </c>
      <c r="P15" s="1" t="str">
        <f ca="1">IF(A15&lt;=WRStarters,"Starter",IF(A15&gt;WRStarters+WRBench,"Undrafted","Bench"))</f>
        <v>Starter</v>
      </c>
      <c r="Q15" s="47">
        <f ca="1">IFERROR(MAX(O15-LARGE(O$3:O$231,WRStarters),0),0)</f>
        <v>21.689999999999984</v>
      </c>
      <c r="R15" s="47">
        <f ca="1">IFERROR(IF(AllowNegative="Yes",O15-LARGE(O$3:O$231,WRCount),MAX(O15-LARGE(O$3:O$231,WRCount),0)),0)</f>
        <v>55.629999999999995</v>
      </c>
      <c r="S15" s="108">
        <f ca="1">(R15-Q15)*BenchPF+Q15*StarterPF</f>
        <v>17.604519962728201</v>
      </c>
      <c r="T15" s="108">
        <f ca="1">S15*Auction!$A$2</f>
        <v>17.604519962728201</v>
      </c>
      <c r="U15" s="25" t="str">
        <f>IF(OR(INDEX(Auction!$H$13:$H$683,MATCH(B15,Auction!$A$13:$A$683,0))&gt;0,IFERROR(INDEX(CheatSheet!$V$5:$V$64,MATCH(B15,CheatSheet!$S$5:$S$64,0)),"")&lt;&gt;""),"Yes","No")</f>
        <v>No</v>
      </c>
      <c r="V15" s="218"/>
      <c r="W15" s="1"/>
      <c r="X15" s="143">
        <f ca="1">IFERROR(SUMIFS($Y$3:$Y243,$Y$3:$Y$231,"&gt;0",$U$3:$U$231,"No")/SUMIF($Y$3:$Y$231,"&gt;0"),0)</f>
        <v>0</v>
      </c>
      <c r="Y15" s="1">
        <f t="shared" ca="1" si="0"/>
        <v>38.659999999999989</v>
      </c>
      <c r="Z15" s="145" t="str">
        <f ca="1">CONCATENATE("WR",ROUND((LARGE($Y$3:$Y$231,1)-$Y15)/(STDEVP($Y$3:$Y$231)/2)+1,0))</f>
        <v>WR5</v>
      </c>
      <c r="AA15" s="1">
        <f ca="1">Y15*LeagueInfo!$H$5</f>
        <v>17.680800285029644</v>
      </c>
      <c r="AB15" s="1"/>
      <c r="AC15" s="1"/>
    </row>
    <row r="16" spans="1:29" ht="15.75" thickBot="1" x14ac:dyDescent="0.3">
      <c r="A16" s="47">
        <f>RANK(O16,O$3:O$231)</f>
        <v>14</v>
      </c>
      <c r="B16" s="1" t="s">
        <v>124</v>
      </c>
      <c r="C16" s="1" t="s">
        <v>39</v>
      </c>
      <c r="D16" s="1">
        <f>VLOOKUP(E16,BYEs!$A$2:$B$34,2,FALSE)</f>
        <v>5</v>
      </c>
      <c r="E16" s="1" t="s">
        <v>384</v>
      </c>
      <c r="F16" s="249">
        <v>0</v>
      </c>
      <c r="G16" s="250">
        <v>0</v>
      </c>
      <c r="H16" s="251">
        <v>0</v>
      </c>
      <c r="I16" s="251">
        <v>0.3</v>
      </c>
      <c r="J16" s="251">
        <v>0</v>
      </c>
      <c r="K16" s="249">
        <v>86.5</v>
      </c>
      <c r="L16" s="247">
        <v>1091.9000000000001</v>
      </c>
      <c r="M16" s="250">
        <v>6.4</v>
      </c>
      <c r="N16" s="251">
        <v>1.9</v>
      </c>
      <c r="O16" s="252">
        <f>(I16*WRRushingYd)+(J16*WRRushingTD)+(K16*WRRec)+(L16*WRRecYd)+(M16*WRRecTD)+(N16*WRFuml)+(H16*WRRushAtt)</f>
        <v>143.82</v>
      </c>
      <c r="P16" s="1" t="str">
        <f ca="1">IF(A16&lt;=WRStarters,"Starter",IF(A16&gt;WRStarters+WRBench,"Undrafted","Bench"))</f>
        <v>Starter</v>
      </c>
      <c r="Q16" s="47">
        <f ca="1">IFERROR(MAX(O16-LARGE(O$3:O$231,WRStarters),0),0)</f>
        <v>20.259999999999977</v>
      </c>
      <c r="R16" s="47">
        <f ca="1">IFERROR(IF(AllowNegative="Yes",O16-LARGE(O$3:O$231,WRCount),MAX(O16-LARGE(O$3:O$231,WRCount),0)),0)</f>
        <v>54.199999999999989</v>
      </c>
      <c r="S16" s="108">
        <f ca="1">(R16-Q16)*BenchPF+Q16*StarterPF</f>
        <v>16.979774729658438</v>
      </c>
      <c r="T16" s="108">
        <f ca="1">S16*Auction!$A$2</f>
        <v>16.979774729658438</v>
      </c>
      <c r="U16" s="25" t="str">
        <f>IF(OR(INDEX(Auction!$H$13:$H$683,MATCH(B16,Auction!$A$13:$A$683,0))&gt;0,IFERROR(INDEX(CheatSheet!$V$5:$V$64,MATCH(B16,CheatSheet!$S$5:$S$64,0)),"")&lt;&gt;""),"Yes","No")</f>
        <v>No</v>
      </c>
      <c r="V16" s="218"/>
      <c r="W16" s="1"/>
      <c r="X16" s="143">
        <f ca="1">IFERROR(SUMIFS($Y$3:$Y244,$Y$3:$Y$231,"&gt;0",$U$3:$U$231,"No")/SUMIF($Y$3:$Y$231,"&gt;0"),0)</f>
        <v>0</v>
      </c>
      <c r="Y16" s="1">
        <f t="shared" ca="1" si="0"/>
        <v>37.229999999999983</v>
      </c>
      <c r="Z16" s="145" t="str">
        <f ca="1">CONCATENATE("WR",ROUND((LARGE($Y$3:$Y$231,1)-$Y16)/(STDEVP($Y$3:$Y$231)/2)+1,0))</f>
        <v>WR5</v>
      </c>
      <c r="AA16" s="1">
        <f ca="1">Y16*LeagueInfo!$H$5</f>
        <v>17.026802757673398</v>
      </c>
      <c r="AB16" s="1"/>
      <c r="AC16" s="1"/>
    </row>
    <row r="17" spans="1:29" ht="15.75" thickBot="1" x14ac:dyDescent="0.3">
      <c r="A17" s="47">
        <f>RANK(O17,O$3:O$231)</f>
        <v>15</v>
      </c>
      <c r="B17" s="1" t="s">
        <v>127</v>
      </c>
      <c r="C17" s="1" t="s">
        <v>39</v>
      </c>
      <c r="D17" s="1">
        <f>VLOOKUP(E17,BYEs!$A$2:$B$34,2,FALSE)</f>
        <v>8</v>
      </c>
      <c r="E17" s="1" t="s">
        <v>367</v>
      </c>
      <c r="F17" s="249">
        <v>0</v>
      </c>
      <c r="G17" s="250">
        <v>0</v>
      </c>
      <c r="H17" s="251">
        <v>0</v>
      </c>
      <c r="I17" s="251">
        <v>0</v>
      </c>
      <c r="J17" s="251">
        <v>0</v>
      </c>
      <c r="K17" s="249">
        <v>76.5</v>
      </c>
      <c r="L17" s="247">
        <v>1024.7</v>
      </c>
      <c r="M17" s="250">
        <v>7.1</v>
      </c>
      <c r="N17" s="251">
        <v>0.7</v>
      </c>
      <c r="O17" s="252">
        <f>(I17*WRRushingYd)+(J17*WRRushingTD)+(K17*WRRec)+(L17*WRRecYd)+(M17*WRRecTD)+(N17*WRFuml)+(H17*WRRushAtt)</f>
        <v>143.66999999999999</v>
      </c>
      <c r="P17" s="1" t="str">
        <f ca="1">IF(A17&lt;=WRStarters,"Starter",IF(A17&gt;WRStarters+WRBench,"Undrafted","Bench"))</f>
        <v>Starter</v>
      </c>
      <c r="Q17" s="47">
        <f ca="1">IFERROR(MAX(O17-LARGE(O$3:O$231,WRStarters),0),0)</f>
        <v>20.109999999999971</v>
      </c>
      <c r="R17" s="47">
        <f ca="1">IFERROR(IF(AllowNegative="Yes",O17-LARGE(O$3:O$231,WRCount),MAX(O17-LARGE(O$3:O$231,WRCount),0)),0)</f>
        <v>54.049999999999983</v>
      </c>
      <c r="S17" s="108">
        <f ca="1">(R17-Q17)*BenchPF+Q17*StarterPF</f>
        <v>16.914242012902868</v>
      </c>
      <c r="T17" s="108">
        <f ca="1">S17*Auction!$A$2</f>
        <v>16.914242012902868</v>
      </c>
      <c r="U17" s="25" t="str">
        <f>IF(OR(INDEX(Auction!$H$13:$H$683,MATCH(B17,Auction!$A$13:$A$683,0))&gt;0,IFERROR(INDEX(CheatSheet!$V$5:$V$64,MATCH(B17,CheatSheet!$S$5:$S$64,0)),"")&lt;&gt;""),"Yes","No")</f>
        <v>No</v>
      </c>
      <c r="V17" s="218"/>
      <c r="W17" s="1"/>
      <c r="X17" s="143">
        <f ca="1">IFERROR(SUMIFS($Y$3:$Y245,$Y$3:$Y$231,"&gt;0",$U$3:$U$231,"No")/SUMIF($Y$3:$Y$231,"&gt;0"),0)</f>
        <v>0</v>
      </c>
      <c r="Y17" s="1">
        <f t="shared" ca="1" si="0"/>
        <v>37.079999999999977</v>
      </c>
      <c r="Z17" s="145" t="str">
        <f ca="1">CONCATENATE("WR",ROUND((LARGE($Y$3:$Y$231,1)-$Y17)/(STDEVP($Y$3:$Y$231)/2)+1,0))</f>
        <v>WR5</v>
      </c>
      <c r="AA17" s="1">
        <f ca="1">Y17*LeagueInfo!$H$5</f>
        <v>16.958201618440221</v>
      </c>
      <c r="AB17" s="1"/>
      <c r="AC17" s="1"/>
    </row>
    <row r="18" spans="1:29" ht="15.75" thickBot="1" x14ac:dyDescent="0.3">
      <c r="A18" s="47">
        <f>RANK(O18,O$3:O$231)</f>
        <v>16</v>
      </c>
      <c r="B18" s="1" t="s">
        <v>148</v>
      </c>
      <c r="C18" s="1" t="s">
        <v>39</v>
      </c>
      <c r="D18" s="1">
        <f>VLOOKUP(E18,BYEs!$A$2:$B$34,2,FALSE)</f>
        <v>10</v>
      </c>
      <c r="E18" s="1" t="s">
        <v>365</v>
      </c>
      <c r="F18" s="249">
        <v>0</v>
      </c>
      <c r="G18" s="250">
        <v>0</v>
      </c>
      <c r="H18" s="251">
        <v>0</v>
      </c>
      <c r="I18" s="251">
        <v>0</v>
      </c>
      <c r="J18" s="251">
        <v>0</v>
      </c>
      <c r="K18" s="249">
        <v>83.9</v>
      </c>
      <c r="L18" s="247">
        <v>974.8</v>
      </c>
      <c r="M18" s="250">
        <v>7.3</v>
      </c>
      <c r="N18" s="251">
        <v>0.7</v>
      </c>
      <c r="O18" s="252">
        <f>(I18*WRRushingYd)+(J18*WRRushingTD)+(K18*WRRec)+(L18*WRRecYd)+(M18*WRRecTD)+(N18*WRFuml)+(H18*WRRushAtt)</f>
        <v>139.88</v>
      </c>
      <c r="P18" s="1" t="str">
        <f ca="1">IF(A18&lt;=WRStarters,"Starter",IF(A18&gt;WRStarters+WRBench,"Undrafted","Bench"))</f>
        <v>Starter</v>
      </c>
      <c r="Q18" s="47">
        <f ca="1">IFERROR(MAX(O18-LARGE(O$3:O$231,WRStarters),0),0)</f>
        <v>16.319999999999979</v>
      </c>
      <c r="R18" s="47">
        <f ca="1">IFERROR(IF(AllowNegative="Yes",O18-LARGE(O$3:O$231,WRCount),MAX(O18-LARGE(O$3:O$231,WRCount),0)),0)</f>
        <v>50.259999999999991</v>
      </c>
      <c r="S18" s="108">
        <f ca="1">(R18-Q18)*BenchPF+Q18*StarterPF</f>
        <v>15.258448702878827</v>
      </c>
      <c r="T18" s="108">
        <f ca="1">S18*Auction!$A$2</f>
        <v>15.258448702878827</v>
      </c>
      <c r="U18" s="25" t="str">
        <f>IF(OR(INDEX(Auction!$H$13:$H$683,MATCH(B18,Auction!$A$13:$A$683,0))&gt;0,IFERROR(INDEX(CheatSheet!$V$5:$V$64,MATCH(B18,CheatSheet!$S$5:$S$64,0)),"")&lt;&gt;""),"Yes","No")</f>
        <v>No</v>
      </c>
      <c r="V18" s="218"/>
      <c r="W18" s="1"/>
      <c r="X18" s="143">
        <f ca="1">IFERROR(SUMIFS($Y$3:$Y246,$Y$3:$Y$231,"&gt;0",$U$3:$U$231,"No")/SUMIF($Y$3:$Y$231,"&gt;0"),0)</f>
        <v>0</v>
      </c>
      <c r="Y18" s="1">
        <f t="shared" ca="1" si="0"/>
        <v>33.289999999999985</v>
      </c>
      <c r="Z18" s="145" t="str">
        <f ca="1">CONCATENATE("WR",ROUND((LARGE($Y$3:$Y$231,1)-$Y18)/(STDEVP($Y$3:$Y$231)/2)+1,0))</f>
        <v>WR5</v>
      </c>
      <c r="AA18" s="1">
        <f ca="1">Y18*LeagueInfo!$H$5</f>
        <v>15.224879500482068</v>
      </c>
      <c r="AB18" s="1"/>
      <c r="AC18" s="1"/>
    </row>
    <row r="19" spans="1:29" ht="15.75" thickBot="1" x14ac:dyDescent="0.3">
      <c r="A19" s="47">
        <f>RANK(O19,O$3:O$231)</f>
        <v>17</v>
      </c>
      <c r="B19" s="1" t="s">
        <v>129</v>
      </c>
      <c r="C19" s="1" t="s">
        <v>39</v>
      </c>
      <c r="D19" s="1">
        <f>VLOOKUP(E19,BYEs!$A$2:$B$34,2,FALSE)</f>
        <v>10</v>
      </c>
      <c r="E19" s="1" t="s">
        <v>369</v>
      </c>
      <c r="F19" s="249">
        <v>0</v>
      </c>
      <c r="G19" s="250">
        <v>0</v>
      </c>
      <c r="H19" s="251">
        <v>0.5</v>
      </c>
      <c r="I19" s="251">
        <v>2.8</v>
      </c>
      <c r="J19" s="251">
        <v>0</v>
      </c>
      <c r="K19" s="249">
        <v>75.099999999999994</v>
      </c>
      <c r="L19" s="247">
        <v>1037.0999999999999</v>
      </c>
      <c r="M19" s="250">
        <v>6.1</v>
      </c>
      <c r="N19" s="251">
        <v>0.7</v>
      </c>
      <c r="O19" s="252">
        <f>(I19*WRRushingYd)+(J19*WRRushingTD)+(K19*WRRec)+(L19*WRRecYd)+(M19*WRRecTD)+(N19*WRFuml)+(H19*WRRushAtt)</f>
        <v>139.18999999999997</v>
      </c>
      <c r="P19" s="1" t="str">
        <f ca="1">IF(A19&lt;=WRStarters,"Starter",IF(A19&gt;WRStarters+WRBench,"Undrafted","Bench"))</f>
        <v>Starter</v>
      </c>
      <c r="Q19" s="47">
        <f ca="1">IFERROR(MAX(O19-LARGE(O$3:O$231,WRStarters),0),0)</f>
        <v>15.629999999999953</v>
      </c>
      <c r="R19" s="47">
        <f ca="1">IFERROR(IF(AllowNegative="Yes",O19-LARGE(O$3:O$231,WRCount),MAX(O19-LARGE(O$3:O$231,WRCount),0)),0)</f>
        <v>49.569999999999965</v>
      </c>
      <c r="S19" s="108">
        <f ca="1">(R19-Q19)*BenchPF+Q19*StarterPF</f>
        <v>14.956998205803197</v>
      </c>
      <c r="T19" s="108">
        <f ca="1">S19*Auction!$A$2</f>
        <v>14.956998205803197</v>
      </c>
      <c r="U19" s="25" t="str">
        <f>IF(OR(INDEX(Auction!$H$13:$H$683,MATCH(B19,Auction!$A$13:$A$683,0))&gt;0,IFERROR(INDEX(CheatSheet!$V$5:$V$64,MATCH(B19,CheatSheet!$S$5:$S$64,0)),"")&lt;&gt;""),"Yes","No")</f>
        <v>No</v>
      </c>
      <c r="V19" s="218"/>
      <c r="W19" s="1"/>
      <c r="X19" s="143">
        <f ca="1">IFERROR(SUMIFS($Y$3:$Y247,$Y$3:$Y$231,"&gt;0",$U$3:$U$231,"No")/SUMIF($Y$3:$Y$231,"&gt;0"),0)</f>
        <v>0</v>
      </c>
      <c r="Y19" s="1">
        <f t="shared" ca="1" si="0"/>
        <v>32.599999999999959</v>
      </c>
      <c r="Z19" s="145" t="str">
        <f ca="1">CONCATENATE("WR",ROUND((LARGE($Y$3:$Y$231,1)-$Y19)/(STDEVP($Y$3:$Y$231)/2)+1,0))</f>
        <v>WR5</v>
      </c>
      <c r="AA19" s="1">
        <f ca="1">Y19*LeagueInfo!$H$5</f>
        <v>14.909314260009463</v>
      </c>
      <c r="AB19" s="1"/>
      <c r="AC19" s="1"/>
    </row>
    <row r="20" spans="1:29" ht="15.75" thickBot="1" x14ac:dyDescent="0.3">
      <c r="A20" s="47">
        <f>RANK(O20,O$3:O$231)</f>
        <v>18</v>
      </c>
      <c r="B20" s="1" t="s">
        <v>549</v>
      </c>
      <c r="C20" s="1" t="s">
        <v>39</v>
      </c>
      <c r="D20" s="1">
        <f>VLOOKUP(E20,BYEs!$A$2:$B$34,2,FALSE)</f>
        <v>5</v>
      </c>
      <c r="E20" s="1" t="s">
        <v>358</v>
      </c>
      <c r="F20" s="249">
        <v>0</v>
      </c>
      <c r="G20" s="250">
        <v>0</v>
      </c>
      <c r="H20" s="251">
        <v>2.2000000000000002</v>
      </c>
      <c r="I20" s="251">
        <v>12.6</v>
      </c>
      <c r="J20" s="251">
        <v>0</v>
      </c>
      <c r="K20" s="249">
        <v>70.599999999999994</v>
      </c>
      <c r="L20" s="247">
        <v>1011.8</v>
      </c>
      <c r="M20" s="250">
        <v>5.6</v>
      </c>
      <c r="N20" s="251">
        <v>0.4</v>
      </c>
      <c r="O20" s="252">
        <f>(I20*WRRushingYd)+(J20*WRRushingTD)+(K20*WRRec)+(L20*WRRecYd)+(M20*WRRecTD)+(N20*WRFuml)+(H20*WRRushAtt)</f>
        <v>135.24</v>
      </c>
      <c r="P20" s="1" t="str">
        <f ca="1">IF(A20&lt;=WRStarters,"Starter",IF(A20&gt;WRStarters+WRBench,"Undrafted","Bench"))</f>
        <v>Starter</v>
      </c>
      <c r="Q20" s="47">
        <f ca="1">IFERROR(MAX(O20-LARGE(O$3:O$231,WRStarters),0),0)</f>
        <v>11.679999999999993</v>
      </c>
      <c r="R20" s="47">
        <f ca="1">IFERROR(IF(AllowNegative="Yes",O20-LARGE(O$3:O$231,WRCount),MAX(O20-LARGE(O$3:O$231,WRCount),0)),0)</f>
        <v>45.620000000000005</v>
      </c>
      <c r="S20" s="108">
        <f ca="1">(R20-Q20)*BenchPF+Q20*StarterPF</f>
        <v>13.231303331239896</v>
      </c>
      <c r="T20" s="108">
        <f ca="1">S20*Auction!$A$2</f>
        <v>13.231303331239896</v>
      </c>
      <c r="U20" s="25" t="str">
        <f>IF(OR(INDEX(Auction!$H$13:$H$683,MATCH(B20,Auction!$A$13:$A$683,0))&gt;0,IFERROR(INDEX(CheatSheet!$V$5:$V$64,MATCH(B20,CheatSheet!$S$5:$S$64,0)),"")&lt;&gt;""),"Yes","No")</f>
        <v>No</v>
      </c>
      <c r="V20" s="218"/>
      <c r="W20" s="1"/>
      <c r="X20" s="143">
        <f ca="1">IFERROR(SUMIFS($Y$3:$Y248,$Y$3:$Y$231,"&gt;0",$U$3:$U$231,"No")/SUMIF($Y$3:$Y$231,"&gt;0"),0)</f>
        <v>0</v>
      </c>
      <c r="Y20" s="1">
        <f t="shared" ca="1" si="0"/>
        <v>28.65</v>
      </c>
      <c r="Z20" s="145" t="str">
        <f ca="1">CONCATENATE("WR",ROUND((LARGE($Y$3:$Y$231,1)-$Y20)/(STDEVP($Y$3:$Y$231)/2)+1,0))</f>
        <v>WR6</v>
      </c>
      <c r="AA20" s="1">
        <f ca="1">Y20*LeagueInfo!$H$5</f>
        <v>13.10281759353594</v>
      </c>
      <c r="AB20" s="1"/>
      <c r="AC20" s="1"/>
    </row>
    <row r="21" spans="1:29" ht="15.75" thickBot="1" x14ac:dyDescent="0.3">
      <c r="A21" s="47">
        <f>RANK(O21,O$3:O$231)</f>
        <v>19</v>
      </c>
      <c r="B21" s="1" t="s">
        <v>146</v>
      </c>
      <c r="C21" s="1" t="s">
        <v>39</v>
      </c>
      <c r="D21" s="1">
        <f>VLOOKUP(E21,BYEs!$A$2:$B$34,2,FALSE)</f>
        <v>10</v>
      </c>
      <c r="E21" s="1" t="s">
        <v>372</v>
      </c>
      <c r="F21" s="249">
        <v>0</v>
      </c>
      <c r="G21" s="250">
        <v>0</v>
      </c>
      <c r="H21" s="251">
        <v>27</v>
      </c>
      <c r="I21" s="251">
        <v>180.1</v>
      </c>
      <c r="J21" s="251">
        <v>1.6</v>
      </c>
      <c r="K21" s="249">
        <v>72</v>
      </c>
      <c r="L21" s="247">
        <v>771.7</v>
      </c>
      <c r="M21" s="250">
        <v>5.2</v>
      </c>
      <c r="N21" s="251">
        <v>1.3</v>
      </c>
      <c r="O21" s="252">
        <f>(I21*WRRushingYd)+(J21*WRRushingTD)+(K21*WRRec)+(L21*WRRecYd)+(M21*WRRecTD)+(N21*WRFuml)+(H21*WRRushAtt)</f>
        <v>133.38000000000002</v>
      </c>
      <c r="P21" s="1" t="str">
        <f ca="1">IF(A21&lt;=WRStarters,"Starter",IF(A21&gt;WRStarters+WRBench,"Undrafted","Bench"))</f>
        <v>Starter</v>
      </c>
      <c r="Q21" s="47">
        <f ca="1">IFERROR(MAX(O21-LARGE(O$3:O$231,WRStarters),0),0)</f>
        <v>9.8200000000000074</v>
      </c>
      <c r="R21" s="47">
        <f ca="1">IFERROR(IF(AllowNegative="Yes",O21-LARGE(O$3:O$231,WRCount),MAX(O21-LARGE(O$3:O$231,WRCount),0)),0)</f>
        <v>43.760000000000019</v>
      </c>
      <c r="S21" s="108">
        <f ca="1">(R21-Q21)*BenchPF+Q21*StarterPF</f>
        <v>12.418697643470844</v>
      </c>
      <c r="T21" s="108">
        <f ca="1">S21*Auction!$A$2</f>
        <v>12.418697643470844</v>
      </c>
      <c r="U21" s="25" t="str">
        <f>IF(OR(INDEX(Auction!$H$13:$H$683,MATCH(B21,Auction!$A$13:$A$683,0))&gt;0,IFERROR(INDEX(CheatSheet!$V$5:$V$64,MATCH(B21,CheatSheet!$S$5:$S$64,0)),"")&lt;&gt;""),"Yes","No")</f>
        <v>No</v>
      </c>
      <c r="V21" s="218"/>
      <c r="W21" s="1"/>
      <c r="X21" s="143">
        <f ca="1">IFERROR(SUMIFS($Y$3:$Y249,$Y$3:$Y$231,"&gt;0",$U$3:$U$231,"No")/SUMIF($Y$3:$Y$231,"&gt;0"),0)</f>
        <v>0</v>
      </c>
      <c r="Y21" s="1">
        <f t="shared" ca="1" si="0"/>
        <v>26.790000000000013</v>
      </c>
      <c r="Z21" s="145" t="str">
        <f ca="1">CONCATENATE("WR",ROUND((LARGE($Y$3:$Y$231,1)-$Y21)/(STDEVP($Y$3:$Y$231)/2)+1,0))</f>
        <v>WR6</v>
      </c>
      <c r="AA21" s="1">
        <f ca="1">Y21*LeagueInfo!$H$5</f>
        <v>12.252163467044607</v>
      </c>
      <c r="AB21" s="1"/>
      <c r="AC21" s="1"/>
    </row>
    <row r="22" spans="1:29" ht="15.75" thickBot="1" x14ac:dyDescent="0.3">
      <c r="A22" s="47">
        <f>RANK(O22,O$3:O$231)</f>
        <v>20</v>
      </c>
      <c r="B22" s="1" t="s">
        <v>138</v>
      </c>
      <c r="C22" s="1" t="s">
        <v>39</v>
      </c>
      <c r="D22" s="1">
        <f>VLOOKUP(E22,BYEs!$A$2:$B$34,2,FALSE)</f>
        <v>8</v>
      </c>
      <c r="E22" s="1" t="s">
        <v>350</v>
      </c>
      <c r="F22" s="249">
        <v>0</v>
      </c>
      <c r="G22" s="250">
        <v>0</v>
      </c>
      <c r="H22" s="251">
        <v>0.3</v>
      </c>
      <c r="I22" s="251">
        <v>2.1</v>
      </c>
      <c r="J22" s="251">
        <v>0</v>
      </c>
      <c r="K22" s="249">
        <v>70.8</v>
      </c>
      <c r="L22" s="247">
        <v>905.9</v>
      </c>
      <c r="M22" s="250">
        <v>7.4</v>
      </c>
      <c r="N22" s="251">
        <v>1</v>
      </c>
      <c r="O22" s="252">
        <f>(I22*WRRushingYd)+(J22*WRRushingTD)+(K22*WRRec)+(L22*WRRecYd)+(M22*WRRecTD)+(N22*WRFuml)+(H22*WRRushAtt)</f>
        <v>133.19999999999999</v>
      </c>
      <c r="P22" s="1" t="str">
        <f ca="1">IF(A22&lt;=WRStarters,"Starter",IF(A22&gt;WRStarters+WRBench,"Undrafted","Bench"))</f>
        <v>Starter</v>
      </c>
      <c r="Q22" s="47">
        <f ca="1">IFERROR(MAX(O22-LARGE(O$3:O$231,WRStarters),0),0)</f>
        <v>9.6399999999999721</v>
      </c>
      <c r="R22" s="47">
        <f ca="1">IFERROR(IF(AllowNegative="Yes",O22-LARGE(O$3:O$231,WRCount),MAX(O22-LARGE(O$3:O$231,WRCount),0)),0)</f>
        <v>43.579999999999984</v>
      </c>
      <c r="S22" s="108">
        <f ca="1">(R22-Q22)*BenchPF+Q22*StarterPF</f>
        <v>12.340058383364147</v>
      </c>
      <c r="T22" s="108">
        <f ca="1">S22*Auction!$A$2</f>
        <v>12.340058383364147</v>
      </c>
      <c r="U22" s="25" t="str">
        <f>IF(OR(INDEX(Auction!$H$13:$H$683,MATCH(B22,Auction!$A$13:$A$683,0))&gt;0,IFERROR(INDEX(CheatSheet!$V$5:$V$64,MATCH(B22,CheatSheet!$S$5:$S$64,0)),"")&lt;&gt;""),"Yes","No")</f>
        <v>No</v>
      </c>
      <c r="V22" s="218"/>
      <c r="W22" s="1"/>
      <c r="X22" s="143">
        <f ca="1">IFERROR(SUMIFS($Y$3:$Y250,$Y$3:$Y$231,"&gt;0",$U$3:$U$231,"No")/SUMIF($Y$3:$Y$231,"&gt;0"),0)</f>
        <v>0</v>
      </c>
      <c r="Y22" s="1">
        <f t="shared" ca="1" si="0"/>
        <v>26.609999999999978</v>
      </c>
      <c r="Z22" s="145" t="str">
        <f ca="1">CONCATENATE("WR",ROUND((LARGE($Y$3:$Y$231,1)-$Y22)/(STDEVP($Y$3:$Y$231)/2)+1,0))</f>
        <v>WR6</v>
      </c>
      <c r="AA22" s="1">
        <f ca="1">Y22*LeagueInfo!$H$5</f>
        <v>12.169842099964784</v>
      </c>
      <c r="AB22" s="1"/>
      <c r="AC22" s="1"/>
    </row>
    <row r="23" spans="1:29" ht="15.75" thickBot="1" x14ac:dyDescent="0.3">
      <c r="A23" s="47">
        <f>RANK(O23,O$3:O$231)</f>
        <v>21</v>
      </c>
      <c r="B23" s="1" t="s">
        <v>169</v>
      </c>
      <c r="C23" s="1" t="s">
        <v>39</v>
      </c>
      <c r="D23" s="1">
        <f>VLOOKUP(E23,BYEs!$A$2:$B$34,2,FALSE)</f>
        <v>7</v>
      </c>
      <c r="E23" s="1" t="s">
        <v>362</v>
      </c>
      <c r="F23" s="249">
        <v>0</v>
      </c>
      <c r="G23" s="250">
        <v>0</v>
      </c>
      <c r="H23" s="251">
        <v>6.6</v>
      </c>
      <c r="I23" s="251">
        <v>28.8</v>
      </c>
      <c r="J23" s="251">
        <v>0.1</v>
      </c>
      <c r="K23" s="249">
        <v>88.7</v>
      </c>
      <c r="L23" s="247">
        <v>1002.3</v>
      </c>
      <c r="M23" s="250">
        <v>5.3</v>
      </c>
      <c r="N23" s="251">
        <v>1.3</v>
      </c>
      <c r="O23" s="252">
        <f>(I23*WRRushingYd)+(J23*WRRushingTD)+(K23*WRRec)+(L23*WRRecYd)+(M23*WRRecTD)+(N23*WRFuml)+(H23*WRRushAtt)</f>
        <v>132.91</v>
      </c>
      <c r="P23" s="1" t="str">
        <f ca="1">IF(A23&lt;=WRStarters,"Starter",IF(A23&gt;WRStarters+WRBench,"Undrafted","Bench"))</f>
        <v>Starter</v>
      </c>
      <c r="Q23" s="47">
        <f ca="1">IFERROR(MAX(O23-LARGE(O$3:O$231,WRStarters),0),0)</f>
        <v>9.3499999999999801</v>
      </c>
      <c r="R23" s="47">
        <f ca="1">IFERROR(IF(AllowNegative="Yes",O23-LARGE(O$3:O$231,WRCount),MAX(O23-LARGE(O$3:O$231,WRCount),0)),0)</f>
        <v>43.289999999999992</v>
      </c>
      <c r="S23" s="108">
        <f ca="1">(R23-Q23)*BenchPF+Q23*StarterPF</f>
        <v>12.213361797636717</v>
      </c>
      <c r="T23" s="108">
        <f ca="1">S23*Auction!$A$2</f>
        <v>12.213361797636717</v>
      </c>
      <c r="U23" s="25" t="str">
        <f>IF(OR(INDEX(Auction!$H$13:$H$683,MATCH(B23,Auction!$A$13:$A$683,0))&gt;0,IFERROR(INDEX(CheatSheet!$V$5:$V$64,MATCH(B23,CheatSheet!$S$5:$S$64,0)),"")&lt;&gt;""),"Yes","No")</f>
        <v>No</v>
      </c>
      <c r="V23" s="218"/>
      <c r="W23" s="1"/>
      <c r="X23" s="143">
        <f ca="1">IFERROR(SUMIFS($Y$3:$Y251,$Y$3:$Y$231,"&gt;0",$U$3:$U$231,"No")/SUMIF($Y$3:$Y$231,"&gt;0"),0)</f>
        <v>0</v>
      </c>
      <c r="Y23" s="1">
        <f t="shared" ca="1" si="0"/>
        <v>26.319999999999986</v>
      </c>
      <c r="Z23" s="145" t="str">
        <f ca="1">CONCATENATE("WR",ROUND((LARGE($Y$3:$Y$231,1)-$Y23)/(STDEVP($Y$3:$Y$231)/2)+1,0))</f>
        <v>WR6</v>
      </c>
      <c r="AA23" s="1">
        <f ca="1">Y23*LeagueInfo!$H$5</f>
        <v>12.037213230780655</v>
      </c>
      <c r="AB23" s="1"/>
      <c r="AC23" s="1"/>
    </row>
    <row r="24" spans="1:29" ht="15.75" thickBot="1" x14ac:dyDescent="0.3">
      <c r="A24" s="47">
        <f>RANK(O24,O$3:O$231)</f>
        <v>22</v>
      </c>
      <c r="B24" s="1" t="s">
        <v>167</v>
      </c>
      <c r="C24" s="1" t="s">
        <v>39</v>
      </c>
      <c r="D24" s="1">
        <f>VLOOKUP(E24,BYEs!$A$2:$B$34,2,FALSE)</f>
        <v>11</v>
      </c>
      <c r="E24" s="1" t="s">
        <v>357</v>
      </c>
      <c r="F24" s="249">
        <v>0</v>
      </c>
      <c r="G24" s="250">
        <v>0</v>
      </c>
      <c r="H24" s="251">
        <v>0</v>
      </c>
      <c r="I24" s="251">
        <v>-0.1</v>
      </c>
      <c r="J24" s="251">
        <v>0</v>
      </c>
      <c r="K24" s="249">
        <v>67.2</v>
      </c>
      <c r="L24" s="247">
        <v>948.9</v>
      </c>
      <c r="M24" s="250">
        <v>6.7</v>
      </c>
      <c r="N24" s="251">
        <v>1.2</v>
      </c>
      <c r="O24" s="252">
        <f>(I24*WRRushingYd)+(J24*WRRushingTD)+(K24*WRRec)+(L24*WRRecYd)+(M24*WRRecTD)+(N24*WRFuml)+(H24*WRRushAtt)</f>
        <v>132.67999999999998</v>
      </c>
      <c r="P24" s="1" t="str">
        <f ca="1">IF(A24&lt;=WRStarters,"Starter",IF(A24&gt;WRStarters+WRBench,"Undrafted","Bench"))</f>
        <v>Starter</v>
      </c>
      <c r="Q24" s="47">
        <f ca="1">IFERROR(MAX(O24-LARGE(O$3:O$231,WRStarters),0),0)</f>
        <v>9.1199999999999619</v>
      </c>
      <c r="R24" s="47">
        <f ca="1">IFERROR(IF(AllowNegative="Yes",O24-LARGE(O$3:O$231,WRCount),MAX(O24-LARGE(O$3:O$231,WRCount),0)),0)</f>
        <v>43.059999999999974</v>
      </c>
      <c r="S24" s="108">
        <f ca="1">(R24-Q24)*BenchPF+Q24*StarterPF</f>
        <v>12.112878298611502</v>
      </c>
      <c r="T24" s="108">
        <f ca="1">S24*Auction!$A$2</f>
        <v>12.112878298611502</v>
      </c>
      <c r="U24" s="25" t="str">
        <f>IF(OR(INDEX(Auction!$H$13:$H$683,MATCH(B24,Auction!$A$13:$A$683,0))&gt;0,IFERROR(INDEX(CheatSheet!$V$5:$V$64,MATCH(B24,CheatSheet!$S$5:$S$64,0)),"")&lt;&gt;""),"Yes","No")</f>
        <v>No</v>
      </c>
      <c r="V24" s="218"/>
      <c r="W24" s="1"/>
      <c r="X24" s="143">
        <f ca="1">IFERROR(SUMIFS($Y$3:$Y252,$Y$3:$Y$231,"&gt;0",$U$3:$U$231,"No")/SUMIF($Y$3:$Y$231,"&gt;0"),0)</f>
        <v>0</v>
      </c>
      <c r="Y24" s="1">
        <f t="shared" ca="1" si="0"/>
        <v>26.089999999999968</v>
      </c>
      <c r="Z24" s="145" t="str">
        <f ca="1">CONCATENATE("WR",ROUND((LARGE($Y$3:$Y$231,1)-$Y24)/(STDEVP($Y$3:$Y$231)/2)+1,0))</f>
        <v>WR6</v>
      </c>
      <c r="AA24" s="1">
        <f ca="1">Y24*LeagueInfo!$H$5</f>
        <v>11.932024817289783</v>
      </c>
      <c r="AB24" s="1"/>
      <c r="AC24" s="1"/>
    </row>
    <row r="25" spans="1:29" ht="15.75" thickBot="1" x14ac:dyDescent="0.3">
      <c r="A25" s="47">
        <f>RANK(O25,O$3:O$231)</f>
        <v>23</v>
      </c>
      <c r="B25" s="1" t="s">
        <v>154</v>
      </c>
      <c r="C25" s="1" t="s">
        <v>39</v>
      </c>
      <c r="D25" s="1">
        <f>VLOOKUP(E25,BYEs!$A$2:$B$34,2,FALSE)</f>
        <v>5</v>
      </c>
      <c r="E25" s="1" t="s">
        <v>384</v>
      </c>
      <c r="F25" s="249">
        <v>0</v>
      </c>
      <c r="G25" s="250">
        <v>0</v>
      </c>
      <c r="H25" s="251">
        <v>0.8</v>
      </c>
      <c r="I25" s="251">
        <v>3.2</v>
      </c>
      <c r="J25" s="251">
        <v>0</v>
      </c>
      <c r="K25" s="249">
        <v>75</v>
      </c>
      <c r="L25" s="247">
        <v>1004.7</v>
      </c>
      <c r="M25" s="250">
        <v>5.5</v>
      </c>
      <c r="N25" s="251">
        <v>0.9</v>
      </c>
      <c r="O25" s="252">
        <f>(I25*WRRushingYd)+(J25*WRRushingTD)+(K25*WRRec)+(L25*WRRecYd)+(M25*WRRecTD)+(N25*WRFuml)+(H25*WRRushAtt)</f>
        <v>131.99</v>
      </c>
      <c r="P25" s="1" t="str">
        <f ca="1">IF(A25&lt;=WRStarters,"Starter",IF(A25&gt;WRStarters+WRBench,"Undrafted","Bench"))</f>
        <v>Starter</v>
      </c>
      <c r="Q25" s="47">
        <f ca="1">IFERROR(MAX(O25-LARGE(O$3:O$231,WRStarters),0),0)</f>
        <v>8.4299999999999926</v>
      </c>
      <c r="R25" s="47">
        <f ca="1">IFERROR(IF(AllowNegative="Yes",O25-LARGE(O$3:O$231,WRCount),MAX(O25-LARGE(O$3:O$231,WRCount),0)),0)</f>
        <v>42.370000000000005</v>
      </c>
      <c r="S25" s="108">
        <f ca="1">(R25-Q25)*BenchPF+Q25*StarterPF</f>
        <v>11.811427801535899</v>
      </c>
      <c r="T25" s="108">
        <f ca="1">S25*Auction!$A$2</f>
        <v>11.811427801535899</v>
      </c>
      <c r="U25" s="25" t="str">
        <f>IF(OR(INDEX(Auction!$H$13:$H$683,MATCH(B25,Auction!$A$13:$A$683,0))&gt;0,IFERROR(INDEX(CheatSheet!$V$5:$V$64,MATCH(B25,CheatSheet!$S$5:$S$64,0)),"")&lt;&gt;""),"Yes","No")</f>
        <v>No</v>
      </c>
      <c r="V25" s="218"/>
      <c r="W25" s="1"/>
      <c r="X25" s="143">
        <f ca="1">IFERROR(SUMIFS($Y$3:$Y253,$Y$3:$Y$231,"&gt;0",$U$3:$U$231,"No")/SUMIF($Y$3:$Y$231,"&gt;0"),0)</f>
        <v>0</v>
      </c>
      <c r="Y25" s="1">
        <f t="shared" ca="1" si="0"/>
        <v>25.4</v>
      </c>
      <c r="Z25" s="145" t="str">
        <f ca="1">CONCATENATE("WR",ROUND((LARGE($Y$3:$Y$231,1)-$Y25)/(STDEVP($Y$3:$Y$231)/2)+1,0))</f>
        <v>WR6</v>
      </c>
      <c r="AA25" s="1">
        <f ca="1">Y25*LeagueInfo!$H$5</f>
        <v>11.616459576817203</v>
      </c>
      <c r="AB25" s="1"/>
      <c r="AC25" s="1"/>
    </row>
    <row r="26" spans="1:29" ht="15.75" thickBot="1" x14ac:dyDescent="0.3">
      <c r="A26" s="47">
        <f>RANK(O26,O$3:O$231)</f>
        <v>24</v>
      </c>
      <c r="B26" s="1" t="s">
        <v>168</v>
      </c>
      <c r="C26" s="1" t="s">
        <v>39</v>
      </c>
      <c r="D26" s="1">
        <f>VLOOKUP(E26,BYEs!$A$2:$B$34,2,FALSE)</f>
        <v>8</v>
      </c>
      <c r="E26" s="1" t="s">
        <v>370</v>
      </c>
      <c r="F26" s="249">
        <v>0</v>
      </c>
      <c r="G26" s="250">
        <v>0</v>
      </c>
      <c r="H26" s="251">
        <v>0.1</v>
      </c>
      <c r="I26" s="251">
        <v>0.3</v>
      </c>
      <c r="J26" s="251">
        <v>0</v>
      </c>
      <c r="K26" s="249">
        <v>92.9</v>
      </c>
      <c r="L26" s="247">
        <v>984.8</v>
      </c>
      <c r="M26" s="250">
        <v>6</v>
      </c>
      <c r="N26" s="251">
        <v>1.3</v>
      </c>
      <c r="O26" s="252">
        <f>(I26*WRRushingYd)+(J26*WRRushingTD)+(K26*WRRec)+(L26*WRRecYd)+(M26*WRRecTD)+(N26*WRFuml)+(H26*WRRushAtt)</f>
        <v>131.91</v>
      </c>
      <c r="P26" s="1" t="str">
        <f ca="1">IF(A26&lt;=WRStarters,"Starter",IF(A26&gt;WRStarters+WRBench,"Undrafted","Bench"))</f>
        <v>Starter</v>
      </c>
      <c r="Q26" s="47">
        <f ca="1">IFERROR(MAX(O26-LARGE(O$3:O$231,WRStarters),0),0)</f>
        <v>8.3499999999999801</v>
      </c>
      <c r="R26" s="47">
        <f ca="1">IFERROR(IF(AllowNegative="Yes",O26-LARGE(O$3:O$231,WRCount),MAX(O26-LARGE(O$3:O$231,WRCount),0)),0)</f>
        <v>42.289999999999992</v>
      </c>
      <c r="S26" s="108">
        <f ca="1">(R26-Q26)*BenchPF+Q26*StarterPF</f>
        <v>11.776477019266256</v>
      </c>
      <c r="T26" s="108">
        <f ca="1">S26*Auction!$A$2</f>
        <v>11.776477019266256</v>
      </c>
      <c r="U26" s="25" t="str">
        <f>IF(OR(INDEX(Auction!$H$13:$H$683,MATCH(B26,Auction!$A$13:$A$683,0))&gt;0,IFERROR(INDEX(CheatSheet!$V$5:$V$64,MATCH(B26,CheatSheet!$S$5:$S$64,0)),"")&lt;&gt;""),"Yes","No")</f>
        <v>No</v>
      </c>
      <c r="V26" s="218"/>
      <c r="W26" s="1"/>
      <c r="X26" s="143">
        <f ca="1">IFERROR(SUMIFS($Y$3:$Y254,$Y$3:$Y$231,"&gt;0",$U$3:$U$231,"No")/SUMIF($Y$3:$Y$231,"&gt;0"),0)</f>
        <v>0</v>
      </c>
      <c r="Y26" s="1">
        <f t="shared" ca="1" si="0"/>
        <v>25.319999999999986</v>
      </c>
      <c r="Z26" s="145" t="str">
        <f ca="1">CONCATENATE("WR",ROUND((LARGE($Y$3:$Y$231,1)-$Y26)/(STDEVP($Y$3:$Y$231)/2)+1,0))</f>
        <v>WR6</v>
      </c>
      <c r="AA26" s="1">
        <f ca="1">Y26*LeagueInfo!$H$5</f>
        <v>11.579872302559505</v>
      </c>
      <c r="AB26" s="1"/>
      <c r="AC26" s="1"/>
    </row>
    <row r="27" spans="1:29" ht="15.75" thickBot="1" x14ac:dyDescent="0.3">
      <c r="A27" s="47">
        <f>RANK(O27,O$3:O$231)</f>
        <v>25</v>
      </c>
      <c r="B27" s="1" t="s">
        <v>131</v>
      </c>
      <c r="C27" s="1" t="s">
        <v>39</v>
      </c>
      <c r="D27" s="1">
        <f>VLOOKUP(E27,BYEs!$A$2:$B$34,2,FALSE)</f>
        <v>8</v>
      </c>
      <c r="E27" s="1" t="s">
        <v>380</v>
      </c>
      <c r="F27" s="249">
        <v>0</v>
      </c>
      <c r="G27" s="250">
        <v>0</v>
      </c>
      <c r="H27" s="251">
        <v>0.1</v>
      </c>
      <c r="I27" s="251">
        <v>-0.1</v>
      </c>
      <c r="J27" s="251">
        <v>0</v>
      </c>
      <c r="K27" s="249">
        <v>65.7</v>
      </c>
      <c r="L27" s="247">
        <v>964.9</v>
      </c>
      <c r="M27" s="250">
        <v>5.5</v>
      </c>
      <c r="N27" s="251">
        <v>0.7</v>
      </c>
      <c r="O27" s="252">
        <f>(I27*WRRushingYd)+(J27*WRRushingTD)+(K27*WRRec)+(L27*WRRecYd)+(M27*WRRecTD)+(N27*WRFuml)+(H27*WRRushAtt)</f>
        <v>128.08000000000001</v>
      </c>
      <c r="P27" s="1" t="str">
        <f ca="1">IF(A27&lt;=WRStarters,"Starter",IF(A27&gt;WRStarters+WRBench,"Undrafted","Bench"))</f>
        <v>Starter</v>
      </c>
      <c r="Q27" s="47">
        <f ca="1">IFERROR(MAX(O27-LARGE(O$3:O$231,WRStarters),0),0)</f>
        <v>4.519999999999996</v>
      </c>
      <c r="R27" s="47">
        <f ca="1">IFERROR(IF(AllowNegative="Yes",O27-LARGE(O$3:O$231,WRCount),MAX(O27-LARGE(O$3:O$231,WRCount),0)),0)</f>
        <v>38.460000000000008</v>
      </c>
      <c r="S27" s="108">
        <f ca="1">(R27-Q27)*BenchPF+Q27*StarterPF</f>
        <v>10.103208318107399</v>
      </c>
      <c r="T27" s="108">
        <f ca="1">S27*Auction!$A$2</f>
        <v>10.103208318107399</v>
      </c>
      <c r="U27" s="25" t="str">
        <f>IF(OR(INDEX(Auction!$H$13:$H$683,MATCH(B27,Auction!$A$13:$A$683,0))&gt;0,IFERROR(INDEX(CheatSheet!$V$5:$V$64,MATCH(B27,CheatSheet!$S$5:$S$64,0)),"")&lt;&gt;""),"Yes","No")</f>
        <v>No</v>
      </c>
      <c r="V27" s="218"/>
      <c r="W27" s="1"/>
      <c r="X27" s="143">
        <f ca="1">IFERROR(SUMIFS($Y$3:$Y255,$Y$3:$Y$231,"&gt;0",$U$3:$U$231,"No")/SUMIF($Y$3:$Y$231,"&gt;0"),0)</f>
        <v>0</v>
      </c>
      <c r="Y27" s="1">
        <f t="shared" ca="1" si="0"/>
        <v>21.490000000000002</v>
      </c>
      <c r="Z27" s="145" t="str">
        <f ca="1">CONCATENATE("WR",ROUND((LARGE($Y$3:$Y$231,1)-$Y27)/(STDEVP($Y$3:$Y$231)/2)+1,0))</f>
        <v>WR6</v>
      </c>
      <c r="AA27" s="1">
        <f ca="1">Y27*LeagueInfo!$H$5</f>
        <v>9.8282565474725097</v>
      </c>
      <c r="AB27" s="1"/>
      <c r="AC27" s="1"/>
    </row>
    <row r="28" spans="1:29" ht="15.75" thickBot="1" x14ac:dyDescent="0.3">
      <c r="A28" s="47">
        <f>RANK(O28,O$3:O$231)</f>
        <v>26</v>
      </c>
      <c r="B28" s="1" t="s">
        <v>152</v>
      </c>
      <c r="C28" s="1" t="s">
        <v>39</v>
      </c>
      <c r="D28" s="1">
        <f>VLOOKUP(E28,BYEs!$A$2:$B$34,2,FALSE)</f>
        <v>11</v>
      </c>
      <c r="E28" s="1" t="s">
        <v>374</v>
      </c>
      <c r="F28" s="249">
        <v>0</v>
      </c>
      <c r="G28" s="250">
        <v>0</v>
      </c>
      <c r="H28" s="251">
        <v>4</v>
      </c>
      <c r="I28" s="251">
        <v>18.399999999999999</v>
      </c>
      <c r="J28" s="251">
        <v>0</v>
      </c>
      <c r="K28" s="249">
        <v>87.9</v>
      </c>
      <c r="L28" s="247">
        <v>999.6</v>
      </c>
      <c r="M28" s="250">
        <v>4.8</v>
      </c>
      <c r="N28" s="251">
        <v>1.6</v>
      </c>
      <c r="O28" s="252">
        <f>(I28*WRRushingYd)+(J28*WRRushingTD)+(K28*WRRec)+(L28*WRRecYd)+(M28*WRRecTD)+(N28*WRFuml)+(H28*WRRushAtt)</f>
        <v>127.40000000000002</v>
      </c>
      <c r="P28" s="1" t="str">
        <f ca="1">IF(A28&lt;=WRStarters,"Starter",IF(A28&gt;WRStarters+WRBench,"Undrafted","Bench"))</f>
        <v>Starter</v>
      </c>
      <c r="Q28" s="47">
        <f ca="1">IFERROR(MAX(O28-LARGE(O$3:O$231,WRStarters),0),0)</f>
        <v>3.8400000000000034</v>
      </c>
      <c r="R28" s="47">
        <f ca="1">IFERROR(IF(AllowNegative="Yes",O28-LARGE(O$3:O$231,WRCount),MAX(O28-LARGE(O$3:O$231,WRCount),0)),0)</f>
        <v>37.780000000000015</v>
      </c>
      <c r="S28" s="108">
        <f ca="1">(R28-Q28)*BenchPF+Q28*StarterPF</f>
        <v>9.8061266688154891</v>
      </c>
      <c r="T28" s="108">
        <f ca="1">S28*Auction!$A$2</f>
        <v>9.8061266688154891</v>
      </c>
      <c r="U28" s="25" t="str">
        <f>IF(OR(INDEX(Auction!$H$13:$H$683,MATCH(B28,Auction!$A$13:$A$683,0))&gt;0,IFERROR(INDEX(CheatSheet!$V$5:$V$64,MATCH(B28,CheatSheet!$S$5:$S$64,0)),"")&lt;&gt;""),"Yes","No")</f>
        <v>No</v>
      </c>
      <c r="V28" s="218"/>
      <c r="W28" s="1"/>
      <c r="X28" s="143">
        <f ca="1">IFERROR(SUMIFS($Y$3:$Y256,$Y$3:$Y$231,"&gt;0",$U$3:$U$231,"No")/SUMIF($Y$3:$Y$231,"&gt;0"),0)</f>
        <v>0</v>
      </c>
      <c r="Y28" s="1">
        <f t="shared" ca="1" si="0"/>
        <v>20.810000000000009</v>
      </c>
      <c r="Z28" s="145" t="str">
        <f ca="1">CONCATENATE("WR",ROUND((LARGE($Y$3:$Y$231,1)-$Y28)/(STDEVP($Y$3:$Y$231)/2)+1,0))</f>
        <v>WR6</v>
      </c>
      <c r="AA28" s="1">
        <f ca="1">Y28*LeagueInfo!$H$5</f>
        <v>9.5172647162821313</v>
      </c>
      <c r="AB28" s="1"/>
      <c r="AC28" s="1"/>
    </row>
    <row r="29" spans="1:29" ht="15.75" thickBot="1" x14ac:dyDescent="0.3">
      <c r="A29" s="47">
        <f>RANK(O29,O$3:O$231)</f>
        <v>27</v>
      </c>
      <c r="B29" s="1" t="s">
        <v>143</v>
      </c>
      <c r="C29" s="1" t="s">
        <v>39</v>
      </c>
      <c r="D29" s="1">
        <f>VLOOKUP(E29,BYEs!$A$2:$B$34,2,FALSE)</f>
        <v>9</v>
      </c>
      <c r="E29" s="1" t="s">
        <v>361</v>
      </c>
      <c r="F29" s="249">
        <v>0</v>
      </c>
      <c r="G29" s="250">
        <v>0</v>
      </c>
      <c r="H29" s="251">
        <v>0.1</v>
      </c>
      <c r="I29" s="251">
        <v>0.9</v>
      </c>
      <c r="J29" s="251">
        <v>0</v>
      </c>
      <c r="K29" s="249">
        <v>82.3</v>
      </c>
      <c r="L29" s="247">
        <v>955.4</v>
      </c>
      <c r="M29" s="250">
        <v>5.9</v>
      </c>
      <c r="N29" s="251">
        <v>2.1</v>
      </c>
      <c r="O29" s="252">
        <f>(I29*WRRushingYd)+(J29*WRRushingTD)+(K29*WRRec)+(L29*WRRecYd)+(M29*WRRecTD)+(N29*WRFuml)+(H29*WRRushAtt)</f>
        <v>126.83000000000003</v>
      </c>
      <c r="P29" s="1" t="str">
        <f ca="1">IF(A29&lt;=WRStarters,"Starter",IF(A29&gt;WRStarters+WRBench,"Undrafted","Bench"))</f>
        <v>Starter</v>
      </c>
      <c r="Q29" s="47">
        <f ca="1">IFERROR(MAX(O29-LARGE(O$3:O$231,WRStarters),0),0)</f>
        <v>3.2700000000000102</v>
      </c>
      <c r="R29" s="47">
        <f ca="1">IFERROR(IF(AllowNegative="Yes",O29-LARGE(O$3:O$231,WRCount),MAX(O29-LARGE(O$3:O$231,WRCount),0)),0)</f>
        <v>37.210000000000022</v>
      </c>
      <c r="S29" s="108">
        <f ca="1">(R29-Q29)*BenchPF+Q29*StarterPF</f>
        <v>9.5571023451443295</v>
      </c>
      <c r="T29" s="108">
        <f ca="1">S29*Auction!$A$2</f>
        <v>9.5571023451443295</v>
      </c>
      <c r="U29" s="25" t="str">
        <f>IF(OR(INDEX(Auction!$H$13:$H$683,MATCH(B29,Auction!$A$13:$A$683,0))&gt;0,IFERROR(INDEX(CheatSheet!$V$5:$V$64,MATCH(B29,CheatSheet!$S$5:$S$64,0)),"")&lt;&gt;""),"Yes","No")</f>
        <v>No</v>
      </c>
      <c r="V29" s="218"/>
      <c r="W29" s="1"/>
      <c r="X29" s="143">
        <f ca="1">IFERROR(SUMIFS($Y$3:$Y257,$Y$3:$Y$231,"&gt;0",$U$3:$U$231,"No")/SUMIF($Y$3:$Y$231,"&gt;0"),0)</f>
        <v>0</v>
      </c>
      <c r="Y29" s="1">
        <f t="shared" ca="1" si="0"/>
        <v>20.240000000000016</v>
      </c>
      <c r="Z29" s="145" t="str">
        <f ca="1">CONCATENATE("WR",ROUND((LARGE($Y$3:$Y$231,1)-$Y29)/(STDEVP($Y$3:$Y$231)/2)+1,0))</f>
        <v>WR6</v>
      </c>
      <c r="AA29" s="1">
        <f ca="1">Y29*LeagueInfo!$H$5</f>
        <v>9.2565803871960775</v>
      </c>
      <c r="AB29" s="1"/>
      <c r="AC29" s="1"/>
    </row>
    <row r="30" spans="1:29" ht="15.75" thickBot="1" x14ac:dyDescent="0.3">
      <c r="A30" s="47">
        <f>RANK(O30,O$3:O$231)</f>
        <v>28</v>
      </c>
      <c r="B30" s="1" t="s">
        <v>200</v>
      </c>
      <c r="C30" s="1" t="s">
        <v>39</v>
      </c>
      <c r="D30" s="1">
        <f>VLOOKUP(E30,BYEs!$A$2:$B$34,2,FALSE)</f>
        <v>9</v>
      </c>
      <c r="E30" s="1" t="s">
        <v>373</v>
      </c>
      <c r="F30" s="249">
        <v>0</v>
      </c>
      <c r="G30" s="250">
        <v>0</v>
      </c>
      <c r="H30" s="251">
        <v>2.1</v>
      </c>
      <c r="I30" s="251">
        <v>12.2</v>
      </c>
      <c r="J30" s="251">
        <v>0</v>
      </c>
      <c r="K30" s="249">
        <v>85.3</v>
      </c>
      <c r="L30" s="247">
        <v>968.1</v>
      </c>
      <c r="M30" s="250">
        <v>4.8</v>
      </c>
      <c r="N30" s="251">
        <v>0.7</v>
      </c>
      <c r="O30" s="252">
        <f>(I30*WRRushingYd)+(J30*WRRushingTD)+(K30*WRRec)+(L30*WRRecYd)+(M30*WRRecTD)+(N30*WRFuml)+(H30*WRRushAtt)</f>
        <v>125.42999999999999</v>
      </c>
      <c r="P30" s="1" t="str">
        <f ca="1">IF(A30&lt;=WRStarters,"Starter",IF(A30&gt;WRStarters+WRBench,"Undrafted","Bench"))</f>
        <v>Starter</v>
      </c>
      <c r="Q30" s="47">
        <f ca="1">IFERROR(MAX(O30-LARGE(O$3:O$231,WRStarters),0),0)</f>
        <v>1.8699999999999761</v>
      </c>
      <c r="R30" s="47">
        <f ca="1">IFERROR(IF(AllowNegative="Yes",O30-LARGE(O$3:O$231,WRCount),MAX(O30-LARGE(O$3:O$231,WRCount),0)),0)</f>
        <v>35.809999999999988</v>
      </c>
      <c r="S30" s="108">
        <f ca="1">(R30-Q30)*BenchPF+Q30*StarterPF</f>
        <v>8.9454636554256695</v>
      </c>
      <c r="T30" s="108">
        <f ca="1">S30*Auction!$A$2</f>
        <v>8.9454636554256695</v>
      </c>
      <c r="U30" s="25" t="str">
        <f>IF(OR(INDEX(Auction!$H$13:$H$683,MATCH(B30,Auction!$A$13:$A$683,0))&gt;0,IFERROR(INDEX(CheatSheet!$V$5:$V$64,MATCH(B30,CheatSheet!$S$5:$S$64,0)),"")&lt;&gt;""),"Yes","No")</f>
        <v>No</v>
      </c>
      <c r="V30" s="218"/>
      <c r="W30" s="1"/>
      <c r="X30" s="143">
        <f ca="1">IFERROR(SUMIFS($Y$3:$Y258,$Y$3:$Y$231,"&gt;0",$U$3:$U$231,"No")/SUMIF($Y$3:$Y$231,"&gt;0"),0)</f>
        <v>0</v>
      </c>
      <c r="Y30" s="1">
        <f t="shared" ca="1" si="0"/>
        <v>18.839999999999982</v>
      </c>
      <c r="Z30" s="145" t="str">
        <f ca="1">CONCATENATE("WR",ROUND((LARGE($Y$3:$Y$231,1)-$Y30)/(STDEVP($Y$3:$Y$231)/2)+1,0))</f>
        <v>WR6</v>
      </c>
      <c r="AA30" s="1">
        <f ca="1">Y30*LeagueInfo!$H$5</f>
        <v>8.6163030876864521</v>
      </c>
      <c r="AB30" s="1"/>
      <c r="AC30" s="1"/>
    </row>
    <row r="31" spans="1:29" ht="15.75" thickBot="1" x14ac:dyDescent="0.3">
      <c r="A31" s="47">
        <f>RANK(O31,O$3:O$231)</f>
        <v>29</v>
      </c>
      <c r="B31" s="1" t="s">
        <v>176</v>
      </c>
      <c r="C31" s="1" t="s">
        <v>39</v>
      </c>
      <c r="D31" s="1">
        <f>VLOOKUP(E31,BYEs!$A$2:$B$34,2,FALSE)</f>
        <v>5</v>
      </c>
      <c r="E31" s="1" t="s">
        <v>352</v>
      </c>
      <c r="F31" s="249">
        <v>0</v>
      </c>
      <c r="G31" s="250">
        <v>0</v>
      </c>
      <c r="H31" s="251">
        <v>0</v>
      </c>
      <c r="I31" s="251">
        <v>0</v>
      </c>
      <c r="J31" s="251">
        <v>0</v>
      </c>
      <c r="K31" s="249">
        <v>73.7</v>
      </c>
      <c r="L31" s="247">
        <v>951.2</v>
      </c>
      <c r="M31" s="250">
        <v>5.3</v>
      </c>
      <c r="N31" s="251">
        <v>0.9</v>
      </c>
      <c r="O31" s="252">
        <f>(I31*WRRushingYd)+(J31*WRRushingTD)+(K31*WRRec)+(L31*WRRecYd)+(M31*WRRecTD)+(N31*WRFuml)+(H31*WRRushAtt)</f>
        <v>125.12</v>
      </c>
      <c r="P31" s="1" t="str">
        <f ca="1">IF(A31&lt;=WRStarters,"Starter",IF(A31&gt;WRStarters+WRBench,"Undrafted","Bench"))</f>
        <v>Starter</v>
      </c>
      <c r="Q31" s="47">
        <f ca="1">IFERROR(MAX(O31-LARGE(O$3:O$231,WRStarters),0),0)</f>
        <v>1.5599999999999881</v>
      </c>
      <c r="R31" s="47">
        <f ca="1">IFERROR(IF(AllowNegative="Yes",O31-LARGE(O$3:O$231,WRCount),MAX(O31-LARGE(O$3:O$231,WRCount),0)),0)</f>
        <v>35.5</v>
      </c>
      <c r="S31" s="108">
        <f ca="1">(R31-Q31)*BenchPF+Q31*StarterPF</f>
        <v>8.8100293741308313</v>
      </c>
      <c r="T31" s="108">
        <f ca="1">S31*Auction!$A$2</f>
        <v>8.8100293741308313</v>
      </c>
      <c r="U31" s="25" t="str">
        <f>IF(OR(INDEX(Auction!$H$13:$H$683,MATCH(B31,Auction!$A$13:$A$683,0))&gt;0,IFERROR(INDEX(CheatSheet!$V$5:$V$64,MATCH(B31,CheatSheet!$S$5:$S$64,0)),"")&lt;&gt;""),"Yes","No")</f>
        <v>No</v>
      </c>
      <c r="V31" s="218"/>
      <c r="W31" s="1"/>
      <c r="X31" s="143">
        <f ca="1">IFERROR(SUMIFS($Y$3:$Y259,$Y$3:$Y$231,"&gt;0",$U$3:$U$231,"No")/SUMIF($Y$3:$Y$231,"&gt;0"),0)</f>
        <v>0</v>
      </c>
      <c r="Y31" s="1">
        <f t="shared" ca="1" si="0"/>
        <v>18.529999999999994</v>
      </c>
      <c r="Z31" s="145" t="str">
        <f ca="1">CONCATENATE("WR",ROUND((LARGE($Y$3:$Y$231,1)-$Y31)/(STDEVP($Y$3:$Y$231)/2)+1,0))</f>
        <v>WR6</v>
      </c>
      <c r="AA31" s="1">
        <f ca="1">Y31*LeagueInfo!$H$5</f>
        <v>8.4745273999379016</v>
      </c>
      <c r="AB31" s="1"/>
      <c r="AC31" s="1"/>
    </row>
    <row r="32" spans="1:29" ht="15.75" thickBot="1" x14ac:dyDescent="0.3">
      <c r="A32" s="47">
        <f>RANK(O32,O$3:O$231)</f>
        <v>30</v>
      </c>
      <c r="B32" s="1" t="s">
        <v>151</v>
      </c>
      <c r="C32" s="1" t="s">
        <v>39</v>
      </c>
      <c r="D32" s="1">
        <f>VLOOKUP(E32,BYEs!$A$2:$B$34,2,FALSE)</f>
        <v>9</v>
      </c>
      <c r="E32" s="1" t="s">
        <v>363</v>
      </c>
      <c r="F32" s="249">
        <v>0</v>
      </c>
      <c r="G32" s="250">
        <v>0</v>
      </c>
      <c r="H32" s="251">
        <v>1.8</v>
      </c>
      <c r="I32" s="251">
        <v>10.5</v>
      </c>
      <c r="J32" s="251">
        <v>0.1</v>
      </c>
      <c r="K32" s="249">
        <v>57.9</v>
      </c>
      <c r="L32" s="247">
        <v>855.1</v>
      </c>
      <c r="M32" s="250">
        <v>6.4</v>
      </c>
      <c r="N32" s="251">
        <v>1</v>
      </c>
      <c r="O32" s="252">
        <f>(I32*WRRushingYd)+(J32*WRRushingTD)+(K32*WRRec)+(L32*WRRecYd)+(M32*WRRecTD)+(N32*WRFuml)+(H32*WRRushAtt)</f>
        <v>123.56000000000002</v>
      </c>
      <c r="P32" s="1" t="str">
        <f ca="1">IF(A32&lt;=WRStarters,"Starter",IF(A32&gt;WRStarters+WRBench,"Undrafted","Bench"))</f>
        <v>Starter</v>
      </c>
      <c r="Q32" s="47">
        <f ca="1">IFERROR(MAX(O32-LARGE(O$3:O$231,WRStarters),0),0)</f>
        <v>0</v>
      </c>
      <c r="R32" s="47">
        <f ca="1">IFERROR(IF(AllowNegative="Yes",O32-LARGE(O$3:O$231,WRCount),MAX(O32-LARGE(O$3:O$231,WRCount),0)),0)</f>
        <v>33.940000000000012</v>
      </c>
      <c r="S32" s="108">
        <f ca="1">(R32-Q32)*BenchPF+Q32*StarterPF</f>
        <v>8.1284891198729188</v>
      </c>
      <c r="T32" s="108">
        <f ca="1">S32*Auction!$A$2</f>
        <v>8.1284891198729188</v>
      </c>
      <c r="U32" s="25" t="str">
        <f>IF(OR(INDEX(Auction!$H$13:$H$683,MATCH(B32,Auction!$A$13:$A$683,0))&gt;0,IFERROR(INDEX(CheatSheet!$V$5:$V$64,MATCH(B32,CheatSheet!$S$5:$S$64,0)),"")&lt;&gt;""),"Yes","No")</f>
        <v>No</v>
      </c>
      <c r="V32" s="218"/>
      <c r="W32" s="1"/>
      <c r="X32" s="143">
        <f ca="1">IFERROR(SUMIFS($Y$3:$Y260,$Y$3:$Y$231,"&gt;0",$U$3:$U$231,"No")/SUMIF($Y$3:$Y$231,"&gt;0"),0)</f>
        <v>0</v>
      </c>
      <c r="Y32" s="1">
        <f t="shared" ca="1" si="0"/>
        <v>16.970000000000006</v>
      </c>
      <c r="Z32" s="145" t="str">
        <f ca="1">CONCATENATE("WR",ROUND((LARGE($Y$3:$Y$231,1)-$Y32)/(STDEVP($Y$3:$Y$231)/2)+1,0))</f>
        <v>WR7</v>
      </c>
      <c r="AA32" s="1">
        <f ca="1">Y32*LeagueInfo!$H$5</f>
        <v>7.7610755519129135</v>
      </c>
      <c r="AB32" s="1"/>
      <c r="AC32" s="1"/>
    </row>
    <row r="33" spans="1:29" ht="15.75" thickBot="1" x14ac:dyDescent="0.3">
      <c r="A33" s="47">
        <f>RANK(O33,O$3:O$231)</f>
        <v>31</v>
      </c>
      <c r="B33" s="1" t="s">
        <v>172</v>
      </c>
      <c r="C33" s="1" t="s">
        <v>39</v>
      </c>
      <c r="D33" s="1">
        <f>VLOOKUP(E33,BYEs!$A$2:$B$34,2,FALSE)</f>
        <v>5</v>
      </c>
      <c r="E33" s="1" t="s">
        <v>358</v>
      </c>
      <c r="F33" s="249">
        <v>0</v>
      </c>
      <c r="G33" s="250">
        <v>0</v>
      </c>
      <c r="H33" s="251">
        <v>2.4</v>
      </c>
      <c r="I33" s="251">
        <v>10.6</v>
      </c>
      <c r="J33" s="251">
        <v>0</v>
      </c>
      <c r="K33" s="249">
        <v>74.400000000000006</v>
      </c>
      <c r="L33" s="247">
        <v>915.8</v>
      </c>
      <c r="M33" s="250">
        <v>5.0999999999999996</v>
      </c>
      <c r="N33" s="251">
        <v>1.3</v>
      </c>
      <c r="O33" s="252">
        <f>(I33*WRRushingYd)+(J33*WRRushingTD)+(K33*WRRec)+(L33*WRRecYd)+(M33*WRRecTD)+(N33*WRFuml)+(H33*WRRushAtt)</f>
        <v>120.64</v>
      </c>
      <c r="P33" s="1" t="str">
        <f ca="1">IF(A33&lt;=WRStarters,"Starter",IF(A33&gt;WRStarters+WRBench,"Undrafted","Bench"))</f>
        <v>Bench</v>
      </c>
      <c r="Q33" s="47">
        <f ca="1">IFERROR(MAX(O33-LARGE(O$3:O$231,WRStarters),0),0)</f>
        <v>0</v>
      </c>
      <c r="R33" s="47">
        <f ca="1">IFERROR(IF(AllowNegative="Yes",O33-LARGE(O$3:O$231,WRCount),MAX(O33-LARGE(O$3:O$231,WRCount),0)),0)</f>
        <v>31.019999999999996</v>
      </c>
      <c r="S33" s="108">
        <f ca="1">(R33-Q33)*BenchPF+Q33*StarterPF</f>
        <v>7.4291612403788392</v>
      </c>
      <c r="T33" s="108">
        <f ca="1">S33*Auction!$A$2</f>
        <v>7.4291612403788392</v>
      </c>
      <c r="U33" s="25" t="str">
        <f>IF(OR(INDEX(Auction!$H$13:$H$683,MATCH(B33,Auction!$A$13:$A$683,0))&gt;0,IFERROR(INDEX(CheatSheet!$V$5:$V$64,MATCH(B33,CheatSheet!$S$5:$S$64,0)),"")&lt;&gt;""),"Yes","No")</f>
        <v>No</v>
      </c>
      <c r="V33" s="218"/>
      <c r="W33" s="1"/>
      <c r="X33" s="143">
        <f ca="1">IFERROR(SUMIFS($Y$3:$Y261,$Y$3:$Y$231,"&gt;0",$U$3:$U$231,"No")/SUMIF($Y$3:$Y$231,"&gt;0"),0)</f>
        <v>0</v>
      </c>
      <c r="Y33" s="1">
        <f t="shared" ca="1" si="0"/>
        <v>15.509999999999998</v>
      </c>
      <c r="Z33" s="145" t="str">
        <f ca="1">CONCATENATE("WR",ROUND((LARGE($Y$3:$Y$231,1)-$Y33)/(STDEVP($Y$3:$Y$231)/2)+1,0))</f>
        <v>WR7</v>
      </c>
      <c r="AA33" s="1">
        <f ca="1">Y33*LeagueInfo!$H$5</f>
        <v>7.0933577967100314</v>
      </c>
      <c r="AB33" s="1"/>
      <c r="AC33" s="1"/>
    </row>
    <row r="34" spans="1:29" ht="15.75" thickBot="1" x14ac:dyDescent="0.3">
      <c r="A34" s="47">
        <f>RANK(O34,O$3:O$231)</f>
        <v>32</v>
      </c>
      <c r="B34" s="1" t="s">
        <v>550</v>
      </c>
      <c r="C34" s="1" t="s">
        <v>39</v>
      </c>
      <c r="D34" s="1">
        <f>VLOOKUP(E34,BYEs!$A$2:$B$34,2,FALSE)</f>
        <v>11</v>
      </c>
      <c r="E34" s="1" t="s">
        <v>374</v>
      </c>
      <c r="F34" s="249">
        <v>0</v>
      </c>
      <c r="G34" s="250">
        <v>0</v>
      </c>
      <c r="H34" s="251">
        <v>0</v>
      </c>
      <c r="I34" s="251">
        <v>0</v>
      </c>
      <c r="J34" s="251">
        <v>0</v>
      </c>
      <c r="K34" s="249">
        <v>64.099999999999994</v>
      </c>
      <c r="L34" s="247">
        <v>879.2</v>
      </c>
      <c r="M34" s="250">
        <v>5.5</v>
      </c>
      <c r="N34" s="251">
        <v>0.7</v>
      </c>
      <c r="O34" s="252">
        <f>(I34*WRRushingYd)+(J34*WRRushingTD)+(K34*WRRec)+(L34*WRRecYd)+(M34*WRRecTD)+(N34*WRFuml)+(H34*WRRushAtt)</f>
        <v>119.52000000000001</v>
      </c>
      <c r="P34" s="1" t="str">
        <f ca="1">IF(A34&lt;=WRStarters,"Starter",IF(A34&gt;WRStarters+WRBench,"Undrafted","Bench"))</f>
        <v>Bench</v>
      </c>
      <c r="Q34" s="47">
        <f ca="1">IFERROR(MAX(O34-LARGE(O$3:O$231,WRStarters),0),0)</f>
        <v>0</v>
      </c>
      <c r="R34" s="47">
        <f ca="1">IFERROR(IF(AllowNegative="Yes",O34-LARGE(O$3:O$231,WRCount),MAX(O34-LARGE(O$3:O$231,WRCount),0)),0)</f>
        <v>29.900000000000006</v>
      </c>
      <c r="S34" s="108">
        <f ca="1">(R34-Q34)*BenchPF+Q34*StarterPF</f>
        <v>7.1609258893400183</v>
      </c>
      <c r="T34" s="108">
        <f ca="1">S34*Auction!$A$2</f>
        <v>7.1609258893400183</v>
      </c>
      <c r="U34" s="25" t="str">
        <f>IF(OR(INDEX(Auction!$H$13:$H$683,MATCH(B34,Auction!$A$13:$A$683,0))&gt;0,IFERROR(INDEX(CheatSheet!$V$5:$V$64,MATCH(B34,CheatSheet!$S$5:$S$64,0)),"")&lt;&gt;""),"Yes","No")</f>
        <v>No</v>
      </c>
      <c r="V34" s="218"/>
      <c r="W34" s="1"/>
      <c r="X34" s="143">
        <f ca="1">IFERROR(SUMIFS($Y$3:$Y262,$Y$3:$Y$231,"&gt;0",$U$3:$U$231,"No")/SUMIF($Y$3:$Y$231,"&gt;0"),0)</f>
        <v>0</v>
      </c>
      <c r="Y34" s="1">
        <f t="shared" ca="1" si="0"/>
        <v>14.950000000000003</v>
      </c>
      <c r="Z34" s="145" t="str">
        <f ca="1">CONCATENATE("WR",ROUND((LARGE($Y$3:$Y$231,1)-$Y34)/(STDEVP($Y$3:$Y$231)/2)+1,0))</f>
        <v>WR7</v>
      </c>
      <c r="AA34" s="1">
        <f ca="1">Y34*LeagueInfo!$H$5</f>
        <v>6.8372468769061898</v>
      </c>
      <c r="AB34" s="1"/>
      <c r="AC34" s="1"/>
    </row>
    <row r="35" spans="1:29" ht="15.75" thickBot="1" x14ac:dyDescent="0.3">
      <c r="A35" s="47">
        <f>RANK(O35,O$3:O$231)</f>
        <v>33</v>
      </c>
      <c r="B35" s="1" t="s">
        <v>222</v>
      </c>
      <c r="C35" s="1" t="s">
        <v>39</v>
      </c>
      <c r="D35" s="1">
        <f>VLOOKUP(E35,BYEs!$A$2:$B$34,2,FALSE)</f>
        <v>11</v>
      </c>
      <c r="E35" s="1" t="s">
        <v>378</v>
      </c>
      <c r="F35" s="249">
        <v>0</v>
      </c>
      <c r="G35" s="250">
        <v>0</v>
      </c>
      <c r="H35" s="251">
        <v>0</v>
      </c>
      <c r="I35" s="251">
        <v>0</v>
      </c>
      <c r="J35" s="251">
        <v>0</v>
      </c>
      <c r="K35" s="249">
        <v>74.900000000000006</v>
      </c>
      <c r="L35" s="247">
        <v>926.6</v>
      </c>
      <c r="M35" s="250">
        <v>4.5999999999999996</v>
      </c>
      <c r="N35" s="251">
        <v>0.7</v>
      </c>
      <c r="O35" s="252">
        <f>(I35*WRRushingYd)+(J35*WRRushingTD)+(K35*WRRec)+(L35*WRRecYd)+(M35*WRRecTD)+(N35*WRFuml)+(H35*WRRushAtt)</f>
        <v>118.86</v>
      </c>
      <c r="P35" s="1" t="str">
        <f ca="1">IF(A35&lt;=WRStarters,"Starter",IF(A35&gt;WRStarters+WRBench,"Undrafted","Bench"))</f>
        <v>Bench</v>
      </c>
      <c r="Q35" s="47">
        <f ca="1">IFERROR(MAX(O35-LARGE(O$3:O$231,WRStarters),0),0)</f>
        <v>0</v>
      </c>
      <c r="R35" s="47">
        <f ca="1">IFERROR(IF(AllowNegative="Yes",O35-LARGE(O$3:O$231,WRCount),MAX(O35-LARGE(O$3:O$231,WRCount),0)),0)</f>
        <v>29.239999999999995</v>
      </c>
      <c r="S35" s="108">
        <f ca="1">(R35-Q35)*BenchPF+Q35*StarterPF</f>
        <v>7.0028586289064227</v>
      </c>
      <c r="T35" s="108">
        <f ca="1">S35*Auction!$A$2</f>
        <v>7.0028586289064227</v>
      </c>
      <c r="U35" s="25" t="str">
        <f>IF(OR(INDEX(Auction!$H$13:$H$683,MATCH(B35,Auction!$A$13:$A$683,0))&gt;0,IFERROR(INDEX(CheatSheet!$V$5:$V$64,MATCH(B35,CheatSheet!$S$5:$S$64,0)),"")&lt;&gt;""),"Yes","No")</f>
        <v>No</v>
      </c>
      <c r="V35" s="218"/>
      <c r="W35" s="1"/>
      <c r="X35" s="143">
        <f ca="1">IFERROR(SUMIFS($Y$3:$Y263,$Y$3:$Y$231,"&gt;0",$U$3:$U$231,"No")/SUMIF($Y$3:$Y$231,"&gt;0"),0)</f>
        <v>0</v>
      </c>
      <c r="Y35" s="1">
        <f t="shared" ca="1" si="0"/>
        <v>14.619999999999997</v>
      </c>
      <c r="Z35" s="145" t="str">
        <f ca="1">CONCATENATE("WR",ROUND((LARGE($Y$3:$Y$231,1)-$Y35)/(STDEVP($Y$3:$Y$231)/2)+1,0))</f>
        <v>WR7</v>
      </c>
      <c r="AA35" s="1">
        <f ca="1">Y35*LeagueInfo!$H$5</f>
        <v>6.6863243705932085</v>
      </c>
      <c r="AB35" s="1"/>
      <c r="AC35" s="1"/>
    </row>
    <row r="36" spans="1:29" ht="15.75" thickBot="1" x14ac:dyDescent="0.3">
      <c r="A36" s="47">
        <f>RANK(O36,O$3:O$231)</f>
        <v>34</v>
      </c>
      <c r="B36" s="1" t="s">
        <v>166</v>
      </c>
      <c r="C36" s="1" t="s">
        <v>39</v>
      </c>
      <c r="D36" s="1">
        <f>VLOOKUP(E36,BYEs!$A$2:$B$34,2,FALSE)</f>
        <v>8</v>
      </c>
      <c r="E36" s="1" t="s">
        <v>368</v>
      </c>
      <c r="F36" s="249">
        <v>0</v>
      </c>
      <c r="G36" s="250">
        <v>0</v>
      </c>
      <c r="H36" s="251">
        <v>0</v>
      </c>
      <c r="I36" s="251">
        <v>0</v>
      </c>
      <c r="J36" s="251">
        <v>0</v>
      </c>
      <c r="K36" s="249">
        <v>65.5</v>
      </c>
      <c r="L36" s="247">
        <v>836.9</v>
      </c>
      <c r="M36" s="250">
        <v>5.9</v>
      </c>
      <c r="N36" s="251">
        <v>0.9</v>
      </c>
      <c r="O36" s="252">
        <f>(I36*WRRushingYd)+(J36*WRRushingTD)+(K36*WRRec)+(L36*WRRecYd)+(M36*WRRecTD)+(N36*WRFuml)+(H36*WRRushAtt)</f>
        <v>117.29</v>
      </c>
      <c r="P36" s="1" t="str">
        <f ca="1">IF(A36&lt;=WRStarters,"Starter",IF(A36&gt;WRStarters+WRBench,"Undrafted","Bench"))</f>
        <v>Bench</v>
      </c>
      <c r="Q36" s="47">
        <f ca="1">IFERROR(MAX(O36-LARGE(O$3:O$231,WRStarters),0),0)</f>
        <v>0</v>
      </c>
      <c r="R36" s="47">
        <f ca="1">IFERROR(IF(AllowNegative="Yes",O36-LARGE(O$3:O$231,WRCount),MAX(O36-LARGE(O$3:O$231,WRCount),0)),0)</f>
        <v>27.67</v>
      </c>
      <c r="S36" s="108">
        <f ca="1">(R36-Q36)*BenchPF+Q36*StarterPF</f>
        <v>6.6268501457537887</v>
      </c>
      <c r="T36" s="108">
        <f ca="1">S36*Auction!$A$2</f>
        <v>6.6268501457537887</v>
      </c>
      <c r="U36" s="25" t="str">
        <f>IF(OR(INDEX(Auction!$H$13:$H$683,MATCH(B36,Auction!$A$13:$A$683,0))&gt;0,IFERROR(INDEX(CheatSheet!$V$5:$V$64,MATCH(B36,CheatSheet!$S$5:$S$64,0)),"")&lt;&gt;""),"Yes","No")</f>
        <v>No</v>
      </c>
      <c r="V36" s="218"/>
      <c r="W36" s="1"/>
      <c r="X36" s="143">
        <f ca="1">IFERROR(SUMIFS($Y$3:$Y264,$Y$3:$Y$231,"&gt;0",$U$3:$U$231,"No")/SUMIF($Y$3:$Y$231,"&gt;0"),0)</f>
        <v>0</v>
      </c>
      <c r="Y36" s="1">
        <f t="shared" ca="1" si="0"/>
        <v>13.835000000000001</v>
      </c>
      <c r="Z36" s="145" t="str">
        <f ca="1">CONCATENATE("WR",ROUND((LARGE($Y$3:$Y$231,1)-$Y36)/(STDEVP($Y$3:$Y$231)/2)+1,0))</f>
        <v>WR7</v>
      </c>
      <c r="AA36" s="1">
        <f ca="1">Y36*LeagueInfo!$H$5</f>
        <v>6.3273117419396074</v>
      </c>
      <c r="AB36" s="1"/>
      <c r="AC36" s="1"/>
    </row>
    <row r="37" spans="1:29" ht="15.75" thickBot="1" x14ac:dyDescent="0.3">
      <c r="A37" s="47">
        <f>RANK(O37,O$3:O$231)</f>
        <v>35</v>
      </c>
      <c r="B37" s="1" t="s">
        <v>225</v>
      </c>
      <c r="C37" s="1" t="s">
        <v>39</v>
      </c>
      <c r="D37" s="1">
        <f>VLOOKUP(E37,BYEs!$A$2:$B$34,2,FALSE)</f>
        <v>8</v>
      </c>
      <c r="E37" s="1" t="s">
        <v>350</v>
      </c>
      <c r="F37" s="249">
        <v>0</v>
      </c>
      <c r="G37" s="250">
        <v>0</v>
      </c>
      <c r="H37" s="251">
        <v>5.5</v>
      </c>
      <c r="I37" s="251">
        <v>32.799999999999997</v>
      </c>
      <c r="J37" s="251">
        <v>0.1</v>
      </c>
      <c r="K37" s="249">
        <v>71.099999999999994</v>
      </c>
      <c r="L37" s="247">
        <v>793</v>
      </c>
      <c r="M37" s="250">
        <v>5.7</v>
      </c>
      <c r="N37" s="251">
        <v>0.7</v>
      </c>
      <c r="O37" s="252">
        <f>(I37*WRRushingYd)+(J37*WRRushingTD)+(K37*WRRec)+(L37*WRRecYd)+(M37*WRRecTD)+(N37*WRFuml)+(H37*WRRushAtt)</f>
        <v>115.98</v>
      </c>
      <c r="P37" s="1" t="str">
        <f ca="1">IF(A37&lt;=WRStarters,"Starter",IF(A37&gt;WRStarters+WRBench,"Undrafted","Bench"))</f>
        <v>Bench</v>
      </c>
      <c r="Q37" s="47">
        <f ca="1">IFERROR(MAX(O37-LARGE(O$3:O$231,WRStarters),0),0)</f>
        <v>0</v>
      </c>
      <c r="R37" s="47">
        <f ca="1">IFERROR(IF(AllowNegative="Yes",O37-LARGE(O$3:O$231,WRCount),MAX(O37-LARGE(O$3:O$231,WRCount),0)),0)</f>
        <v>26.36</v>
      </c>
      <c r="S37" s="108">
        <f ca="1">(R37-Q37)*BenchPF+Q37*StarterPF</f>
        <v>6.3131105833780214</v>
      </c>
      <c r="T37" s="108">
        <f ca="1">S37*Auction!$A$2</f>
        <v>6.3131105833780214</v>
      </c>
      <c r="U37" s="25" t="str">
        <f>IF(OR(INDEX(Auction!$H$13:$H$683,MATCH(B37,Auction!$A$13:$A$683,0))&gt;0,IFERROR(INDEX(CheatSheet!$V$5:$V$64,MATCH(B37,CheatSheet!$S$5:$S$64,0)),"")&lt;&gt;""),"Yes","No")</f>
        <v>No</v>
      </c>
      <c r="V37" s="218"/>
      <c r="W37" s="1"/>
      <c r="X37" s="143">
        <f ca="1">IFERROR(SUMIFS($Y$3:$Y265,$Y$3:$Y$231,"&gt;0",$U$3:$U$231,"No")/SUMIF($Y$3:$Y$231,"&gt;0"),0)</f>
        <v>0</v>
      </c>
      <c r="Y37" s="1">
        <f t="shared" ca="1" si="0"/>
        <v>13.18</v>
      </c>
      <c r="Z37" s="145" t="str">
        <f ca="1">CONCATENATE("WR",ROUND((LARGE($Y$3:$Y$231,1)-$Y37)/(STDEVP($Y$3:$Y$231)/2)+1,0))</f>
        <v>WR7</v>
      </c>
      <c r="AA37" s="1">
        <f ca="1">Y37*LeagueInfo!$H$5</f>
        <v>6.0277534339547536</v>
      </c>
      <c r="AB37" s="1"/>
      <c r="AC37" s="1"/>
    </row>
    <row r="38" spans="1:29" ht="15.75" thickBot="1" x14ac:dyDescent="0.3">
      <c r="A38" s="47">
        <f>RANK(O38,O$3:O$231)</f>
        <v>36</v>
      </c>
      <c r="B38" s="1" t="s">
        <v>174</v>
      </c>
      <c r="C38" s="1" t="s">
        <v>39</v>
      </c>
      <c r="D38" s="1">
        <f>VLOOKUP(E38,BYEs!$A$2:$B$34,2,FALSE)</f>
        <v>11</v>
      </c>
      <c r="E38" s="1" t="s">
        <v>356</v>
      </c>
      <c r="F38" s="249">
        <v>0</v>
      </c>
      <c r="G38" s="250">
        <v>0</v>
      </c>
      <c r="H38" s="251">
        <v>0.8</v>
      </c>
      <c r="I38" s="251">
        <v>4.8</v>
      </c>
      <c r="J38" s="251">
        <v>0</v>
      </c>
      <c r="K38" s="249">
        <v>54.3</v>
      </c>
      <c r="L38" s="247">
        <v>865.9</v>
      </c>
      <c r="M38" s="250">
        <v>4.9000000000000004</v>
      </c>
      <c r="N38" s="251">
        <v>0.7</v>
      </c>
      <c r="O38" s="252">
        <f>(I38*WRRushingYd)+(J38*WRRushingTD)+(K38*WRRec)+(L38*WRRecYd)+(M38*WRRecTD)+(N38*WRFuml)+(H38*WRRushAtt)</f>
        <v>115.07000000000001</v>
      </c>
      <c r="P38" s="1" t="str">
        <f ca="1">IF(A38&lt;=WRStarters,"Starter",IF(A38&gt;WRStarters+WRBench,"Undrafted","Bench"))</f>
        <v>Bench</v>
      </c>
      <c r="Q38" s="47">
        <f ca="1">IFERROR(MAX(O38-LARGE(O$3:O$231,WRStarters),0),0)</f>
        <v>0</v>
      </c>
      <c r="R38" s="47">
        <f ca="1">IFERROR(IF(AllowNegative="Yes",O38-LARGE(O$3:O$231,WRCount),MAX(O38-LARGE(O$3:O$231,WRCount),0)),0)</f>
        <v>25.450000000000003</v>
      </c>
      <c r="S38" s="108">
        <f ca="1">(R38-Q38)*BenchPF+Q38*StarterPF</f>
        <v>6.0951693606589776</v>
      </c>
      <c r="T38" s="108">
        <f ca="1">S38*Auction!$A$2</f>
        <v>6.0951693606589776</v>
      </c>
      <c r="U38" s="25" t="str">
        <f>IF(OR(INDEX(Auction!$H$13:$H$683,MATCH(B38,Auction!$A$13:$A$683,0))&gt;0,IFERROR(INDEX(CheatSheet!$V$5:$V$64,MATCH(B38,CheatSheet!$S$5:$S$64,0)),"")&lt;&gt;""),"Yes","No")</f>
        <v>No</v>
      </c>
      <c r="V38" s="218"/>
      <c r="W38" s="1"/>
      <c r="X38" s="143">
        <f ca="1">IFERROR(SUMIFS($Y$3:$Y266,$Y$3:$Y$231,"&gt;0",$U$3:$U$231,"No")/SUMIF($Y$3:$Y$231,"&gt;0"),0)</f>
        <v>0</v>
      </c>
      <c r="Y38" s="1">
        <f t="shared" ca="1" si="0"/>
        <v>12.725000000000001</v>
      </c>
      <c r="Z38" s="145" t="str">
        <f ca="1">CONCATENATE("WR",ROUND((LARGE($Y$3:$Y$231,1)-$Y38)/(STDEVP($Y$3:$Y$231)/2)+1,0))</f>
        <v>WR7</v>
      </c>
      <c r="AA38" s="1">
        <f ca="1">Y38*LeagueInfo!$H$5</f>
        <v>5.8196633116141312</v>
      </c>
      <c r="AB38" s="1"/>
      <c r="AC38" s="1"/>
    </row>
    <row r="39" spans="1:29" ht="15.75" thickBot="1" x14ac:dyDescent="0.3">
      <c r="A39" s="47">
        <f>RANK(O39,O$3:O$231)</f>
        <v>37</v>
      </c>
      <c r="B39" s="1" t="s">
        <v>265</v>
      </c>
      <c r="C39" s="1" t="s">
        <v>39</v>
      </c>
      <c r="D39" s="1">
        <f>VLOOKUP(E39,BYEs!$A$2:$B$34,2,FALSE)</f>
        <v>9</v>
      </c>
      <c r="E39" s="1" t="s">
        <v>387</v>
      </c>
      <c r="F39" s="249">
        <v>0</v>
      </c>
      <c r="G39" s="250">
        <v>0</v>
      </c>
      <c r="H39" s="251">
        <v>0.3</v>
      </c>
      <c r="I39" s="251">
        <v>1</v>
      </c>
      <c r="J39" s="251">
        <v>0</v>
      </c>
      <c r="K39" s="249">
        <v>62.2</v>
      </c>
      <c r="L39" s="247">
        <v>861.5</v>
      </c>
      <c r="M39" s="250">
        <v>5</v>
      </c>
      <c r="N39" s="251">
        <v>1.2</v>
      </c>
      <c r="O39" s="252">
        <f>(I39*WRRushingYd)+(J39*WRRushingTD)+(K39*WRRec)+(L39*WRRecYd)+(M39*WRRecTD)+(N39*WRFuml)+(H39*WRRushAtt)</f>
        <v>113.85</v>
      </c>
      <c r="P39" s="1" t="str">
        <f ca="1">IF(A39&lt;=WRStarters,"Starter",IF(A39&gt;WRStarters+WRBench,"Undrafted","Bench"))</f>
        <v>Bench</v>
      </c>
      <c r="Q39" s="47">
        <f ca="1">IFERROR(MAX(O39-LARGE(O$3:O$231,WRStarters),0),0)</f>
        <v>0</v>
      </c>
      <c r="R39" s="47">
        <f ca="1">IFERROR(IF(AllowNegative="Yes",O39-LARGE(O$3:O$231,WRCount),MAX(O39-LARGE(O$3:O$231,WRCount),0)),0)</f>
        <v>24.22999999999999</v>
      </c>
      <c r="S39" s="108">
        <f ca="1">(R39-Q39)*BenchPF+Q39*StarterPF</f>
        <v>5.8029844247059712</v>
      </c>
      <c r="T39" s="108">
        <f ca="1">S39*Auction!$A$2</f>
        <v>5.8029844247059712</v>
      </c>
      <c r="U39" s="25" t="str">
        <f>IF(OR(INDEX(Auction!$H$13:$H$683,MATCH(B39,Auction!$A$13:$A$683,0))&gt;0,IFERROR(INDEX(CheatSheet!$V$5:$V$64,MATCH(B39,CheatSheet!$S$5:$S$64,0)),"")&lt;&gt;""),"Yes","No")</f>
        <v>No</v>
      </c>
      <c r="V39" s="218"/>
      <c r="W39" s="1"/>
      <c r="X39" s="143">
        <f ca="1">IFERROR(SUMIFS($Y$3:$Y267,$Y$3:$Y$231,"&gt;0",$U$3:$U$231,"No")/SUMIF($Y$3:$Y$231,"&gt;0"),0)</f>
        <v>0</v>
      </c>
      <c r="Y39" s="1">
        <f t="shared" ca="1" si="0"/>
        <v>12.114999999999995</v>
      </c>
      <c r="Z39" s="145" t="str">
        <f ca="1">CONCATENATE("WR",ROUND((LARGE($Y$3:$Y$231,1)-$Y39)/(STDEVP($Y$3:$Y$231)/2)+1,0))</f>
        <v>WR7</v>
      </c>
      <c r="AA39" s="1">
        <f ca="1">Y39*LeagueInfo!$H$5</f>
        <v>5.5406853453992264</v>
      </c>
      <c r="AB39" s="1"/>
      <c r="AC39" s="1"/>
    </row>
    <row r="40" spans="1:29" ht="15.75" thickBot="1" x14ac:dyDescent="0.3">
      <c r="A40" s="47">
        <f>RANK(O40,O$3:O$231)</f>
        <v>38</v>
      </c>
      <c r="B40" s="1" t="s">
        <v>199</v>
      </c>
      <c r="C40" s="1" t="s">
        <v>39</v>
      </c>
      <c r="D40" s="1">
        <f>VLOOKUP(E40,BYEs!$A$2:$B$34,2,FALSE)</f>
        <v>8</v>
      </c>
      <c r="E40" s="1" t="s">
        <v>359</v>
      </c>
      <c r="F40" s="249">
        <v>0</v>
      </c>
      <c r="G40" s="250">
        <v>0</v>
      </c>
      <c r="H40" s="251">
        <v>0</v>
      </c>
      <c r="I40" s="251">
        <v>0</v>
      </c>
      <c r="J40" s="251">
        <v>0</v>
      </c>
      <c r="K40" s="249">
        <v>59.4</v>
      </c>
      <c r="L40" s="247">
        <v>785.6</v>
      </c>
      <c r="M40" s="250">
        <v>6.1</v>
      </c>
      <c r="N40" s="251">
        <v>0.9</v>
      </c>
      <c r="O40" s="252">
        <f>(I40*WRRushingYd)+(J40*WRRushingTD)+(K40*WRRec)+(L40*WRRecYd)+(M40*WRRecTD)+(N40*WRFuml)+(H40*WRRushAtt)</f>
        <v>113.36</v>
      </c>
      <c r="P40" s="1" t="str">
        <f ca="1">IF(A40&lt;=WRStarters,"Starter",IF(A40&gt;WRStarters+WRBench,"Undrafted","Bench"))</f>
        <v>Bench</v>
      </c>
      <c r="Q40" s="47">
        <f ca="1">IFERROR(MAX(O40-LARGE(O$3:O$231,WRStarters),0),0)</f>
        <v>0</v>
      </c>
      <c r="R40" s="47">
        <f ca="1">IFERROR(IF(AllowNegative="Yes",O40-LARGE(O$3:O$231,WRCount),MAX(O40-LARGE(O$3:O$231,WRCount),0)),0)</f>
        <v>23.739999999999995</v>
      </c>
      <c r="S40" s="108">
        <f ca="1">(R40-Q40)*BenchPF+Q40*StarterPF</f>
        <v>5.6856314586264869</v>
      </c>
      <c r="T40" s="108">
        <f ca="1">S40*Auction!$A$2</f>
        <v>5.6856314586264869</v>
      </c>
      <c r="U40" s="25" t="str">
        <f>IF(OR(INDEX(Auction!$H$13:$H$683,MATCH(B40,Auction!$A$13:$A$683,0))&gt;0,IFERROR(INDEX(CheatSheet!$V$5:$V$64,MATCH(B40,CheatSheet!$S$5:$S$64,0)),"")&lt;&gt;""),"Yes","No")</f>
        <v>No</v>
      </c>
      <c r="V40" s="218"/>
      <c r="W40" s="1"/>
      <c r="X40" s="143">
        <f ca="1">IFERROR(SUMIFS($Y$3:$Y268,$Y$3:$Y$231,"&gt;0",$U$3:$U$231,"No")/SUMIF($Y$3:$Y$231,"&gt;0"),0)</f>
        <v>0</v>
      </c>
      <c r="Y40" s="1">
        <f t="shared" ca="1" si="0"/>
        <v>11.869999999999997</v>
      </c>
      <c r="Z40" s="145" t="str">
        <f ca="1">CONCATENATE("WR",ROUND((LARGE($Y$3:$Y$231,1)-$Y40)/(STDEVP($Y$3:$Y$231)/2)+1,0))</f>
        <v>WR7</v>
      </c>
      <c r="AA40" s="1">
        <f ca="1">Y40*LeagueInfo!$H$5</f>
        <v>5.4286368179850459</v>
      </c>
      <c r="AB40" s="1"/>
      <c r="AC40" s="1"/>
    </row>
    <row r="41" spans="1:29" ht="15.75" thickBot="1" x14ac:dyDescent="0.3">
      <c r="A41" s="47">
        <f>RANK(O41,O$3:O$231)</f>
        <v>39</v>
      </c>
      <c r="B41" s="1" t="s">
        <v>209</v>
      </c>
      <c r="C41" s="1" t="s">
        <v>39</v>
      </c>
      <c r="D41" s="1">
        <f>VLOOKUP(E41,BYEs!$A$2:$B$34,2,FALSE)</f>
        <v>9</v>
      </c>
      <c r="E41" s="1" t="s">
        <v>361</v>
      </c>
      <c r="F41" s="249">
        <v>0</v>
      </c>
      <c r="G41" s="250">
        <v>0</v>
      </c>
      <c r="H41" s="251">
        <v>0</v>
      </c>
      <c r="I41" s="251">
        <v>0</v>
      </c>
      <c r="J41" s="251">
        <v>0</v>
      </c>
      <c r="K41" s="249">
        <v>54.6</v>
      </c>
      <c r="L41" s="247">
        <v>814.9</v>
      </c>
      <c r="M41" s="250">
        <v>5.3</v>
      </c>
      <c r="N41" s="251">
        <v>0.8</v>
      </c>
      <c r="O41" s="252">
        <f>(I41*WRRushingYd)+(J41*WRRushingTD)+(K41*WRRec)+(L41*WRRecYd)+(M41*WRRecTD)+(N41*WRFuml)+(H41*WRRushAtt)</f>
        <v>111.69000000000001</v>
      </c>
      <c r="P41" s="1" t="str">
        <f ca="1">IF(A41&lt;=WRStarters,"Starter",IF(A41&gt;WRStarters+WRBench,"Undrafted","Bench"))</f>
        <v>Bench</v>
      </c>
      <c r="Q41" s="47">
        <f ca="1">IFERROR(MAX(O41-LARGE(O$3:O$231,WRStarters),0),0)</f>
        <v>0</v>
      </c>
      <c r="R41" s="47">
        <f ca="1">IFERROR(IF(AllowNegative="Yes",O41-LARGE(O$3:O$231,WRCount),MAX(O41-LARGE(O$3:O$231,WRCount),0)),0)</f>
        <v>22.070000000000007</v>
      </c>
      <c r="S41" s="108">
        <f ca="1">(R41-Q41)*BenchPF+Q41*StarterPF</f>
        <v>5.2856733905596727</v>
      </c>
      <c r="T41" s="108">
        <f ca="1">S41*Auction!$A$2</f>
        <v>5.2856733905596727</v>
      </c>
      <c r="U41" s="25" t="str">
        <f>IF(OR(INDEX(Auction!$H$13:$H$683,MATCH(B41,Auction!$A$13:$A$683,0))&gt;0,IFERROR(INDEX(CheatSheet!$V$5:$V$64,MATCH(B41,CheatSheet!$S$5:$S$64,0)),"")&lt;&gt;""),"Yes","No")</f>
        <v>No</v>
      </c>
      <c r="V41" s="218"/>
      <c r="W41" s="1"/>
      <c r="X41" s="143">
        <f ca="1">IFERROR(SUMIFS($Y$3:$Y269,$Y$3:$Y$231,"&gt;0",$U$3:$U$231,"No")/SUMIF($Y$3:$Y$231,"&gt;0"),0)</f>
        <v>0</v>
      </c>
      <c r="Y41" s="1">
        <f t="shared" ca="1" si="0"/>
        <v>11.035000000000004</v>
      </c>
      <c r="Z41" s="145" t="str">
        <f ca="1">CONCATENATE("WR",ROUND((LARGE($Y$3:$Y$231,1)-$Y41)/(STDEVP($Y$3:$Y$231)/2)+1,0))</f>
        <v>WR7</v>
      </c>
      <c r="AA41" s="1">
        <f ca="1">Y41*LeagueInfo!$H$5</f>
        <v>5.0467571429203888</v>
      </c>
      <c r="AB41" s="1"/>
      <c r="AC41" s="1"/>
    </row>
    <row r="42" spans="1:29" ht="15.75" thickBot="1" x14ac:dyDescent="0.3">
      <c r="A42" s="47">
        <f>RANK(O42,O$3:O$231)</f>
        <v>40</v>
      </c>
      <c r="B42" s="1" t="s">
        <v>248</v>
      </c>
      <c r="C42" s="1" t="s">
        <v>39</v>
      </c>
      <c r="D42" s="1">
        <f>VLOOKUP(E42,BYEs!$A$2:$B$34,2,FALSE)</f>
        <v>10</v>
      </c>
      <c r="E42" s="1" t="s">
        <v>371</v>
      </c>
      <c r="F42" s="249">
        <v>0</v>
      </c>
      <c r="G42" s="250">
        <v>0</v>
      </c>
      <c r="H42" s="251">
        <v>2.9</v>
      </c>
      <c r="I42" s="251">
        <v>16.600000000000001</v>
      </c>
      <c r="J42" s="251">
        <v>0</v>
      </c>
      <c r="K42" s="249">
        <v>64.599999999999994</v>
      </c>
      <c r="L42" s="247">
        <v>832.3</v>
      </c>
      <c r="M42" s="250">
        <v>4.5999999999999996</v>
      </c>
      <c r="N42" s="251">
        <v>0.6</v>
      </c>
      <c r="O42" s="252">
        <f>(I42*WRRushingYd)+(J42*WRRushingTD)+(K42*WRRec)+(L42*WRRecYd)+(M42*WRRecTD)+(N42*WRFuml)+(H42*WRRushAtt)</f>
        <v>111.28999999999999</v>
      </c>
      <c r="P42" s="1" t="str">
        <f ca="1">IF(A42&lt;=WRStarters,"Starter",IF(A42&gt;WRStarters+WRBench,"Undrafted","Bench"))</f>
        <v>Bench</v>
      </c>
      <c r="Q42" s="47">
        <f ca="1">IFERROR(MAX(O42-LARGE(O$3:O$231,WRStarters),0),0)</f>
        <v>0</v>
      </c>
      <c r="R42" s="47">
        <f ca="1">IFERROR(IF(AllowNegative="Yes",O42-LARGE(O$3:O$231,WRCount),MAX(O42-LARGE(O$3:O$231,WRCount),0)),0)</f>
        <v>21.669999999999987</v>
      </c>
      <c r="S42" s="108">
        <f ca="1">(R42-Q42)*BenchPF+Q42*StarterPF</f>
        <v>5.1898750509029457</v>
      </c>
      <c r="T42" s="108">
        <f ca="1">S42*Auction!$A$2</f>
        <v>5.1898750509029457</v>
      </c>
      <c r="U42" s="25" t="str">
        <f>IF(OR(INDEX(Auction!$H$13:$H$683,MATCH(B42,Auction!$A$13:$A$683,0))&gt;0,IFERROR(INDEX(CheatSheet!$V$5:$V$64,MATCH(B42,CheatSheet!$S$5:$S$64,0)),"")&lt;&gt;""),"Yes","No")</f>
        <v>No</v>
      </c>
      <c r="V42" s="218"/>
      <c r="W42" s="1"/>
      <c r="X42" s="143">
        <f ca="1">IFERROR(SUMIFS($Y$3:$Y270,$Y$3:$Y$231,"&gt;0",$U$3:$U$231,"No")/SUMIF($Y$3:$Y$231,"&gt;0"),0)</f>
        <v>0</v>
      </c>
      <c r="Y42" s="1">
        <f t="shared" ca="1" si="0"/>
        <v>10.834999999999994</v>
      </c>
      <c r="Z42" s="145" t="str">
        <f ca="1">CONCATENATE("WR",ROUND((LARGE($Y$3:$Y$231,1)-$Y42)/(STDEVP($Y$3:$Y$231)/2)+1,0))</f>
        <v>WR7</v>
      </c>
      <c r="AA42" s="1">
        <f ca="1">Y42*LeagueInfo!$H$5</f>
        <v>4.9552889572761547</v>
      </c>
      <c r="AB42" s="1"/>
      <c r="AC42" s="1"/>
    </row>
    <row r="43" spans="1:29" ht="15.75" thickBot="1" x14ac:dyDescent="0.3">
      <c r="A43" s="47">
        <f>RANK(O43,O$3:O$231)</f>
        <v>41</v>
      </c>
      <c r="B43" s="1" t="s">
        <v>161</v>
      </c>
      <c r="C43" s="1" t="s">
        <v>39</v>
      </c>
      <c r="D43" s="1">
        <f>VLOOKUP(E43,BYEs!$A$2:$B$34,2,FALSE)</f>
        <v>11</v>
      </c>
      <c r="E43" s="1" t="s">
        <v>355</v>
      </c>
      <c r="F43" s="249">
        <v>0</v>
      </c>
      <c r="G43" s="250">
        <v>0</v>
      </c>
      <c r="H43" s="251">
        <v>1.3</v>
      </c>
      <c r="I43" s="251">
        <v>5.5</v>
      </c>
      <c r="J43" s="251">
        <v>0</v>
      </c>
      <c r="K43" s="249">
        <v>61.4</v>
      </c>
      <c r="L43" s="247">
        <v>724.2</v>
      </c>
      <c r="M43" s="250">
        <v>6.2</v>
      </c>
      <c r="N43" s="251">
        <v>0.7</v>
      </c>
      <c r="O43" s="252">
        <f>(I43*WRRushingYd)+(J43*WRRushingTD)+(K43*WRRec)+(L43*WRRecYd)+(M43*WRRecTD)+(N43*WRFuml)+(H43*WRRushAtt)</f>
        <v>108.77</v>
      </c>
      <c r="P43" s="1" t="str">
        <f ca="1">IF(A43&lt;=WRStarters,"Starter",IF(A43&gt;WRStarters+WRBench,"Undrafted","Bench"))</f>
        <v>Bench</v>
      </c>
      <c r="Q43" s="47">
        <f ca="1">IFERROR(MAX(O43-LARGE(O$3:O$231,WRStarters),0),0)</f>
        <v>0</v>
      </c>
      <c r="R43" s="47">
        <f ca="1">IFERROR(IF(AllowNegative="Yes",O43-LARGE(O$3:O$231,WRCount),MAX(O43-LARGE(O$3:O$231,WRCount),0)),0)</f>
        <v>19.149999999999991</v>
      </c>
      <c r="S43" s="108">
        <f ca="1">(R43-Q43)*BenchPF+Q43*StarterPF</f>
        <v>4.586345511065594</v>
      </c>
      <c r="T43" s="108">
        <f ca="1">S43*Auction!$A$2</f>
        <v>4.586345511065594</v>
      </c>
      <c r="U43" s="25" t="str">
        <f>IF(OR(INDEX(Auction!$H$13:$H$683,MATCH(B43,Auction!$A$13:$A$683,0))&gt;0,IFERROR(INDEX(CheatSheet!$V$5:$V$64,MATCH(B43,CheatSheet!$S$5:$S$64,0)),"")&lt;&gt;""),"Yes","No")</f>
        <v>No</v>
      </c>
      <c r="V43" s="218"/>
      <c r="W43" s="1"/>
      <c r="X43" s="143">
        <f ca="1">IFERROR(SUMIFS($Y$3:$Y271,$Y$3:$Y$231,"&gt;0",$U$3:$U$231,"No")/SUMIF($Y$3:$Y$231,"&gt;0"),0)</f>
        <v>0</v>
      </c>
      <c r="Y43" s="1">
        <f t="shared" ca="1" si="0"/>
        <v>9.5749999999999957</v>
      </c>
      <c r="Z43" s="145" t="str">
        <f ca="1">CONCATENATE("WR",ROUND((LARGE($Y$3:$Y$231,1)-$Y43)/(STDEVP($Y$3:$Y$231)/2)+1,0))</f>
        <v>WR7</v>
      </c>
      <c r="AA43" s="1">
        <f ca="1">Y43*LeagueInfo!$H$5</f>
        <v>4.3790393877175067</v>
      </c>
      <c r="AB43" s="1"/>
      <c r="AC43" s="1"/>
    </row>
    <row r="44" spans="1:29" ht="15.75" thickBot="1" x14ac:dyDescent="0.3">
      <c r="A44" s="47">
        <f>RANK(O44,O$3:O$231)</f>
        <v>42</v>
      </c>
      <c r="B44" s="1" t="s">
        <v>215</v>
      </c>
      <c r="C44" s="1" t="s">
        <v>39</v>
      </c>
      <c r="D44" s="1">
        <f>VLOOKUP(E44,BYEs!$A$2:$B$34,2,FALSE)</f>
        <v>10</v>
      </c>
      <c r="E44" s="1" t="s">
        <v>371</v>
      </c>
      <c r="F44" s="249">
        <v>0</v>
      </c>
      <c r="G44" s="250">
        <v>0</v>
      </c>
      <c r="H44" s="251">
        <v>0.8</v>
      </c>
      <c r="I44" s="251">
        <v>4.5999999999999996</v>
      </c>
      <c r="J44" s="251">
        <v>0</v>
      </c>
      <c r="K44" s="249">
        <v>70.5</v>
      </c>
      <c r="L44" s="247">
        <v>842.9</v>
      </c>
      <c r="M44" s="250">
        <v>4.2</v>
      </c>
      <c r="N44" s="251">
        <v>0.7</v>
      </c>
      <c r="O44" s="252">
        <f>(I44*WRRushingYd)+(J44*WRRushingTD)+(K44*WRRec)+(L44*WRRecYd)+(M44*WRRecTD)+(N44*WRFuml)+(H44*WRRushAtt)</f>
        <v>108.55</v>
      </c>
      <c r="P44" s="1" t="str">
        <f ca="1">IF(A44&lt;=WRStarters,"Starter",IF(A44&gt;WRStarters+WRBench,"Undrafted","Bench"))</f>
        <v>Bench</v>
      </c>
      <c r="Q44" s="47">
        <f ca="1">IFERROR(MAX(O44-LARGE(O$3:O$231,WRStarters),0),0)</f>
        <v>0</v>
      </c>
      <c r="R44" s="47">
        <f ca="1">IFERROR(IF(AllowNegative="Yes",O44-LARGE(O$3:O$231,WRCount),MAX(O44-LARGE(O$3:O$231,WRCount),0)),0)</f>
        <v>18.929999999999993</v>
      </c>
      <c r="S44" s="108">
        <f ca="1">(R44-Q44)*BenchPF+Q44*StarterPF</f>
        <v>4.5336564242543966</v>
      </c>
      <c r="T44" s="108">
        <f ca="1">S44*Auction!$A$2</f>
        <v>4.5336564242543966</v>
      </c>
      <c r="U44" s="25" t="str">
        <f>IF(OR(INDEX(Auction!$H$13:$H$683,MATCH(B44,Auction!$A$13:$A$683,0))&gt;0,IFERROR(INDEX(CheatSheet!$V$5:$V$64,MATCH(B44,CheatSheet!$S$5:$S$64,0)),"")&lt;&gt;""),"Yes","No")</f>
        <v>No</v>
      </c>
      <c r="V44" s="218"/>
      <c r="W44" s="1"/>
      <c r="X44" s="143">
        <f ca="1">IFERROR(SUMIFS($Y$3:$Y272,$Y$3:$Y$231,"&gt;0",$U$3:$U$231,"No")/SUMIF($Y$3:$Y$231,"&gt;0"),0)</f>
        <v>0</v>
      </c>
      <c r="Y44" s="1">
        <f t="shared" ca="1" si="0"/>
        <v>9.4649999999999963</v>
      </c>
      <c r="Z44" s="145" t="str">
        <f ca="1">CONCATENATE("WR",ROUND((LARGE($Y$3:$Y$231,1)-$Y44)/(STDEVP($Y$3:$Y$231)/2)+1,0))</f>
        <v>WR7</v>
      </c>
      <c r="AA44" s="1">
        <f ca="1">Y44*LeagueInfo!$H$5</f>
        <v>4.3287318856131805</v>
      </c>
      <c r="AB44" s="1"/>
      <c r="AC44" s="1"/>
    </row>
    <row r="45" spans="1:29" ht="15.75" thickBot="1" x14ac:dyDescent="0.3">
      <c r="A45" s="47">
        <f>RANK(O45,O$3:O$231)</f>
        <v>43</v>
      </c>
      <c r="B45" s="1" t="s">
        <v>227</v>
      </c>
      <c r="C45" s="1" t="s">
        <v>39</v>
      </c>
      <c r="D45" s="1">
        <f>VLOOKUP(E45,BYEs!$A$2:$B$34,2,FALSE)</f>
        <v>8</v>
      </c>
      <c r="E45" s="1" t="s">
        <v>359</v>
      </c>
      <c r="F45" s="249">
        <v>0</v>
      </c>
      <c r="G45" s="250">
        <v>0</v>
      </c>
      <c r="H45" s="251">
        <v>0.1</v>
      </c>
      <c r="I45" s="251">
        <v>0.7</v>
      </c>
      <c r="J45" s="251">
        <v>0</v>
      </c>
      <c r="K45" s="249">
        <v>55</v>
      </c>
      <c r="L45" s="247">
        <v>777.4</v>
      </c>
      <c r="M45" s="250">
        <v>5.4</v>
      </c>
      <c r="N45" s="251">
        <v>1.3</v>
      </c>
      <c r="O45" s="252">
        <f>(I45*WRRushingYd)+(J45*WRRushingTD)+(K45*WRRec)+(L45*WRRecYd)+(M45*WRRecTD)+(N45*WRFuml)+(H45*WRRushAtt)</f>
        <v>107.61000000000001</v>
      </c>
      <c r="P45" s="1" t="str">
        <f ca="1">IF(A45&lt;=WRStarters,"Starter",IF(A45&gt;WRStarters+WRBench,"Undrafted","Bench"))</f>
        <v>Bench</v>
      </c>
      <c r="Q45" s="47">
        <f ca="1">IFERROR(MAX(O45-LARGE(O$3:O$231,WRStarters),0),0)</f>
        <v>0</v>
      </c>
      <c r="R45" s="47">
        <f ca="1">IFERROR(IF(AllowNegative="Yes",O45-LARGE(O$3:O$231,WRCount),MAX(O45-LARGE(O$3:O$231,WRCount),0)),0)</f>
        <v>17.990000000000009</v>
      </c>
      <c r="S45" s="108">
        <f ca="1">(R45-Q45)*BenchPF+Q45*StarterPF</f>
        <v>4.3085303260611028</v>
      </c>
      <c r="T45" s="108">
        <f ca="1">S45*Auction!$A$2</f>
        <v>4.3085303260611028</v>
      </c>
      <c r="U45" s="25" t="str">
        <f>IF(OR(INDEX(Auction!$H$13:$H$683,MATCH(B45,Auction!$A$13:$A$683,0))&gt;0,IFERROR(INDEX(CheatSheet!$V$5:$V$64,MATCH(B45,CheatSheet!$S$5:$S$64,0)),"")&lt;&gt;""),"Yes","No")</f>
        <v>No</v>
      </c>
      <c r="V45" s="218"/>
      <c r="W45" s="1"/>
      <c r="X45" s="143">
        <f ca="1">IFERROR(SUMIFS($Y$3:$Y273,$Y$3:$Y$231,"&gt;0",$U$3:$U$231,"No")/SUMIF($Y$3:$Y$231,"&gt;0"),0)</f>
        <v>0</v>
      </c>
      <c r="Y45" s="1">
        <f t="shared" ca="1" si="0"/>
        <v>8.9950000000000045</v>
      </c>
      <c r="Z45" s="145" t="str">
        <f ca="1">CONCATENATE("WR",ROUND((LARGE($Y$3:$Y$231,1)-$Y45)/(STDEVP($Y$3:$Y$231)/2)+1,0))</f>
        <v>WR7</v>
      </c>
      <c r="AA45" s="1">
        <f ca="1">Y45*LeagueInfo!$H$5</f>
        <v>4.1137816493492441</v>
      </c>
      <c r="AB45" s="1"/>
      <c r="AC45" s="1"/>
    </row>
    <row r="46" spans="1:29" ht="15.75" thickBot="1" x14ac:dyDescent="0.3">
      <c r="A46" s="47">
        <f>RANK(O46,O$3:O$231)</f>
        <v>44</v>
      </c>
      <c r="B46" s="1" t="s">
        <v>266</v>
      </c>
      <c r="C46" s="1" t="s">
        <v>39</v>
      </c>
      <c r="D46" s="1">
        <f>VLOOKUP(E46,BYEs!$A$2:$B$34,2,FALSE)</f>
        <v>9</v>
      </c>
      <c r="E46" s="1" t="s">
        <v>373</v>
      </c>
      <c r="F46" s="249">
        <v>0</v>
      </c>
      <c r="G46" s="250">
        <v>0</v>
      </c>
      <c r="H46" s="251">
        <v>2.2999999999999998</v>
      </c>
      <c r="I46" s="251">
        <v>12.3</v>
      </c>
      <c r="J46" s="251">
        <v>0</v>
      </c>
      <c r="K46" s="249">
        <v>63.8</v>
      </c>
      <c r="L46" s="247">
        <v>806.2</v>
      </c>
      <c r="M46" s="250">
        <v>4.5</v>
      </c>
      <c r="N46" s="251">
        <v>1.1000000000000001</v>
      </c>
      <c r="O46" s="252">
        <f>(I46*WRRushingYd)+(J46*WRRushingTD)+(K46*WRRec)+(L46*WRRecYd)+(M46*WRRecTD)+(N46*WRFuml)+(H46*WRRushAtt)</f>
        <v>106.65</v>
      </c>
      <c r="P46" s="1" t="str">
        <f ca="1">IF(A46&lt;=WRStarters,"Starter",IF(A46&gt;WRStarters+WRBench,"Undrafted","Bench"))</f>
        <v>Bench</v>
      </c>
      <c r="Q46" s="47">
        <f ca="1">IFERROR(MAX(O46-LARGE(O$3:O$231,WRStarters),0),0)</f>
        <v>0</v>
      </c>
      <c r="R46" s="47">
        <f ca="1">IFERROR(IF(AllowNegative="Yes",O46-LARGE(O$3:O$231,WRCount),MAX(O46-LARGE(O$3:O$231,WRCount),0)),0)</f>
        <v>17.03</v>
      </c>
      <c r="S46" s="108">
        <f ca="1">(R46-Q46)*BenchPF+Q46*StarterPF</f>
        <v>4.0786143108849666</v>
      </c>
      <c r="T46" s="108">
        <f ca="1">S46*Auction!$A$2</f>
        <v>4.0786143108849666</v>
      </c>
      <c r="U46" s="25" t="str">
        <f>IF(OR(INDEX(Auction!$H$13:$H$683,MATCH(B46,Auction!$A$13:$A$683,0))&gt;0,IFERROR(INDEX(CheatSheet!$V$5:$V$64,MATCH(B46,CheatSheet!$S$5:$S$64,0)),"")&lt;&gt;""),"Yes","No")</f>
        <v>No</v>
      </c>
      <c r="V46" s="218"/>
      <c r="W46" s="1"/>
      <c r="X46" s="143">
        <f ca="1">IFERROR(SUMIFS($Y$3:$Y274,$Y$3:$Y$231,"&gt;0",$U$3:$U$231,"No")/SUMIF($Y$3:$Y$231,"&gt;0"),0)</f>
        <v>0</v>
      </c>
      <c r="Y46" s="1">
        <f t="shared" ca="1" si="0"/>
        <v>8.5150000000000006</v>
      </c>
      <c r="Z46" s="145" t="str">
        <f ca="1">CONCATENATE("WR",ROUND((LARGE($Y$3:$Y$231,1)-$Y46)/(STDEVP($Y$3:$Y$231)/2)+1,0))</f>
        <v>WR7</v>
      </c>
      <c r="AA46" s="1">
        <f ca="1">Y46*LeagueInfo!$H$5</f>
        <v>3.8942580038030905</v>
      </c>
      <c r="AB46" s="1"/>
      <c r="AC46" s="1"/>
    </row>
    <row r="47" spans="1:29" ht="15.75" thickBot="1" x14ac:dyDescent="0.3">
      <c r="A47" s="47">
        <f>RANK(O47,O$3:O$231)</f>
        <v>45</v>
      </c>
      <c r="B47" s="1" t="s">
        <v>267</v>
      </c>
      <c r="C47" s="1" t="s">
        <v>39</v>
      </c>
      <c r="D47" s="1">
        <f>VLOOKUP(E47,BYEs!$A$2:$B$34,2,FALSE)</f>
        <v>6</v>
      </c>
      <c r="E47" s="1" t="s">
        <v>364</v>
      </c>
      <c r="F47" s="249">
        <v>0</v>
      </c>
      <c r="G47" s="250">
        <v>0</v>
      </c>
      <c r="H47" s="251">
        <v>0.3</v>
      </c>
      <c r="I47" s="251">
        <v>2</v>
      </c>
      <c r="J47" s="251">
        <v>0</v>
      </c>
      <c r="K47" s="249">
        <v>64.099999999999994</v>
      </c>
      <c r="L47" s="247">
        <v>775.3</v>
      </c>
      <c r="M47" s="250">
        <v>4.9000000000000004</v>
      </c>
      <c r="N47" s="251">
        <v>0.7</v>
      </c>
      <c r="O47" s="252">
        <f>(I47*WRRushingYd)+(J47*WRRushingTD)+(K47*WRRec)+(L47*WRRecYd)+(M47*WRRecTD)+(N47*WRFuml)+(H47*WRRushAtt)</f>
        <v>105.73</v>
      </c>
      <c r="P47" s="1" t="str">
        <f ca="1">IF(A47&lt;=WRStarters,"Starter",IF(A47&gt;WRStarters+WRBench,"Undrafted","Bench"))</f>
        <v>Bench</v>
      </c>
      <c r="Q47" s="47">
        <f ca="1">IFERROR(MAX(O47-LARGE(O$3:O$231,WRStarters),0),0)</f>
        <v>0</v>
      </c>
      <c r="R47" s="47">
        <f ca="1">IFERROR(IF(AllowNegative="Yes",O47-LARGE(O$3:O$231,WRCount),MAX(O47-LARGE(O$3:O$231,WRCount),0)),0)</f>
        <v>16.11</v>
      </c>
      <c r="S47" s="108">
        <f ca="1">(R47-Q47)*BenchPF+Q47*StarterPF</f>
        <v>3.8582781296745039</v>
      </c>
      <c r="T47" s="108">
        <f ca="1">S47*Auction!$A$2</f>
        <v>3.8582781296745039</v>
      </c>
      <c r="U47" s="25" t="str">
        <f>IF(OR(INDEX(Auction!$H$13:$H$683,MATCH(B47,Auction!$A$13:$A$683,0))&gt;0,IFERROR(INDEX(CheatSheet!$V$5:$V$64,MATCH(B47,CheatSheet!$S$5:$S$64,0)),"")&lt;&gt;""),"Yes","No")</f>
        <v>No</v>
      </c>
      <c r="V47" s="218"/>
      <c r="W47" s="1"/>
      <c r="X47" s="143">
        <f ca="1">IFERROR(SUMIFS($Y$3:$Y275,$Y$3:$Y$231,"&gt;0",$U$3:$U$231,"No")/SUMIF($Y$3:$Y$231,"&gt;0"),0)</f>
        <v>0</v>
      </c>
      <c r="Y47" s="1">
        <f t="shared" ca="1" si="0"/>
        <v>8.0549999999999997</v>
      </c>
      <c r="Z47" s="145" t="str">
        <f ca="1">CONCATENATE("WR",ROUND((LARGE($Y$3:$Y$231,1)-$Y47)/(STDEVP($Y$3:$Y$231)/2)+1,0))</f>
        <v>WR7</v>
      </c>
      <c r="AA47" s="1">
        <f ca="1">Y47*LeagueInfo!$H$5</f>
        <v>3.6838811768213611</v>
      </c>
      <c r="AB47" s="1"/>
      <c r="AC47" s="1"/>
    </row>
    <row r="48" spans="1:29" ht="15.75" thickBot="1" x14ac:dyDescent="0.3">
      <c r="A48" s="47">
        <f>RANK(O48,O$3:O$231)</f>
        <v>46</v>
      </c>
      <c r="B48" s="1" t="s">
        <v>551</v>
      </c>
      <c r="C48" s="1" t="s">
        <v>39</v>
      </c>
      <c r="D48" s="1">
        <f>VLOOKUP(E48,BYEs!$A$2:$B$34,2,FALSE)</f>
        <v>7</v>
      </c>
      <c r="E48" s="1" t="s">
        <v>362</v>
      </c>
      <c r="F48" s="249">
        <v>0</v>
      </c>
      <c r="G48" s="250">
        <v>0</v>
      </c>
      <c r="H48" s="251">
        <v>0.6</v>
      </c>
      <c r="I48" s="251">
        <v>1.1000000000000001</v>
      </c>
      <c r="J48" s="251">
        <v>0</v>
      </c>
      <c r="K48" s="249">
        <v>53</v>
      </c>
      <c r="L48" s="247">
        <v>756.4</v>
      </c>
      <c r="M48" s="250">
        <v>4.7</v>
      </c>
      <c r="N48" s="251">
        <v>0.2</v>
      </c>
      <c r="O48" s="252">
        <f>(I48*WRRushingYd)+(J48*WRRushingTD)+(K48*WRRec)+(L48*WRRecYd)+(M48*WRRecTD)+(N48*WRFuml)+(H48*WRRushAtt)</f>
        <v>103.55</v>
      </c>
      <c r="P48" s="1" t="str">
        <f ca="1">IF(A48&lt;=WRStarters,"Starter",IF(A48&gt;WRStarters+WRBench,"Undrafted","Bench"))</f>
        <v>Bench</v>
      </c>
      <c r="Q48" s="47">
        <f ca="1">IFERROR(MAX(O48-LARGE(O$3:O$231,WRStarters),0),0)</f>
        <v>0</v>
      </c>
      <c r="R48" s="47">
        <f ca="1">IFERROR(IF(AllowNegative="Yes",O48-LARGE(O$3:O$231,WRCount),MAX(O48-LARGE(O$3:O$231,WRCount),0)),0)</f>
        <v>13.929999999999993</v>
      </c>
      <c r="S48" s="108">
        <f ca="1">(R48-Q48)*BenchPF+Q48*StarterPF</f>
        <v>3.336177178545364</v>
      </c>
      <c r="T48" s="108">
        <f ca="1">S48*Auction!$A$2</f>
        <v>3.336177178545364</v>
      </c>
      <c r="U48" s="25" t="str">
        <f>IF(OR(INDEX(Auction!$H$13:$H$683,MATCH(B48,Auction!$A$13:$A$683,0))&gt;0,IFERROR(INDEX(CheatSheet!$V$5:$V$64,MATCH(B48,CheatSheet!$S$5:$S$64,0)),"")&lt;&gt;""),"Yes","No")</f>
        <v>No</v>
      </c>
      <c r="V48" s="218"/>
      <c r="W48" s="1"/>
      <c r="X48" s="143">
        <f ca="1">IFERROR(SUMIFS($Y$3:$Y276,$Y$3:$Y$231,"&gt;0",$U$3:$U$231,"No")/SUMIF($Y$3:$Y$231,"&gt;0"),0)</f>
        <v>0</v>
      </c>
      <c r="Y48" s="1">
        <f t="shared" ca="1" si="0"/>
        <v>6.9649999999999963</v>
      </c>
      <c r="Z48" s="145" t="str">
        <f ca="1">CONCATENATE("WR",ROUND((LARGE($Y$3:$Y$231,1)-$Y48)/(STDEVP($Y$3:$Y$231)/2)+1,0))</f>
        <v>WR7</v>
      </c>
      <c r="AA48" s="1">
        <f ca="1">Y48*LeagueInfo!$H$5</f>
        <v>3.1853795650603063</v>
      </c>
      <c r="AB48" s="1"/>
      <c r="AC48" s="1"/>
    </row>
    <row r="49" spans="1:29" ht="15.75" thickBot="1" x14ac:dyDescent="0.3">
      <c r="A49" s="47">
        <f>RANK(O49,O$3:O$231)</f>
        <v>47</v>
      </c>
      <c r="B49" s="1" t="s">
        <v>308</v>
      </c>
      <c r="C49" s="1" t="s">
        <v>39</v>
      </c>
      <c r="D49" s="1">
        <f>VLOOKUP(E49,BYEs!$A$2:$B$34,2,FALSE)</f>
        <v>9</v>
      </c>
      <c r="E49" s="1" t="s">
        <v>351</v>
      </c>
      <c r="F49" s="249">
        <v>0</v>
      </c>
      <c r="G49" s="250">
        <v>0</v>
      </c>
      <c r="H49" s="251">
        <v>2.2999999999999998</v>
      </c>
      <c r="I49" s="251">
        <v>14.8</v>
      </c>
      <c r="J49" s="251">
        <v>0.1</v>
      </c>
      <c r="K49" s="249">
        <v>49.7</v>
      </c>
      <c r="L49" s="247">
        <v>739.8</v>
      </c>
      <c r="M49" s="250">
        <v>4.5</v>
      </c>
      <c r="N49" s="251">
        <v>0.6</v>
      </c>
      <c r="O49" s="252">
        <f>(I49*WRRushingYd)+(J49*WRRushingTD)+(K49*WRRec)+(L49*WRRecYd)+(M49*WRRecTD)+(N49*WRFuml)+(H49*WRRushAtt)</f>
        <v>101.86</v>
      </c>
      <c r="P49" s="1" t="str">
        <f ca="1">IF(A49&lt;=WRStarters,"Starter",IF(A49&gt;WRStarters+WRBench,"Undrafted","Bench"))</f>
        <v>Bench</v>
      </c>
      <c r="Q49" s="47">
        <f ca="1">IFERROR(MAX(O49-LARGE(O$3:O$231,WRStarters),0),0)</f>
        <v>0</v>
      </c>
      <c r="R49" s="47">
        <f ca="1">IFERROR(IF(AllowNegative="Yes",O49-LARGE(O$3:O$231,WRCount),MAX(O49-LARGE(O$3:O$231,WRCount),0)),0)</f>
        <v>12.239999999999995</v>
      </c>
      <c r="S49" s="108">
        <f ca="1">(R49-Q49)*BenchPF+Q49*StarterPF</f>
        <v>2.9314291934957111</v>
      </c>
      <c r="T49" s="108">
        <f ca="1">S49*Auction!$A$2</f>
        <v>2.9314291934957111</v>
      </c>
      <c r="U49" s="25" t="str">
        <f>IF(OR(INDEX(Auction!$H$13:$H$683,MATCH(B49,Auction!$A$13:$A$683,0))&gt;0,IFERROR(INDEX(CheatSheet!$V$5:$V$64,MATCH(B49,CheatSheet!$S$5:$S$64,0)),"")&lt;&gt;""),"Yes","No")</f>
        <v>No</v>
      </c>
      <c r="V49" s="218"/>
      <c r="W49" s="1"/>
      <c r="X49" s="143">
        <f ca="1">IFERROR(SUMIFS($Y$3:$Y277,$Y$3:$Y$231,"&gt;0",$U$3:$U$231,"No")/SUMIF($Y$3:$Y$231,"&gt;0"),0)</f>
        <v>0</v>
      </c>
      <c r="Y49" s="1">
        <f t="shared" ca="1" si="0"/>
        <v>6.1199999999999974</v>
      </c>
      <c r="Z49" s="145" t="str">
        <f ca="1">CONCATENATE("WR",ROUND((LARGE($Y$3:$Y$231,1)-$Y49)/(STDEVP($Y$3:$Y$231)/2)+1,0))</f>
        <v>WR7</v>
      </c>
      <c r="AA49" s="1">
        <f ca="1">Y49*LeagueInfo!$H$5</f>
        <v>2.7989264807134351</v>
      </c>
      <c r="AB49" s="1"/>
      <c r="AC49" s="1"/>
    </row>
    <row r="50" spans="1:29" ht="15.75" thickBot="1" x14ac:dyDescent="0.3">
      <c r="A50" s="47">
        <f>RANK(O50,O$3:O$231)</f>
        <v>48</v>
      </c>
      <c r="B50" s="1" t="s">
        <v>555</v>
      </c>
      <c r="C50" s="1" t="s">
        <v>39</v>
      </c>
      <c r="D50" s="1">
        <f>VLOOKUP(E50,BYEs!$A$2:$B$34,2,FALSE)</f>
        <v>11</v>
      </c>
      <c r="E50" s="1" t="s">
        <v>382</v>
      </c>
      <c r="F50" s="249">
        <v>0</v>
      </c>
      <c r="G50" s="250">
        <v>0</v>
      </c>
      <c r="H50" s="251">
        <v>2.2000000000000002</v>
      </c>
      <c r="I50" s="251">
        <v>16.3</v>
      </c>
      <c r="J50" s="251">
        <v>0</v>
      </c>
      <c r="K50" s="249">
        <v>57.6</v>
      </c>
      <c r="L50" s="247">
        <v>783.3</v>
      </c>
      <c r="M50" s="250">
        <v>4</v>
      </c>
      <c r="N50" s="251">
        <v>1.3</v>
      </c>
      <c r="O50" s="252">
        <f>(I50*WRRushingYd)+(J50*WRRushingTD)+(K50*WRRec)+(L50*WRRecYd)+(M50*WRRecTD)+(N50*WRFuml)+(H50*WRRushAtt)</f>
        <v>101.36</v>
      </c>
      <c r="P50" s="1" t="str">
        <f ca="1">IF(A50&lt;=WRStarters,"Starter",IF(A50&gt;WRStarters+WRBench,"Undrafted","Bench"))</f>
        <v>Bench</v>
      </c>
      <c r="Q50" s="47">
        <f ca="1">IFERROR(MAX(O50-LARGE(O$3:O$231,WRStarters),0),0)</f>
        <v>0</v>
      </c>
      <c r="R50" s="47">
        <f ca="1">IFERROR(IF(AllowNegative="Yes",O50-LARGE(O$3:O$231,WRCount),MAX(O50-LARGE(O$3:O$231,WRCount),0)),0)</f>
        <v>11.739999999999995</v>
      </c>
      <c r="S50" s="108">
        <f ca="1">(R50-Q50)*BenchPF+Q50*StarterPF</f>
        <v>2.8116812689248079</v>
      </c>
      <c r="T50" s="108">
        <f ca="1">S50*Auction!$A$2</f>
        <v>2.8116812689248079</v>
      </c>
      <c r="U50" s="25" t="str">
        <f>IF(OR(INDEX(Auction!$H$13:$H$683,MATCH(B50,Auction!$A$13:$A$683,0))&gt;0,IFERROR(INDEX(CheatSheet!$V$5:$V$64,MATCH(B50,CheatSheet!$S$5:$S$64,0)),"")&lt;&gt;""),"Yes","No")</f>
        <v>No</v>
      </c>
      <c r="V50" s="218"/>
      <c r="W50" s="1"/>
      <c r="X50" s="143">
        <f ca="1">IFERROR(SUMIFS($Y$3:$Y278,$Y$3:$Y$231,"&gt;0",$U$3:$U$231,"No")/SUMIF($Y$3:$Y$231,"&gt;0"),0)</f>
        <v>0</v>
      </c>
      <c r="Y50" s="1">
        <f t="shared" ca="1" si="0"/>
        <v>5.8699999999999974</v>
      </c>
      <c r="Z50" s="145" t="str">
        <f ca="1">CONCATENATE("WR",ROUND((LARGE($Y$3:$Y$231,1)-$Y50)/(STDEVP($Y$3:$Y$231)/2)+1,0))</f>
        <v>WR7</v>
      </c>
      <c r="AA50" s="1">
        <f ca="1">Y50*LeagueInfo!$H$5</f>
        <v>2.684591248658148</v>
      </c>
      <c r="AB50" s="1"/>
      <c r="AC50" s="1"/>
    </row>
    <row r="51" spans="1:29" ht="15.75" thickBot="1" x14ac:dyDescent="0.3">
      <c r="A51" s="47">
        <f>RANK(O51,O$3:O$231)</f>
        <v>49</v>
      </c>
      <c r="B51" s="1" t="s">
        <v>249</v>
      </c>
      <c r="C51" s="1" t="s">
        <v>39</v>
      </c>
      <c r="D51" s="1">
        <f>VLOOKUP(E51,BYEs!$A$2:$B$34,2,FALSE)</f>
        <v>9</v>
      </c>
      <c r="E51" s="1" t="s">
        <v>387</v>
      </c>
      <c r="F51" s="249">
        <v>0</v>
      </c>
      <c r="G51" s="250">
        <v>0</v>
      </c>
      <c r="H51" s="251">
        <v>3.2</v>
      </c>
      <c r="I51" s="251">
        <v>17.8</v>
      </c>
      <c r="J51" s="251">
        <v>0</v>
      </c>
      <c r="K51" s="249">
        <v>60.6</v>
      </c>
      <c r="L51" s="247">
        <v>755.5</v>
      </c>
      <c r="M51" s="250">
        <v>4.2</v>
      </c>
      <c r="N51" s="251">
        <v>0.7</v>
      </c>
      <c r="O51" s="252">
        <f>(I51*WRRushingYd)+(J51*WRRushingTD)+(K51*WRRec)+(L51*WRRecYd)+(M51*WRRecTD)+(N51*WRFuml)+(H51*WRRushAtt)</f>
        <v>101.13</v>
      </c>
      <c r="P51" s="1" t="str">
        <f ca="1">IF(A51&lt;=WRStarters,"Starter",IF(A51&gt;WRStarters+WRBench,"Undrafted","Bench"))</f>
        <v>Bench</v>
      </c>
      <c r="Q51" s="47">
        <f ca="1">IFERROR(MAX(O51-LARGE(O$3:O$231,WRStarters),0),0)</f>
        <v>0</v>
      </c>
      <c r="R51" s="47">
        <f ca="1">IFERROR(IF(AllowNegative="Yes",O51-LARGE(O$3:O$231,WRCount),MAX(O51-LARGE(O$3:O$231,WRCount),0)),0)</f>
        <v>11.509999999999991</v>
      </c>
      <c r="S51" s="108">
        <f ca="1">(R51-Q51)*BenchPF+Q51*StarterPF</f>
        <v>2.7565972236221916</v>
      </c>
      <c r="T51" s="108">
        <f ca="1">S51*Auction!$A$2</f>
        <v>2.7565972236221916</v>
      </c>
      <c r="U51" s="25" t="str">
        <f>IF(OR(INDEX(Auction!$H$13:$H$683,MATCH(B51,Auction!$A$13:$A$683,0))&gt;0,IFERROR(INDEX(CheatSheet!$V$5:$V$64,MATCH(B51,CheatSheet!$S$5:$S$64,0)),"")&lt;&gt;""),"Yes","No")</f>
        <v>No</v>
      </c>
      <c r="V51" s="218"/>
      <c r="W51" s="1"/>
      <c r="X51" s="143">
        <f ca="1">IFERROR(SUMIFS($Y$3:$Y279,$Y$3:$Y$231,"&gt;0",$U$3:$U$231,"No")/SUMIF($Y$3:$Y$231,"&gt;0"),0)</f>
        <v>0</v>
      </c>
      <c r="Y51" s="1">
        <f t="shared" ca="1" si="0"/>
        <v>5.7549999999999955</v>
      </c>
      <c r="Z51" s="145" t="str">
        <f ca="1">CONCATENATE("WR",ROUND((LARGE($Y$3:$Y$231,1)-$Y51)/(STDEVP($Y$3:$Y$231)/2)+1,0))</f>
        <v>WR7</v>
      </c>
      <c r="AA51" s="1">
        <f ca="1">Y51*LeagueInfo!$H$5</f>
        <v>2.6319970419127148</v>
      </c>
      <c r="AB51" s="1"/>
      <c r="AC51" s="1"/>
    </row>
    <row r="52" spans="1:29" ht="15.75" thickBot="1" x14ac:dyDescent="0.3">
      <c r="A52" s="47">
        <f>RANK(O52,O$3:O$231)</f>
        <v>50</v>
      </c>
      <c r="B52" s="1" t="s">
        <v>210</v>
      </c>
      <c r="C52" s="1" t="s">
        <v>39</v>
      </c>
      <c r="D52" s="1">
        <f>VLOOKUP(E52,BYEs!$A$2:$B$34,2,FALSE)</f>
        <v>8</v>
      </c>
      <c r="E52" s="1" t="s">
        <v>370</v>
      </c>
      <c r="F52" s="249">
        <v>0</v>
      </c>
      <c r="G52" s="250">
        <v>0</v>
      </c>
      <c r="H52" s="251">
        <v>1.7</v>
      </c>
      <c r="I52" s="251">
        <v>9.5</v>
      </c>
      <c r="J52" s="251">
        <v>0</v>
      </c>
      <c r="K52" s="249">
        <v>53.7</v>
      </c>
      <c r="L52" s="247">
        <v>749</v>
      </c>
      <c r="M52" s="250">
        <v>4.3</v>
      </c>
      <c r="N52" s="251">
        <v>0.7</v>
      </c>
      <c r="O52" s="252">
        <f>(I52*WRRushingYd)+(J52*WRRushingTD)+(K52*WRRec)+(L52*WRRecYd)+(M52*WRRecTD)+(N52*WRFuml)+(H52*WRRushAtt)</f>
        <v>100.25</v>
      </c>
      <c r="P52" s="1" t="str">
        <f ca="1">IF(A52&lt;=WRStarters,"Starter",IF(A52&gt;WRStarters+WRBench,"Undrafted","Bench"))</f>
        <v>Bench</v>
      </c>
      <c r="Q52" s="47">
        <f ca="1">IFERROR(MAX(O52-LARGE(O$3:O$231,WRStarters),0),0)</f>
        <v>0</v>
      </c>
      <c r="R52" s="47">
        <f ca="1">IFERROR(IF(AllowNegative="Yes",O52-LARGE(O$3:O$231,WRCount),MAX(O52-LARGE(O$3:O$231,WRCount),0)),0)</f>
        <v>10.629999999999995</v>
      </c>
      <c r="S52" s="108">
        <f ca="1">(R52-Q52)*BenchPF+Q52*StarterPF</f>
        <v>2.5458408763774028</v>
      </c>
      <c r="T52" s="108">
        <f ca="1">S52*Auction!$A$2</f>
        <v>2.5458408763774028</v>
      </c>
      <c r="U52" s="25" t="str">
        <f>IF(OR(INDEX(Auction!$H$13:$H$683,MATCH(B52,Auction!$A$13:$A$683,0))&gt;0,IFERROR(INDEX(CheatSheet!$V$5:$V$64,MATCH(B52,CheatSheet!$S$5:$S$64,0)),"")&lt;&gt;""),"Yes","No")</f>
        <v>No</v>
      </c>
      <c r="V52" s="218"/>
      <c r="W52" s="1"/>
      <c r="X52" s="143">
        <f ca="1">IFERROR(SUMIFS($Y$3:$Y280,$Y$3:$Y$231,"&gt;0",$U$3:$U$231,"No")/SUMIF($Y$3:$Y$231,"&gt;0"),0)</f>
        <v>0</v>
      </c>
      <c r="Y52" s="1">
        <f t="shared" ca="1" si="0"/>
        <v>5.3149999999999977</v>
      </c>
      <c r="Z52" s="145" t="str">
        <f ca="1">CONCATENATE("WR",ROUND((LARGE($Y$3:$Y$231,1)-$Y52)/(STDEVP($Y$3:$Y$231)/2)+1,0))</f>
        <v>WR7</v>
      </c>
      <c r="AA52" s="1">
        <f ca="1">Y52*LeagueInfo!$H$5</f>
        <v>2.4307670334954099</v>
      </c>
      <c r="AB52" s="1"/>
      <c r="AC52" s="1"/>
    </row>
    <row r="53" spans="1:29" ht="15.75" thickBot="1" x14ac:dyDescent="0.3">
      <c r="A53" s="47">
        <f>RANK(O53,O$3:O$231)</f>
        <v>51</v>
      </c>
      <c r="B53" s="1" t="s">
        <v>553</v>
      </c>
      <c r="C53" s="1" t="s">
        <v>39</v>
      </c>
      <c r="D53" s="1">
        <f>VLOOKUP(E53,BYEs!$A$2:$B$34,2,FALSE)</f>
        <v>5</v>
      </c>
      <c r="E53" s="1" t="s">
        <v>352</v>
      </c>
      <c r="F53" s="249">
        <v>0</v>
      </c>
      <c r="G53" s="250">
        <v>0</v>
      </c>
      <c r="H53" s="251">
        <v>3.4</v>
      </c>
      <c r="I53" s="251">
        <v>20.9</v>
      </c>
      <c r="J53" s="251">
        <v>0.1</v>
      </c>
      <c r="K53" s="249">
        <v>48.9</v>
      </c>
      <c r="L53" s="247">
        <v>693.5</v>
      </c>
      <c r="M53" s="250">
        <v>4.8</v>
      </c>
      <c r="N53" s="251">
        <v>1</v>
      </c>
      <c r="O53" s="252">
        <f>(I53*WRRushingYd)+(J53*WRRushingTD)+(K53*WRRec)+(L53*WRRecYd)+(M53*WRRecTD)+(N53*WRFuml)+(H53*WRRushAtt)</f>
        <v>98.84</v>
      </c>
      <c r="P53" s="1" t="str">
        <f ca="1">IF(A53&lt;=WRStarters,"Starter",IF(A53&gt;WRStarters+WRBench,"Undrafted","Bench"))</f>
        <v>Bench</v>
      </c>
      <c r="Q53" s="47">
        <f ca="1">IFERROR(MAX(O53-LARGE(O$3:O$231,WRStarters),0),0)</f>
        <v>0</v>
      </c>
      <c r="R53" s="47">
        <f ca="1">IFERROR(IF(AllowNegative="Yes",O53-LARGE(O$3:O$231,WRCount),MAX(O53-LARGE(O$3:O$231,WRCount),0)),0)</f>
        <v>9.2199999999999989</v>
      </c>
      <c r="S53" s="108">
        <f ca="1">(R53-Q53)*BenchPF+Q53*StarterPF</f>
        <v>2.2081517290874562</v>
      </c>
      <c r="T53" s="108">
        <f ca="1">S53*Auction!$A$2</f>
        <v>2.2081517290874562</v>
      </c>
      <c r="U53" s="25" t="str">
        <f>IF(OR(INDEX(Auction!$H$13:$H$683,MATCH(B53,Auction!$A$13:$A$683,0))&gt;0,IFERROR(INDEX(CheatSheet!$V$5:$V$64,MATCH(B53,CheatSheet!$S$5:$S$64,0)),"")&lt;&gt;""),"Yes","No")</f>
        <v>No</v>
      </c>
      <c r="V53" s="218"/>
      <c r="W53" s="1"/>
      <c r="X53" s="143">
        <f ca="1">IFERROR(SUMIFS($Y$3:$Y281,$Y$3:$Y$231,"&gt;0",$U$3:$U$231,"No")/SUMIF($Y$3:$Y$231,"&gt;0"),0)</f>
        <v>0</v>
      </c>
      <c r="Y53" s="1">
        <f t="shared" ca="1" si="0"/>
        <v>4.6099999999999994</v>
      </c>
      <c r="Z53" s="145" t="str">
        <f ca="1">CONCATENATE("WR",ROUND((LARGE($Y$3:$Y$231,1)-$Y53)/(STDEVP($Y$3:$Y$231)/2)+1,0))</f>
        <v>WR7</v>
      </c>
      <c r="AA53" s="1">
        <f ca="1">Y53*LeagueInfo!$H$5</f>
        <v>2.1083416790995</v>
      </c>
      <c r="AB53" s="1"/>
      <c r="AC53" s="1"/>
    </row>
    <row r="54" spans="1:29" ht="15.75" thickBot="1" x14ac:dyDescent="0.3">
      <c r="A54" s="47">
        <f>RANK(O54,O$3:O$231)</f>
        <v>52</v>
      </c>
      <c r="B54" s="1" t="s">
        <v>201</v>
      </c>
      <c r="C54" s="1" t="s">
        <v>39</v>
      </c>
      <c r="D54" s="1">
        <f>VLOOKUP(E54,BYEs!$A$2:$B$34,2,FALSE)</f>
        <v>8</v>
      </c>
      <c r="E54" s="1" t="s">
        <v>359</v>
      </c>
      <c r="F54" s="249">
        <v>0</v>
      </c>
      <c r="G54" s="250">
        <v>0</v>
      </c>
      <c r="H54" s="251">
        <v>0</v>
      </c>
      <c r="I54" s="251">
        <v>0</v>
      </c>
      <c r="J54" s="251">
        <v>0</v>
      </c>
      <c r="K54" s="249">
        <v>51</v>
      </c>
      <c r="L54" s="247">
        <v>692.7</v>
      </c>
      <c r="M54" s="250">
        <v>4.5</v>
      </c>
      <c r="N54" s="251">
        <v>0.3</v>
      </c>
      <c r="O54" s="252">
        <f>(I54*WRRushingYd)+(J54*WRRushingTD)+(K54*WRRec)+(L54*WRRecYd)+(M54*WRRecTD)+(N54*WRFuml)+(H54*WRRushAtt)</f>
        <v>95.670000000000016</v>
      </c>
      <c r="P54" s="1" t="str">
        <f ca="1">IF(A54&lt;=WRStarters,"Starter",IF(A54&gt;WRStarters+WRBench,"Undrafted","Bench"))</f>
        <v>Bench</v>
      </c>
      <c r="Q54" s="47">
        <f ca="1">IFERROR(MAX(O54-LARGE(O$3:O$231,WRStarters),0),0)</f>
        <v>0</v>
      </c>
      <c r="R54" s="47">
        <f ca="1">IFERROR(IF(AllowNegative="Yes",O54-LARGE(O$3:O$231,WRCount),MAX(O54-LARGE(O$3:O$231,WRCount),0)),0)</f>
        <v>6.0500000000000114</v>
      </c>
      <c r="S54" s="108">
        <f ca="1">(R54-Q54)*BenchPF+Q54*StarterPF</f>
        <v>1.4489498873079325</v>
      </c>
      <c r="T54" s="108">
        <f ca="1">S54*Auction!$A$2</f>
        <v>1.4489498873079325</v>
      </c>
      <c r="U54" s="25" t="str">
        <f>IF(OR(INDEX(Auction!$H$13:$H$683,MATCH(B54,Auction!$A$13:$A$683,0))&gt;0,IFERROR(INDEX(CheatSheet!$V$5:$V$64,MATCH(B54,CheatSheet!$S$5:$S$64,0)),"")&lt;&gt;""),"Yes","No")</f>
        <v>No</v>
      </c>
      <c r="V54" s="218"/>
      <c r="W54" s="1"/>
      <c r="X54" s="143">
        <f ca="1">IFERROR(SUMIFS($Y$3:$Y282,$Y$3:$Y$231,"&gt;0",$U$3:$U$231,"No")/SUMIF($Y$3:$Y$231,"&gt;0"),0)</f>
        <v>0</v>
      </c>
      <c r="Y54" s="1">
        <f t="shared" ca="1" si="0"/>
        <v>3.0250000000000057</v>
      </c>
      <c r="Z54" s="145" t="str">
        <f ca="1">CONCATENATE("WR",ROUND((LARGE($Y$3:$Y$231,1)-$Y54)/(STDEVP($Y$3:$Y$231)/2)+1,0))</f>
        <v>WR7</v>
      </c>
      <c r="AA54" s="1">
        <f ca="1">Y54*LeagueInfo!$H$5</f>
        <v>1.3834563078689806</v>
      </c>
      <c r="AB54" s="1"/>
      <c r="AC54" s="1"/>
    </row>
    <row r="55" spans="1:29" ht="15.75" thickBot="1" x14ac:dyDescent="0.3">
      <c r="A55" s="47">
        <f>RANK(O55,O$3:O$231)</f>
        <v>53</v>
      </c>
      <c r="B55" s="1" t="s">
        <v>280</v>
      </c>
      <c r="C55" s="1" t="s">
        <v>39</v>
      </c>
      <c r="D55" s="1">
        <f>VLOOKUP(E55,BYEs!$A$2:$B$34,2,FALSE)</f>
        <v>6</v>
      </c>
      <c r="E55" s="1" t="s">
        <v>360</v>
      </c>
      <c r="F55" s="249">
        <v>0</v>
      </c>
      <c r="G55" s="250">
        <v>0</v>
      </c>
      <c r="H55" s="251">
        <v>0.7</v>
      </c>
      <c r="I55" s="251">
        <v>1.8</v>
      </c>
      <c r="J55" s="251">
        <v>0</v>
      </c>
      <c r="K55" s="249">
        <v>64.900000000000006</v>
      </c>
      <c r="L55" s="247">
        <v>716.5</v>
      </c>
      <c r="M55" s="250">
        <v>4</v>
      </c>
      <c r="N55" s="251">
        <v>0.9</v>
      </c>
      <c r="O55" s="252">
        <f>(I55*WRRushingYd)+(J55*WRRushingTD)+(K55*WRRec)+(L55*WRRecYd)+(M55*WRRecTD)+(N55*WRFuml)+(H55*WRRushAtt)</f>
        <v>94.030000000000015</v>
      </c>
      <c r="P55" s="1" t="str">
        <f ca="1">IF(A55&lt;=WRStarters,"Starter",IF(A55&gt;WRStarters+WRBench,"Undrafted","Bench"))</f>
        <v>Bench</v>
      </c>
      <c r="Q55" s="47">
        <f ca="1">IFERROR(MAX(O55-LARGE(O$3:O$231,WRStarters),0),0)</f>
        <v>0</v>
      </c>
      <c r="R55" s="47">
        <f ca="1">IFERROR(IF(AllowNegative="Yes",O55-LARGE(O$3:O$231,WRCount),MAX(O55-LARGE(O$3:O$231,WRCount),0)),0)</f>
        <v>4.4100000000000108</v>
      </c>
      <c r="S55" s="108">
        <f ca="1">(R55-Q55)*BenchPF+Q55*StarterPF</f>
        <v>1.0561766947153697</v>
      </c>
      <c r="T55" s="108">
        <f ca="1">S55*Auction!$A$2</f>
        <v>1.0561766947153697</v>
      </c>
      <c r="U55" s="25" t="str">
        <f>IF(OR(INDEX(Auction!$H$13:$H$683,MATCH(B55,Auction!$A$13:$A$683,0))&gt;0,IFERROR(INDEX(CheatSheet!$V$5:$V$64,MATCH(B55,CheatSheet!$S$5:$S$64,0)),"")&lt;&gt;""),"Yes","No")</f>
        <v>No</v>
      </c>
      <c r="V55" s="218"/>
      <c r="W55" s="1"/>
      <c r="X55" s="143">
        <f ca="1">IFERROR(SUMIFS($Y$3:$Y283,$Y$3:$Y$231,"&gt;0",$U$3:$U$231,"No")/SUMIF($Y$3:$Y$231,"&gt;0"),0)</f>
        <v>0</v>
      </c>
      <c r="Y55" s="1">
        <f t="shared" ca="1" si="0"/>
        <v>2.2050000000000054</v>
      </c>
      <c r="Z55" s="145" t="str">
        <f ca="1">CONCATENATE("WR",ROUND((LARGE($Y$3:$Y$231,1)-$Y55)/(STDEVP($Y$3:$Y$231)/2)+1,0))</f>
        <v>WR7</v>
      </c>
      <c r="AA55" s="1">
        <f ca="1">Y55*LeagueInfo!$H$5</f>
        <v>1.0084367467276376</v>
      </c>
      <c r="AB55" s="1"/>
      <c r="AC55" s="1"/>
    </row>
    <row r="56" spans="1:29" ht="15.75" thickBot="1" x14ac:dyDescent="0.3">
      <c r="A56" s="47">
        <f>RANK(O56,O$3:O$231)</f>
        <v>54</v>
      </c>
      <c r="B56" s="1" t="s">
        <v>273</v>
      </c>
      <c r="C56" s="1" t="s">
        <v>39</v>
      </c>
      <c r="D56" s="1">
        <f>VLOOKUP(E56,BYEs!$A$2:$B$34,2,FALSE)</f>
        <v>8</v>
      </c>
      <c r="E56" s="1" t="s">
        <v>368</v>
      </c>
      <c r="F56" s="249">
        <v>0</v>
      </c>
      <c r="G56" s="250">
        <v>0</v>
      </c>
      <c r="H56" s="251">
        <v>2</v>
      </c>
      <c r="I56" s="251">
        <v>11.3</v>
      </c>
      <c r="J56" s="251">
        <v>0</v>
      </c>
      <c r="K56" s="249">
        <v>56.9</v>
      </c>
      <c r="L56" s="247">
        <v>654.79999999999995</v>
      </c>
      <c r="M56" s="250">
        <v>4.8</v>
      </c>
      <c r="N56" s="251">
        <v>0.7</v>
      </c>
      <c r="O56" s="252">
        <f>(I56*WRRushingYd)+(J56*WRRushingTD)+(K56*WRRec)+(L56*WRRecYd)+(M56*WRRecTD)+(N56*WRFuml)+(H56*WRRushAtt)</f>
        <v>94.009999999999991</v>
      </c>
      <c r="P56" s="1" t="str">
        <f ca="1">IF(A56&lt;=WRStarters,"Starter",IF(A56&gt;WRStarters+WRBench,"Undrafted","Bench"))</f>
        <v>Bench</v>
      </c>
      <c r="Q56" s="47">
        <f ca="1">IFERROR(MAX(O56-LARGE(O$3:O$231,WRStarters),0),0)</f>
        <v>0</v>
      </c>
      <c r="R56" s="47">
        <f ca="1">IFERROR(IF(AllowNegative="Yes",O56-LARGE(O$3:O$231,WRCount),MAX(O56-LARGE(O$3:O$231,WRCount),0)),0)</f>
        <v>4.3899999999999864</v>
      </c>
      <c r="S56" s="108">
        <f ca="1">(R56-Q56)*BenchPF+Q56*StarterPF</f>
        <v>1.0513867777325276</v>
      </c>
      <c r="T56" s="108">
        <f ca="1">S56*Auction!$A$2</f>
        <v>1.0513867777325276</v>
      </c>
      <c r="U56" s="25" t="str">
        <f>IF(OR(INDEX(Auction!$H$13:$H$683,MATCH(B56,Auction!$A$13:$A$683,0))&gt;0,IFERROR(INDEX(CheatSheet!$V$5:$V$64,MATCH(B56,CheatSheet!$S$5:$S$64,0)),"")&lt;&gt;""),"Yes","No")</f>
        <v>No</v>
      </c>
      <c r="V56" s="218"/>
      <c r="W56" s="1"/>
      <c r="X56" s="143">
        <f ca="1">IFERROR(SUMIFS($Y$3:$Y284,$Y$3:$Y$231,"&gt;0",$U$3:$U$231,"No")/SUMIF($Y$3:$Y$231,"&gt;0"),0)</f>
        <v>0</v>
      </c>
      <c r="Y56" s="1">
        <f t="shared" ca="1" si="0"/>
        <v>2.1949999999999932</v>
      </c>
      <c r="Z56" s="145" t="str">
        <f ca="1">CONCATENATE("WR",ROUND((LARGE($Y$3:$Y$231,1)-$Y56)/(STDEVP($Y$3:$Y$231)/2)+1,0))</f>
        <v>WR7</v>
      </c>
      <c r="AA56" s="1">
        <f ca="1">Y56*LeagueInfo!$H$5</f>
        <v>1.0038633374454207</v>
      </c>
      <c r="AB56" s="1"/>
      <c r="AC56" s="1"/>
    </row>
    <row r="57" spans="1:29" ht="15.75" thickBot="1" x14ac:dyDescent="0.3">
      <c r="A57" s="47">
        <f>RANK(O57,O$3:O$231)</f>
        <v>55</v>
      </c>
      <c r="B57" s="1" t="s">
        <v>270</v>
      </c>
      <c r="C57" s="1" t="s">
        <v>39</v>
      </c>
      <c r="D57" s="1">
        <f>VLOOKUP(E57,BYEs!$A$2:$B$34,2,FALSE)</f>
        <v>6</v>
      </c>
      <c r="E57" s="1" t="s">
        <v>354</v>
      </c>
      <c r="F57" s="249">
        <v>0</v>
      </c>
      <c r="G57" s="250">
        <v>0</v>
      </c>
      <c r="H57" s="251">
        <v>3.9</v>
      </c>
      <c r="I57" s="251">
        <v>35.200000000000003</v>
      </c>
      <c r="J57" s="251">
        <v>0.2</v>
      </c>
      <c r="K57" s="249">
        <v>46.3</v>
      </c>
      <c r="L57" s="247">
        <v>642.79999999999995</v>
      </c>
      <c r="M57" s="250">
        <v>3.6</v>
      </c>
      <c r="N57" s="251">
        <v>0.2</v>
      </c>
      <c r="O57" s="252">
        <f>(I57*WRRushingYd)+(J57*WRRushingTD)+(K57*WRRec)+(L57*WRRecYd)+(M57*WRRecTD)+(N57*WRFuml)+(H57*WRRushAtt)</f>
        <v>90.199999999999989</v>
      </c>
      <c r="P57" s="1" t="str">
        <f ca="1">IF(A57&lt;=WRStarters,"Starter",IF(A57&gt;WRStarters+WRBench,"Undrafted","Bench"))</f>
        <v>Bench</v>
      </c>
      <c r="Q57" s="47">
        <f ca="1">IFERROR(MAX(O57-LARGE(O$3:O$231,WRStarters),0),0)</f>
        <v>0</v>
      </c>
      <c r="R57" s="47">
        <f ca="1">IFERROR(IF(AllowNegative="Yes",O57-LARGE(O$3:O$231,WRCount),MAX(O57-LARGE(O$3:O$231,WRCount),0)),0)</f>
        <v>0.57999999999998408</v>
      </c>
      <c r="S57" s="108">
        <f ca="1">(R57-Q57)*BenchPF+Q57*StarterPF</f>
        <v>0.13890759250224399</v>
      </c>
      <c r="T57" s="108">
        <f ca="1">S57*Auction!$A$2</f>
        <v>0.13890759250224399</v>
      </c>
      <c r="U57" s="25" t="str">
        <f>IF(OR(INDEX(Auction!$H$13:$H$683,MATCH(B57,Auction!$A$13:$A$683,0))&gt;0,IFERROR(INDEX(CheatSheet!$V$5:$V$64,MATCH(B57,CheatSheet!$S$5:$S$64,0)),"")&lt;&gt;""),"Yes","No")</f>
        <v>No</v>
      </c>
      <c r="V57" s="218"/>
      <c r="W57" s="1"/>
      <c r="X57" s="143">
        <f ca="1">IFERROR(SUMIFS($Y$3:$Y285,$Y$3:$Y$231,"&gt;0",$U$3:$U$231,"No")/SUMIF($Y$3:$Y$231,"&gt;0"),0)</f>
        <v>0</v>
      </c>
      <c r="Y57" s="1">
        <f t="shared" ca="1" si="0"/>
        <v>0.28999999999999204</v>
      </c>
      <c r="Z57" s="145" t="str">
        <f ca="1">CONCATENATE("WR",ROUND((LARGE($Y$3:$Y$231,1)-$Y57)/(STDEVP($Y$3:$Y$231)/2)+1,0))</f>
        <v>WR8</v>
      </c>
      <c r="AA57" s="1">
        <f ca="1">Y57*LeagueInfo!$H$5</f>
        <v>0.13262886918412978</v>
      </c>
      <c r="AB57" s="1"/>
      <c r="AC57" s="1"/>
    </row>
    <row r="58" spans="1:29" ht="15.75" thickBot="1" x14ac:dyDescent="0.3">
      <c r="A58" s="47">
        <f>RANK(O58,O$3:O$231)</f>
        <v>56</v>
      </c>
      <c r="B58" s="1" t="s">
        <v>278</v>
      </c>
      <c r="C58" s="1" t="s">
        <v>39</v>
      </c>
      <c r="D58" s="1">
        <f>VLOOKUP(E58,BYEs!$A$2:$B$34,2,FALSE)</f>
        <v>6</v>
      </c>
      <c r="E58" s="1" t="s">
        <v>364</v>
      </c>
      <c r="F58" s="249">
        <v>0</v>
      </c>
      <c r="G58" s="250">
        <v>0</v>
      </c>
      <c r="H58" s="251">
        <v>0.3</v>
      </c>
      <c r="I58" s="251">
        <v>2.5</v>
      </c>
      <c r="J58" s="251">
        <v>0</v>
      </c>
      <c r="K58" s="249">
        <v>51.2</v>
      </c>
      <c r="L58" s="247">
        <v>671.7</v>
      </c>
      <c r="M58" s="250">
        <v>3.8</v>
      </c>
      <c r="N58" s="251">
        <v>0.3</v>
      </c>
      <c r="O58" s="252">
        <f>(I58*WRRushingYd)+(J58*WRRushingTD)+(K58*WRRec)+(L58*WRRecYd)+(M58*WRRecTD)+(N58*WRFuml)+(H58*WRRushAtt)</f>
        <v>89.62</v>
      </c>
      <c r="P58" s="1" t="str">
        <f ca="1">IF(A58&lt;=WRStarters,"Starter",IF(A58&gt;WRStarters+WRBench,"Undrafted","Bench"))</f>
        <v>Undrafted</v>
      </c>
      <c r="Q58" s="47">
        <f ca="1">IFERROR(MAX(O58-LARGE(O$3:O$231,WRStarters),0),0)</f>
        <v>0</v>
      </c>
      <c r="R58" s="47">
        <f ca="1">IFERROR(IF(AllowNegative="Yes",O58-LARGE(O$3:O$231,WRCount),MAX(O58-LARGE(O$3:O$231,WRCount),0)),0)</f>
        <v>0</v>
      </c>
      <c r="S58" s="108">
        <f ca="1">(R58-Q58)*BenchPF+Q58*StarterPF</f>
        <v>0</v>
      </c>
      <c r="T58" s="108">
        <f ca="1">S58*Auction!$A$2</f>
        <v>0</v>
      </c>
      <c r="U58" s="25" t="str">
        <f>IF(OR(INDEX(Auction!$H$13:$H$683,MATCH(B58,Auction!$A$13:$A$683,0))&gt;0,IFERROR(INDEX(CheatSheet!$V$5:$V$64,MATCH(B58,CheatSheet!$S$5:$S$64,0)),"")&lt;&gt;""),"Yes","No")</f>
        <v>No</v>
      </c>
      <c r="V58" s="218"/>
      <c r="W58" s="1"/>
      <c r="X58" s="143">
        <f ca="1">IFERROR(SUMIFS($Y$3:$Y286,$Y$3:$Y$231,"&gt;0",$U$3:$U$231,"No")/SUMIF($Y$3:$Y$231,"&gt;0"),0)</f>
        <v>0</v>
      </c>
      <c r="Y58" s="1">
        <f t="shared" ca="1" si="0"/>
        <v>0</v>
      </c>
      <c r="Z58" s="145" t="str">
        <f ca="1">CONCATENATE("WR",ROUND((LARGE($Y$3:$Y$231,1)-$Y58)/(STDEVP($Y$3:$Y$231)/2)+1,0))</f>
        <v>WR8</v>
      </c>
      <c r="AA58" s="1">
        <f ca="1">Y58*LeagueInfo!$H$5</f>
        <v>0</v>
      </c>
      <c r="AB58" s="1"/>
      <c r="AC58" s="1"/>
    </row>
    <row r="59" spans="1:29" ht="15.75" thickBot="1" x14ac:dyDescent="0.3">
      <c r="A59" s="47">
        <f>RANK(O59,O$3:O$231)</f>
        <v>57</v>
      </c>
      <c r="B59" s="1" t="s">
        <v>554</v>
      </c>
      <c r="C59" s="1" t="s">
        <v>39</v>
      </c>
      <c r="D59" s="1">
        <f>VLOOKUP(E59,BYEs!$A$2:$B$34,2,FALSE)</f>
        <v>11</v>
      </c>
      <c r="E59" s="1" t="s">
        <v>374</v>
      </c>
      <c r="F59" s="249">
        <v>0</v>
      </c>
      <c r="G59" s="250">
        <v>0</v>
      </c>
      <c r="H59" s="251">
        <v>0</v>
      </c>
      <c r="I59" s="251">
        <v>0</v>
      </c>
      <c r="J59" s="251">
        <v>0</v>
      </c>
      <c r="K59" s="249">
        <v>38.200000000000003</v>
      </c>
      <c r="L59" s="247">
        <v>609.5</v>
      </c>
      <c r="M59" s="250">
        <v>4.8</v>
      </c>
      <c r="N59" s="251">
        <v>0.2</v>
      </c>
      <c r="O59" s="252">
        <f>(I59*WRRushingYd)+(J59*WRRushingTD)+(K59*WRRec)+(L59*WRRecYd)+(M59*WRRecTD)+(N59*WRFuml)+(H59*WRRushAtt)</f>
        <v>89.35</v>
      </c>
      <c r="P59" s="1" t="str">
        <f ca="1">IF(A59&lt;=WRStarters,"Starter",IF(A59&gt;WRStarters+WRBench,"Undrafted","Bench"))</f>
        <v>Undrafted</v>
      </c>
      <c r="Q59" s="47">
        <f ca="1">IFERROR(MAX(O59-LARGE(O$3:O$231,WRStarters),0),0)</f>
        <v>0</v>
      </c>
      <c r="R59" s="47">
        <f ca="1">IFERROR(IF(AllowNegative="Yes",O59-LARGE(O$3:O$231,WRCount),MAX(O59-LARGE(O$3:O$231,WRCount),0)),0)</f>
        <v>-0.27000000000001023</v>
      </c>
      <c r="S59" s="108">
        <f ca="1">(R59-Q59)*BenchPF+Q59*StarterPF</f>
        <v>-6.4663879268290231E-2</v>
      </c>
      <c r="T59" s="108">
        <f ca="1">S59*Auction!$A$2</f>
        <v>-6.4663879268290231E-2</v>
      </c>
      <c r="U59" s="25" t="str">
        <f>IF(OR(INDEX(Auction!$H$13:$H$683,MATCH(B59,Auction!$A$13:$A$683,0))&gt;0,IFERROR(INDEX(CheatSheet!$V$5:$V$64,MATCH(B59,CheatSheet!$S$5:$S$64,0)),"")&lt;&gt;""),"Yes","No")</f>
        <v>No</v>
      </c>
      <c r="V59" s="218"/>
      <c r="W59" s="1"/>
      <c r="X59" s="143">
        <f ca="1">IFERROR(SUMIFS($Y$3:$Y287,$Y$3:$Y$231,"&gt;0",$U$3:$U$231,"No")/SUMIF($Y$3:$Y$231,"&gt;0"),0)</f>
        <v>0</v>
      </c>
      <c r="Y59" s="1">
        <f t="shared" ca="1" si="0"/>
        <v>-0.13500000000000512</v>
      </c>
      <c r="Z59" s="145" t="str">
        <f ca="1">CONCATENATE("WR",ROUND((LARGE($Y$3:$Y$231,1)-$Y59)/(STDEVP($Y$3:$Y$231)/2)+1,0))</f>
        <v>WR8</v>
      </c>
      <c r="AA59" s="1">
        <f ca="1">Y59*LeagueInfo!$H$5</f>
        <v>-6.1741025309857554E-2</v>
      </c>
      <c r="AB59" s="1"/>
      <c r="AC59" s="1"/>
    </row>
    <row r="60" spans="1:29" ht="15.75" thickBot="1" x14ac:dyDescent="0.3">
      <c r="A60" s="47">
        <f>RANK(O60,O$3:O$231)</f>
        <v>58</v>
      </c>
      <c r="B60" s="1" t="s">
        <v>275</v>
      </c>
      <c r="C60" s="1" t="s">
        <v>39</v>
      </c>
      <c r="D60" s="1">
        <f>VLOOKUP(E60,BYEs!$A$2:$B$34,2,FALSE)</f>
        <v>9</v>
      </c>
      <c r="E60" s="1" t="s">
        <v>376</v>
      </c>
      <c r="F60" s="249">
        <v>0</v>
      </c>
      <c r="G60" s="250">
        <v>0</v>
      </c>
      <c r="H60" s="251">
        <v>1.4</v>
      </c>
      <c r="I60" s="251">
        <v>5.8</v>
      </c>
      <c r="J60" s="251">
        <v>0</v>
      </c>
      <c r="K60" s="249">
        <v>54.1</v>
      </c>
      <c r="L60" s="247">
        <v>665.6</v>
      </c>
      <c r="M60" s="250">
        <v>3.7</v>
      </c>
      <c r="N60" s="251">
        <v>0.3</v>
      </c>
      <c r="O60" s="252">
        <f>(I60*WRRushingYd)+(J60*WRRushingTD)+(K60*WRRec)+(L60*WRRecYd)+(M60*WRRecTD)+(N60*WRFuml)+(H60*WRRushAtt)</f>
        <v>88.740000000000009</v>
      </c>
      <c r="P60" s="1" t="str">
        <f ca="1">IF(A60&lt;=WRStarters,"Starter",IF(A60&gt;WRStarters+WRBench,"Undrafted","Bench"))</f>
        <v>Undrafted</v>
      </c>
      <c r="Q60" s="47">
        <f ca="1">IFERROR(MAX(O60-LARGE(O$3:O$231,WRStarters),0),0)</f>
        <v>0</v>
      </c>
      <c r="R60" s="47">
        <f ca="1">IFERROR(IF(AllowNegative="Yes",O60-LARGE(O$3:O$231,WRCount),MAX(O60-LARGE(O$3:O$231,WRCount),0)),0)</f>
        <v>-0.87999999999999545</v>
      </c>
      <c r="S60" s="108">
        <f ca="1">(R60-Q60)*BenchPF+Q60*StarterPF</f>
        <v>-0.2107563472447887</v>
      </c>
      <c r="T60" s="108">
        <f ca="1">S60*Auction!$A$2</f>
        <v>-0.2107563472447887</v>
      </c>
      <c r="U60" s="25" t="str">
        <f>IF(OR(INDEX(Auction!$H$13:$H$683,MATCH(B60,Auction!$A$13:$A$683,0))&gt;0,IFERROR(INDEX(CheatSheet!$V$5:$V$64,MATCH(B60,CheatSheet!$S$5:$S$64,0)),"")&lt;&gt;""),"Yes","No")</f>
        <v>No</v>
      </c>
      <c r="V60" s="218"/>
      <c r="W60" s="1"/>
      <c r="X60" s="143">
        <f ca="1">IFERROR(SUMIFS($Y$3:$Y288,$Y$3:$Y$231,"&gt;0",$U$3:$U$231,"No")/SUMIF($Y$3:$Y$231,"&gt;0"),0)</f>
        <v>0</v>
      </c>
      <c r="Y60" s="1">
        <f t="shared" ca="1" si="0"/>
        <v>-0.43999999999999773</v>
      </c>
      <c r="Z60" s="145" t="str">
        <f ca="1">CONCATENATE("WR",ROUND((LARGE($Y$3:$Y$231,1)-$Y60)/(STDEVP($Y$3:$Y$231)/2)+1,0))</f>
        <v>WR8</v>
      </c>
      <c r="AA60" s="1">
        <f ca="1">Y60*LeagueInfo!$H$5</f>
        <v>-0.20123000841730485</v>
      </c>
      <c r="AB60" s="1"/>
      <c r="AC60" s="1"/>
    </row>
    <row r="61" spans="1:29" ht="15.75" thickBot="1" x14ac:dyDescent="0.3">
      <c r="A61" s="47">
        <f>RANK(O61,O$3:O$231)</f>
        <v>59</v>
      </c>
      <c r="B61" s="1" t="s">
        <v>310</v>
      </c>
      <c r="C61" s="1" t="s">
        <v>39</v>
      </c>
      <c r="D61" s="1">
        <f>VLOOKUP(E61,BYEs!$A$2:$B$34,2,FALSE)</f>
        <v>5</v>
      </c>
      <c r="E61" s="1" t="s">
        <v>353</v>
      </c>
      <c r="F61" s="249">
        <v>0</v>
      </c>
      <c r="G61" s="250">
        <v>0</v>
      </c>
      <c r="H61" s="251">
        <v>1.2</v>
      </c>
      <c r="I61" s="251">
        <v>6.9</v>
      </c>
      <c r="J61" s="251">
        <v>0.1</v>
      </c>
      <c r="K61" s="249">
        <v>53.9</v>
      </c>
      <c r="L61" s="247">
        <v>625.6</v>
      </c>
      <c r="M61" s="250">
        <v>4.5</v>
      </c>
      <c r="N61" s="251">
        <v>1.1000000000000001</v>
      </c>
      <c r="O61" s="252">
        <f>(I61*WRRushingYd)+(J61*WRRushingTD)+(K61*WRRec)+(L61*WRRecYd)+(M61*WRRecTD)+(N61*WRFuml)+(H61*WRRushAtt)</f>
        <v>88.649999999999991</v>
      </c>
      <c r="P61" s="1" t="str">
        <f ca="1">IF(A61&lt;=WRStarters,"Starter",IF(A61&gt;WRStarters+WRBench,"Undrafted","Bench"))</f>
        <v>Undrafted</v>
      </c>
      <c r="Q61" s="47">
        <f ca="1">IFERROR(MAX(O61-LARGE(O$3:O$231,WRStarters),0),0)</f>
        <v>0</v>
      </c>
      <c r="R61" s="47">
        <f ca="1">IFERROR(IF(AllowNegative="Yes",O61-LARGE(O$3:O$231,WRCount),MAX(O61-LARGE(O$3:O$231,WRCount),0)),0)</f>
        <v>-0.97000000000001307</v>
      </c>
      <c r="S61" s="108">
        <f ca="1">(R61-Q61)*BenchPF+Q61*StarterPF</f>
        <v>-0.23231097366755551</v>
      </c>
      <c r="T61" s="108">
        <f ca="1">S61*Auction!$A$2</f>
        <v>-0.23231097366755551</v>
      </c>
      <c r="U61" s="25" t="str">
        <f>IF(OR(INDEX(Auction!$H$13:$H$683,MATCH(B61,Auction!$A$13:$A$683,0))&gt;0,IFERROR(INDEX(CheatSheet!$V$5:$V$64,MATCH(B61,CheatSheet!$S$5:$S$64,0)),"")&lt;&gt;""),"Yes","No")</f>
        <v>No</v>
      </c>
      <c r="V61" s="218"/>
      <c r="W61" s="1"/>
      <c r="X61" s="143">
        <f ca="1">IFERROR(SUMIFS($Y$3:$Y289,$Y$3:$Y$231,"&gt;0",$U$3:$U$231,"No")/SUMIF($Y$3:$Y$231,"&gt;0"),0)</f>
        <v>0</v>
      </c>
      <c r="Y61" s="1">
        <f t="shared" ca="1" si="0"/>
        <v>-0.48500000000000654</v>
      </c>
      <c r="Z61" s="145" t="str">
        <f ca="1">CONCATENATE("WR",ROUND((LARGE($Y$3:$Y$231,1)-$Y61)/(STDEVP($Y$3:$Y$231)/2)+1,0))</f>
        <v>WR8</v>
      </c>
      <c r="AA61" s="1">
        <f ca="1">Y61*LeagueInfo!$H$5</f>
        <v>-0.22181035018726061</v>
      </c>
      <c r="AB61" s="1"/>
      <c r="AC61" s="1"/>
    </row>
    <row r="62" spans="1:29" ht="15.75" thickBot="1" x14ac:dyDescent="0.3">
      <c r="A62" s="47">
        <f>RANK(O62,O$3:O$231)</f>
        <v>60</v>
      </c>
      <c r="B62" s="1" t="s">
        <v>259</v>
      </c>
      <c r="C62" s="1" t="s">
        <v>39</v>
      </c>
      <c r="D62" s="1">
        <f>VLOOKUP(E62,BYEs!$A$2:$B$34,2,FALSE)</f>
        <v>5</v>
      </c>
      <c r="E62" s="1" t="s">
        <v>353</v>
      </c>
      <c r="F62" s="249">
        <v>0</v>
      </c>
      <c r="G62" s="250">
        <v>0</v>
      </c>
      <c r="H62" s="251">
        <v>3.4</v>
      </c>
      <c r="I62" s="251">
        <v>24.5</v>
      </c>
      <c r="J62" s="251">
        <v>0.1</v>
      </c>
      <c r="K62" s="249">
        <v>39.299999999999997</v>
      </c>
      <c r="L62" s="247">
        <v>578.4</v>
      </c>
      <c r="M62" s="250">
        <v>4.3</v>
      </c>
      <c r="N62" s="251">
        <v>0.2</v>
      </c>
      <c r="O62" s="252">
        <f>(I62*WRRushingYd)+(J62*WRRushingTD)+(K62*WRRec)+(L62*WRRecYd)+(M62*WRRecTD)+(N62*WRFuml)+(H62*WRRushAtt)</f>
        <v>86.289999999999992</v>
      </c>
      <c r="P62" s="1" t="str">
        <f ca="1">IF(A62&lt;=WRStarters,"Starter",IF(A62&gt;WRStarters+WRBench,"Undrafted","Bench"))</f>
        <v>Undrafted</v>
      </c>
      <c r="Q62" s="47">
        <f ca="1">IFERROR(MAX(O62-LARGE(O$3:O$231,WRStarters),0),0)</f>
        <v>0</v>
      </c>
      <c r="R62" s="47">
        <f ca="1">IFERROR(IF(AllowNegative="Yes",O62-LARGE(O$3:O$231,WRCount),MAX(O62-LARGE(O$3:O$231,WRCount),0)),0)</f>
        <v>-3.3300000000000125</v>
      </c>
      <c r="S62" s="108">
        <f ca="1">(R62-Q62)*BenchPF+Q62*StarterPF</f>
        <v>-0.79752117764221886</v>
      </c>
      <c r="T62" s="108">
        <f ca="1">S62*Auction!$A$2</f>
        <v>-0.79752117764221886</v>
      </c>
      <c r="U62" s="25" t="str">
        <f>IF(OR(INDEX(Auction!$H$13:$H$683,MATCH(B62,Auction!$A$13:$A$683,0))&gt;0,IFERROR(INDEX(CheatSheet!$V$5:$V$64,MATCH(B62,CheatSheet!$S$5:$S$64,0)),"")&lt;&gt;""),"Yes","No")</f>
        <v>No</v>
      </c>
      <c r="V62" s="218"/>
      <c r="W62" s="1"/>
      <c r="X62" s="143">
        <f ca="1">IFERROR(SUMIFS($Y$3:$Y290,$Y$3:$Y$231,"&gt;0",$U$3:$U$231,"No")/SUMIF($Y$3:$Y$231,"&gt;0"),0)</f>
        <v>0</v>
      </c>
      <c r="Y62" s="1">
        <f t="shared" ca="1" si="0"/>
        <v>-1.6650000000000063</v>
      </c>
      <c r="Z62" s="145" t="str">
        <f ca="1">CONCATENATE("WR",ROUND((LARGE($Y$3:$Y$231,1)-$Y62)/(STDEVP($Y$3:$Y$231)/2)+1,0))</f>
        <v>WR8</v>
      </c>
      <c r="AA62" s="1">
        <f ca="1">Y62*LeagueInfo!$H$5</f>
        <v>-0.76147264548821714</v>
      </c>
      <c r="AB62" s="1"/>
      <c r="AC62" s="1"/>
    </row>
    <row r="63" spans="1:29" ht="15.75" thickBot="1" x14ac:dyDescent="0.3">
      <c r="A63" s="47">
        <f>RANK(O63,O$3:O$231)</f>
        <v>61</v>
      </c>
      <c r="B63" s="1" t="s">
        <v>566</v>
      </c>
      <c r="C63" s="1" t="s">
        <v>39</v>
      </c>
      <c r="D63" s="1">
        <f>VLOOKUP(E63,BYEs!$A$2:$B$34,2,FALSE)</f>
        <v>10</v>
      </c>
      <c r="E63" s="1" t="s">
        <v>369</v>
      </c>
      <c r="F63" s="249">
        <v>0</v>
      </c>
      <c r="G63" s="250">
        <v>0</v>
      </c>
      <c r="H63" s="251">
        <v>0.1</v>
      </c>
      <c r="I63" s="251">
        <v>1</v>
      </c>
      <c r="J63" s="251">
        <v>0</v>
      </c>
      <c r="K63" s="249">
        <v>43.7</v>
      </c>
      <c r="L63" s="247">
        <v>627.29999999999995</v>
      </c>
      <c r="M63" s="250">
        <v>3.9</v>
      </c>
      <c r="N63" s="251">
        <v>0.2</v>
      </c>
      <c r="O63" s="252">
        <f>(I63*WRRushingYd)+(J63*WRRushingTD)+(K63*WRRec)+(L63*WRRecYd)+(M63*WRRecTD)+(N63*WRFuml)+(H63*WRRushAtt)</f>
        <v>85.829999999999984</v>
      </c>
      <c r="P63" s="1" t="str">
        <f ca="1">IF(A63&lt;=WRStarters,"Starter",IF(A63&gt;WRStarters+WRBench,"Undrafted","Bench"))</f>
        <v>Undrafted</v>
      </c>
      <c r="Q63" s="47">
        <f ca="1">IFERROR(MAX(O63-LARGE(O$3:O$231,WRStarters),0),0)</f>
        <v>0</v>
      </c>
      <c r="R63" s="47">
        <f ca="1">IFERROR(IF(AllowNegative="Yes",O63-LARGE(O$3:O$231,WRCount),MAX(O63-LARGE(O$3:O$231,WRCount),0)),0)</f>
        <v>-3.7900000000000205</v>
      </c>
      <c r="S63" s="108">
        <f ca="1">(R63-Q63)*BenchPF+Q63*StarterPF</f>
        <v>-0.90768926824745177</v>
      </c>
      <c r="T63" s="108">
        <f ca="1">S63*Auction!$A$2</f>
        <v>-0.90768926824745177</v>
      </c>
      <c r="U63" s="25" t="str">
        <f>IF(OR(INDEX(Auction!$H$13:$H$683,MATCH(B63,Auction!$A$13:$A$683,0))&gt;0,IFERROR(INDEX(CheatSheet!$V$5:$V$64,MATCH(B63,CheatSheet!$S$5:$S$64,0)),"")&lt;&gt;""),"Yes","No")</f>
        <v>No</v>
      </c>
      <c r="V63" s="218"/>
      <c r="W63" s="1"/>
      <c r="X63" s="143">
        <f ca="1">IFERROR(SUMIFS($Y$3:$Y291,$Y$3:$Y$231,"&gt;0",$U$3:$U$231,"No")/SUMIF($Y$3:$Y$231,"&gt;0"),0)</f>
        <v>0</v>
      </c>
      <c r="Y63" s="1">
        <f t="shared" ca="1" si="0"/>
        <v>-1.8950000000000102</v>
      </c>
      <c r="Z63" s="145" t="str">
        <f ca="1">CONCATENATE("WR",ROUND((LARGE($Y$3:$Y$231,1)-$Y63)/(STDEVP($Y$3:$Y$231)/2)+1,0))</f>
        <v>WR8</v>
      </c>
      <c r="AA63" s="1">
        <f ca="1">Y63*LeagueInfo!$H$5</f>
        <v>-0.86666105897908341</v>
      </c>
      <c r="AB63" s="1"/>
      <c r="AC63" s="1"/>
    </row>
    <row r="64" spans="1:29" ht="15.75" thickBot="1" x14ac:dyDescent="0.3">
      <c r="A64" s="47">
        <f>RANK(O64,O$3:O$231)</f>
        <v>62</v>
      </c>
      <c r="B64" s="1" t="s">
        <v>279</v>
      </c>
      <c r="C64" s="1" t="s">
        <v>39</v>
      </c>
      <c r="D64" s="1">
        <f>VLOOKUP(E64,BYEs!$A$2:$B$34,2,FALSE)</f>
        <v>8</v>
      </c>
      <c r="E64" s="1" t="s">
        <v>367</v>
      </c>
      <c r="F64" s="249">
        <v>0</v>
      </c>
      <c r="G64" s="250">
        <v>0</v>
      </c>
      <c r="H64" s="251">
        <v>0.3</v>
      </c>
      <c r="I64" s="251">
        <v>1.5</v>
      </c>
      <c r="J64" s="251">
        <v>0</v>
      </c>
      <c r="K64" s="249">
        <v>47</v>
      </c>
      <c r="L64" s="247">
        <v>615.29999999999995</v>
      </c>
      <c r="M64" s="250">
        <v>4</v>
      </c>
      <c r="N64" s="251">
        <v>0.3</v>
      </c>
      <c r="O64" s="252">
        <f>(I64*WRRushingYd)+(J64*WRRushingTD)+(K64*WRRec)+(L64*WRRecYd)+(M64*WRRecTD)+(N64*WRFuml)+(H64*WRRushAtt)</f>
        <v>85.080000000000013</v>
      </c>
      <c r="P64" s="1" t="str">
        <f ca="1">IF(A64&lt;=WRStarters,"Starter",IF(A64&gt;WRStarters+WRBench,"Undrafted","Bench"))</f>
        <v>Undrafted</v>
      </c>
      <c r="Q64" s="47">
        <f ca="1">IFERROR(MAX(O64-LARGE(O$3:O$231,WRStarters),0),0)</f>
        <v>0</v>
      </c>
      <c r="R64" s="47">
        <f ca="1">IFERROR(IF(AllowNegative="Yes",O64-LARGE(O$3:O$231,WRCount),MAX(O64-LARGE(O$3:O$231,WRCount),0)),0)</f>
        <v>-4.539999999999992</v>
      </c>
      <c r="S64" s="108">
        <f ca="1">(R64-Q64)*BenchPF+Q64*StarterPF</f>
        <v>-1.0873111551037999</v>
      </c>
      <c r="T64" s="108">
        <f ca="1">S64*Auction!$A$2</f>
        <v>-1.0873111551037999</v>
      </c>
      <c r="U64" s="25" t="str">
        <f>IF(OR(INDEX(Auction!$H$13:$H$683,MATCH(B64,Auction!$A$13:$A$683,0))&gt;0,IFERROR(INDEX(CheatSheet!$V$5:$V$64,MATCH(B64,CheatSheet!$S$5:$S$64,0)),"")&lt;&gt;""),"Yes","No")</f>
        <v>No</v>
      </c>
      <c r="V64" s="218"/>
      <c r="W64" s="1"/>
      <c r="X64" s="143">
        <f ca="1">IFERROR(SUMIFS($Y$3:$Y292,$Y$3:$Y$231,"&gt;0",$U$3:$U$231,"No")/SUMIF($Y$3:$Y$231,"&gt;0"),0)</f>
        <v>0</v>
      </c>
      <c r="Y64" s="1">
        <f t="shared" ca="1" si="0"/>
        <v>-2.269999999999996</v>
      </c>
      <c r="Z64" s="145" t="str">
        <f ca="1">CONCATENATE("WR",ROUND((LARGE($Y$3:$Y$231,1)-$Y64)/(STDEVP($Y$3:$Y$231)/2)+1,0))</f>
        <v>WR8</v>
      </c>
      <c r="AA64" s="1">
        <f ca="1">Y64*LeagueInfo!$H$5</f>
        <v>-1.0381639070620081</v>
      </c>
      <c r="AB64" s="1"/>
      <c r="AC64" s="1"/>
    </row>
    <row r="65" spans="1:29" ht="15.75" thickBot="1" x14ac:dyDescent="0.3">
      <c r="A65" s="47">
        <f>RANK(O65,O$3:O$231)</f>
        <v>63</v>
      </c>
      <c r="B65" s="1" t="s">
        <v>252</v>
      </c>
      <c r="C65" s="1" t="s">
        <v>39</v>
      </c>
      <c r="D65" s="1">
        <f>VLOOKUP(E65,BYEs!$A$2:$B$34,2,FALSE)</f>
        <v>10</v>
      </c>
      <c r="E65" s="1" t="s">
        <v>371</v>
      </c>
      <c r="F65" s="249">
        <v>0</v>
      </c>
      <c r="G65" s="250">
        <v>0</v>
      </c>
      <c r="H65" s="251">
        <v>1.2</v>
      </c>
      <c r="I65" s="251">
        <v>5.5</v>
      </c>
      <c r="J65" s="251">
        <v>0</v>
      </c>
      <c r="K65" s="249">
        <v>45.3</v>
      </c>
      <c r="L65" s="247">
        <v>634.70000000000005</v>
      </c>
      <c r="M65" s="250">
        <v>3.5</v>
      </c>
      <c r="N65" s="251">
        <v>0.1</v>
      </c>
      <c r="O65" s="252">
        <f>(I65*WRRushingYd)+(J65*WRRushingTD)+(K65*WRRec)+(L65*WRRecYd)+(M65*WRRecTD)+(N65*WRFuml)+(H65*WRRushAtt)</f>
        <v>84.820000000000007</v>
      </c>
      <c r="P65" s="1" t="str">
        <f ca="1">IF(A65&lt;=WRStarters,"Starter",IF(A65&gt;WRStarters+WRBench,"Undrafted","Bench"))</f>
        <v>Undrafted</v>
      </c>
      <c r="Q65" s="47">
        <f ca="1">IFERROR(MAX(O65-LARGE(O$3:O$231,WRStarters),0),0)</f>
        <v>0</v>
      </c>
      <c r="R65" s="47">
        <f ca="1">IFERROR(IF(AllowNegative="Yes",O65-LARGE(O$3:O$231,WRCount),MAX(O65-LARGE(O$3:O$231,WRCount),0)),0)</f>
        <v>-4.7999999999999972</v>
      </c>
      <c r="S65" s="108">
        <f ca="1">(R65-Q65)*BenchPF+Q65*StarterPF</f>
        <v>-1.1495800758806709</v>
      </c>
      <c r="T65" s="108">
        <f ca="1">S65*Auction!$A$2</f>
        <v>-1.1495800758806709</v>
      </c>
      <c r="U65" s="25" t="str">
        <f>IF(OR(INDEX(Auction!$H$13:$H$683,MATCH(B65,Auction!$A$13:$A$683,0))&gt;0,IFERROR(INDEX(CheatSheet!$V$5:$V$64,MATCH(B65,CheatSheet!$S$5:$S$64,0)),"")&lt;&gt;""),"Yes","No")</f>
        <v>No</v>
      </c>
      <c r="V65" s="218"/>
      <c r="W65" s="1"/>
      <c r="X65" s="143">
        <f ca="1">IFERROR(SUMIFS($Y$3:$Y293,$Y$3:$Y$231,"&gt;0",$U$3:$U$231,"No")/SUMIF($Y$3:$Y$231,"&gt;0"),0)</f>
        <v>0</v>
      </c>
      <c r="Y65" s="1">
        <f t="shared" ca="1" si="0"/>
        <v>-2.3999999999999986</v>
      </c>
      <c r="Z65" s="145" t="str">
        <f ca="1">CONCATENATE("WR",ROUND((LARGE($Y$3:$Y$231,1)-$Y65)/(STDEVP($Y$3:$Y$231)/2)+1,0))</f>
        <v>WR8</v>
      </c>
      <c r="AA65" s="1">
        <f ca="1">Y65*LeagueInfo!$H$5</f>
        <v>-1.0976182277307587</v>
      </c>
      <c r="AB65" s="1"/>
      <c r="AC65" s="1"/>
    </row>
    <row r="66" spans="1:29" ht="15.75" thickBot="1" x14ac:dyDescent="0.3">
      <c r="A66" s="47">
        <f>RANK(O66,O$3:O$231)</f>
        <v>64</v>
      </c>
      <c r="B66" s="1" t="s">
        <v>557</v>
      </c>
      <c r="C66" s="1" t="s">
        <v>39</v>
      </c>
      <c r="D66" s="1">
        <f>VLOOKUP(E66,BYEs!$A$2:$B$34,2,FALSE)</f>
        <v>11</v>
      </c>
      <c r="E66" s="1" t="s">
        <v>357</v>
      </c>
      <c r="F66" s="249">
        <v>0</v>
      </c>
      <c r="G66" s="250">
        <v>0</v>
      </c>
      <c r="H66" s="251">
        <v>0</v>
      </c>
      <c r="I66" s="251">
        <v>0</v>
      </c>
      <c r="J66" s="251">
        <v>0</v>
      </c>
      <c r="K66" s="249">
        <v>38.799999999999997</v>
      </c>
      <c r="L66" s="247">
        <v>576.1</v>
      </c>
      <c r="M66" s="250">
        <v>4.4000000000000004</v>
      </c>
      <c r="N66" s="251">
        <v>0.2</v>
      </c>
      <c r="O66" s="252">
        <f>(I66*WRRushingYd)+(J66*WRRushingTD)+(K66*WRRec)+(L66*WRRecYd)+(M66*WRRecTD)+(N66*WRFuml)+(H66*WRRushAtt)</f>
        <v>83.61</v>
      </c>
      <c r="P66" s="1" t="str">
        <f ca="1">IF(A66&lt;=WRStarters,"Starter",IF(A66&gt;WRStarters+WRBench,"Undrafted","Bench"))</f>
        <v>Undrafted</v>
      </c>
      <c r="Q66" s="47">
        <f ca="1">IFERROR(MAX(O66-LARGE(O$3:O$231,WRStarters),0),0)</f>
        <v>0</v>
      </c>
      <c r="R66" s="47">
        <f ca="1">IFERROR(IF(AllowNegative="Yes",O66-LARGE(O$3:O$231,WRCount),MAX(O66-LARGE(O$3:O$231,WRCount),0)),0)</f>
        <v>-6.0100000000000051</v>
      </c>
      <c r="S66" s="108">
        <f ca="1">(R66-Q66)*BenchPF+Q66*StarterPF</f>
        <v>-1.4393700533422586</v>
      </c>
      <c r="T66" s="108">
        <f ca="1">S66*Auction!$A$2</f>
        <v>-1.4393700533422586</v>
      </c>
      <c r="U66" s="25" t="str">
        <f>IF(OR(INDEX(Auction!$H$13:$H$683,MATCH(B66,Auction!$A$13:$A$683,0))&gt;0,IFERROR(INDEX(CheatSheet!$V$5:$V$64,MATCH(B66,CheatSheet!$S$5:$S$64,0)),"")&lt;&gt;""),"Yes","No")</f>
        <v>No</v>
      </c>
      <c r="V66" s="218"/>
      <c r="W66" s="1"/>
      <c r="X66" s="143">
        <f ca="1">IFERROR(SUMIFS($Y$3:$Y294,$Y$3:$Y$231,"&gt;0",$U$3:$U$231,"No")/SUMIF($Y$3:$Y$231,"&gt;0"),0)</f>
        <v>0</v>
      </c>
      <c r="Y66" s="1">
        <f t="shared" ca="1" si="0"/>
        <v>-3.0050000000000026</v>
      </c>
      <c r="Z66" s="145" t="str">
        <f ca="1">CONCATENATE("WR",ROUND((LARGE($Y$3:$Y$231,1)-$Y66)/(STDEVP($Y$3:$Y$231)/2)+1,0))</f>
        <v>WR8</v>
      </c>
      <c r="AA66" s="1">
        <f ca="1">Y66*LeagueInfo!$H$5</f>
        <v>-1.3743094893045562</v>
      </c>
      <c r="AB66" s="1"/>
      <c r="AC66" s="1"/>
    </row>
    <row r="67" spans="1:29" ht="15.75" thickBot="1" x14ac:dyDescent="0.3">
      <c r="A67" s="47">
        <f>RANK(O67,O$3:O$231)</f>
        <v>65</v>
      </c>
      <c r="B67" s="1" t="s">
        <v>560</v>
      </c>
      <c r="C67" s="1" t="s">
        <v>39</v>
      </c>
      <c r="D67" s="1">
        <f>VLOOKUP(E67,BYEs!$A$2:$B$34,2,FALSE)</f>
        <v>8</v>
      </c>
      <c r="E67" s="1" t="s">
        <v>367</v>
      </c>
      <c r="F67" s="249">
        <v>0</v>
      </c>
      <c r="G67" s="250">
        <v>0</v>
      </c>
      <c r="H67" s="251">
        <v>4.3</v>
      </c>
      <c r="I67" s="251">
        <v>24.1</v>
      </c>
      <c r="J67" s="251">
        <v>0.1</v>
      </c>
      <c r="K67" s="249">
        <v>49.1</v>
      </c>
      <c r="L67" s="247">
        <v>612.5</v>
      </c>
      <c r="M67" s="250">
        <v>2.9</v>
      </c>
      <c r="N67" s="251">
        <v>1</v>
      </c>
      <c r="O67" s="252">
        <f>(I67*WRRushingYd)+(J67*WRRushingTD)+(K67*WRRec)+(L67*WRRecYd)+(M67*WRRecTD)+(N67*WRFuml)+(H67*WRRushAtt)</f>
        <v>79.66</v>
      </c>
      <c r="P67" s="1" t="str">
        <f ca="1">IF(A67&lt;=WRStarters,"Starter",IF(A67&gt;WRStarters+WRBench,"Undrafted","Bench"))</f>
        <v>Undrafted</v>
      </c>
      <c r="Q67" s="47">
        <f ca="1">IFERROR(MAX(O67-LARGE(O$3:O$231,WRStarters),0),0)</f>
        <v>0</v>
      </c>
      <c r="R67" s="47">
        <f ca="1">IFERROR(IF(AllowNegative="Yes",O67-LARGE(O$3:O$231,WRCount),MAX(O67-LARGE(O$3:O$231,WRCount),0)),0)</f>
        <v>-9.960000000000008</v>
      </c>
      <c r="S67" s="108">
        <f ca="1">(R67-Q67)*BenchPF+Q67*StarterPF</f>
        <v>-2.3853786574523954</v>
      </c>
      <c r="T67" s="108">
        <f ca="1">S67*Auction!$A$2</f>
        <v>-2.3853786574523954</v>
      </c>
      <c r="U67" s="25" t="str">
        <f>IF(OR(INDEX(Auction!$H$13:$H$683,MATCH(B67,Auction!$A$13:$A$683,0))&gt;0,IFERROR(INDEX(CheatSheet!$V$5:$V$64,MATCH(B67,CheatSheet!$S$5:$S$64,0)),"")&lt;&gt;""),"Yes","No")</f>
        <v>No</v>
      </c>
      <c r="V67" s="218"/>
      <c r="W67" s="1"/>
      <c r="X67" s="143">
        <f ca="1">IFERROR(SUMIFS($Y$3:$Y295,$Y$3:$Y$231,"&gt;0",$U$3:$U$231,"No")/SUMIF($Y$3:$Y$231,"&gt;0"),0)</f>
        <v>0</v>
      </c>
      <c r="Y67" s="1">
        <f t="shared" ca="1" si="0"/>
        <v>-4.980000000000004</v>
      </c>
      <c r="Z67" s="145" t="str">
        <f ca="1">CONCATENATE("WR",ROUND((LARGE($Y$3:$Y$231,1)-$Y67)/(STDEVP($Y$3:$Y$231)/2)+1,0))</f>
        <v>WR8</v>
      </c>
      <c r="AA67" s="1">
        <f ca="1">Y67*LeagueInfo!$H$5</f>
        <v>-2.2775578225413278</v>
      </c>
      <c r="AB67" s="1"/>
      <c r="AC67" s="1"/>
    </row>
    <row r="68" spans="1:29" ht="15.75" thickBot="1" x14ac:dyDescent="0.3">
      <c r="A68" s="47">
        <f>RANK(O68,O$3:O$231)</f>
        <v>66</v>
      </c>
      <c r="B68" s="1" t="s">
        <v>243</v>
      </c>
      <c r="C68" s="1" t="s">
        <v>39</v>
      </c>
      <c r="D68" s="1">
        <f>VLOOKUP(E68,BYEs!$A$2:$B$34,2,FALSE)</f>
        <v>8</v>
      </c>
      <c r="E68" s="1" t="s">
        <v>370</v>
      </c>
      <c r="F68" s="249">
        <v>0</v>
      </c>
      <c r="G68" s="250">
        <v>0</v>
      </c>
      <c r="H68" s="251">
        <v>2.5</v>
      </c>
      <c r="I68" s="251">
        <v>17.600000000000001</v>
      </c>
      <c r="J68" s="251">
        <v>0.1</v>
      </c>
      <c r="K68" s="249">
        <v>32.200000000000003</v>
      </c>
      <c r="L68" s="247">
        <v>524.5</v>
      </c>
      <c r="M68" s="250">
        <v>4.2</v>
      </c>
      <c r="N68" s="251">
        <v>0.8</v>
      </c>
      <c r="O68" s="252">
        <f>(I68*WRRushingYd)+(J68*WRRushingTD)+(K68*WRRec)+(L68*WRRecYd)+(M68*WRRecTD)+(N68*WRFuml)+(H68*WRRushAtt)</f>
        <v>78.410000000000011</v>
      </c>
      <c r="P68" s="1" t="str">
        <f ca="1">IF(A68&lt;=WRStarters,"Starter",IF(A68&gt;WRStarters+WRBench,"Undrafted","Bench"))</f>
        <v>Undrafted</v>
      </c>
      <c r="Q68" s="47">
        <f ca="1">IFERROR(MAX(O68-LARGE(O$3:O$231,WRStarters),0),0)</f>
        <v>0</v>
      </c>
      <c r="R68" s="47">
        <f ca="1">IFERROR(IF(AllowNegative="Yes",O68-LARGE(O$3:O$231,WRCount),MAX(O68-LARGE(O$3:O$231,WRCount),0)),0)</f>
        <v>-11.209999999999994</v>
      </c>
      <c r="S68" s="108">
        <f ca="1">(R68-Q68)*BenchPF+Q68*StarterPF</f>
        <v>-2.6847484688796501</v>
      </c>
      <c r="T68" s="108">
        <f ca="1">S68*Auction!$A$2</f>
        <v>-2.6847484688796501</v>
      </c>
      <c r="U68" s="25" t="str">
        <f>IF(OR(INDEX(Auction!$H$13:$H$683,MATCH(B68,Auction!$A$13:$A$683,0))&gt;0,IFERROR(INDEX(CheatSheet!$V$5:$V$64,MATCH(B68,CheatSheet!$S$5:$S$64,0)),"")&lt;&gt;""),"Yes","No")</f>
        <v>No</v>
      </c>
      <c r="V68" s="218"/>
      <c r="W68" s="1"/>
      <c r="X68" s="143">
        <f ca="1">IFERROR(SUMIFS($Y$3:$Y296,$Y$3:$Y$231,"&gt;0",$U$3:$U$231,"No")/SUMIF($Y$3:$Y$231,"&gt;0"),0)</f>
        <v>0</v>
      </c>
      <c r="Y68" s="1">
        <f t="shared" ref="Y68:Y131" ca="1" si="1">AVERAGE(Q68:R68)</f>
        <v>-5.6049999999999969</v>
      </c>
      <c r="Z68" s="145" t="str">
        <f ca="1">CONCATENATE("WR",ROUND((LARGE($Y$3:$Y$231,1)-$Y68)/(STDEVP($Y$3:$Y$231)/2)+1,0))</f>
        <v>WR8</v>
      </c>
      <c r="AA68" s="1">
        <f ca="1">Y68*LeagueInfo!$H$5</f>
        <v>-2.563395902679543</v>
      </c>
      <c r="AB68" s="1"/>
      <c r="AC68" s="1"/>
    </row>
    <row r="69" spans="1:29" ht="15.75" thickBot="1" x14ac:dyDescent="0.3">
      <c r="A69" s="47">
        <f>RANK(O69,O$3:O$231)</f>
        <v>67</v>
      </c>
      <c r="B69" s="1" t="s">
        <v>575</v>
      </c>
      <c r="C69" s="1" t="s">
        <v>39</v>
      </c>
      <c r="D69" s="1">
        <f>VLOOKUP(E69,BYEs!$A$2:$B$34,2,FALSE)</f>
        <v>9</v>
      </c>
      <c r="E69" s="1" t="s">
        <v>376</v>
      </c>
      <c r="F69" s="249">
        <v>0</v>
      </c>
      <c r="G69" s="250">
        <v>0</v>
      </c>
      <c r="H69" s="251">
        <v>1.1000000000000001</v>
      </c>
      <c r="I69" s="251">
        <v>5.0999999999999996</v>
      </c>
      <c r="J69" s="251">
        <v>0</v>
      </c>
      <c r="K69" s="249">
        <v>46.3</v>
      </c>
      <c r="L69" s="247">
        <v>568.4</v>
      </c>
      <c r="M69" s="250">
        <v>3</v>
      </c>
      <c r="N69" s="251">
        <v>0.2</v>
      </c>
      <c r="O69" s="252">
        <f>(I69*WRRushingYd)+(J69*WRRushingTD)+(K69*WRRec)+(L69*WRRecYd)+(M69*WRRecTD)+(N69*WRFuml)+(H69*WRRushAtt)</f>
        <v>74.949999999999989</v>
      </c>
      <c r="P69" s="1" t="str">
        <f ca="1">IF(A69&lt;=WRStarters,"Starter",IF(A69&gt;WRStarters+WRBench,"Undrafted","Bench"))</f>
        <v>Undrafted</v>
      </c>
      <c r="Q69" s="47">
        <f ca="1">IFERROR(MAX(O69-LARGE(O$3:O$231,WRStarters),0),0)</f>
        <v>0</v>
      </c>
      <c r="R69" s="47">
        <f ca="1">IFERROR(IF(AllowNegative="Yes",O69-LARGE(O$3:O$231,WRCount),MAX(O69-LARGE(O$3:O$231,WRCount),0)),0)</f>
        <v>-14.670000000000016</v>
      </c>
      <c r="S69" s="108">
        <f ca="1">(R69-Q69)*BenchPF+Q69*StarterPF</f>
        <v>-3.5134041069103064</v>
      </c>
      <c r="T69" s="108">
        <f ca="1">S69*Auction!$A$2</f>
        <v>-3.5134041069103064</v>
      </c>
      <c r="U69" s="25" t="str">
        <f>IF(OR(INDEX(Auction!$H$13:$H$683,MATCH(B69,Auction!$A$13:$A$683,0))&gt;0,IFERROR(INDEX(CheatSheet!$V$5:$V$64,MATCH(B69,CheatSheet!$S$5:$S$64,0)),"")&lt;&gt;""),"Yes","No")</f>
        <v>No</v>
      </c>
      <c r="V69" s="218"/>
      <c r="W69" s="1"/>
      <c r="X69" s="143">
        <f ca="1">IFERROR(SUMIFS($Y$3:$Y297,$Y$3:$Y$231,"&gt;0",$U$3:$U$231,"No")/SUMIF($Y$3:$Y$231,"&gt;0"),0)</f>
        <v>0</v>
      </c>
      <c r="Y69" s="1">
        <f t="shared" ca="1" si="1"/>
        <v>-7.335000000000008</v>
      </c>
      <c r="Z69" s="145" t="str">
        <f ca="1">CONCATENATE("WR",ROUND((LARGE($Y$3:$Y$231,1)-$Y69)/(STDEVP($Y$3:$Y$231)/2)+1,0))</f>
        <v>WR8</v>
      </c>
      <c r="AA69" s="1">
        <f ca="1">Y69*LeagueInfo!$H$5</f>
        <v>-3.3545957085021372</v>
      </c>
      <c r="AB69" s="1"/>
      <c r="AC69" s="1"/>
    </row>
    <row r="70" spans="1:29" ht="15.75" thickBot="1" x14ac:dyDescent="0.3">
      <c r="A70" s="47">
        <f>RANK(O70,O$3:O$231)</f>
        <v>68</v>
      </c>
      <c r="B70" s="1" t="s">
        <v>565</v>
      </c>
      <c r="C70" s="1" t="s">
        <v>39</v>
      </c>
      <c r="D70" s="1">
        <f>VLOOKUP(E70,BYEs!$A$2:$B$34,2,FALSE)</f>
        <v>7</v>
      </c>
      <c r="E70" s="1" t="s">
        <v>362</v>
      </c>
      <c r="F70" s="249">
        <v>0</v>
      </c>
      <c r="G70" s="250">
        <v>0</v>
      </c>
      <c r="H70" s="251">
        <v>0</v>
      </c>
      <c r="I70" s="251">
        <v>0</v>
      </c>
      <c r="J70" s="251">
        <v>0</v>
      </c>
      <c r="K70" s="249">
        <v>42.5</v>
      </c>
      <c r="L70" s="247">
        <v>534.5</v>
      </c>
      <c r="M70" s="250">
        <v>3.6</v>
      </c>
      <c r="N70" s="251">
        <v>0.2</v>
      </c>
      <c r="O70" s="252">
        <f>(I70*WRRushingYd)+(J70*WRRushingTD)+(K70*WRRec)+(L70*WRRecYd)+(M70*WRRecTD)+(N70*WRFuml)+(H70*WRRushAtt)</f>
        <v>74.650000000000006</v>
      </c>
      <c r="P70" s="1" t="str">
        <f ca="1">IF(A70&lt;=WRStarters,"Starter",IF(A70&gt;WRStarters+WRBench,"Undrafted","Bench"))</f>
        <v>Undrafted</v>
      </c>
      <c r="Q70" s="47">
        <f ca="1">IFERROR(MAX(O70-LARGE(O$3:O$231,WRStarters),0),0)</f>
        <v>0</v>
      </c>
      <c r="R70" s="47">
        <f ca="1">IFERROR(IF(AllowNegative="Yes",O70-LARGE(O$3:O$231,WRCount),MAX(O70-LARGE(O$3:O$231,WRCount),0)),0)</f>
        <v>-14.969999999999999</v>
      </c>
      <c r="S70" s="108">
        <f ca="1">(R70-Q70)*BenchPF+Q70*StarterPF</f>
        <v>-3.5852528616528443</v>
      </c>
      <c r="T70" s="108">
        <f ca="1">S70*Auction!$A$2</f>
        <v>-3.5852528616528443</v>
      </c>
      <c r="U70" s="25" t="str">
        <f>IF(OR(INDEX(Auction!$H$13:$H$683,MATCH(B70,Auction!$A$13:$A$683,0))&gt;0,IFERROR(INDEX(CheatSheet!$V$5:$V$64,MATCH(B70,CheatSheet!$S$5:$S$64,0)),"")&lt;&gt;""),"Yes","No")</f>
        <v>No</v>
      </c>
      <c r="V70" s="218"/>
      <c r="W70" s="1"/>
      <c r="X70" s="143">
        <f ca="1">IFERROR(SUMIFS($Y$3:$Y298,$Y$3:$Y$231,"&gt;0",$U$3:$U$231,"No")/SUMIF($Y$3:$Y$231,"&gt;0"),0)</f>
        <v>0</v>
      </c>
      <c r="Y70" s="1">
        <f t="shared" ca="1" si="1"/>
        <v>-7.4849999999999994</v>
      </c>
      <c r="Z70" s="145" t="str">
        <f ca="1">CONCATENATE("WR",ROUND((LARGE($Y$3:$Y$231,1)-$Y70)/(STDEVP($Y$3:$Y$231)/2)+1,0))</f>
        <v>WR8</v>
      </c>
      <c r="AA70" s="1">
        <f ca="1">Y70*LeagueInfo!$H$5</f>
        <v>-3.4231968477353054</v>
      </c>
      <c r="AB70" s="1"/>
      <c r="AC70" s="1"/>
    </row>
    <row r="71" spans="1:29" ht="15.75" thickBot="1" x14ac:dyDescent="0.3">
      <c r="A71" s="47">
        <f>RANK(O71,O$3:O$231)</f>
        <v>69</v>
      </c>
      <c r="B71" s="1" t="s">
        <v>558</v>
      </c>
      <c r="C71" s="1" t="s">
        <v>39</v>
      </c>
      <c r="D71" s="1">
        <f>VLOOKUP(E71,BYEs!$A$2:$B$34,2,FALSE)</f>
        <v>6</v>
      </c>
      <c r="E71" s="1" t="s">
        <v>360</v>
      </c>
      <c r="F71" s="249">
        <v>0</v>
      </c>
      <c r="G71" s="250">
        <v>0</v>
      </c>
      <c r="H71" s="251">
        <v>0</v>
      </c>
      <c r="I71" s="251">
        <v>0</v>
      </c>
      <c r="J71" s="251">
        <v>0</v>
      </c>
      <c r="K71" s="249">
        <v>39.299999999999997</v>
      </c>
      <c r="L71" s="247">
        <v>560.70000000000005</v>
      </c>
      <c r="M71" s="250">
        <v>3.2</v>
      </c>
      <c r="N71" s="251">
        <v>0.6</v>
      </c>
      <c r="O71" s="252">
        <f>(I71*WRRushingYd)+(J71*WRRushingTD)+(K71*WRRec)+(L71*WRRecYd)+(M71*WRRecTD)+(N71*WRFuml)+(H71*WRRushAtt)</f>
        <v>74.070000000000007</v>
      </c>
      <c r="P71" s="1" t="str">
        <f ca="1">IF(A71&lt;=WRStarters,"Starter",IF(A71&gt;WRStarters+WRBench,"Undrafted","Bench"))</f>
        <v>Undrafted</v>
      </c>
      <c r="Q71" s="47">
        <f ca="1">IFERROR(MAX(O71-LARGE(O$3:O$231,WRStarters),0),0)</f>
        <v>0</v>
      </c>
      <c r="R71" s="47">
        <f ca="1">IFERROR(IF(AllowNegative="Yes",O71-LARGE(O$3:O$231,WRCount),MAX(O71-LARGE(O$3:O$231,WRCount),0)),0)</f>
        <v>-15.549999999999997</v>
      </c>
      <c r="S71" s="108">
        <f ca="1">(R71-Q71)*BenchPF+Q71*StarterPF</f>
        <v>-3.7241604541550917</v>
      </c>
      <c r="T71" s="108">
        <f ca="1">S71*Auction!$A$2</f>
        <v>-3.7241604541550917</v>
      </c>
      <c r="U71" s="25" t="str">
        <f>IF(OR(INDEX(Auction!$H$13:$H$683,MATCH(B71,Auction!$A$13:$A$683,0))&gt;0,IFERROR(INDEX(CheatSheet!$V$5:$V$64,MATCH(B71,CheatSheet!$S$5:$S$64,0)),"")&lt;&gt;""),"Yes","No")</f>
        <v>No</v>
      </c>
      <c r="V71" s="218"/>
      <c r="W71" s="1"/>
      <c r="X71" s="143">
        <f ca="1">IFERROR(SUMIFS($Y$3:$Y299,$Y$3:$Y$231,"&gt;0",$U$3:$U$231,"No")/SUMIF($Y$3:$Y$231,"&gt;0"),0)</f>
        <v>0</v>
      </c>
      <c r="Y71" s="1">
        <f t="shared" ca="1" si="1"/>
        <v>-7.7749999999999986</v>
      </c>
      <c r="Z71" s="145" t="str">
        <f ca="1">CONCATENATE("WR",ROUND((LARGE($Y$3:$Y$231,1)-$Y71)/(STDEVP($Y$3:$Y$231)/2)+1,0))</f>
        <v>WR8</v>
      </c>
      <c r="AA71" s="1">
        <f ca="1">Y71*LeagueInfo!$H$5</f>
        <v>-3.5558257169194385</v>
      </c>
      <c r="AB71" s="1"/>
      <c r="AC71" s="1"/>
    </row>
    <row r="72" spans="1:29" ht="15.75" thickBot="1" x14ac:dyDescent="0.3">
      <c r="A72" s="47">
        <f>RANK(O72,O$3:O$231)</f>
        <v>70</v>
      </c>
      <c r="B72" s="1" t="s">
        <v>276</v>
      </c>
      <c r="C72" s="1" t="s">
        <v>39</v>
      </c>
      <c r="D72" s="1">
        <f>VLOOKUP(E72,BYEs!$A$2:$B$34,2,FALSE)</f>
        <v>5</v>
      </c>
      <c r="E72" s="1" t="s">
        <v>358</v>
      </c>
      <c r="F72" s="249">
        <v>0</v>
      </c>
      <c r="G72" s="250">
        <v>0</v>
      </c>
      <c r="H72" s="251">
        <v>0</v>
      </c>
      <c r="I72" s="251">
        <v>0</v>
      </c>
      <c r="J72" s="251">
        <v>0</v>
      </c>
      <c r="K72" s="249">
        <v>38.700000000000003</v>
      </c>
      <c r="L72" s="247">
        <v>541.1</v>
      </c>
      <c r="M72" s="250">
        <v>3.1</v>
      </c>
      <c r="N72" s="251">
        <v>0.3</v>
      </c>
      <c r="O72" s="252">
        <f>(I72*WRRushingYd)+(J72*WRRushingTD)+(K72*WRRec)+(L72*WRRecYd)+(M72*WRRecTD)+(N72*WRFuml)+(H72*WRRushAtt)</f>
        <v>72.110000000000014</v>
      </c>
      <c r="P72" s="1" t="str">
        <f ca="1">IF(A72&lt;=WRStarters,"Starter",IF(A72&gt;WRStarters+WRBench,"Undrafted","Bench"))</f>
        <v>Undrafted</v>
      </c>
      <c r="Q72" s="47">
        <f ca="1">IFERROR(MAX(O72-LARGE(O$3:O$231,WRStarters),0),0)</f>
        <v>0</v>
      </c>
      <c r="R72" s="47">
        <f ca="1">IFERROR(IF(AllowNegative="Yes",O72-LARGE(O$3:O$231,WRCount),MAX(O72-LARGE(O$3:O$231,WRCount),0)),0)</f>
        <v>-17.509999999999991</v>
      </c>
      <c r="S72" s="108">
        <f ca="1">(R72-Q72)*BenchPF+Q72*StarterPF</f>
        <v>-4.1935723184730307</v>
      </c>
      <c r="T72" s="108">
        <f ca="1">S72*Auction!$A$2</f>
        <v>-4.1935723184730307</v>
      </c>
      <c r="U72" s="25" t="str">
        <f>IF(OR(INDEX(Auction!$H$13:$H$683,MATCH(B72,Auction!$A$13:$A$683,0))&gt;0,IFERROR(INDEX(CheatSheet!$V$5:$V$64,MATCH(B72,CheatSheet!$S$5:$S$64,0)),"")&lt;&gt;""),"Yes","No")</f>
        <v>No</v>
      </c>
      <c r="V72" s="218"/>
      <c r="W72" s="1"/>
      <c r="X72" s="143">
        <f ca="1">IFERROR(SUMIFS($Y$3:$Y300,$Y$3:$Y$231,"&gt;0",$U$3:$U$231,"No")/SUMIF($Y$3:$Y$231,"&gt;0"),0)</f>
        <v>0</v>
      </c>
      <c r="Y72" s="1">
        <f t="shared" ca="1" si="1"/>
        <v>-8.7549999999999955</v>
      </c>
      <c r="Z72" s="145" t="str">
        <f ca="1">CONCATENATE("WR",ROUND((LARGE($Y$3:$Y$231,1)-$Y72)/(STDEVP($Y$3:$Y$231)/2)+1,0))</f>
        <v>WR8</v>
      </c>
      <c r="AA72" s="1">
        <f ca="1">Y72*LeagueInfo!$H$5</f>
        <v>-4.0040198265761635</v>
      </c>
      <c r="AB72" s="1"/>
      <c r="AC72" s="1"/>
    </row>
    <row r="73" spans="1:29" ht="15.75" thickBot="1" x14ac:dyDescent="0.3">
      <c r="A73" s="47">
        <f>RANK(O73,O$3:O$231)</f>
        <v>71</v>
      </c>
      <c r="B73" s="1" t="s">
        <v>567</v>
      </c>
      <c r="C73" s="1" t="s">
        <v>39</v>
      </c>
      <c r="D73" s="1">
        <f>VLOOKUP(E73,BYEs!$A$2:$B$34,2,FALSE)</f>
        <v>11</v>
      </c>
      <c r="E73" s="1" t="s">
        <v>378</v>
      </c>
      <c r="F73" s="249">
        <v>0</v>
      </c>
      <c r="G73" s="250">
        <v>0</v>
      </c>
      <c r="H73" s="251">
        <v>0.5</v>
      </c>
      <c r="I73" s="251">
        <v>2.9</v>
      </c>
      <c r="J73" s="251">
        <v>0</v>
      </c>
      <c r="K73" s="249">
        <v>36.299999999999997</v>
      </c>
      <c r="L73" s="247">
        <v>534.9</v>
      </c>
      <c r="M73" s="250">
        <v>2.9</v>
      </c>
      <c r="N73" s="251">
        <v>0.2</v>
      </c>
      <c r="O73" s="252">
        <f>(I73*WRRushingYd)+(J73*WRRushingTD)+(K73*WRRec)+(L73*WRRecYd)+(M73*WRRecTD)+(N73*WRFuml)+(H73*WRRushAtt)</f>
        <v>70.78</v>
      </c>
      <c r="P73" s="1" t="str">
        <f ca="1">IF(A73&lt;=WRStarters,"Starter",IF(A73&gt;WRStarters+WRBench,"Undrafted","Bench"))</f>
        <v>Undrafted</v>
      </c>
      <c r="Q73" s="47">
        <f ca="1">IFERROR(MAX(O73-LARGE(O$3:O$231,WRStarters),0),0)</f>
        <v>0</v>
      </c>
      <c r="R73" s="47">
        <f ca="1">IFERROR(IF(AllowNegative="Yes",O73-LARGE(O$3:O$231,WRCount),MAX(O73-LARGE(O$3:O$231,WRCount),0)),0)</f>
        <v>-18.840000000000003</v>
      </c>
      <c r="S73" s="108">
        <f ca="1">(R73-Q73)*BenchPF+Q73*StarterPF</f>
        <v>-4.5121017978316367</v>
      </c>
      <c r="T73" s="108">
        <f ca="1">S73*Auction!$A$2</f>
        <v>-4.5121017978316367</v>
      </c>
      <c r="U73" s="25" t="str">
        <f>IF(OR(INDEX(Auction!$H$13:$H$683,MATCH(B73,Auction!$A$13:$A$683,0))&gt;0,IFERROR(INDEX(CheatSheet!$V$5:$V$64,MATCH(B73,CheatSheet!$S$5:$S$64,0)),"")&lt;&gt;""),"Yes","No")</f>
        <v>No</v>
      </c>
      <c r="V73" s="218"/>
      <c r="W73" s="1"/>
      <c r="X73" s="143">
        <f ca="1">IFERROR(SUMIFS($Y$3:$Y301,$Y$3:$Y$231,"&gt;0",$U$3:$U$231,"No")/SUMIF($Y$3:$Y$231,"&gt;0"),0)</f>
        <v>0</v>
      </c>
      <c r="Y73" s="1">
        <f t="shared" ca="1" si="1"/>
        <v>-9.4200000000000017</v>
      </c>
      <c r="Z73" s="145" t="str">
        <f ca="1">CONCATENATE("WR",ROUND((LARGE($Y$3:$Y$231,1)-$Y73)/(STDEVP($Y$3:$Y$231)/2)+1,0))</f>
        <v>WR8</v>
      </c>
      <c r="AA73" s="1">
        <f ca="1">Y73*LeagueInfo!$H$5</f>
        <v>-4.3081515438432314</v>
      </c>
      <c r="AB73" s="1"/>
      <c r="AC73" s="1"/>
    </row>
    <row r="74" spans="1:29" ht="15.75" thickBot="1" x14ac:dyDescent="0.3">
      <c r="A74" s="47">
        <f>RANK(O74,O$3:O$231)</f>
        <v>72</v>
      </c>
      <c r="B74" s="1" t="s">
        <v>559</v>
      </c>
      <c r="C74" s="1" t="s">
        <v>39</v>
      </c>
      <c r="D74" s="1">
        <f>VLOOKUP(E74,BYEs!$A$2:$B$34,2,FALSE)</f>
        <v>10</v>
      </c>
      <c r="E74" s="1" t="s">
        <v>372</v>
      </c>
      <c r="F74" s="249">
        <v>0</v>
      </c>
      <c r="G74" s="250">
        <v>0</v>
      </c>
      <c r="H74" s="251">
        <v>0</v>
      </c>
      <c r="I74" s="251">
        <v>0</v>
      </c>
      <c r="J74" s="251">
        <v>0</v>
      </c>
      <c r="K74" s="249">
        <v>44.5</v>
      </c>
      <c r="L74" s="247">
        <v>533.9</v>
      </c>
      <c r="M74" s="250">
        <v>2.8</v>
      </c>
      <c r="N74" s="251">
        <v>0.2</v>
      </c>
      <c r="O74" s="252">
        <f>(I74*WRRushingYd)+(J74*WRRushingTD)+(K74*WRRec)+(L74*WRRecYd)+(M74*WRRecTD)+(N74*WRFuml)+(H74*WRRushAtt)</f>
        <v>69.789999999999992</v>
      </c>
      <c r="P74" s="1" t="str">
        <f ca="1">IF(A74&lt;=WRStarters,"Starter",IF(A74&gt;WRStarters+WRBench,"Undrafted","Bench"))</f>
        <v>Undrafted</v>
      </c>
      <c r="Q74" s="47">
        <f ca="1">IFERROR(MAX(O74-LARGE(O$3:O$231,WRStarters),0),0)</f>
        <v>0</v>
      </c>
      <c r="R74" s="47">
        <f ca="1">IFERROR(IF(AllowNegative="Yes",O74-LARGE(O$3:O$231,WRCount),MAX(O74-LARGE(O$3:O$231,WRCount),0)),0)</f>
        <v>-19.830000000000013</v>
      </c>
      <c r="S74" s="108">
        <f ca="1">(R74-Q74)*BenchPF+Q74*StarterPF</f>
        <v>-4.7492026884820273</v>
      </c>
      <c r="T74" s="108">
        <f ca="1">S74*Auction!$A$2</f>
        <v>-4.7492026884820273</v>
      </c>
      <c r="U74" s="25" t="str">
        <f>IF(OR(INDEX(Auction!$H$13:$H$683,MATCH(B74,Auction!$A$13:$A$683,0))&gt;0,IFERROR(INDEX(CheatSheet!$V$5:$V$64,MATCH(B74,CheatSheet!$S$5:$S$64,0)),"")&lt;&gt;""),"Yes","No")</f>
        <v>No</v>
      </c>
      <c r="V74" s="218"/>
      <c r="W74" s="1"/>
      <c r="X74" s="143">
        <f ca="1">IFERROR(SUMIFS($Y$3:$Y302,$Y$3:$Y$231,"&gt;0",$U$3:$U$231,"No")/SUMIF($Y$3:$Y$231,"&gt;0"),0)</f>
        <v>0</v>
      </c>
      <c r="Y74" s="1">
        <f t="shared" ca="1" si="1"/>
        <v>-9.9150000000000063</v>
      </c>
      <c r="Z74" s="145" t="str">
        <f ca="1">CONCATENATE("WR",ROUND((LARGE($Y$3:$Y$231,1)-$Y74)/(STDEVP($Y$3:$Y$231)/2)+1,0))</f>
        <v>WR8</v>
      </c>
      <c r="AA74" s="1">
        <f ca="1">Y74*LeagueInfo!$H$5</f>
        <v>-4.5345353033127029</v>
      </c>
      <c r="AB74" s="1"/>
      <c r="AC74" s="1"/>
    </row>
    <row r="75" spans="1:29" ht="15.75" thickBot="1" x14ac:dyDescent="0.3">
      <c r="A75" s="47">
        <f>RANK(O75,O$3:O$231)</f>
        <v>73</v>
      </c>
      <c r="B75" s="1" t="s">
        <v>552</v>
      </c>
      <c r="C75" s="1" t="s">
        <v>39</v>
      </c>
      <c r="D75" s="1">
        <f>VLOOKUP(E75,BYEs!$A$2:$B$34,2,FALSE)</f>
        <v>8</v>
      </c>
      <c r="E75" s="1" t="s">
        <v>380</v>
      </c>
      <c r="F75" s="249">
        <v>0</v>
      </c>
      <c r="G75" s="250">
        <v>0</v>
      </c>
      <c r="H75" s="251">
        <v>21.9</v>
      </c>
      <c r="I75" s="251">
        <v>132.6</v>
      </c>
      <c r="J75" s="251">
        <v>0.9</v>
      </c>
      <c r="K75" s="249">
        <v>39.299999999999997</v>
      </c>
      <c r="L75" s="247">
        <v>394</v>
      </c>
      <c r="M75" s="250">
        <v>2.2000000000000002</v>
      </c>
      <c r="N75" s="251">
        <v>1.3</v>
      </c>
      <c r="O75" s="252">
        <f>(I75*WRRushingYd)+(J75*WRRushingTD)+(K75*WRRec)+(L75*WRRecYd)+(M75*WRRecTD)+(N75*WRFuml)+(H75*WRRushAtt)</f>
        <v>68.660000000000011</v>
      </c>
      <c r="P75" s="1" t="str">
        <f ca="1">IF(A75&lt;=WRStarters,"Starter",IF(A75&gt;WRStarters+WRBench,"Undrafted","Bench"))</f>
        <v>Undrafted</v>
      </c>
      <c r="Q75" s="47">
        <f ca="1">IFERROR(MAX(O75-LARGE(O$3:O$231,WRStarters),0),0)</f>
        <v>0</v>
      </c>
      <c r="R75" s="47">
        <f ca="1">IFERROR(IF(AllowNegative="Yes",O75-LARGE(O$3:O$231,WRCount),MAX(O75-LARGE(O$3:O$231,WRCount),0)),0)</f>
        <v>-20.959999999999994</v>
      </c>
      <c r="S75" s="108">
        <f ca="1">(R75-Q75)*BenchPF+Q75*StarterPF</f>
        <v>-5.019832998012264</v>
      </c>
      <c r="T75" s="108">
        <f ca="1">S75*Auction!$A$2</f>
        <v>-5.019832998012264</v>
      </c>
      <c r="U75" s="25" t="str">
        <f>IF(OR(INDEX(Auction!$H$13:$H$683,MATCH(B75,Auction!$A$13:$A$683,0))&gt;0,IFERROR(INDEX(CheatSheet!$V$5:$V$64,MATCH(B75,CheatSheet!$S$5:$S$64,0)),"")&lt;&gt;""),"Yes","No")</f>
        <v>No</v>
      </c>
      <c r="V75" s="218"/>
      <c r="W75" s="1"/>
      <c r="X75" s="143">
        <f ca="1">IFERROR(SUMIFS($Y$3:$Y303,$Y$3:$Y$231,"&gt;0",$U$3:$U$231,"No")/SUMIF($Y$3:$Y$231,"&gt;0"),0)</f>
        <v>0</v>
      </c>
      <c r="Y75" s="1">
        <f t="shared" ca="1" si="1"/>
        <v>-10.479999999999997</v>
      </c>
      <c r="Z75" s="145" t="str">
        <f ca="1">CONCATENATE("WR",ROUND((LARGE($Y$3:$Y$231,1)-$Y75)/(STDEVP($Y$3:$Y$231)/2)+1,0))</f>
        <v>WR8</v>
      </c>
      <c r="AA75" s="1">
        <f ca="1">Y75*LeagueInfo!$H$5</f>
        <v>-4.792932927757648</v>
      </c>
      <c r="AB75" s="1"/>
      <c r="AC75" s="1"/>
    </row>
    <row r="76" spans="1:29" ht="15.75" thickBot="1" x14ac:dyDescent="0.3">
      <c r="A76" s="47">
        <f>RANK(O76,O$3:O$231)</f>
        <v>74</v>
      </c>
      <c r="B76" s="1" t="s">
        <v>571</v>
      </c>
      <c r="C76" s="1" t="s">
        <v>39</v>
      </c>
      <c r="D76" s="1">
        <f>VLOOKUP(E76,BYEs!$A$2:$B$34,2,FALSE)</f>
        <v>11</v>
      </c>
      <c r="E76" s="1" t="s">
        <v>382</v>
      </c>
      <c r="F76" s="249">
        <v>0</v>
      </c>
      <c r="G76" s="250">
        <v>0</v>
      </c>
      <c r="H76" s="251">
        <v>0.5</v>
      </c>
      <c r="I76" s="251">
        <v>1.5</v>
      </c>
      <c r="J76" s="251">
        <v>0</v>
      </c>
      <c r="K76" s="249">
        <v>40.5</v>
      </c>
      <c r="L76" s="247">
        <v>520.4</v>
      </c>
      <c r="M76" s="250">
        <v>2.7</v>
      </c>
      <c r="N76" s="251">
        <v>0.3</v>
      </c>
      <c r="O76" s="252">
        <f>(I76*WRRushingYd)+(J76*WRRushingTD)+(K76*WRRec)+(L76*WRRecYd)+(M76*WRRecTD)+(N76*WRFuml)+(H76*WRRushAtt)</f>
        <v>67.790000000000006</v>
      </c>
      <c r="P76" s="1" t="str">
        <f ca="1">IF(A76&lt;=WRStarters,"Starter",IF(A76&gt;WRStarters+WRBench,"Undrafted","Bench"))</f>
        <v>Undrafted</v>
      </c>
      <c r="Q76" s="47">
        <f ca="1">IFERROR(MAX(O76-LARGE(O$3:O$231,WRStarters),0),0)</f>
        <v>0</v>
      </c>
      <c r="R76" s="47">
        <f ca="1">IFERROR(IF(AllowNegative="Yes",O76-LARGE(O$3:O$231,WRCount),MAX(O76-LARGE(O$3:O$231,WRCount),0)),0)</f>
        <v>-21.83</v>
      </c>
      <c r="S76" s="108">
        <f ca="1">(R76-Q76)*BenchPF+Q76*StarterPF</f>
        <v>-5.2281943867656375</v>
      </c>
      <c r="T76" s="108">
        <f ca="1">S76*Auction!$A$2</f>
        <v>-5.2281943867656375</v>
      </c>
      <c r="U76" s="25" t="str">
        <f>IF(OR(INDEX(Auction!$H$13:$H$683,MATCH(B76,Auction!$A$13:$A$683,0))&gt;0,IFERROR(INDEX(CheatSheet!$V$5:$V$64,MATCH(B76,CheatSheet!$S$5:$S$64,0)),"")&lt;&gt;""),"Yes","No")</f>
        <v>No</v>
      </c>
      <c r="V76" s="218"/>
      <c r="W76" s="1"/>
      <c r="X76" s="143">
        <f ca="1">IFERROR(SUMIFS($Y$3:$Y304,$Y$3:$Y$231,"&gt;0",$U$3:$U$231,"No")/SUMIF($Y$3:$Y$231,"&gt;0"),0)</f>
        <v>0</v>
      </c>
      <c r="Y76" s="1">
        <f t="shared" ca="1" si="1"/>
        <v>-10.914999999999999</v>
      </c>
      <c r="Z76" s="145" t="str">
        <f ca="1">CONCATENATE("WR",ROUND((LARGE($Y$3:$Y$231,1)-$Y76)/(STDEVP($Y$3:$Y$231)/2)+1,0))</f>
        <v>WR8</v>
      </c>
      <c r="AA76" s="1">
        <f ca="1">Y76*LeagueInfo!$H$5</f>
        <v>-4.9918762315338494</v>
      </c>
      <c r="AB76" s="1"/>
      <c r="AC76" s="1"/>
    </row>
    <row r="77" spans="1:29" ht="15.75" thickBot="1" x14ac:dyDescent="0.3">
      <c r="A77" s="47">
        <f>RANK(O77,O$3:O$231)</f>
        <v>75</v>
      </c>
      <c r="B77" s="1" t="s">
        <v>563</v>
      </c>
      <c r="C77" s="1" t="s">
        <v>39</v>
      </c>
      <c r="D77" s="1">
        <f>VLOOKUP(E77,BYEs!$A$2:$B$34,2,FALSE)</f>
        <v>6</v>
      </c>
      <c r="E77" s="1" t="s">
        <v>366</v>
      </c>
      <c r="F77" s="249">
        <v>0</v>
      </c>
      <c r="G77" s="250">
        <v>0</v>
      </c>
      <c r="H77" s="251">
        <v>0.3</v>
      </c>
      <c r="I77" s="251">
        <v>0.3</v>
      </c>
      <c r="J77" s="251">
        <v>0</v>
      </c>
      <c r="K77" s="249">
        <v>37.700000000000003</v>
      </c>
      <c r="L77" s="247">
        <v>493.1</v>
      </c>
      <c r="M77" s="250">
        <v>2.8</v>
      </c>
      <c r="N77" s="251">
        <v>0.2</v>
      </c>
      <c r="O77" s="252">
        <f>(I77*WRRushingYd)+(J77*WRRushingTD)+(K77*WRRec)+(L77*WRRecYd)+(M77*WRRecTD)+(N77*WRFuml)+(H77*WRRushAtt)</f>
        <v>65.739999999999995</v>
      </c>
      <c r="P77" s="1" t="str">
        <f ca="1">IF(A77&lt;=WRStarters,"Starter",IF(A77&gt;WRStarters+WRBench,"Undrafted","Bench"))</f>
        <v>Undrafted</v>
      </c>
      <c r="Q77" s="47">
        <f ca="1">IFERROR(MAX(O77-LARGE(O$3:O$231,WRStarters),0),0)</f>
        <v>0</v>
      </c>
      <c r="R77" s="47">
        <f ca="1">IFERROR(IF(AllowNegative="Yes",O77-LARGE(O$3:O$231,WRCount),MAX(O77-LARGE(O$3:O$231,WRCount),0)),0)</f>
        <v>-23.88000000000001</v>
      </c>
      <c r="S77" s="108">
        <f ca="1">(R77-Q77)*BenchPF+Q77*StarterPF</f>
        <v>-5.7191608775063436</v>
      </c>
      <c r="T77" s="108">
        <f ca="1">S77*Auction!$A$2</f>
        <v>-5.7191608775063436</v>
      </c>
      <c r="U77" s="25" t="str">
        <f>IF(OR(INDEX(Auction!$H$13:$H$683,MATCH(B77,Auction!$A$13:$A$683,0))&gt;0,IFERROR(INDEX(CheatSheet!$V$5:$V$64,MATCH(B77,CheatSheet!$S$5:$S$64,0)),"")&lt;&gt;""),"Yes","No")</f>
        <v>No</v>
      </c>
      <c r="V77" s="218"/>
      <c r="W77" s="1"/>
      <c r="X77" s="143">
        <f ca="1">IFERROR(SUMIFS($Y$3:$Y305,$Y$3:$Y$231,"&gt;0",$U$3:$U$231,"No")/SUMIF($Y$3:$Y$231,"&gt;0"),0)</f>
        <v>0</v>
      </c>
      <c r="Y77" s="1">
        <f t="shared" ca="1" si="1"/>
        <v>-11.940000000000005</v>
      </c>
      <c r="Z77" s="145" t="str">
        <f ca="1">CONCATENATE("WR",ROUND((LARGE($Y$3:$Y$231,1)-$Y77)/(STDEVP($Y$3:$Y$231)/2)+1,0))</f>
        <v>WR8</v>
      </c>
      <c r="AA77" s="1">
        <f ca="1">Y77*LeagueInfo!$H$5</f>
        <v>-5.4606506829605301</v>
      </c>
      <c r="AB77" s="1"/>
      <c r="AC77" s="1"/>
    </row>
    <row r="78" spans="1:29" ht="15.75" thickBot="1" x14ac:dyDescent="0.3">
      <c r="A78" s="47">
        <f>RANK(O78,O$3:O$231)</f>
        <v>76</v>
      </c>
      <c r="B78" s="1" t="s">
        <v>228</v>
      </c>
      <c r="C78" s="1" t="s">
        <v>39</v>
      </c>
      <c r="D78" s="1">
        <f>VLOOKUP(E78,BYEs!$A$2:$B$34,2,FALSE)</f>
        <v>6</v>
      </c>
      <c r="E78" s="1" t="s">
        <v>366</v>
      </c>
      <c r="F78" s="249">
        <v>0</v>
      </c>
      <c r="G78" s="250">
        <v>0</v>
      </c>
      <c r="H78" s="251">
        <v>2.8</v>
      </c>
      <c r="I78" s="251">
        <v>13.7</v>
      </c>
      <c r="J78" s="251">
        <v>0</v>
      </c>
      <c r="K78" s="249">
        <v>38.4</v>
      </c>
      <c r="L78" s="247">
        <v>485.8</v>
      </c>
      <c r="M78" s="250">
        <v>2.7</v>
      </c>
      <c r="N78" s="251">
        <v>0.3</v>
      </c>
      <c r="O78" s="252">
        <f>(I78*WRRushingYd)+(J78*WRRushingTD)+(K78*WRRec)+(L78*WRRecYd)+(M78*WRRecTD)+(N78*WRFuml)+(H78*WRRushAtt)</f>
        <v>65.550000000000011</v>
      </c>
      <c r="P78" s="1" t="str">
        <f ca="1">IF(A78&lt;=WRStarters,"Starter",IF(A78&gt;WRStarters+WRBench,"Undrafted","Bench"))</f>
        <v>Undrafted</v>
      </c>
      <c r="Q78" s="47">
        <f ca="1">IFERROR(MAX(O78-LARGE(O$3:O$231,WRStarters),0),0)</f>
        <v>0</v>
      </c>
      <c r="R78" s="47">
        <f ca="1">IFERROR(IF(AllowNegative="Yes",O78-LARGE(O$3:O$231,WRCount),MAX(O78-LARGE(O$3:O$231,WRCount),0)),0)</f>
        <v>-24.069999999999993</v>
      </c>
      <c r="S78" s="108">
        <f ca="1">(R78-Q78)*BenchPF+Q78*StarterPF</f>
        <v>-5.7646650888432829</v>
      </c>
      <c r="T78" s="108">
        <f ca="1">S78*Auction!$A$2</f>
        <v>-5.7646650888432829</v>
      </c>
      <c r="U78" s="25" t="str">
        <f>IF(OR(INDEX(Auction!$H$13:$H$683,MATCH(B78,Auction!$A$13:$A$683,0))&gt;0,IFERROR(INDEX(CheatSheet!$V$5:$V$64,MATCH(B78,CheatSheet!$S$5:$S$64,0)),"")&lt;&gt;""),"Yes","No")</f>
        <v>No</v>
      </c>
      <c r="V78" s="218"/>
      <c r="W78" s="1"/>
      <c r="X78" s="143">
        <f ca="1">IFERROR(SUMIFS($Y$3:$Y306,$Y$3:$Y$231,"&gt;0",$U$3:$U$231,"No")/SUMIF($Y$3:$Y$231,"&gt;0"),0)</f>
        <v>0</v>
      </c>
      <c r="Y78" s="1">
        <f t="shared" ca="1" si="1"/>
        <v>-12.034999999999997</v>
      </c>
      <c r="Z78" s="145" t="str">
        <f ca="1">CONCATENATE("WR",ROUND((LARGE($Y$3:$Y$231,1)-$Y78)/(STDEVP($Y$3:$Y$231)/2)+1,0))</f>
        <v>WR8</v>
      </c>
      <c r="AA78" s="1">
        <f ca="1">Y78*LeagueInfo!$H$5</f>
        <v>-5.5040980711415353</v>
      </c>
      <c r="AB78" s="1"/>
      <c r="AC78" s="1"/>
    </row>
    <row r="79" spans="1:29" ht="15.75" thickBot="1" x14ac:dyDescent="0.3">
      <c r="A79" s="47">
        <f>RANK(O79,O$3:O$231)</f>
        <v>77</v>
      </c>
      <c r="B79" s="1" t="s">
        <v>556</v>
      </c>
      <c r="C79" s="1" t="s">
        <v>39</v>
      </c>
      <c r="D79" s="1">
        <f>VLOOKUP(E79,BYEs!$A$2:$B$34,2,FALSE)</f>
        <v>8</v>
      </c>
      <c r="E79" s="1" t="s">
        <v>380</v>
      </c>
      <c r="F79" s="249">
        <v>0</v>
      </c>
      <c r="G79" s="250">
        <v>0</v>
      </c>
      <c r="H79" s="251">
        <v>0</v>
      </c>
      <c r="I79" s="251">
        <v>0.3</v>
      </c>
      <c r="J79" s="251">
        <v>0</v>
      </c>
      <c r="K79" s="249">
        <v>40.700000000000003</v>
      </c>
      <c r="L79" s="247">
        <v>485.2</v>
      </c>
      <c r="M79" s="250">
        <v>2.6</v>
      </c>
      <c r="N79" s="251">
        <v>0.3</v>
      </c>
      <c r="O79" s="252">
        <f>(I79*WRRushingYd)+(J79*WRRushingTD)+(K79*WRRec)+(L79*WRRecYd)+(M79*WRRecTD)+(N79*WRFuml)+(H79*WRRushAtt)</f>
        <v>63.550000000000004</v>
      </c>
      <c r="P79" s="1" t="str">
        <f ca="1">IF(A79&lt;=WRStarters,"Starter",IF(A79&gt;WRStarters+WRBench,"Undrafted","Bench"))</f>
        <v>Undrafted</v>
      </c>
      <c r="Q79" s="47">
        <f ca="1">IFERROR(MAX(O79-LARGE(O$3:O$231,WRStarters),0),0)</f>
        <v>0</v>
      </c>
      <c r="R79" s="47">
        <f ca="1">IFERROR(IF(AllowNegative="Yes",O79-LARGE(O$3:O$231,WRCount),MAX(O79-LARGE(O$3:O$231,WRCount),0)),0)</f>
        <v>-26.07</v>
      </c>
      <c r="S79" s="108">
        <f ca="1">(R79-Q79)*BenchPF+Q79*StarterPF</f>
        <v>-6.2436567871268975</v>
      </c>
      <c r="T79" s="108">
        <f ca="1">S79*Auction!$A$2</f>
        <v>-6.2436567871268975</v>
      </c>
      <c r="U79" s="25" t="str">
        <f>IF(OR(INDEX(Auction!$H$13:$H$683,MATCH(B79,Auction!$A$13:$A$683,0))&gt;0,IFERROR(INDEX(CheatSheet!$V$5:$V$64,MATCH(B79,CheatSheet!$S$5:$S$64,0)),"")&lt;&gt;""),"Yes","No")</f>
        <v>No</v>
      </c>
      <c r="V79" s="218"/>
      <c r="W79" s="1"/>
      <c r="X79" s="143">
        <f ca="1">IFERROR(SUMIFS($Y$3:$Y307,$Y$3:$Y$231,"&gt;0",$U$3:$U$231,"No")/SUMIF($Y$3:$Y$231,"&gt;0"),0)</f>
        <v>0</v>
      </c>
      <c r="Y79" s="1">
        <f t="shared" ca="1" si="1"/>
        <v>-13.035</v>
      </c>
      <c r="Z79" s="145" t="str">
        <f ca="1">CONCATENATE("WR",ROUND((LARGE($Y$3:$Y$231,1)-$Y79)/(STDEVP($Y$3:$Y$231)/2)+1,0))</f>
        <v>WR9</v>
      </c>
      <c r="AA79" s="1">
        <f ca="1">Y79*LeagueInfo!$H$5</f>
        <v>-5.9614389993626871</v>
      </c>
      <c r="AB79" s="1"/>
      <c r="AC79" s="1"/>
    </row>
    <row r="80" spans="1:29" ht="15.75" thickBot="1" x14ac:dyDescent="0.3">
      <c r="A80" s="47">
        <f>RANK(O80,O$3:O$231)</f>
        <v>78</v>
      </c>
      <c r="B80" s="1" t="s">
        <v>564</v>
      </c>
      <c r="C80" s="1" t="s">
        <v>39</v>
      </c>
      <c r="D80" s="1">
        <f>VLOOKUP(E80,BYEs!$A$2:$B$34,2,FALSE)</f>
        <v>10</v>
      </c>
      <c r="E80" s="1" t="s">
        <v>365</v>
      </c>
      <c r="F80" s="249">
        <v>0</v>
      </c>
      <c r="G80" s="250">
        <v>0</v>
      </c>
      <c r="H80" s="251">
        <v>0</v>
      </c>
      <c r="I80" s="251">
        <v>0.1</v>
      </c>
      <c r="J80" s="251">
        <v>0</v>
      </c>
      <c r="K80" s="249">
        <v>33.6</v>
      </c>
      <c r="L80" s="247">
        <v>416.8</v>
      </c>
      <c r="M80" s="250">
        <v>3.6</v>
      </c>
      <c r="N80" s="251">
        <v>0.2</v>
      </c>
      <c r="O80" s="252">
        <f>(I80*WRRushingYd)+(J80*WRRushingTD)+(K80*WRRec)+(L80*WRRecYd)+(M80*WRRecTD)+(N80*WRFuml)+(H80*WRRushAtt)</f>
        <v>62.890000000000008</v>
      </c>
      <c r="P80" s="1" t="str">
        <f ca="1">IF(A80&lt;=WRStarters,"Starter",IF(A80&gt;WRStarters+WRBench,"Undrafted","Bench"))</f>
        <v>Undrafted</v>
      </c>
      <c r="Q80" s="47">
        <f ca="1">IFERROR(MAX(O80-LARGE(O$3:O$231,WRStarters),0),0)</f>
        <v>0</v>
      </c>
      <c r="R80" s="47">
        <f ca="1">IFERROR(IF(AllowNegative="Yes",O80-LARGE(O$3:O$231,WRCount),MAX(O80-LARGE(O$3:O$231,WRCount),0)),0)</f>
        <v>-26.729999999999997</v>
      </c>
      <c r="S80" s="108">
        <f ca="1">(R80-Q80)*BenchPF+Q80*StarterPF</f>
        <v>-6.4017240475604886</v>
      </c>
      <c r="T80" s="108">
        <f ca="1">S80*Auction!$A$2</f>
        <v>-6.4017240475604886</v>
      </c>
      <c r="U80" s="25" t="str">
        <f>IF(OR(INDEX(Auction!$H$13:$H$683,MATCH(B80,Auction!$A$13:$A$683,0))&gt;0,IFERROR(INDEX(CheatSheet!$V$5:$V$64,MATCH(B80,CheatSheet!$S$5:$S$64,0)),"")&lt;&gt;""),"Yes","No")</f>
        <v>No</v>
      </c>
      <c r="V80" s="218"/>
      <c r="W80" s="1"/>
      <c r="X80" s="143">
        <f ca="1">IFERROR(SUMIFS($Y$3:$Y308,$Y$3:$Y$231,"&gt;0",$U$3:$U$231,"No")/SUMIF($Y$3:$Y$231,"&gt;0"),0)</f>
        <v>0</v>
      </c>
      <c r="Y80" s="1">
        <f t="shared" ca="1" si="1"/>
        <v>-13.364999999999998</v>
      </c>
      <c r="Z80" s="145" t="str">
        <f ca="1">CONCATENATE("WR",ROUND((LARGE($Y$3:$Y$231,1)-$Y80)/(STDEVP($Y$3:$Y$231)/2)+1,0))</f>
        <v>WR9</v>
      </c>
      <c r="AA80" s="1">
        <f ca="1">Y80*LeagueInfo!$H$5</f>
        <v>-6.1123615056756657</v>
      </c>
      <c r="AB80" s="1"/>
      <c r="AC80" s="1"/>
    </row>
    <row r="81" spans="1:29" ht="15.75" thickBot="1" x14ac:dyDescent="0.3">
      <c r="A81" s="47">
        <f>RANK(O81,O$3:O$231)</f>
        <v>79</v>
      </c>
      <c r="B81" s="1" t="s">
        <v>562</v>
      </c>
      <c r="C81" s="1" t="s">
        <v>39</v>
      </c>
      <c r="D81" s="1">
        <f>VLOOKUP(E81,BYEs!$A$2:$B$34,2,FALSE)</f>
        <v>11</v>
      </c>
      <c r="E81" s="1" t="s">
        <v>357</v>
      </c>
      <c r="F81" s="249">
        <v>0</v>
      </c>
      <c r="G81" s="250">
        <v>0</v>
      </c>
      <c r="H81" s="251">
        <v>12.5</v>
      </c>
      <c r="I81" s="251">
        <v>59.7</v>
      </c>
      <c r="J81" s="251">
        <v>0.3</v>
      </c>
      <c r="K81" s="249">
        <v>29.9</v>
      </c>
      <c r="L81" s="247">
        <v>383.7</v>
      </c>
      <c r="M81" s="250">
        <v>2.4</v>
      </c>
      <c r="N81" s="251">
        <v>0.3</v>
      </c>
      <c r="O81" s="252">
        <f>(I81*WRRushingYd)+(J81*WRRushingTD)+(K81*WRRec)+(L81*WRRecYd)+(M81*WRRecTD)+(N81*WRFuml)+(H81*WRRushAtt)</f>
        <v>59.940000000000005</v>
      </c>
      <c r="P81" s="1" t="str">
        <f ca="1">IF(A81&lt;=WRStarters,"Starter",IF(A81&gt;WRStarters+WRBench,"Undrafted","Bench"))</f>
        <v>Undrafted</v>
      </c>
      <c r="Q81" s="47">
        <f ca="1">IFERROR(MAX(O81-LARGE(O$3:O$231,WRStarters),0),0)</f>
        <v>0</v>
      </c>
      <c r="R81" s="47">
        <f ca="1">IFERROR(IF(AllowNegative="Yes",O81-LARGE(O$3:O$231,WRCount),MAX(O81-LARGE(O$3:O$231,WRCount),0)),0)</f>
        <v>-29.68</v>
      </c>
      <c r="S81" s="108">
        <f ca="1">(R81-Q81)*BenchPF+Q81*StarterPF</f>
        <v>-7.1082368025288192</v>
      </c>
      <c r="T81" s="108">
        <f ca="1">S81*Auction!$A$2</f>
        <v>-7.1082368025288192</v>
      </c>
      <c r="U81" s="25" t="str">
        <f>IF(OR(INDEX(Auction!$H$13:$H$683,MATCH(B81,Auction!$A$13:$A$683,0))&gt;0,IFERROR(INDEX(CheatSheet!$V$5:$V$64,MATCH(B81,CheatSheet!$S$5:$S$64,0)),"")&lt;&gt;""),"Yes","No")</f>
        <v>No</v>
      </c>
      <c r="V81" s="218"/>
      <c r="W81" s="1"/>
      <c r="X81" s="143">
        <f ca="1">IFERROR(SUMIFS($Y$3:$Y309,$Y$3:$Y$231,"&gt;0",$U$3:$U$231,"No")/SUMIF($Y$3:$Y$231,"&gt;0"),0)</f>
        <v>0</v>
      </c>
      <c r="Y81" s="1">
        <f t="shared" ca="1" si="1"/>
        <v>-14.84</v>
      </c>
      <c r="Z81" s="145" t="str">
        <f ca="1">CONCATENATE("WR",ROUND((LARGE($Y$3:$Y$231,1)-$Y81)/(STDEVP($Y$3:$Y$231)/2)+1,0))</f>
        <v>WR9</v>
      </c>
      <c r="AA81" s="1">
        <f ca="1">Y81*LeagueInfo!$H$5</f>
        <v>-6.7869393748018618</v>
      </c>
      <c r="AB81" s="1"/>
      <c r="AC81" s="1"/>
    </row>
    <row r="82" spans="1:29" ht="15.75" thickBot="1" x14ac:dyDescent="0.3">
      <c r="A82" s="47">
        <f>RANK(O82,O$3:O$231)</f>
        <v>80</v>
      </c>
      <c r="B82" s="1" t="s">
        <v>600</v>
      </c>
      <c r="C82" s="1" t="s">
        <v>39</v>
      </c>
      <c r="D82" s="1">
        <f>VLOOKUP(E82,BYEs!$A$2:$B$34,2,FALSE)</f>
        <v>10</v>
      </c>
      <c r="E82" s="1" t="s">
        <v>369</v>
      </c>
      <c r="F82" s="249">
        <v>0</v>
      </c>
      <c r="G82" s="250">
        <v>0</v>
      </c>
      <c r="H82" s="251">
        <v>2.2999999999999998</v>
      </c>
      <c r="I82" s="251">
        <v>12.3</v>
      </c>
      <c r="J82" s="251">
        <v>0.1</v>
      </c>
      <c r="K82" s="249">
        <v>40.9</v>
      </c>
      <c r="L82" s="247">
        <v>457.5</v>
      </c>
      <c r="M82" s="250">
        <v>2.2999999999999998</v>
      </c>
      <c r="N82" s="251">
        <v>0.8</v>
      </c>
      <c r="O82" s="252">
        <f>(I82*WRRushingYd)+(J82*WRRushingTD)+(K82*WRRec)+(L82*WRRecYd)+(M82*WRRecTD)+(N82*WRFuml)+(H82*WRRushAtt)</f>
        <v>59.779999999999994</v>
      </c>
      <c r="P82" s="1" t="str">
        <f ca="1">IF(A82&lt;=WRStarters,"Starter",IF(A82&gt;WRStarters+WRBench,"Undrafted","Bench"))</f>
        <v>Undrafted</v>
      </c>
      <c r="Q82" s="47">
        <f ca="1">IFERROR(MAX(O82-LARGE(O$3:O$231,WRStarters),0),0)</f>
        <v>0</v>
      </c>
      <c r="R82" s="47">
        <f ca="1">IFERROR(IF(AllowNegative="Yes",O82-LARGE(O$3:O$231,WRCount),MAX(O82-LARGE(O$3:O$231,WRCount),0)),0)</f>
        <v>-29.840000000000011</v>
      </c>
      <c r="S82" s="108">
        <f ca="1">(R82-Q82)*BenchPF+Q82*StarterPF</f>
        <v>-7.146556138391511</v>
      </c>
      <c r="T82" s="108">
        <f ca="1">S82*Auction!$A$2</f>
        <v>-7.146556138391511</v>
      </c>
      <c r="U82" s="25" t="str">
        <f>IF(OR(INDEX(Auction!$H$13:$H$683,MATCH(B82,Auction!$A$13:$A$683,0))&gt;0,IFERROR(INDEX(CheatSheet!$V$5:$V$64,MATCH(B82,CheatSheet!$S$5:$S$64,0)),"")&lt;&gt;""),"Yes","No")</f>
        <v>No</v>
      </c>
      <c r="V82" s="218"/>
      <c r="W82" s="1"/>
      <c r="X82" s="143">
        <f ca="1">IFERROR(SUMIFS($Y$3:$Y310,$Y$3:$Y$231,"&gt;0",$U$3:$U$231,"No")/SUMIF($Y$3:$Y$231,"&gt;0"),0)</f>
        <v>0</v>
      </c>
      <c r="Y82" s="1">
        <f t="shared" ca="1" si="1"/>
        <v>-14.920000000000005</v>
      </c>
      <c r="Z82" s="145" t="str">
        <f ca="1">CONCATENATE("WR",ROUND((LARGE($Y$3:$Y$231,1)-$Y82)/(STDEVP($Y$3:$Y$231)/2)+1,0))</f>
        <v>WR9</v>
      </c>
      <c r="AA82" s="1">
        <f ca="1">Y82*LeagueInfo!$H$5</f>
        <v>-6.8235266490595565</v>
      </c>
      <c r="AB82" s="1"/>
      <c r="AC82" s="1"/>
    </row>
    <row r="83" spans="1:29" ht="15.75" thickBot="1" x14ac:dyDescent="0.3">
      <c r="A83" s="47">
        <f>RANK(O83,O$3:O$231)</f>
        <v>81</v>
      </c>
      <c r="B83" s="1" t="s">
        <v>573</v>
      </c>
      <c r="C83" s="1" t="s">
        <v>39</v>
      </c>
      <c r="D83" s="1">
        <f>VLOOKUP(E83,BYEs!$A$2:$B$34,2,FALSE)</f>
        <v>8</v>
      </c>
      <c r="E83" s="1" t="s">
        <v>380</v>
      </c>
      <c r="F83" s="249">
        <v>0</v>
      </c>
      <c r="G83" s="250">
        <v>0</v>
      </c>
      <c r="H83" s="251">
        <v>0.3</v>
      </c>
      <c r="I83" s="251">
        <v>0.5</v>
      </c>
      <c r="J83" s="251">
        <v>0</v>
      </c>
      <c r="K83" s="249">
        <v>38.299999999999997</v>
      </c>
      <c r="L83" s="247">
        <v>452.2</v>
      </c>
      <c r="M83" s="250">
        <v>2.1</v>
      </c>
      <c r="N83" s="251">
        <v>0.3</v>
      </c>
      <c r="O83" s="252">
        <f>(I83*WRRushingYd)+(J83*WRRushingTD)+(K83*WRRec)+(L83*WRRecYd)+(M83*WRRecTD)+(N83*WRFuml)+(H83*WRRushAtt)</f>
        <v>57.269999999999996</v>
      </c>
      <c r="P83" s="1" t="str">
        <f ca="1">IF(A83&lt;=WRStarters,"Starter",IF(A83&gt;WRStarters+WRBench,"Undrafted","Bench"))</f>
        <v>Undrafted</v>
      </c>
      <c r="Q83" s="47">
        <f ca="1">IFERROR(MAX(O83-LARGE(O$3:O$231,WRStarters),0),0)</f>
        <v>0</v>
      </c>
      <c r="R83" s="47">
        <f ca="1">IFERROR(IF(AllowNegative="Yes",O83-LARGE(O$3:O$231,WRCount),MAX(O83-LARGE(O$3:O$231,WRCount),0)),0)</f>
        <v>-32.350000000000009</v>
      </c>
      <c r="S83" s="108">
        <f ca="1">(R83-Q83)*BenchPF+Q83*StarterPF</f>
        <v>-7.7476907197374452</v>
      </c>
      <c r="T83" s="108">
        <f ca="1">S83*Auction!$A$2</f>
        <v>-7.7476907197374452</v>
      </c>
      <c r="U83" s="25" t="str">
        <f>IF(OR(INDEX(Auction!$H$13:$H$683,MATCH(B83,Auction!$A$13:$A$683,0))&gt;0,IFERROR(INDEX(CheatSheet!$V$5:$V$64,MATCH(B83,CheatSheet!$S$5:$S$64,0)),"")&lt;&gt;""),"Yes","No")</f>
        <v>No</v>
      </c>
      <c r="V83" s="218"/>
      <c r="W83" s="1"/>
      <c r="X83" s="143">
        <f ca="1">IFERROR(SUMIFS($Y$3:$Y311,$Y$3:$Y$231,"&gt;0",$U$3:$U$231,"No")/SUMIF($Y$3:$Y$231,"&gt;0"),0)</f>
        <v>0</v>
      </c>
      <c r="Y83" s="1">
        <f t="shared" ca="1" si="1"/>
        <v>-16.175000000000004</v>
      </c>
      <c r="Z83" s="145" t="str">
        <f ca="1">CONCATENATE("WR",ROUND((LARGE($Y$3:$Y$231,1)-$Y83)/(STDEVP($Y$3:$Y$231)/2)+1,0))</f>
        <v>WR9</v>
      </c>
      <c r="AA83" s="1">
        <f ca="1">Y83*LeagueInfo!$H$5</f>
        <v>-7.3974895139770993</v>
      </c>
      <c r="AB83" s="1"/>
      <c r="AC83" s="1"/>
    </row>
    <row r="84" spans="1:29" ht="15.75" thickBot="1" x14ac:dyDescent="0.3">
      <c r="A84" s="47">
        <f>RANK(O84,O$3:O$231)</f>
        <v>82</v>
      </c>
      <c r="B84" s="1" t="s">
        <v>577</v>
      </c>
      <c r="C84" s="1" t="s">
        <v>39</v>
      </c>
      <c r="D84" s="1">
        <f>VLOOKUP(E84,BYEs!$A$2:$B$34,2,FALSE)</f>
        <v>11</v>
      </c>
      <c r="E84" s="1" t="s">
        <v>378</v>
      </c>
      <c r="F84" s="249">
        <v>0</v>
      </c>
      <c r="G84" s="250">
        <v>0</v>
      </c>
      <c r="H84" s="251">
        <v>0.5</v>
      </c>
      <c r="I84" s="251">
        <v>2.9</v>
      </c>
      <c r="J84" s="251">
        <v>0</v>
      </c>
      <c r="K84" s="249">
        <v>40.700000000000003</v>
      </c>
      <c r="L84" s="247">
        <v>448.8</v>
      </c>
      <c r="M84" s="250">
        <v>2</v>
      </c>
      <c r="N84" s="251">
        <v>0.5</v>
      </c>
      <c r="O84" s="252">
        <f>(I84*WRRushingYd)+(J84*WRRushingTD)+(K84*WRRec)+(L84*WRRecYd)+(M84*WRRecTD)+(N84*WRFuml)+(H84*WRRushAtt)</f>
        <v>56.17</v>
      </c>
      <c r="P84" s="1" t="str">
        <f ca="1">IF(A84&lt;=WRStarters,"Starter",IF(A84&gt;WRStarters+WRBench,"Undrafted","Bench"))</f>
        <v>Undrafted</v>
      </c>
      <c r="Q84" s="47">
        <f ca="1">IFERROR(MAX(O84-LARGE(O$3:O$231,WRStarters),0),0)</f>
        <v>0</v>
      </c>
      <c r="R84" s="47">
        <f ca="1">IFERROR(IF(AllowNegative="Yes",O84-LARGE(O$3:O$231,WRCount),MAX(O84-LARGE(O$3:O$231,WRCount),0)),0)</f>
        <v>-33.450000000000003</v>
      </c>
      <c r="S84" s="108">
        <f ca="1">(R84-Q84)*BenchPF+Q84*StarterPF</f>
        <v>-8.01113615379343</v>
      </c>
      <c r="T84" s="108">
        <f ca="1">S84*Auction!$A$2</f>
        <v>-8.01113615379343</v>
      </c>
      <c r="U84" s="25" t="str">
        <f>IF(OR(INDEX(Auction!$H$13:$H$683,MATCH(B84,Auction!$A$13:$A$683,0))&gt;0,IFERROR(INDEX(CheatSheet!$V$5:$V$64,MATCH(B84,CheatSheet!$S$5:$S$64,0)),"")&lt;&gt;""),"Yes","No")</f>
        <v>No</v>
      </c>
      <c r="V84" s="218"/>
      <c r="W84" s="1"/>
      <c r="X84" s="143">
        <f ca="1">IFERROR(SUMIFS($Y$3:$Y312,$Y$3:$Y$231,"&gt;0",$U$3:$U$231,"No")/SUMIF($Y$3:$Y$231,"&gt;0"),0)</f>
        <v>0</v>
      </c>
      <c r="Y84" s="1">
        <f t="shared" ca="1" si="1"/>
        <v>-16.725000000000001</v>
      </c>
      <c r="Z84" s="145" t="str">
        <f ca="1">CONCATENATE("WR",ROUND((LARGE($Y$3:$Y$231,1)-$Y84)/(STDEVP($Y$3:$Y$231)/2)+1,0))</f>
        <v>WR9</v>
      </c>
      <c r="AA84" s="1">
        <f ca="1">Y84*LeagueInfo!$H$5</f>
        <v>-7.6490270244987304</v>
      </c>
      <c r="AB84" s="1"/>
      <c r="AC84" s="1"/>
    </row>
    <row r="85" spans="1:29" ht="15.75" thickBot="1" x14ac:dyDescent="0.3">
      <c r="A85" s="47">
        <f>RANK(O85,O$3:O$231)</f>
        <v>83</v>
      </c>
      <c r="B85" s="1" t="s">
        <v>576</v>
      </c>
      <c r="C85" s="1" t="s">
        <v>39</v>
      </c>
      <c r="D85" s="1">
        <f>VLOOKUP(E85,BYEs!$A$2:$B$34,2,FALSE)</f>
        <v>9</v>
      </c>
      <c r="E85" s="1" t="s">
        <v>373</v>
      </c>
      <c r="F85" s="249">
        <v>0</v>
      </c>
      <c r="G85" s="250">
        <v>0</v>
      </c>
      <c r="H85" s="251">
        <v>0.5</v>
      </c>
      <c r="I85" s="251">
        <v>1.3</v>
      </c>
      <c r="J85" s="251">
        <v>0</v>
      </c>
      <c r="K85" s="249">
        <v>35.200000000000003</v>
      </c>
      <c r="L85" s="247">
        <v>414</v>
      </c>
      <c r="M85" s="250">
        <v>2.5</v>
      </c>
      <c r="N85" s="251">
        <v>0.3</v>
      </c>
      <c r="O85" s="252">
        <f>(I85*WRRushingYd)+(J85*WRRushingTD)+(K85*WRRec)+(L85*WRRecYd)+(M85*WRRecTD)+(N85*WRFuml)+(H85*WRRushAtt)</f>
        <v>55.930000000000007</v>
      </c>
      <c r="P85" s="1" t="str">
        <f ca="1">IF(A85&lt;=WRStarters,"Starter",IF(A85&gt;WRStarters+WRBench,"Undrafted","Bench"))</f>
        <v>Undrafted</v>
      </c>
      <c r="Q85" s="47">
        <f ca="1">IFERROR(MAX(O85-LARGE(O$3:O$231,WRStarters),0),0)</f>
        <v>0</v>
      </c>
      <c r="R85" s="47">
        <f ca="1">IFERROR(IF(AllowNegative="Yes",O85-LARGE(O$3:O$231,WRCount),MAX(O85-LARGE(O$3:O$231,WRCount),0)),0)</f>
        <v>-33.69</v>
      </c>
      <c r="S85" s="108">
        <f ca="1">(R85-Q85)*BenchPF+Q85*StarterPF</f>
        <v>-8.0686151575874625</v>
      </c>
      <c r="T85" s="108">
        <f ca="1">S85*Auction!$A$2</f>
        <v>-8.0686151575874625</v>
      </c>
      <c r="U85" s="25" t="str">
        <f>IF(OR(INDEX(Auction!$H$13:$H$683,MATCH(B85,Auction!$A$13:$A$683,0))&gt;0,IFERROR(INDEX(CheatSheet!$V$5:$V$64,MATCH(B85,CheatSheet!$S$5:$S$64,0)),"")&lt;&gt;""),"Yes","No")</f>
        <v>No</v>
      </c>
      <c r="V85" s="218"/>
      <c r="W85" s="1"/>
      <c r="X85" s="143">
        <f ca="1">IFERROR(SUMIFS($Y$3:$Y313,$Y$3:$Y$231,"&gt;0",$U$3:$U$231,"No")/SUMIF($Y$3:$Y$231,"&gt;0"),0)</f>
        <v>0</v>
      </c>
      <c r="Y85" s="1">
        <f t="shared" ca="1" si="1"/>
        <v>-16.844999999999999</v>
      </c>
      <c r="Z85" s="145" t="str">
        <f ca="1">CONCATENATE("WR",ROUND((LARGE($Y$3:$Y$231,1)-$Y85)/(STDEVP($Y$3:$Y$231)/2)+1,0))</f>
        <v>WR9</v>
      </c>
      <c r="AA85" s="1">
        <f ca="1">Y85*LeagueInfo!$H$5</f>
        <v>-7.7039079358852671</v>
      </c>
      <c r="AB85" s="1"/>
      <c r="AC85" s="1"/>
    </row>
    <row r="86" spans="1:29" ht="15.75" thickBot="1" x14ac:dyDescent="0.3">
      <c r="A86" s="47">
        <f>RANK(O86,O$3:O$231)</f>
        <v>84</v>
      </c>
      <c r="B86" s="1" t="s">
        <v>568</v>
      </c>
      <c r="C86" s="1" t="s">
        <v>39</v>
      </c>
      <c r="D86" s="1">
        <f>VLOOKUP(E86,BYEs!$A$2:$B$34,2,FALSE)</f>
        <v>6</v>
      </c>
      <c r="E86" s="1" t="s">
        <v>366</v>
      </c>
      <c r="F86" s="249">
        <v>0</v>
      </c>
      <c r="G86" s="250">
        <v>0</v>
      </c>
      <c r="H86" s="251">
        <v>1.1000000000000001</v>
      </c>
      <c r="I86" s="251">
        <v>8</v>
      </c>
      <c r="J86" s="251">
        <v>0</v>
      </c>
      <c r="K86" s="249">
        <v>37.1</v>
      </c>
      <c r="L86" s="247">
        <v>429.3</v>
      </c>
      <c r="M86" s="250">
        <v>2.1</v>
      </c>
      <c r="N86" s="251">
        <v>0.7</v>
      </c>
      <c r="O86" s="252">
        <f>(I86*WRRushingYd)+(J86*WRRushingTD)+(K86*WRRec)+(L86*WRRecYd)+(M86*WRRecTD)+(N86*WRFuml)+(H86*WRRushAtt)</f>
        <v>54.930000000000007</v>
      </c>
      <c r="P86" s="1" t="str">
        <f ca="1">IF(A86&lt;=WRStarters,"Starter",IF(A86&gt;WRStarters+WRBench,"Undrafted","Bench"))</f>
        <v>Undrafted</v>
      </c>
      <c r="Q86" s="47">
        <f ca="1">IFERROR(MAX(O86-LARGE(O$3:O$231,WRStarters),0),0)</f>
        <v>0</v>
      </c>
      <c r="R86" s="47">
        <f ca="1">IFERROR(IF(AllowNegative="Yes",O86-LARGE(O$3:O$231,WRCount),MAX(O86-LARGE(O$3:O$231,WRCount),0)),0)</f>
        <v>-34.69</v>
      </c>
      <c r="S86" s="108">
        <f ca="1">(R86-Q86)*BenchPF+Q86*StarterPF</f>
        <v>-8.3081110067292698</v>
      </c>
      <c r="T86" s="108">
        <f ca="1">S86*Auction!$A$2</f>
        <v>-8.3081110067292698</v>
      </c>
      <c r="U86" s="25" t="str">
        <f>IF(OR(INDEX(Auction!$H$13:$H$683,MATCH(B86,Auction!$A$13:$A$683,0))&gt;0,IFERROR(INDEX(CheatSheet!$V$5:$V$64,MATCH(B86,CheatSheet!$S$5:$S$64,0)),"")&lt;&gt;""),"Yes","No")</f>
        <v>No</v>
      </c>
      <c r="V86" s="218"/>
      <c r="W86" s="1"/>
      <c r="X86" s="143">
        <f ca="1">IFERROR(SUMIFS($Y$3:$Y314,$Y$3:$Y$231,"&gt;0",$U$3:$U$231,"No")/SUMIF($Y$3:$Y$231,"&gt;0"),0)</f>
        <v>0</v>
      </c>
      <c r="Y86" s="1">
        <f t="shared" ca="1" si="1"/>
        <v>-17.344999999999999</v>
      </c>
      <c r="Z86" s="145" t="str">
        <f ca="1">CONCATENATE("WR",ROUND((LARGE($Y$3:$Y$231,1)-$Y86)/(STDEVP($Y$3:$Y$231)/2)+1,0))</f>
        <v>WR9</v>
      </c>
      <c r="AA86" s="1">
        <f ca="1">Y86*LeagueInfo!$H$5</f>
        <v>-7.9325783999958421</v>
      </c>
      <c r="AB86" s="1"/>
      <c r="AC86" s="1"/>
    </row>
    <row r="87" spans="1:29" ht="15.75" thickBot="1" x14ac:dyDescent="0.3">
      <c r="A87" s="47">
        <f>RANK(O87,O$3:O$231)</f>
        <v>85</v>
      </c>
      <c r="B87" s="1" t="s">
        <v>569</v>
      </c>
      <c r="C87" s="1" t="s">
        <v>39</v>
      </c>
      <c r="D87" s="1">
        <f>VLOOKUP(E87,BYEs!$A$2:$B$34,2,FALSE)</f>
        <v>9</v>
      </c>
      <c r="E87" s="1" t="s">
        <v>363</v>
      </c>
      <c r="F87" s="249">
        <v>0</v>
      </c>
      <c r="G87" s="250">
        <v>0</v>
      </c>
      <c r="H87" s="251">
        <v>0.4</v>
      </c>
      <c r="I87" s="251">
        <v>3</v>
      </c>
      <c r="J87" s="251">
        <v>0</v>
      </c>
      <c r="K87" s="249">
        <v>30.7</v>
      </c>
      <c r="L87" s="247">
        <v>391.9</v>
      </c>
      <c r="M87" s="250">
        <v>2.5</v>
      </c>
      <c r="N87" s="251">
        <v>0.2</v>
      </c>
      <c r="O87" s="252">
        <f>(I87*WRRushingYd)+(J87*WRRushingTD)+(K87*WRRec)+(L87*WRRecYd)+(M87*WRRecTD)+(N87*WRFuml)+(H87*WRRushAtt)</f>
        <v>54.089999999999996</v>
      </c>
      <c r="P87" s="1" t="str">
        <f ca="1">IF(A87&lt;=WRStarters,"Starter",IF(A87&gt;WRStarters+WRBench,"Undrafted","Bench"))</f>
        <v>Undrafted</v>
      </c>
      <c r="Q87" s="47">
        <f ca="1">IFERROR(MAX(O87-LARGE(O$3:O$231,WRStarters),0),0)</f>
        <v>0</v>
      </c>
      <c r="R87" s="47">
        <f ca="1">IFERROR(IF(AllowNegative="Yes",O87-LARGE(O$3:O$231,WRCount),MAX(O87-LARGE(O$3:O$231,WRCount),0)),0)</f>
        <v>-35.530000000000008</v>
      </c>
      <c r="S87" s="108">
        <f ca="1">(R87-Q87)*BenchPF+Q87*StarterPF</f>
        <v>-8.5092875200083888</v>
      </c>
      <c r="T87" s="108">
        <f ca="1">S87*Auction!$A$2</f>
        <v>-8.5092875200083888</v>
      </c>
      <c r="U87" s="25" t="str">
        <f>IF(OR(INDEX(Auction!$H$13:$H$683,MATCH(B87,Auction!$A$13:$A$683,0))&gt;0,IFERROR(INDEX(CheatSheet!$V$5:$V$64,MATCH(B87,CheatSheet!$S$5:$S$64,0)),"")&lt;&gt;""),"Yes","No")</f>
        <v>No</v>
      </c>
      <c r="V87" s="218"/>
      <c r="W87" s="1"/>
      <c r="X87" s="143">
        <f ca="1">IFERROR(SUMIFS($Y$3:$Y315,$Y$3:$Y$231,"&gt;0",$U$3:$U$231,"No")/SUMIF($Y$3:$Y$231,"&gt;0"),0)</f>
        <v>0</v>
      </c>
      <c r="Y87" s="1">
        <f t="shared" ca="1" si="1"/>
        <v>-17.765000000000004</v>
      </c>
      <c r="Z87" s="145" t="str">
        <f ca="1">CONCATENATE("WR",ROUND((LARGE($Y$3:$Y$231,1)-$Y87)/(STDEVP($Y$3:$Y$231)/2)+1,0))</f>
        <v>WR9</v>
      </c>
      <c r="AA87" s="1">
        <f ca="1">Y87*LeagueInfo!$H$5</f>
        <v>-8.1246615898487278</v>
      </c>
      <c r="AB87" s="1"/>
      <c r="AC87" s="1"/>
    </row>
    <row r="88" spans="1:29" ht="15.75" thickBot="1" x14ac:dyDescent="0.3">
      <c r="A88" s="47">
        <f>RANK(O88,O$3:O$231)</f>
        <v>86</v>
      </c>
      <c r="B88" s="1" t="s">
        <v>570</v>
      </c>
      <c r="C88" s="1" t="s">
        <v>39</v>
      </c>
      <c r="D88" s="1">
        <f>VLOOKUP(E88,BYEs!$A$2:$B$34,2,FALSE)</f>
        <v>9</v>
      </c>
      <c r="E88" s="1" t="s">
        <v>361</v>
      </c>
      <c r="F88" s="249">
        <v>0</v>
      </c>
      <c r="G88" s="250">
        <v>0</v>
      </c>
      <c r="H88" s="251">
        <v>1.2</v>
      </c>
      <c r="I88" s="251">
        <v>5.4</v>
      </c>
      <c r="J88" s="251">
        <v>0</v>
      </c>
      <c r="K88" s="249">
        <v>30.1</v>
      </c>
      <c r="L88" s="247">
        <v>418.8</v>
      </c>
      <c r="M88" s="250">
        <v>2.4</v>
      </c>
      <c r="N88" s="251">
        <v>1.7</v>
      </c>
      <c r="O88" s="252">
        <f>(I88*WRRushingYd)+(J88*WRRushingTD)+(K88*WRRec)+(L88*WRRecYd)+(M88*WRRecTD)+(N88*WRFuml)+(H88*WRRushAtt)</f>
        <v>53.42</v>
      </c>
      <c r="P88" s="1" t="str">
        <f ca="1">IF(A88&lt;=WRStarters,"Starter",IF(A88&gt;WRStarters+WRBench,"Undrafted","Bench"))</f>
        <v>Undrafted</v>
      </c>
      <c r="Q88" s="47">
        <f ca="1">IFERROR(MAX(O88-LARGE(O$3:O$231,WRStarters),0),0)</f>
        <v>0</v>
      </c>
      <c r="R88" s="47">
        <f ca="1">IFERROR(IF(AllowNegative="Yes",O88-LARGE(O$3:O$231,WRCount),MAX(O88-LARGE(O$3:O$231,WRCount),0)),0)</f>
        <v>-36.200000000000003</v>
      </c>
      <c r="S88" s="108">
        <f ca="1">(R88-Q88)*BenchPF+Q88*StarterPF</f>
        <v>-8.6697497389333993</v>
      </c>
      <c r="T88" s="108">
        <f ca="1">S88*Auction!$A$2</f>
        <v>-8.6697497389333993</v>
      </c>
      <c r="U88" s="25" t="str">
        <f>IF(OR(INDEX(Auction!$H$13:$H$683,MATCH(B88,Auction!$A$13:$A$683,0))&gt;0,IFERROR(INDEX(CheatSheet!$V$5:$V$64,MATCH(B88,CheatSheet!$S$5:$S$64,0)),"")&lt;&gt;""),"Yes","No")</f>
        <v>No</v>
      </c>
      <c r="V88" s="218"/>
      <c r="W88" s="1"/>
      <c r="X88" s="143">
        <f ca="1">IFERROR(SUMIFS($Y$3:$Y316,$Y$3:$Y$231,"&gt;0",$U$3:$U$231,"No")/SUMIF($Y$3:$Y$231,"&gt;0"),0)</f>
        <v>0</v>
      </c>
      <c r="Y88" s="1">
        <f t="shared" ca="1" si="1"/>
        <v>-18.100000000000001</v>
      </c>
      <c r="Z88" s="145" t="str">
        <f ca="1">CONCATENATE("WR",ROUND((LARGE($Y$3:$Y$231,1)-$Y88)/(STDEVP($Y$3:$Y$231)/2)+1,0))</f>
        <v>WR9</v>
      </c>
      <c r="AA88" s="1">
        <f ca="1">Y88*LeagueInfo!$H$5</f>
        <v>-8.2778708008028108</v>
      </c>
      <c r="AB88" s="1"/>
      <c r="AC88" s="1"/>
    </row>
    <row r="89" spans="1:29" ht="15.75" thickBot="1" x14ac:dyDescent="0.3">
      <c r="A89" s="47">
        <f>RANK(O89,O$3:O$231)</f>
        <v>87</v>
      </c>
      <c r="B89" s="1" t="s">
        <v>579</v>
      </c>
      <c r="C89" s="1" t="s">
        <v>39</v>
      </c>
      <c r="D89" s="1">
        <f>VLOOKUP(E89,BYEs!$A$2:$B$34,2,FALSE)</f>
        <v>9</v>
      </c>
      <c r="E89" s="1" t="s">
        <v>376</v>
      </c>
      <c r="F89" s="249">
        <v>0</v>
      </c>
      <c r="G89" s="250">
        <v>0</v>
      </c>
      <c r="H89" s="251">
        <v>0.1</v>
      </c>
      <c r="I89" s="251">
        <v>0.7</v>
      </c>
      <c r="J89" s="251">
        <v>0</v>
      </c>
      <c r="K89" s="249">
        <v>28.7</v>
      </c>
      <c r="L89" s="247">
        <v>387.3</v>
      </c>
      <c r="M89" s="250">
        <v>2.1</v>
      </c>
      <c r="N89" s="251">
        <v>0.6</v>
      </c>
      <c r="O89" s="252">
        <f>(I89*WRRushingYd)+(J89*WRRushingTD)+(K89*WRRec)+(L89*WRRecYd)+(M89*WRRecTD)+(N89*WRFuml)+(H89*WRRushAtt)</f>
        <v>50.2</v>
      </c>
      <c r="P89" s="1" t="str">
        <f ca="1">IF(A89&lt;=WRStarters,"Starter",IF(A89&gt;WRStarters+WRBench,"Undrafted","Bench"))</f>
        <v>Undrafted</v>
      </c>
      <c r="Q89" s="47">
        <f ca="1">IFERROR(MAX(O89-LARGE(O$3:O$231,WRStarters),0),0)</f>
        <v>0</v>
      </c>
      <c r="R89" s="47">
        <f ca="1">IFERROR(IF(AllowNegative="Yes",O89-LARGE(O$3:O$231,WRCount),MAX(O89-LARGE(O$3:O$231,WRCount),0)),0)</f>
        <v>-39.42</v>
      </c>
      <c r="S89" s="108">
        <f ca="1">(R89-Q89)*BenchPF+Q89*StarterPF</f>
        <v>-9.440926373170015</v>
      </c>
      <c r="T89" s="108">
        <f ca="1">S89*Auction!$A$2</f>
        <v>-9.440926373170015</v>
      </c>
      <c r="U89" s="25" t="str">
        <f>IF(OR(INDEX(Auction!$H$13:$H$683,MATCH(B89,Auction!$A$13:$A$683,0))&gt;0,IFERROR(INDEX(CheatSheet!$V$5:$V$64,MATCH(B89,CheatSheet!$S$5:$S$64,0)),"")&lt;&gt;""),"Yes","No")</f>
        <v>No</v>
      </c>
      <c r="V89" s="218"/>
      <c r="W89" s="1"/>
      <c r="X89" s="143">
        <f ca="1">IFERROR(SUMIFS($Y$3:$Y317,$Y$3:$Y$231,"&gt;0",$U$3:$U$231,"No")/SUMIF($Y$3:$Y$231,"&gt;0"),0)</f>
        <v>0</v>
      </c>
      <c r="Y89" s="1">
        <f t="shared" ca="1" si="1"/>
        <v>-19.71</v>
      </c>
      <c r="Z89" s="145" t="str">
        <f ca="1">CONCATENATE("WR",ROUND((LARGE($Y$3:$Y$231,1)-$Y89)/(STDEVP($Y$3:$Y$231)/2)+1,0))</f>
        <v>WR9</v>
      </c>
      <c r="AA89" s="1">
        <f ca="1">Y89*LeagueInfo!$H$5</f>
        <v>-9.014189695238862</v>
      </c>
      <c r="AB89" s="1"/>
      <c r="AC89" s="1"/>
    </row>
    <row r="90" spans="1:29" ht="15.75" thickBot="1" x14ac:dyDescent="0.3">
      <c r="A90" s="47">
        <f>RANK(O90,O$3:O$231)</f>
        <v>88</v>
      </c>
      <c r="B90" s="47" t="s">
        <v>580</v>
      </c>
      <c r="C90" s="47" t="s">
        <v>39</v>
      </c>
      <c r="D90" s="1">
        <f>VLOOKUP(E90,BYEs!$A$2:$B$34,2,FALSE)</f>
        <v>11</v>
      </c>
      <c r="E90" s="47" t="s">
        <v>356</v>
      </c>
      <c r="F90" s="249">
        <v>0</v>
      </c>
      <c r="G90" s="250">
        <v>0</v>
      </c>
      <c r="H90" s="247">
        <v>2.2999999999999998</v>
      </c>
      <c r="I90" s="247">
        <v>13.3</v>
      </c>
      <c r="J90" s="247">
        <v>0</v>
      </c>
      <c r="K90" s="249">
        <v>33.200000000000003</v>
      </c>
      <c r="L90" s="247">
        <v>366.8</v>
      </c>
      <c r="M90" s="250">
        <v>2</v>
      </c>
      <c r="N90" s="247">
        <v>0.2</v>
      </c>
      <c r="O90" s="252">
        <f>(I90*WRRushingYd)+(J90*WRRushingTD)+(K90*WRRec)+(L90*WRRecYd)+(M90*WRRecTD)+(N90*WRFuml)+(H90*WRRushAtt)</f>
        <v>49.61</v>
      </c>
      <c r="P90" s="47" t="str">
        <f ca="1">IF(A90&lt;=WRStarters,"Starter",IF(A90&gt;WRStarters+WRBench,"Undrafted","Bench"))</f>
        <v>Undrafted</v>
      </c>
      <c r="Q90" s="47">
        <f ca="1">IFERROR(MAX(O90-LARGE(O$3:O$231,WRStarters),0),0)</f>
        <v>0</v>
      </c>
      <c r="R90" s="47">
        <f ca="1">IFERROR(IF(AllowNegative="Yes",O90-LARGE(O$3:O$231,WRCount),MAX(O90-LARGE(O$3:O$231,WRCount),0)),0)</f>
        <v>-40.010000000000005</v>
      </c>
      <c r="S90" s="108">
        <f ca="1">(R90-Q90)*BenchPF+Q90*StarterPF</f>
        <v>-9.5822289241636831</v>
      </c>
      <c r="T90" s="108">
        <f ca="1">S90*Auction!$A$2</f>
        <v>-9.5822289241636831</v>
      </c>
      <c r="U90" s="25" t="str">
        <f>IF(OR(INDEX(Auction!$H$13:$H$683,MATCH(B90,Auction!$A$13:$A$683,0))&gt;0,IFERROR(INDEX(CheatSheet!$V$5:$V$64,MATCH(B90,CheatSheet!$S$5:$S$64,0)),"")&lt;&gt;""),"Yes","No")</f>
        <v>No</v>
      </c>
      <c r="V90" s="218"/>
      <c r="W90" s="1"/>
      <c r="X90" s="143">
        <f ca="1">IFERROR(SUMIFS($Y$3:$Y318,$Y$3:$Y$231,"&gt;0",$U$3:$U$231,"No")/SUMIF($Y$3:$Y$231,"&gt;0"),0)</f>
        <v>0</v>
      </c>
      <c r="Y90" s="1">
        <f t="shared" ca="1" si="1"/>
        <v>-20.005000000000003</v>
      </c>
      <c r="Z90" s="145" t="str">
        <f ca="1">CONCATENATE("WR",ROUND((LARGE($Y$3:$Y$231,1)-$Y90)/(STDEVP($Y$3:$Y$231)/2)+1,0))</f>
        <v>WR9</v>
      </c>
      <c r="AA90" s="1">
        <f ca="1">Y90*LeagueInfo!$H$5</f>
        <v>-9.1491052690641013</v>
      </c>
      <c r="AB90" s="1"/>
      <c r="AC90" s="1"/>
    </row>
    <row r="91" spans="1:29" ht="15.75" thickBot="1" x14ac:dyDescent="0.3">
      <c r="A91" s="47">
        <f>RANK(O91,O$3:O$231)</f>
        <v>89</v>
      </c>
      <c r="B91" s="1" t="s">
        <v>323</v>
      </c>
      <c r="C91" s="1" t="s">
        <v>39</v>
      </c>
      <c r="D91" s="1">
        <f>VLOOKUP(E91,BYEs!$A$2:$B$34,2,FALSE)</f>
        <v>9</v>
      </c>
      <c r="E91" s="1" t="s">
        <v>351</v>
      </c>
      <c r="F91" s="249">
        <v>0</v>
      </c>
      <c r="G91" s="250">
        <v>0</v>
      </c>
      <c r="H91" s="251">
        <v>0.6</v>
      </c>
      <c r="I91" s="251">
        <v>3.4</v>
      </c>
      <c r="J91" s="251">
        <v>0</v>
      </c>
      <c r="K91" s="249">
        <v>31.1</v>
      </c>
      <c r="L91" s="247">
        <v>354.9</v>
      </c>
      <c r="M91" s="250">
        <v>2.6</v>
      </c>
      <c r="N91" s="251">
        <v>1.1000000000000001</v>
      </c>
      <c r="O91" s="252">
        <f>(I91*WRRushingYd)+(J91*WRRushingTD)+(K91*WRRec)+(L91*WRRecYd)+(M91*WRRecTD)+(N91*WRFuml)+(H91*WRRushAtt)</f>
        <v>49.230000000000004</v>
      </c>
      <c r="P91" s="1" t="str">
        <f ca="1">IF(A91&lt;=WRStarters,"Starter",IF(A91&gt;WRStarters+WRBench,"Undrafted","Bench"))</f>
        <v>Undrafted</v>
      </c>
      <c r="Q91" s="47">
        <f ca="1">IFERROR(MAX(O91-LARGE(O$3:O$231,WRStarters),0),0)</f>
        <v>0</v>
      </c>
      <c r="R91" s="47">
        <f ca="1">IFERROR(IF(AllowNegative="Yes",O91-LARGE(O$3:O$231,WRCount),MAX(O91-LARGE(O$3:O$231,WRCount),0)),0)</f>
        <v>-40.39</v>
      </c>
      <c r="S91" s="108">
        <f ca="1">(R91-Q91)*BenchPF+Q91*StarterPF</f>
        <v>-9.673237346837567</v>
      </c>
      <c r="T91" s="108">
        <f ca="1">S91*Auction!$A$2</f>
        <v>-9.673237346837567</v>
      </c>
      <c r="U91" s="25" t="str">
        <f>IF(OR(INDEX(Auction!$H$13:$H$683,MATCH(B91,Auction!$A$13:$A$683,0))&gt;0,IFERROR(INDEX(CheatSheet!$V$5:$V$64,MATCH(B91,CheatSheet!$S$5:$S$64,0)),"")&lt;&gt;""),"Yes","No")</f>
        <v>No</v>
      </c>
      <c r="V91" s="218"/>
      <c r="W91" s="1"/>
      <c r="X91" s="143">
        <f ca="1">IFERROR(SUMIFS($Y$3:$Y319,$Y$3:$Y$231,"&gt;0",$U$3:$U$231,"No")/SUMIF($Y$3:$Y$231,"&gt;0"),0)</f>
        <v>0</v>
      </c>
      <c r="Y91" s="1">
        <f t="shared" ca="1" si="1"/>
        <v>-20.195</v>
      </c>
      <c r="Z91" s="145" t="str">
        <f ca="1">CONCATENATE("WR",ROUND((LARGE($Y$3:$Y$231,1)-$Y91)/(STDEVP($Y$3:$Y$231)/2)+1,0))</f>
        <v>WR9</v>
      </c>
      <c r="AA91" s="1">
        <f ca="1">Y91*LeagueInfo!$H$5</f>
        <v>-9.2360000454261186</v>
      </c>
      <c r="AB91" s="1"/>
      <c r="AC91" s="1"/>
    </row>
    <row r="92" spans="1:29" ht="15.75" thickBot="1" x14ac:dyDescent="0.3">
      <c r="A92" s="47">
        <f>RANK(O92,O$3:O$231)</f>
        <v>90</v>
      </c>
      <c r="B92" s="1" t="s">
        <v>610</v>
      </c>
      <c r="C92" s="1" t="s">
        <v>39</v>
      </c>
      <c r="D92" s="1">
        <f>VLOOKUP(E92,BYEs!$A$2:$B$34,2,FALSE)</f>
        <v>11</v>
      </c>
      <c r="E92" s="1" t="s">
        <v>382</v>
      </c>
      <c r="F92" s="249">
        <v>0</v>
      </c>
      <c r="G92" s="250">
        <v>0</v>
      </c>
      <c r="H92" s="251">
        <v>0</v>
      </c>
      <c r="I92" s="251">
        <v>0</v>
      </c>
      <c r="J92" s="251">
        <v>0</v>
      </c>
      <c r="K92" s="249">
        <v>33</v>
      </c>
      <c r="L92" s="247">
        <v>389.9</v>
      </c>
      <c r="M92" s="250">
        <v>1.7</v>
      </c>
      <c r="N92" s="251">
        <v>0.2</v>
      </c>
      <c r="O92" s="252">
        <f>(I92*WRRushingYd)+(J92*WRRushingTD)+(K92*WRRec)+(L92*WRRecYd)+(M92*WRRecTD)+(N92*WRFuml)+(H92*WRRushAtt)</f>
        <v>48.79</v>
      </c>
      <c r="P92" s="1" t="str">
        <f ca="1">IF(A92&lt;=WRStarters,"Starter",IF(A92&gt;WRStarters+WRBench,"Undrafted","Bench"))</f>
        <v>Undrafted</v>
      </c>
      <c r="Q92" s="47">
        <f ca="1">IFERROR(MAX(O92-LARGE(O$3:O$231,WRStarters),0),0)</f>
        <v>0</v>
      </c>
      <c r="R92" s="47">
        <f ca="1">IFERROR(IF(AllowNegative="Yes",O92-LARGE(O$3:O$231,WRCount),MAX(O92-LARGE(O$3:O$231,WRCount),0)),0)</f>
        <v>-40.830000000000005</v>
      </c>
      <c r="S92" s="108">
        <f ca="1">(R92-Q92)*BenchPF+Q92*StarterPF</f>
        <v>-9.7786155204599634</v>
      </c>
      <c r="T92" s="108">
        <f ca="1">S92*Auction!$A$2</f>
        <v>-9.7786155204599634</v>
      </c>
      <c r="U92" s="25" t="str">
        <f>IF(OR(INDEX(Auction!$H$13:$H$683,MATCH(B92,Auction!$A$13:$A$683,0))&gt;0,IFERROR(INDEX(CheatSheet!$V$5:$V$64,MATCH(B92,CheatSheet!$S$5:$S$64,0)),"")&lt;&gt;""),"Yes","No")</f>
        <v>No</v>
      </c>
      <c r="V92" s="218"/>
      <c r="W92" s="1"/>
      <c r="X92" s="143">
        <f ca="1">IFERROR(SUMIFS($Y$3:$Y320,$Y$3:$Y$231,"&gt;0",$U$3:$U$231,"No")/SUMIF($Y$3:$Y$231,"&gt;0"),0)</f>
        <v>0</v>
      </c>
      <c r="Y92" s="1">
        <f t="shared" ca="1" si="1"/>
        <v>-20.415000000000003</v>
      </c>
      <c r="Z92" s="145" t="str">
        <f ca="1">CONCATENATE("WR",ROUND((LARGE($Y$3:$Y$231,1)-$Y92)/(STDEVP($Y$3:$Y$231)/2)+1,0))</f>
        <v>WR9</v>
      </c>
      <c r="AA92" s="1">
        <f ca="1">Y92*LeagueInfo!$H$5</f>
        <v>-9.3366150496347728</v>
      </c>
      <c r="AB92" s="1"/>
      <c r="AC92" s="1"/>
    </row>
    <row r="93" spans="1:29" ht="15.75" thickBot="1" x14ac:dyDescent="0.3">
      <c r="A93" s="47">
        <f>RANK(O93,O$3:O$231)</f>
        <v>91</v>
      </c>
      <c r="B93" s="1" t="s">
        <v>578</v>
      </c>
      <c r="C93" s="1" t="s">
        <v>39</v>
      </c>
      <c r="D93" s="1">
        <f>VLOOKUP(E93,BYEs!$A$2:$B$34,2,FALSE)</f>
        <v>10</v>
      </c>
      <c r="E93" s="1" t="s">
        <v>372</v>
      </c>
      <c r="F93" s="249">
        <v>0</v>
      </c>
      <c r="G93" s="250">
        <v>0</v>
      </c>
      <c r="H93" s="251">
        <v>1.4</v>
      </c>
      <c r="I93" s="251">
        <v>10</v>
      </c>
      <c r="J93" s="251">
        <v>0.1</v>
      </c>
      <c r="K93" s="249">
        <v>33</v>
      </c>
      <c r="L93" s="247">
        <v>355.4</v>
      </c>
      <c r="M93" s="250">
        <v>1.8</v>
      </c>
      <c r="N93" s="251">
        <v>0.2</v>
      </c>
      <c r="O93" s="252">
        <f>(I93*WRRushingYd)+(J93*WRRushingTD)+(K93*WRRec)+(L93*WRRecYd)+(M93*WRRecTD)+(N93*WRFuml)+(H93*WRRushAtt)</f>
        <v>47.54</v>
      </c>
      <c r="P93" s="1" t="str">
        <f ca="1">IF(A93&lt;=WRStarters,"Starter",IF(A93&gt;WRStarters+WRBench,"Undrafted","Bench"))</f>
        <v>Undrafted</v>
      </c>
      <c r="Q93" s="47">
        <f ca="1">IFERROR(MAX(O93-LARGE(O$3:O$231,WRStarters),0),0)</f>
        <v>0</v>
      </c>
      <c r="R93" s="47">
        <f ca="1">IFERROR(IF(AllowNegative="Yes",O93-LARGE(O$3:O$231,WRCount),MAX(O93-LARGE(O$3:O$231,WRCount),0)),0)</f>
        <v>-42.080000000000005</v>
      </c>
      <c r="S93" s="108">
        <f ca="1">(R93-Q93)*BenchPF+Q93*StarterPF</f>
        <v>-10.077985331887222</v>
      </c>
      <c r="T93" s="108">
        <f ca="1">S93*Auction!$A$2</f>
        <v>-10.077985331887222</v>
      </c>
      <c r="U93" s="25" t="str">
        <f>IF(OR(INDEX(Auction!$H$13:$H$683,MATCH(B93,Auction!$A$13:$A$683,0))&gt;0,IFERROR(INDEX(CheatSheet!$V$5:$V$64,MATCH(B93,CheatSheet!$S$5:$S$64,0)),"")&lt;&gt;""),"Yes","No")</f>
        <v>No</v>
      </c>
      <c r="V93" s="218"/>
      <c r="W93" s="1"/>
      <c r="X93" s="143">
        <f ca="1">IFERROR(SUMIFS($Y$3:$Y321,$Y$3:$Y$231,"&gt;0",$U$3:$U$231,"No")/SUMIF($Y$3:$Y$231,"&gt;0"),0)</f>
        <v>0</v>
      </c>
      <c r="Y93" s="1">
        <f t="shared" ca="1" si="1"/>
        <v>-21.040000000000003</v>
      </c>
      <c r="Z93" s="145" t="str">
        <f ca="1">CONCATENATE("WR",ROUND((LARGE($Y$3:$Y$231,1)-$Y93)/(STDEVP($Y$3:$Y$231)/2)+1,0))</f>
        <v>WR9</v>
      </c>
      <c r="AA93" s="1">
        <f ca="1">Y93*LeagueInfo!$H$5</f>
        <v>-9.6224531297729925</v>
      </c>
      <c r="AB93" s="1"/>
      <c r="AC93" s="1"/>
    </row>
    <row r="94" spans="1:29" ht="15.75" thickBot="1" x14ac:dyDescent="0.3">
      <c r="A94" s="47">
        <f>RANK(O94,O$3:O$231)</f>
        <v>92</v>
      </c>
      <c r="B94" s="1" t="s">
        <v>572</v>
      </c>
      <c r="C94" s="1" t="s">
        <v>39</v>
      </c>
      <c r="D94" s="1">
        <f>VLOOKUP(E94,BYEs!$A$2:$B$34,2,FALSE)</f>
        <v>6</v>
      </c>
      <c r="E94" s="1" t="s">
        <v>354</v>
      </c>
      <c r="F94" s="249">
        <v>0</v>
      </c>
      <c r="G94" s="250">
        <v>0</v>
      </c>
      <c r="H94" s="251">
        <v>0</v>
      </c>
      <c r="I94" s="251">
        <v>0</v>
      </c>
      <c r="J94" s="251">
        <v>0</v>
      </c>
      <c r="K94" s="249">
        <v>27.9</v>
      </c>
      <c r="L94" s="247">
        <v>357.6</v>
      </c>
      <c r="M94" s="250">
        <v>1.9</v>
      </c>
      <c r="N94" s="251">
        <v>0.1</v>
      </c>
      <c r="O94" s="252">
        <f>(I94*WRRushingYd)+(J94*WRRushingTD)+(K94*WRRec)+(L94*WRRecYd)+(M94*WRRecTD)+(N94*WRFuml)+(H94*WRRushAtt)</f>
        <v>46.96</v>
      </c>
      <c r="P94" s="1" t="str">
        <f ca="1">IF(A94&lt;=WRStarters,"Starter",IF(A94&gt;WRStarters+WRBench,"Undrafted","Bench"))</f>
        <v>Undrafted</v>
      </c>
      <c r="Q94" s="47">
        <f ca="1">IFERROR(MAX(O94-LARGE(O$3:O$231,WRStarters),0),0)</f>
        <v>0</v>
      </c>
      <c r="R94" s="47">
        <f ca="1">IFERROR(IF(AllowNegative="Yes",O94-LARGE(O$3:O$231,WRCount),MAX(O94-LARGE(O$3:O$231,WRCount),0)),0)</f>
        <v>-42.660000000000004</v>
      </c>
      <c r="S94" s="108">
        <f ca="1">(R94-Q94)*BenchPF+Q94*StarterPF</f>
        <v>-10.216892924389469</v>
      </c>
      <c r="T94" s="108">
        <f ca="1">S94*Auction!$A$2</f>
        <v>-10.216892924389469</v>
      </c>
      <c r="U94" s="25" t="str">
        <f>IF(OR(INDEX(Auction!$H$13:$H$683,MATCH(B94,Auction!$A$13:$A$683,0))&gt;0,IFERROR(INDEX(CheatSheet!$V$5:$V$64,MATCH(B94,CheatSheet!$S$5:$S$64,0)),"")&lt;&gt;""),"Yes","No")</f>
        <v>No</v>
      </c>
      <c r="V94" s="218"/>
      <c r="W94" s="1"/>
      <c r="X94" s="143">
        <f ca="1">IFERROR(SUMIFS($Y$3:$Y322,$Y$3:$Y$231,"&gt;0",$U$3:$U$231,"No")/SUMIF($Y$3:$Y$231,"&gt;0"),0)</f>
        <v>0</v>
      </c>
      <c r="Y94" s="1">
        <f t="shared" ca="1" si="1"/>
        <v>-21.330000000000002</v>
      </c>
      <c r="Z94" s="145" t="str">
        <f ca="1">CONCATENATE("WR",ROUND((LARGE($Y$3:$Y$231,1)-$Y94)/(STDEVP($Y$3:$Y$231)/2)+1,0))</f>
        <v>WR9</v>
      </c>
      <c r="AA94" s="1">
        <f ca="1">Y94*LeagueInfo!$H$5</f>
        <v>-9.7550819989571256</v>
      </c>
      <c r="AB94" s="1"/>
      <c r="AC94" s="1"/>
    </row>
    <row r="95" spans="1:29" ht="15.75" thickBot="1" x14ac:dyDescent="0.3">
      <c r="A95" s="47">
        <f>RANK(O95,O$3:O$231)</f>
        <v>92</v>
      </c>
      <c r="B95" s="1" t="s">
        <v>581</v>
      </c>
      <c r="C95" s="1" t="s">
        <v>39</v>
      </c>
      <c r="D95" s="1">
        <f>VLOOKUP(E95,BYEs!$A$2:$B$34,2,FALSE)</f>
        <v>7</v>
      </c>
      <c r="E95" s="1" t="s">
        <v>385</v>
      </c>
      <c r="F95" s="249">
        <v>0</v>
      </c>
      <c r="G95" s="250">
        <v>0</v>
      </c>
      <c r="H95" s="251">
        <v>0.5</v>
      </c>
      <c r="I95" s="251">
        <v>3.3</v>
      </c>
      <c r="J95" s="251">
        <v>0</v>
      </c>
      <c r="K95" s="249">
        <v>27.5</v>
      </c>
      <c r="L95" s="247">
        <v>356.3</v>
      </c>
      <c r="M95" s="250">
        <v>1.9</v>
      </c>
      <c r="N95" s="251">
        <v>0.2</v>
      </c>
      <c r="O95" s="252">
        <f>(I95*WRRushingYd)+(J95*WRRushingTD)+(K95*WRRec)+(L95*WRRecYd)+(M95*WRRecTD)+(N95*WRFuml)+(H95*WRRushAtt)</f>
        <v>46.96</v>
      </c>
      <c r="P95" s="1" t="str">
        <f ca="1">IF(A95&lt;=WRStarters,"Starter",IF(A95&gt;WRStarters+WRBench,"Undrafted","Bench"))</f>
        <v>Undrafted</v>
      </c>
      <c r="Q95" s="47">
        <f ca="1">IFERROR(MAX(O95-LARGE(O$3:O$231,WRStarters),0),0)</f>
        <v>0</v>
      </c>
      <c r="R95" s="47">
        <f ca="1">IFERROR(IF(AllowNegative="Yes",O95-LARGE(O$3:O$231,WRCount),MAX(O95-LARGE(O$3:O$231,WRCount),0)),0)</f>
        <v>-42.660000000000004</v>
      </c>
      <c r="S95" s="108">
        <f ca="1">(R95-Q95)*BenchPF+Q95*StarterPF</f>
        <v>-10.216892924389469</v>
      </c>
      <c r="T95" s="108">
        <f ca="1">S95*Auction!$A$2</f>
        <v>-10.216892924389469</v>
      </c>
      <c r="U95" s="25" t="str">
        <f>IF(OR(INDEX(Auction!$H$13:$H$683,MATCH(B95,Auction!$A$13:$A$683,0))&gt;0,IFERROR(INDEX(CheatSheet!$V$5:$V$64,MATCH(B95,CheatSheet!$S$5:$S$64,0)),"")&lt;&gt;""),"Yes","No")</f>
        <v>No</v>
      </c>
      <c r="V95" s="218"/>
      <c r="W95" s="1"/>
      <c r="X95" s="143">
        <f ca="1">IFERROR(SUMIFS($Y$3:$Y323,$Y$3:$Y$231,"&gt;0",$U$3:$U$231,"No")/SUMIF($Y$3:$Y$231,"&gt;0"),0)</f>
        <v>0</v>
      </c>
      <c r="Y95" s="1">
        <f t="shared" ca="1" si="1"/>
        <v>-21.330000000000002</v>
      </c>
      <c r="Z95" s="145" t="str">
        <f ca="1">CONCATENATE("WR",ROUND((LARGE($Y$3:$Y$231,1)-$Y95)/(STDEVP($Y$3:$Y$231)/2)+1,0))</f>
        <v>WR9</v>
      </c>
      <c r="AA95" s="1">
        <f ca="1">Y95*LeagueInfo!$H$5</f>
        <v>-9.7550819989571256</v>
      </c>
      <c r="AB95" s="1"/>
      <c r="AC95" s="1"/>
    </row>
    <row r="96" spans="1:29" ht="15.75" thickBot="1" x14ac:dyDescent="0.3">
      <c r="A96" s="47">
        <f>RANK(O96,O$3:O$231)</f>
        <v>94</v>
      </c>
      <c r="B96" s="1" t="s">
        <v>584</v>
      </c>
      <c r="C96" s="1" t="s">
        <v>39</v>
      </c>
      <c r="D96" s="1">
        <f>VLOOKUP(E96,BYEs!$A$2:$B$34,2,FALSE)</f>
        <v>7</v>
      </c>
      <c r="E96" s="1" t="s">
        <v>385</v>
      </c>
      <c r="F96" s="249">
        <v>0</v>
      </c>
      <c r="G96" s="250">
        <v>0</v>
      </c>
      <c r="H96" s="251">
        <v>3.2</v>
      </c>
      <c r="I96" s="251">
        <v>17.8</v>
      </c>
      <c r="J96" s="251">
        <v>0.1</v>
      </c>
      <c r="K96" s="249">
        <v>30.3</v>
      </c>
      <c r="L96" s="247">
        <v>333.9</v>
      </c>
      <c r="M96" s="250">
        <v>1.9</v>
      </c>
      <c r="N96" s="251">
        <v>0.2</v>
      </c>
      <c r="O96" s="252">
        <f>(I96*WRRushingYd)+(J96*WRRushingTD)+(K96*WRRec)+(L96*WRRecYd)+(M96*WRRecTD)+(N96*WRFuml)+(H96*WRRushAtt)</f>
        <v>46.77</v>
      </c>
      <c r="P96" s="1" t="str">
        <f ca="1">IF(A96&lt;=WRStarters,"Starter",IF(A96&gt;WRStarters+WRBench,"Undrafted","Bench"))</f>
        <v>Undrafted</v>
      </c>
      <c r="Q96" s="47">
        <f ca="1">IFERROR(MAX(O96-LARGE(O$3:O$231,WRStarters),0),0)</f>
        <v>0</v>
      </c>
      <c r="R96" s="47">
        <f ca="1">IFERROR(IF(AllowNegative="Yes",O96-LARGE(O$3:O$231,WRCount),MAX(O96-LARGE(O$3:O$231,WRCount),0)),0)</f>
        <v>-42.85</v>
      </c>
      <c r="S96" s="108">
        <f ca="1">(R96-Q96)*BenchPF+Q96*StarterPF</f>
        <v>-10.262397135726411</v>
      </c>
      <c r="T96" s="108">
        <f ca="1">S96*Auction!$A$2</f>
        <v>-10.262397135726411</v>
      </c>
      <c r="U96" s="25" t="str">
        <f>IF(OR(INDEX(Auction!$H$13:$H$683,MATCH(B96,Auction!$A$13:$A$683,0))&gt;0,IFERROR(INDEX(CheatSheet!$V$5:$V$64,MATCH(B96,CheatSheet!$S$5:$S$64,0)),"")&lt;&gt;""),"Yes","No")</f>
        <v>No</v>
      </c>
      <c r="V96" s="218"/>
      <c r="W96" s="1"/>
      <c r="X96" s="143">
        <f ca="1">IFERROR(SUMIFS($Y$3:$Y324,$Y$3:$Y$231,"&gt;0",$U$3:$U$231,"No")/SUMIF($Y$3:$Y$231,"&gt;0"),0)</f>
        <v>0</v>
      </c>
      <c r="Y96" s="1">
        <f t="shared" ca="1" si="1"/>
        <v>-21.425000000000001</v>
      </c>
      <c r="Z96" s="145" t="str">
        <f ca="1">CONCATENATE("WR",ROUND((LARGE($Y$3:$Y$231,1)-$Y96)/(STDEVP($Y$3:$Y$231)/2)+1,0))</f>
        <v>WR9</v>
      </c>
      <c r="AA96" s="1">
        <f ca="1">Y96*LeagueInfo!$H$5</f>
        <v>-9.7985293871381334</v>
      </c>
      <c r="AB96" s="1"/>
      <c r="AC96" s="1"/>
    </row>
    <row r="97" spans="1:29" ht="15.75" thickBot="1" x14ac:dyDescent="0.3">
      <c r="A97" s="47">
        <f>RANK(O97,O$3:O$231)</f>
        <v>95</v>
      </c>
      <c r="B97" s="1" t="s">
        <v>574</v>
      </c>
      <c r="C97" s="1" t="s">
        <v>39</v>
      </c>
      <c r="D97" s="1">
        <f>VLOOKUP(E97,BYEs!$A$2:$B$34,2,FALSE)</f>
        <v>11</v>
      </c>
      <c r="E97" s="1" t="s">
        <v>355</v>
      </c>
      <c r="F97" s="249">
        <v>0</v>
      </c>
      <c r="G97" s="250">
        <v>0</v>
      </c>
      <c r="H97" s="251">
        <v>1.2</v>
      </c>
      <c r="I97" s="251">
        <v>7.2</v>
      </c>
      <c r="J97" s="251">
        <v>0</v>
      </c>
      <c r="K97" s="249">
        <v>24.6</v>
      </c>
      <c r="L97" s="247">
        <v>351.7</v>
      </c>
      <c r="M97" s="250">
        <v>1.8</v>
      </c>
      <c r="N97" s="251">
        <v>0.2</v>
      </c>
      <c r="O97" s="252">
        <f>(I97*WRRushingYd)+(J97*WRRushingTD)+(K97*WRRec)+(L97*WRRecYd)+(M97*WRRecTD)+(N97*WRFuml)+(H97*WRRushAtt)</f>
        <v>46.29</v>
      </c>
      <c r="P97" s="1" t="str">
        <f ca="1">IF(A97&lt;=WRStarters,"Starter",IF(A97&gt;WRStarters+WRBench,"Undrafted","Bench"))</f>
        <v>Undrafted</v>
      </c>
      <c r="Q97" s="47">
        <f ca="1">IFERROR(MAX(O97-LARGE(O$3:O$231,WRStarters),0),0)</f>
        <v>0</v>
      </c>
      <c r="R97" s="47">
        <f ca="1">IFERROR(IF(AllowNegative="Yes",O97-LARGE(O$3:O$231,WRCount),MAX(O97-LARGE(O$3:O$231,WRCount),0)),0)</f>
        <v>-43.330000000000005</v>
      </c>
      <c r="S97" s="108">
        <f ca="1">(R97-Q97)*BenchPF+Q97*StarterPF</f>
        <v>-10.37735514331448</v>
      </c>
      <c r="T97" s="108">
        <f ca="1">S97*Auction!$A$2</f>
        <v>-10.37735514331448</v>
      </c>
      <c r="U97" s="25" t="str">
        <f>IF(OR(INDEX(Auction!$H$13:$H$683,MATCH(B97,Auction!$A$13:$A$683,0))&gt;0,IFERROR(INDEX(CheatSheet!$V$5:$V$64,MATCH(B97,CheatSheet!$S$5:$S$64,0)),"")&lt;&gt;""),"Yes","No")</f>
        <v>No</v>
      </c>
      <c r="V97" s="218"/>
      <c r="W97" s="1"/>
      <c r="X97" s="143">
        <f ca="1">IFERROR(SUMIFS($Y$3:$Y325,$Y$3:$Y$231,"&gt;0",$U$3:$U$231,"No")/SUMIF($Y$3:$Y$231,"&gt;0"),0)</f>
        <v>0</v>
      </c>
      <c r="Y97" s="1">
        <f t="shared" ca="1" si="1"/>
        <v>-21.665000000000003</v>
      </c>
      <c r="Z97" s="145" t="str">
        <f ca="1">CONCATENATE("WR",ROUND((LARGE($Y$3:$Y$231,1)-$Y97)/(STDEVP($Y$3:$Y$231)/2)+1,0))</f>
        <v>WR9</v>
      </c>
      <c r="AA97" s="1">
        <f ca="1">Y97*LeagueInfo!$H$5</f>
        <v>-9.9082912099112104</v>
      </c>
      <c r="AB97" s="1"/>
      <c r="AC97" s="1"/>
    </row>
    <row r="98" spans="1:29" ht="15.75" thickBot="1" x14ac:dyDescent="0.3">
      <c r="A98" s="47">
        <f>RANK(O98,O$3:O$231)</f>
        <v>96</v>
      </c>
      <c r="B98" s="1" t="s">
        <v>244</v>
      </c>
      <c r="C98" s="1" t="s">
        <v>39</v>
      </c>
      <c r="D98" s="1">
        <f>VLOOKUP(E98,BYEs!$A$2:$B$34,2,FALSE)</f>
        <v>9</v>
      </c>
      <c r="E98" s="1" t="s">
        <v>351</v>
      </c>
      <c r="F98" s="249">
        <v>0</v>
      </c>
      <c r="G98" s="250">
        <v>0</v>
      </c>
      <c r="H98" s="251">
        <v>0</v>
      </c>
      <c r="I98" s="251">
        <v>0.1</v>
      </c>
      <c r="J98" s="251">
        <v>0</v>
      </c>
      <c r="K98" s="249">
        <v>26.3</v>
      </c>
      <c r="L98" s="247">
        <v>329.8</v>
      </c>
      <c r="M98" s="250">
        <v>2.2000000000000002</v>
      </c>
      <c r="N98" s="251">
        <v>0.2</v>
      </c>
      <c r="O98" s="252">
        <f>(I98*WRRushingYd)+(J98*WRRushingTD)+(K98*WRRec)+(L98*WRRecYd)+(M98*WRRecTD)+(N98*WRFuml)+(H98*WRRushAtt)</f>
        <v>45.790000000000006</v>
      </c>
      <c r="P98" s="1" t="str">
        <f ca="1">IF(A98&lt;=WRStarters,"Starter",IF(A98&gt;WRStarters+WRBench,"Undrafted","Bench"))</f>
        <v>Undrafted</v>
      </c>
      <c r="Q98" s="47">
        <f ca="1">IFERROR(MAX(O98-LARGE(O$3:O$231,WRStarters),0),0)</f>
        <v>0</v>
      </c>
      <c r="R98" s="47">
        <f ca="1">IFERROR(IF(AllowNegative="Yes",O98-LARGE(O$3:O$231,WRCount),MAX(O98-LARGE(O$3:O$231,WRCount),0)),0)</f>
        <v>-43.83</v>
      </c>
      <c r="S98" s="108">
        <f ca="1">(R98-Q98)*BenchPF+Q98*StarterPF</f>
        <v>-10.497103067885382</v>
      </c>
      <c r="T98" s="108">
        <f ca="1">S98*Auction!$A$2</f>
        <v>-10.497103067885382</v>
      </c>
      <c r="U98" s="25" t="str">
        <f>IF(OR(INDEX(Auction!$H$13:$H$683,MATCH(B98,Auction!$A$13:$A$683,0))&gt;0,IFERROR(INDEX(CheatSheet!$V$5:$V$64,MATCH(B98,CheatSheet!$S$5:$S$64,0)),"")&lt;&gt;""),"Yes","No")</f>
        <v>No</v>
      </c>
      <c r="V98" s="218"/>
      <c r="W98" s="1"/>
      <c r="X98" s="143">
        <f ca="1">IFERROR(SUMIFS($Y$3:$Y326,$Y$3:$Y$231,"&gt;0",$U$3:$U$231,"No")/SUMIF($Y$3:$Y$231,"&gt;0"),0)</f>
        <v>0</v>
      </c>
      <c r="Y98" s="1">
        <f t="shared" ca="1" si="1"/>
        <v>-21.914999999999999</v>
      </c>
      <c r="Z98" s="145" t="str">
        <f ca="1">CONCATENATE("WR",ROUND((LARGE($Y$3:$Y$231,1)-$Y98)/(STDEVP($Y$3:$Y$231)/2)+1,0))</f>
        <v>WR9</v>
      </c>
      <c r="AA98" s="1">
        <f ca="1">Y98*LeagueInfo!$H$5</f>
        <v>-10.022626441966496</v>
      </c>
      <c r="AB98" s="1"/>
      <c r="AC98" s="1"/>
    </row>
    <row r="99" spans="1:29" ht="15.75" thickBot="1" x14ac:dyDescent="0.3">
      <c r="A99" s="47">
        <f>RANK(O99,O$3:O$231)</f>
        <v>97</v>
      </c>
      <c r="B99" s="1" t="s">
        <v>589</v>
      </c>
      <c r="C99" s="1" t="s">
        <v>39</v>
      </c>
      <c r="D99" s="1">
        <f>VLOOKUP(E99,BYEs!$A$2:$B$34,2,FALSE)</f>
        <v>6</v>
      </c>
      <c r="E99" s="1" t="s">
        <v>354</v>
      </c>
      <c r="F99" s="249">
        <v>0</v>
      </c>
      <c r="G99" s="250">
        <v>0</v>
      </c>
      <c r="H99" s="251">
        <v>0.6</v>
      </c>
      <c r="I99" s="251">
        <v>2.2000000000000002</v>
      </c>
      <c r="J99" s="251">
        <v>0</v>
      </c>
      <c r="K99" s="249">
        <v>25.6</v>
      </c>
      <c r="L99" s="247">
        <v>343.7</v>
      </c>
      <c r="M99" s="250">
        <v>1.9</v>
      </c>
      <c r="N99" s="251">
        <v>0.1</v>
      </c>
      <c r="O99" s="252">
        <f>(I99*WRRushingYd)+(J99*WRRushingTD)+(K99*WRRec)+(L99*WRRecYd)+(M99*WRRecTD)+(N99*WRFuml)+(H99*WRRushAtt)</f>
        <v>45.789999999999992</v>
      </c>
      <c r="P99" s="1" t="str">
        <f ca="1">IF(A99&lt;=WRStarters,"Starter",IF(A99&gt;WRStarters+WRBench,"Undrafted","Bench"))</f>
        <v>Undrafted</v>
      </c>
      <c r="Q99" s="47">
        <f ca="1">IFERROR(MAX(O99-LARGE(O$3:O$231,WRStarters),0),0)</f>
        <v>0</v>
      </c>
      <c r="R99" s="47">
        <f ca="1">IFERROR(IF(AllowNegative="Yes",O99-LARGE(O$3:O$231,WRCount),MAX(O99-LARGE(O$3:O$231,WRCount),0)),0)</f>
        <v>-43.830000000000013</v>
      </c>
      <c r="S99" s="108">
        <f ca="1">(R99-Q99)*BenchPF+Q99*StarterPF</f>
        <v>-10.497103067885385</v>
      </c>
      <c r="T99" s="108">
        <f ca="1">S99*Auction!$A$2</f>
        <v>-10.497103067885385</v>
      </c>
      <c r="U99" s="25" t="str">
        <f>IF(OR(INDEX(Auction!$H$13:$H$683,MATCH(B99,Auction!$A$13:$A$683,0))&gt;0,IFERROR(INDEX(CheatSheet!$V$5:$V$64,MATCH(B99,CheatSheet!$S$5:$S$64,0)),"")&lt;&gt;""),"Yes","No")</f>
        <v>No</v>
      </c>
      <c r="V99" s="218"/>
      <c r="W99" s="1"/>
      <c r="X99" s="143">
        <f ca="1">IFERROR(SUMIFS($Y$3:$Y327,$Y$3:$Y$231,"&gt;0",$U$3:$U$231,"No")/SUMIF($Y$3:$Y$231,"&gt;0"),0)</f>
        <v>0</v>
      </c>
      <c r="Y99" s="1">
        <f t="shared" ca="1" si="1"/>
        <v>-21.915000000000006</v>
      </c>
      <c r="Z99" s="145" t="str">
        <f ca="1">CONCATENATE("WR",ROUND((LARGE($Y$3:$Y$231,1)-$Y99)/(STDEVP($Y$3:$Y$231)/2)+1,0))</f>
        <v>WR9</v>
      </c>
      <c r="AA99" s="1">
        <f ca="1">Y99*LeagueInfo!$H$5</f>
        <v>-10.0226264419665</v>
      </c>
      <c r="AB99" s="1"/>
      <c r="AC99" s="1"/>
    </row>
    <row r="100" spans="1:29" ht="15.75" thickBot="1" x14ac:dyDescent="0.3">
      <c r="A100" s="47">
        <f>RANK(O100,O$3:O$231)</f>
        <v>98</v>
      </c>
      <c r="B100" s="1" t="s">
        <v>585</v>
      </c>
      <c r="C100" s="1" t="s">
        <v>39</v>
      </c>
      <c r="D100" s="1">
        <f>VLOOKUP(E100,BYEs!$A$2:$B$34,2,FALSE)</f>
        <v>5</v>
      </c>
      <c r="E100" s="1" t="s">
        <v>352</v>
      </c>
      <c r="F100" s="249">
        <v>0</v>
      </c>
      <c r="G100" s="250">
        <v>0</v>
      </c>
      <c r="H100" s="251">
        <v>0</v>
      </c>
      <c r="I100" s="251">
        <v>0</v>
      </c>
      <c r="J100" s="251">
        <v>0</v>
      </c>
      <c r="K100" s="249">
        <v>25.3</v>
      </c>
      <c r="L100" s="247">
        <v>319.7</v>
      </c>
      <c r="M100" s="250">
        <v>2.2000000000000002</v>
      </c>
      <c r="N100" s="251">
        <v>0.2</v>
      </c>
      <c r="O100" s="252">
        <f>(I100*WRRushingYd)+(J100*WRRushingTD)+(K100*WRRec)+(L100*WRRecYd)+(M100*WRRecTD)+(N100*WRFuml)+(H100*WRRushAtt)</f>
        <v>44.77</v>
      </c>
      <c r="P100" s="1" t="str">
        <f ca="1">IF(A100&lt;=WRStarters,"Starter",IF(A100&gt;WRStarters+WRBench,"Undrafted","Bench"))</f>
        <v>Undrafted</v>
      </c>
      <c r="Q100" s="47">
        <f ca="1">IFERROR(MAX(O100-LARGE(O$3:O$231,WRStarters),0),0)</f>
        <v>0</v>
      </c>
      <c r="R100" s="47">
        <f ca="1">IFERROR(IF(AllowNegative="Yes",O100-LARGE(O$3:O$231,WRCount),MAX(O100-LARGE(O$3:O$231,WRCount),0)),0)</f>
        <v>-44.85</v>
      </c>
      <c r="S100" s="108">
        <f ca="1">(R100-Q100)*BenchPF+Q100*StarterPF</f>
        <v>-10.741388834010026</v>
      </c>
      <c r="T100" s="108">
        <f ca="1">S100*Auction!$A$2</f>
        <v>-10.741388834010026</v>
      </c>
      <c r="U100" s="25" t="str">
        <f>IF(OR(INDEX(Auction!$H$13:$H$683,MATCH(B100,Auction!$A$13:$A$683,0))&gt;0,IFERROR(INDEX(CheatSheet!$V$5:$V$64,MATCH(B100,CheatSheet!$S$5:$S$64,0)),"")&lt;&gt;""),"Yes","No")</f>
        <v>No</v>
      </c>
      <c r="V100" s="218"/>
      <c r="W100" s="1"/>
      <c r="X100" s="143">
        <f ca="1">IFERROR(SUMIFS($Y$3:$Y328,$Y$3:$Y$231,"&gt;0",$U$3:$U$231,"No")/SUMIF($Y$3:$Y$231,"&gt;0"),0)</f>
        <v>0</v>
      </c>
      <c r="Y100" s="1">
        <f t="shared" ca="1" si="1"/>
        <v>-22.425000000000001</v>
      </c>
      <c r="Z100" s="145" t="str">
        <f ca="1">CONCATENATE("WR",ROUND((LARGE($Y$3:$Y$231,1)-$Y100)/(STDEVP($Y$3:$Y$231)/2)+1,0))</f>
        <v>WR9</v>
      </c>
      <c r="AA100" s="1">
        <f ca="1">Y100*LeagueInfo!$H$5</f>
        <v>-10.255870315359283</v>
      </c>
      <c r="AB100" s="1"/>
      <c r="AC100" s="1"/>
    </row>
    <row r="101" spans="1:29" ht="15.75" thickBot="1" x14ac:dyDescent="0.3">
      <c r="A101" s="47">
        <f>RANK(O101,O$3:O$231)</f>
        <v>99</v>
      </c>
      <c r="B101" s="1" t="s">
        <v>588</v>
      </c>
      <c r="C101" s="1" t="s">
        <v>39</v>
      </c>
      <c r="D101" s="1">
        <f>VLOOKUP(E101,BYEs!$A$2:$B$34,2,FALSE)</f>
        <v>5</v>
      </c>
      <c r="E101" s="1" t="s">
        <v>384</v>
      </c>
      <c r="F101" s="249">
        <v>0</v>
      </c>
      <c r="G101" s="250">
        <v>0</v>
      </c>
      <c r="H101" s="251">
        <v>0</v>
      </c>
      <c r="I101" s="251">
        <v>0</v>
      </c>
      <c r="J101" s="251">
        <v>0</v>
      </c>
      <c r="K101" s="249">
        <v>26.1</v>
      </c>
      <c r="L101" s="247">
        <v>345.8</v>
      </c>
      <c r="M101" s="250">
        <v>1.8</v>
      </c>
      <c r="N101" s="251">
        <v>0.4</v>
      </c>
      <c r="O101" s="252">
        <f>(I101*WRRushingYd)+(J101*WRRushingTD)+(K101*WRRec)+(L101*WRRecYd)+(M101*WRRecTD)+(N101*WRFuml)+(H101*WRRushAtt)</f>
        <v>44.580000000000013</v>
      </c>
      <c r="P101" s="1" t="str">
        <f ca="1">IF(A101&lt;=WRStarters,"Starter",IF(A101&gt;WRStarters+WRBench,"Undrafted","Bench"))</f>
        <v>Undrafted</v>
      </c>
      <c r="Q101" s="47">
        <f ca="1">IFERROR(MAX(O101-LARGE(O$3:O$231,WRStarters),0),0)</f>
        <v>0</v>
      </c>
      <c r="R101" s="47">
        <f ca="1">IFERROR(IF(AllowNegative="Yes",O101-LARGE(O$3:O$231,WRCount),MAX(O101-LARGE(O$3:O$231,WRCount),0)),0)</f>
        <v>-45.039999999999992</v>
      </c>
      <c r="S101" s="108">
        <f ca="1">(R101-Q101)*BenchPF+Q101*StarterPF</f>
        <v>-10.786893045346966</v>
      </c>
      <c r="T101" s="108">
        <f ca="1">S101*Auction!$A$2</f>
        <v>-10.786893045346966</v>
      </c>
      <c r="U101" s="25" t="str">
        <f>IF(OR(INDEX(Auction!$H$13:$H$683,MATCH(B101,Auction!$A$13:$A$683,0))&gt;0,IFERROR(INDEX(CheatSheet!$V$5:$V$64,MATCH(B101,CheatSheet!$S$5:$S$64,0)),"")&lt;&gt;""),"Yes","No")</f>
        <v>No</v>
      </c>
      <c r="V101" s="218"/>
      <c r="W101" s="1"/>
      <c r="X101" s="143">
        <f ca="1">IFERROR(SUMIFS($Y$3:$Y329,$Y$3:$Y$231,"&gt;0",$U$3:$U$231,"No")/SUMIF($Y$3:$Y$231,"&gt;0"),0)</f>
        <v>0</v>
      </c>
      <c r="Y101" s="1">
        <f t="shared" ca="1" si="1"/>
        <v>-22.519999999999996</v>
      </c>
      <c r="Z101" s="145" t="str">
        <f ca="1">CONCATENATE("WR",ROUND((LARGE($Y$3:$Y$231,1)-$Y101)/(STDEVP($Y$3:$Y$231)/2)+1,0))</f>
        <v>WR9</v>
      </c>
      <c r="AA101" s="1">
        <f ca="1">Y101*LeagueInfo!$H$5</f>
        <v>-10.299317703540291</v>
      </c>
      <c r="AB101" s="1"/>
      <c r="AC101" s="1"/>
    </row>
    <row r="102" spans="1:29" ht="15.75" thickBot="1" x14ac:dyDescent="0.3">
      <c r="A102" s="47">
        <f>RANK(O102,O$3:O$231)</f>
        <v>100</v>
      </c>
      <c r="B102" s="1" t="s">
        <v>221</v>
      </c>
      <c r="C102" s="1" t="s">
        <v>39</v>
      </c>
      <c r="D102" s="1">
        <f>VLOOKUP(E102,BYEs!$A$2:$B$34,2,FALSE)</f>
        <v>9</v>
      </c>
      <c r="E102" s="1" t="s">
        <v>361</v>
      </c>
      <c r="F102" s="249">
        <v>0</v>
      </c>
      <c r="G102" s="250">
        <v>0</v>
      </c>
      <c r="H102" s="251">
        <v>0</v>
      </c>
      <c r="I102" s="251">
        <v>0</v>
      </c>
      <c r="J102" s="251">
        <v>0</v>
      </c>
      <c r="K102" s="249">
        <v>24.8</v>
      </c>
      <c r="L102" s="247">
        <v>331.6</v>
      </c>
      <c r="M102" s="250">
        <v>2</v>
      </c>
      <c r="N102" s="251">
        <v>0.3</v>
      </c>
      <c r="O102" s="252">
        <f>(I102*WRRushingYd)+(J102*WRRushingTD)+(K102*WRRec)+(L102*WRRecYd)+(M102*WRRecTD)+(N102*WRFuml)+(H102*WRRushAtt)</f>
        <v>44.56</v>
      </c>
      <c r="P102" s="1" t="str">
        <f ca="1">IF(A102&lt;=WRStarters,"Starter",IF(A102&gt;WRStarters+WRBench,"Undrafted","Bench"))</f>
        <v>Undrafted</v>
      </c>
      <c r="Q102" s="47">
        <f ca="1">IFERROR(MAX(O102-LARGE(O$3:O$231,WRStarters),0),0)</f>
        <v>0</v>
      </c>
      <c r="R102" s="47">
        <f ca="1">IFERROR(IF(AllowNegative="Yes",O102-LARGE(O$3:O$231,WRCount),MAX(O102-LARGE(O$3:O$231,WRCount),0)),0)</f>
        <v>-45.06</v>
      </c>
      <c r="S102" s="108">
        <f ca="1">(R102-Q102)*BenchPF+Q102*StarterPF</f>
        <v>-10.791682962329805</v>
      </c>
      <c r="T102" s="108">
        <f ca="1">S102*Auction!$A$2</f>
        <v>-10.791682962329805</v>
      </c>
      <c r="U102" s="25" t="str">
        <f>IF(OR(INDEX(Auction!$H$13:$H$683,MATCH(B102,Auction!$A$13:$A$683,0))&gt;0,IFERROR(INDEX(CheatSheet!$V$5:$V$64,MATCH(B102,CheatSheet!$S$5:$S$64,0)),"")&lt;&gt;""),"Yes","No")</f>
        <v>No</v>
      </c>
      <c r="V102" s="218"/>
      <c r="W102" s="1"/>
      <c r="X102" s="143">
        <f ca="1">IFERROR(SUMIFS($Y$3:$Y330,$Y$3:$Y$231,"&gt;0",$U$3:$U$231,"No")/SUMIF($Y$3:$Y$231,"&gt;0"),0)</f>
        <v>0</v>
      </c>
      <c r="Y102" s="1">
        <f t="shared" ca="1" si="1"/>
        <v>-22.53</v>
      </c>
      <c r="Z102" s="145" t="str">
        <f ca="1">CONCATENATE("WR",ROUND((LARGE($Y$3:$Y$231,1)-$Y102)/(STDEVP($Y$3:$Y$231)/2)+1,0))</f>
        <v>WR9</v>
      </c>
      <c r="AA102" s="1">
        <f ca="1">Y102*LeagueInfo!$H$5</f>
        <v>-10.303891112822503</v>
      </c>
      <c r="AB102" s="1"/>
      <c r="AC102" s="1"/>
    </row>
    <row r="103" spans="1:29" ht="15.75" thickBot="1" x14ac:dyDescent="0.3">
      <c r="A103" s="47">
        <f>RANK(O103,O$3:O$231)</f>
        <v>101</v>
      </c>
      <c r="B103" s="1" t="s">
        <v>583</v>
      </c>
      <c r="C103" s="1" t="s">
        <v>39</v>
      </c>
      <c r="D103" s="1">
        <f>VLOOKUP(E103,BYEs!$A$2:$B$34,2,FALSE)</f>
        <v>11</v>
      </c>
      <c r="E103" s="1" t="s">
        <v>356</v>
      </c>
      <c r="F103" s="249">
        <v>0</v>
      </c>
      <c r="G103" s="250">
        <v>0</v>
      </c>
      <c r="H103" s="251">
        <v>0</v>
      </c>
      <c r="I103" s="251">
        <v>0</v>
      </c>
      <c r="J103" s="251">
        <v>0</v>
      </c>
      <c r="K103" s="249">
        <v>26</v>
      </c>
      <c r="L103" s="247">
        <v>332.6</v>
      </c>
      <c r="M103" s="250">
        <v>1.8</v>
      </c>
      <c r="N103" s="251">
        <v>0.3</v>
      </c>
      <c r="O103" s="252">
        <f>(I103*WRRushingYd)+(J103*WRRushingTD)+(K103*WRRec)+(L103*WRRecYd)+(M103*WRRecTD)+(N103*WRFuml)+(H103*WRRushAtt)</f>
        <v>43.46</v>
      </c>
      <c r="P103" s="1" t="str">
        <f ca="1">IF(A103&lt;=WRStarters,"Starter",IF(A103&gt;WRStarters+WRBench,"Undrafted","Bench"))</f>
        <v>Undrafted</v>
      </c>
      <c r="Q103" s="47">
        <f ca="1">IFERROR(MAX(O103-LARGE(O$3:O$231,WRStarters),0),0)</f>
        <v>0</v>
      </c>
      <c r="R103" s="47">
        <f ca="1">IFERROR(IF(AllowNegative="Yes",O103-LARGE(O$3:O$231,WRCount),MAX(O103-LARGE(O$3:O$231,WRCount),0)),0)</f>
        <v>-46.160000000000004</v>
      </c>
      <c r="S103" s="108">
        <f ca="1">(R103-Q103)*BenchPF+Q103*StarterPF</f>
        <v>-11.055128396385793</v>
      </c>
      <c r="T103" s="108">
        <f ca="1">S103*Auction!$A$2</f>
        <v>-11.055128396385793</v>
      </c>
      <c r="U103" s="25" t="str">
        <f>IF(OR(INDEX(Auction!$H$13:$H$683,MATCH(B103,Auction!$A$13:$A$683,0))&gt;0,IFERROR(INDEX(CheatSheet!$V$5:$V$64,MATCH(B103,CheatSheet!$S$5:$S$64,0)),"")&lt;&gt;""),"Yes","No")</f>
        <v>No</v>
      </c>
      <c r="V103" s="218"/>
      <c r="W103" s="1"/>
      <c r="X103" s="143">
        <f ca="1">IFERROR(SUMIFS($Y$3:$Y331,$Y$3:$Y$231,"&gt;0",$U$3:$U$231,"No")/SUMIF($Y$3:$Y$231,"&gt;0"),0)</f>
        <v>0</v>
      </c>
      <c r="Y103" s="1">
        <f t="shared" ca="1" si="1"/>
        <v>-23.080000000000002</v>
      </c>
      <c r="Z103" s="145" t="str">
        <f ca="1">CONCATENATE("WR",ROUND((LARGE($Y$3:$Y$231,1)-$Y103)/(STDEVP($Y$3:$Y$231)/2)+1,0))</f>
        <v>WR9</v>
      </c>
      <c r="AA103" s="1">
        <f ca="1">Y103*LeagueInfo!$H$5</f>
        <v>-10.555428623344136</v>
      </c>
      <c r="AB103" s="1"/>
      <c r="AC103" s="1"/>
    </row>
    <row r="104" spans="1:29" ht="15.75" thickBot="1" x14ac:dyDescent="0.3">
      <c r="A104" s="47">
        <f>RANK(O104,O$3:O$231)</f>
        <v>102</v>
      </c>
      <c r="B104" s="1" t="s">
        <v>597</v>
      </c>
      <c r="C104" s="1" t="s">
        <v>39</v>
      </c>
      <c r="D104" s="1">
        <f>VLOOKUP(E104,BYEs!$A$2:$B$34,2,FALSE)</f>
        <v>8</v>
      </c>
      <c r="E104" s="1" t="s">
        <v>370</v>
      </c>
      <c r="F104" s="249">
        <v>0</v>
      </c>
      <c r="G104" s="250">
        <v>0</v>
      </c>
      <c r="H104" s="251">
        <v>0</v>
      </c>
      <c r="I104" s="251">
        <v>0</v>
      </c>
      <c r="J104" s="251">
        <v>0</v>
      </c>
      <c r="K104" s="249">
        <v>23.7</v>
      </c>
      <c r="L104" s="247">
        <v>317.10000000000002</v>
      </c>
      <c r="M104" s="250">
        <v>1.8</v>
      </c>
      <c r="N104" s="251">
        <v>0.2</v>
      </c>
      <c r="O104" s="252">
        <f>(I104*WRRushingYd)+(J104*WRRushingTD)+(K104*WRRec)+(L104*WRRecYd)+(M104*WRRecTD)+(N104*WRFuml)+(H104*WRRushAtt)</f>
        <v>42.110000000000007</v>
      </c>
      <c r="P104" s="1" t="str">
        <f ca="1">IF(A104&lt;=WRStarters,"Starter",IF(A104&gt;WRStarters+WRBench,"Undrafted","Bench"))</f>
        <v>Undrafted</v>
      </c>
      <c r="Q104" s="47">
        <f ca="1">IFERROR(MAX(O104-LARGE(O$3:O$231,WRStarters),0),0)</f>
        <v>0</v>
      </c>
      <c r="R104" s="47">
        <f ca="1">IFERROR(IF(AllowNegative="Yes",O104-LARGE(O$3:O$231,WRCount),MAX(O104-LARGE(O$3:O$231,WRCount),0)),0)</f>
        <v>-47.51</v>
      </c>
      <c r="S104" s="108">
        <f ca="1">(R104-Q104)*BenchPF+Q104*StarterPF</f>
        <v>-11.378447792727229</v>
      </c>
      <c r="T104" s="108">
        <f ca="1">S104*Auction!$A$2</f>
        <v>-11.378447792727229</v>
      </c>
      <c r="U104" s="25" t="str">
        <f>IF(OR(INDEX(Auction!$H$13:$H$683,MATCH(B104,Auction!$A$13:$A$683,0))&gt;0,IFERROR(INDEX(CheatSheet!$V$5:$V$64,MATCH(B104,CheatSheet!$S$5:$S$64,0)),"")&lt;&gt;""),"Yes","No")</f>
        <v>No</v>
      </c>
      <c r="V104" s="218"/>
      <c r="W104" s="1"/>
      <c r="X104" s="143">
        <f ca="1">IFERROR(SUMIFS($Y$3:$Y332,$Y$3:$Y$231,"&gt;0",$U$3:$U$231,"No")/SUMIF($Y$3:$Y$231,"&gt;0"),0)</f>
        <v>0</v>
      </c>
      <c r="Y104" s="1">
        <f t="shared" ca="1" si="1"/>
        <v>-23.754999999999999</v>
      </c>
      <c r="Z104" s="145" t="str">
        <f ca="1">CONCATENATE("WR",ROUND((LARGE($Y$3:$Y$231,1)-$Y104)/(STDEVP($Y$3:$Y$231)/2)+1,0))</f>
        <v>WR9</v>
      </c>
      <c r="AA104" s="1">
        <f ca="1">Y104*LeagueInfo!$H$5</f>
        <v>-10.864133749893412</v>
      </c>
      <c r="AB104" s="1"/>
      <c r="AC104" s="1"/>
    </row>
    <row r="105" spans="1:29" ht="15.75" thickBot="1" x14ac:dyDescent="0.3">
      <c r="A105" s="47">
        <f>RANK(O105,O$3:O$231)</f>
        <v>103</v>
      </c>
      <c r="B105" s="1" t="s">
        <v>586</v>
      </c>
      <c r="C105" s="1" t="s">
        <v>39</v>
      </c>
      <c r="D105" s="1">
        <f>VLOOKUP(E105,BYEs!$A$2:$B$34,2,FALSE)</f>
        <v>6</v>
      </c>
      <c r="E105" s="1" t="s">
        <v>364</v>
      </c>
      <c r="F105" s="249">
        <v>0</v>
      </c>
      <c r="G105" s="250">
        <v>0</v>
      </c>
      <c r="H105" s="251">
        <v>0</v>
      </c>
      <c r="I105" s="251">
        <v>0</v>
      </c>
      <c r="J105" s="251">
        <v>0</v>
      </c>
      <c r="K105" s="249">
        <v>19.7</v>
      </c>
      <c r="L105" s="247">
        <v>273.39999999999998</v>
      </c>
      <c r="M105" s="250">
        <v>2</v>
      </c>
      <c r="N105" s="251">
        <v>0.2</v>
      </c>
      <c r="O105" s="252">
        <f>(I105*WRRushingYd)+(J105*WRRushingTD)+(K105*WRRec)+(L105*WRRecYd)+(M105*WRRecTD)+(N105*WRFuml)+(H105*WRRushAtt)</f>
        <v>38.940000000000005</v>
      </c>
      <c r="P105" s="1" t="str">
        <f ca="1">IF(A105&lt;=WRStarters,"Starter",IF(A105&gt;WRStarters+WRBench,"Undrafted","Bench"))</f>
        <v>Undrafted</v>
      </c>
      <c r="Q105" s="47">
        <f ca="1">IFERROR(MAX(O105-LARGE(O$3:O$231,WRStarters),0),0)</f>
        <v>0</v>
      </c>
      <c r="R105" s="47">
        <f ca="1">IFERROR(IF(AllowNegative="Yes",O105-LARGE(O$3:O$231,WRCount),MAX(O105-LARGE(O$3:O$231,WRCount),0)),0)</f>
        <v>-50.68</v>
      </c>
      <c r="S105" s="108">
        <f ca="1">(R105-Q105)*BenchPF+Q105*StarterPF</f>
        <v>-12.137649634506758</v>
      </c>
      <c r="T105" s="108">
        <f ca="1">S105*Auction!$A$2</f>
        <v>-12.137649634506758</v>
      </c>
      <c r="U105" s="25" t="str">
        <f>IF(OR(INDEX(Auction!$H$13:$H$683,MATCH(B105,Auction!$A$13:$A$683,0))&gt;0,IFERROR(INDEX(CheatSheet!$V$5:$V$64,MATCH(B105,CheatSheet!$S$5:$S$64,0)),"")&lt;&gt;""),"Yes","No")</f>
        <v>No</v>
      </c>
      <c r="V105" s="218"/>
      <c r="W105" s="1"/>
      <c r="X105" s="143">
        <f ca="1">IFERROR(SUMIFS($Y$3:$Y333,$Y$3:$Y$231,"&gt;0",$U$3:$U$231,"No")/SUMIF($Y$3:$Y$231,"&gt;0"),0)</f>
        <v>0</v>
      </c>
      <c r="Y105" s="1">
        <f t="shared" ca="1" si="1"/>
        <v>-25.34</v>
      </c>
      <c r="Z105" s="145" t="str">
        <f ca="1">CONCATENATE("WR",ROUND((LARGE($Y$3:$Y$231,1)-$Y105)/(STDEVP($Y$3:$Y$231)/2)+1,0))</f>
        <v>WR9</v>
      </c>
      <c r="AA105" s="1">
        <f ca="1">Y105*LeagueInfo!$H$5</f>
        <v>-11.589019121123934</v>
      </c>
      <c r="AB105" s="1"/>
      <c r="AC105" s="1"/>
    </row>
    <row r="106" spans="1:29" ht="15.75" thickBot="1" x14ac:dyDescent="0.3">
      <c r="A106" s="47">
        <f>RANK(O106,O$3:O$231)</f>
        <v>104</v>
      </c>
      <c r="B106" s="1" t="s">
        <v>582</v>
      </c>
      <c r="C106" s="1" t="s">
        <v>39</v>
      </c>
      <c r="D106" s="1">
        <f>VLOOKUP(E106,BYEs!$A$2:$B$34,2,FALSE)</f>
        <v>7</v>
      </c>
      <c r="E106" s="1" t="s">
        <v>385</v>
      </c>
      <c r="F106" s="249">
        <v>0</v>
      </c>
      <c r="G106" s="250">
        <v>0</v>
      </c>
      <c r="H106" s="251">
        <v>0</v>
      </c>
      <c r="I106" s="251">
        <v>0.2</v>
      </c>
      <c r="J106" s="251">
        <v>0</v>
      </c>
      <c r="K106" s="249">
        <v>26.4</v>
      </c>
      <c r="L106" s="247">
        <v>308.3</v>
      </c>
      <c r="M106" s="250">
        <v>1.4</v>
      </c>
      <c r="N106" s="251">
        <v>0.2</v>
      </c>
      <c r="O106" s="252">
        <f>(I106*WRRushingYd)+(J106*WRRushingTD)+(K106*WRRec)+(L106*WRRecYd)+(M106*WRRecTD)+(N106*WRFuml)+(H106*WRRushAtt)</f>
        <v>38.85</v>
      </c>
      <c r="P106" s="1" t="str">
        <f ca="1">IF(A106&lt;=WRStarters,"Starter",IF(A106&gt;WRStarters+WRBench,"Undrafted","Bench"))</f>
        <v>Undrafted</v>
      </c>
      <c r="Q106" s="47">
        <f ca="1">IFERROR(MAX(O106-LARGE(O$3:O$231,WRStarters),0),0)</f>
        <v>0</v>
      </c>
      <c r="R106" s="47">
        <f ca="1">IFERROR(IF(AllowNegative="Yes",O106-LARGE(O$3:O$231,WRCount),MAX(O106-LARGE(O$3:O$231,WRCount),0)),0)</f>
        <v>-50.77</v>
      </c>
      <c r="S106" s="108">
        <f ca="1">(R106-Q106)*BenchPF+Q106*StarterPF</f>
        <v>-12.159204260929521</v>
      </c>
      <c r="T106" s="108">
        <f ca="1">S106*Auction!$A$2</f>
        <v>-12.159204260929521</v>
      </c>
      <c r="U106" s="25" t="str">
        <f>IF(OR(INDEX(Auction!$H$13:$H$683,MATCH(B106,Auction!$A$13:$A$683,0))&gt;0,IFERROR(INDEX(CheatSheet!$V$5:$V$64,MATCH(B106,CheatSheet!$S$5:$S$64,0)),"")&lt;&gt;""),"Yes","No")</f>
        <v>No</v>
      </c>
      <c r="V106" s="218"/>
      <c r="W106" s="1"/>
      <c r="X106" s="143">
        <f ca="1">IFERROR(SUMIFS($Y$3:$Y334,$Y$3:$Y$231,"&gt;0",$U$3:$U$231,"No")/SUMIF($Y$3:$Y$231,"&gt;0"),0)</f>
        <v>0</v>
      </c>
      <c r="Y106" s="1">
        <f t="shared" ca="1" si="1"/>
        <v>-25.385000000000002</v>
      </c>
      <c r="Z106" s="145" t="str">
        <f ca="1">CONCATENATE("WR",ROUND((LARGE($Y$3:$Y$231,1)-$Y106)/(STDEVP($Y$3:$Y$231)/2)+1,0))</f>
        <v>WR9</v>
      </c>
      <c r="AA106" s="1">
        <f ca="1">Y106*LeagueInfo!$H$5</f>
        <v>-11.609599462893886</v>
      </c>
      <c r="AB106" s="1"/>
      <c r="AC106" s="1"/>
    </row>
    <row r="107" spans="1:29" ht="15.75" thickBot="1" x14ac:dyDescent="0.3">
      <c r="A107" s="47">
        <f>RANK(O107,O$3:O$231)</f>
        <v>105</v>
      </c>
      <c r="B107" s="1" t="s">
        <v>591</v>
      </c>
      <c r="C107" s="1" t="s">
        <v>39</v>
      </c>
      <c r="D107" s="1">
        <f>VLOOKUP(E107,BYEs!$A$2:$B$34,2,FALSE)</f>
        <v>11</v>
      </c>
      <c r="E107" s="1" t="s">
        <v>355</v>
      </c>
      <c r="F107" s="249">
        <v>0</v>
      </c>
      <c r="G107" s="250">
        <v>0</v>
      </c>
      <c r="H107" s="251">
        <v>0</v>
      </c>
      <c r="I107" s="251">
        <v>0</v>
      </c>
      <c r="J107" s="251">
        <v>0</v>
      </c>
      <c r="K107" s="249">
        <v>22.3</v>
      </c>
      <c r="L107" s="247">
        <v>285.89999999999998</v>
      </c>
      <c r="M107" s="250">
        <v>1.7</v>
      </c>
      <c r="N107" s="251">
        <v>0.2</v>
      </c>
      <c r="O107" s="252">
        <f>(I107*WRRushingYd)+(J107*WRRushingTD)+(K107*WRRec)+(L107*WRRecYd)+(M107*WRRecTD)+(N107*WRFuml)+(H107*WRRushAtt)</f>
        <v>38.39</v>
      </c>
      <c r="P107" s="1" t="str">
        <f ca="1">IF(A107&lt;=WRStarters,"Starter",IF(A107&gt;WRStarters+WRBench,"Undrafted","Bench"))</f>
        <v>Undrafted</v>
      </c>
      <c r="Q107" s="47">
        <f ca="1">IFERROR(MAX(O107-LARGE(O$3:O$231,WRStarters),0),0)</f>
        <v>0</v>
      </c>
      <c r="R107" s="47">
        <f ca="1">IFERROR(IF(AllowNegative="Yes",O107-LARGE(O$3:O$231,WRCount),MAX(O107-LARGE(O$3:O$231,WRCount),0)),0)</f>
        <v>-51.230000000000004</v>
      </c>
      <c r="S107" s="108">
        <f ca="1">(R107-Q107)*BenchPF+Q107*StarterPF</f>
        <v>-12.269372351534752</v>
      </c>
      <c r="T107" s="108">
        <f ca="1">S107*Auction!$A$2</f>
        <v>-12.269372351534752</v>
      </c>
      <c r="U107" s="25" t="str">
        <f>IF(OR(INDEX(Auction!$H$13:$H$683,MATCH(B107,Auction!$A$13:$A$683,0))&gt;0,IFERROR(INDEX(CheatSheet!$V$5:$V$64,MATCH(B107,CheatSheet!$S$5:$S$64,0)),"")&lt;&gt;""),"Yes","No")</f>
        <v>No</v>
      </c>
      <c r="V107" s="218"/>
      <c r="W107" s="1"/>
      <c r="X107" s="143">
        <f ca="1">IFERROR(SUMIFS($Y$3:$Y335,$Y$3:$Y$231,"&gt;0",$U$3:$U$231,"No")/SUMIF($Y$3:$Y$231,"&gt;0"),0)</f>
        <v>0</v>
      </c>
      <c r="Y107" s="1">
        <f t="shared" ca="1" si="1"/>
        <v>-25.615000000000002</v>
      </c>
      <c r="Z107" s="145" t="str">
        <f ca="1">CONCATENATE("WR",ROUND((LARGE($Y$3:$Y$231,1)-$Y107)/(STDEVP($Y$3:$Y$231)/2)+1,0))</f>
        <v>WR9</v>
      </c>
      <c r="AA107" s="1">
        <f ca="1">Y107*LeagueInfo!$H$5</f>
        <v>-11.714787876384751</v>
      </c>
      <c r="AB107" s="1"/>
      <c r="AC107" s="1"/>
    </row>
    <row r="108" spans="1:29" ht="15.75" thickBot="1" x14ac:dyDescent="0.3">
      <c r="A108" s="47">
        <f>RANK(O108,O$3:O$231)</f>
        <v>106</v>
      </c>
      <c r="B108" s="1" t="s">
        <v>598</v>
      </c>
      <c r="C108" s="1" t="s">
        <v>39</v>
      </c>
      <c r="D108" s="1">
        <f>VLOOKUP(E108,BYEs!$A$2:$B$34,2,FALSE)</f>
        <v>9</v>
      </c>
      <c r="E108" s="1" t="s">
        <v>376</v>
      </c>
      <c r="F108" s="249">
        <v>0</v>
      </c>
      <c r="G108" s="250">
        <v>0</v>
      </c>
      <c r="H108" s="251">
        <v>0.3</v>
      </c>
      <c r="I108" s="251">
        <v>1.3</v>
      </c>
      <c r="J108" s="251">
        <v>0</v>
      </c>
      <c r="K108" s="249">
        <v>22.6</v>
      </c>
      <c r="L108" s="247">
        <v>308.7</v>
      </c>
      <c r="M108" s="250">
        <v>1.2</v>
      </c>
      <c r="N108" s="251">
        <v>0.8</v>
      </c>
      <c r="O108" s="252">
        <f>(I108*WRRushingYd)+(J108*WRRushingTD)+(K108*WRRec)+(L108*WRRecYd)+(M108*WRRecTD)+(N108*WRFuml)+(H108*WRRushAtt)</f>
        <v>36.6</v>
      </c>
      <c r="P108" s="1" t="str">
        <f ca="1">IF(A108&lt;=WRStarters,"Starter",IF(A108&gt;WRStarters+WRBench,"Undrafted","Bench"))</f>
        <v>Undrafted</v>
      </c>
      <c r="Q108" s="47">
        <f ca="1">IFERROR(MAX(O108-LARGE(O$3:O$231,WRStarters),0),0)</f>
        <v>0</v>
      </c>
      <c r="R108" s="47">
        <f ca="1">IFERROR(IF(AllowNegative="Yes",O108-LARGE(O$3:O$231,WRCount),MAX(O108-LARGE(O$3:O$231,WRCount),0)),0)</f>
        <v>-53.02</v>
      </c>
      <c r="S108" s="108">
        <f ca="1">(R108-Q108)*BenchPF+Q108*StarterPF</f>
        <v>-12.698069921498586</v>
      </c>
      <c r="T108" s="108">
        <f ca="1">S108*Auction!$A$2</f>
        <v>-12.698069921498586</v>
      </c>
      <c r="U108" s="25" t="str">
        <f>IF(OR(INDEX(Auction!$H$13:$H$683,MATCH(B108,Auction!$A$13:$A$683,0))&gt;0,IFERROR(INDEX(CheatSheet!$V$5:$V$64,MATCH(B108,CheatSheet!$S$5:$S$64,0)),"")&lt;&gt;""),"Yes","No")</f>
        <v>No</v>
      </c>
      <c r="V108" s="218"/>
      <c r="W108" s="1"/>
      <c r="X108" s="143">
        <f ca="1">IFERROR(SUMIFS($Y$3:$Y336,$Y$3:$Y$231,"&gt;0",$U$3:$U$231,"No")/SUMIF($Y$3:$Y$231,"&gt;0"),0)</f>
        <v>0</v>
      </c>
      <c r="Y108" s="1">
        <f t="shared" ca="1" si="1"/>
        <v>-26.51</v>
      </c>
      <c r="Z108" s="145" t="str">
        <f ca="1">CONCATENATE("WR",ROUND((LARGE($Y$3:$Y$231,1)-$Y108)/(STDEVP($Y$3:$Y$231)/2)+1,0))</f>
        <v>WR9</v>
      </c>
      <c r="AA108" s="1">
        <f ca="1">Y108*LeagueInfo!$H$5</f>
        <v>-12.124108007142681</v>
      </c>
      <c r="AB108" s="1"/>
      <c r="AC108" s="1"/>
    </row>
    <row r="109" spans="1:29" ht="15.75" thickBot="1" x14ac:dyDescent="0.3">
      <c r="A109" s="47">
        <f>RANK(O109,O$3:O$231)</f>
        <v>107</v>
      </c>
      <c r="B109" s="1" t="s">
        <v>602</v>
      </c>
      <c r="C109" s="1" t="s">
        <v>39</v>
      </c>
      <c r="D109" s="1">
        <f>VLOOKUP(E109,BYEs!$A$2:$B$34,2,FALSE)</f>
        <v>8</v>
      </c>
      <c r="E109" s="1" t="s">
        <v>359</v>
      </c>
      <c r="F109" s="249">
        <v>0</v>
      </c>
      <c r="G109" s="250">
        <v>0</v>
      </c>
      <c r="H109" s="251">
        <v>0</v>
      </c>
      <c r="I109" s="251">
        <v>0.3</v>
      </c>
      <c r="J109" s="251">
        <v>0</v>
      </c>
      <c r="K109" s="249">
        <v>20.399999999999999</v>
      </c>
      <c r="L109" s="247">
        <v>258.5</v>
      </c>
      <c r="M109" s="250">
        <v>1.7</v>
      </c>
      <c r="N109" s="251">
        <v>0.3</v>
      </c>
      <c r="O109" s="252">
        <f>(I109*WRRushingYd)+(J109*WRRushingTD)+(K109*WRRec)+(L109*WRRecYd)+(M109*WRRecTD)+(N109*WRFuml)+(H109*WRRushAtt)</f>
        <v>35.479999999999997</v>
      </c>
      <c r="P109" s="1" t="str">
        <f ca="1">IF(A109&lt;=WRStarters,"Starter",IF(A109&gt;WRStarters+WRBench,"Undrafted","Bench"))</f>
        <v>Undrafted</v>
      </c>
      <c r="Q109" s="47">
        <f ca="1">IFERROR(MAX(O109-LARGE(O$3:O$231,WRStarters),0),0)</f>
        <v>0</v>
      </c>
      <c r="R109" s="47">
        <f ca="1">IFERROR(IF(AllowNegative="Yes",O109-LARGE(O$3:O$231,WRCount),MAX(O109-LARGE(O$3:O$231,WRCount),0)),0)</f>
        <v>-54.140000000000008</v>
      </c>
      <c r="S109" s="108">
        <f ca="1">(R109-Q109)*BenchPF+Q109*StarterPF</f>
        <v>-12.96630527253741</v>
      </c>
      <c r="T109" s="108">
        <f ca="1">S109*Auction!$A$2</f>
        <v>-12.96630527253741</v>
      </c>
      <c r="U109" s="25" t="str">
        <f>IF(OR(INDEX(Auction!$H$13:$H$683,MATCH(B109,Auction!$A$13:$A$683,0))&gt;0,IFERROR(INDEX(CheatSheet!$V$5:$V$64,MATCH(B109,CheatSheet!$S$5:$S$64,0)),"")&lt;&gt;""),"Yes","No")</f>
        <v>No</v>
      </c>
      <c r="V109" s="218"/>
      <c r="W109" s="1"/>
      <c r="X109" s="143">
        <f ca="1">IFERROR(SUMIFS($Y$3:$Y337,$Y$3:$Y$231,"&gt;0",$U$3:$U$231,"No")/SUMIF($Y$3:$Y$231,"&gt;0"),0)</f>
        <v>0</v>
      </c>
      <c r="Y109" s="1">
        <f t="shared" ca="1" si="1"/>
        <v>-27.070000000000004</v>
      </c>
      <c r="Z109" s="145" t="str">
        <f ca="1">CONCATENATE("WR",ROUND((LARGE($Y$3:$Y$231,1)-$Y109)/(STDEVP($Y$3:$Y$231)/2)+1,0))</f>
        <v>WR9</v>
      </c>
      <c r="AA109" s="1">
        <f ca="1">Y109*LeagueInfo!$H$5</f>
        <v>-12.380218926946526</v>
      </c>
      <c r="AB109" s="1"/>
      <c r="AC109" s="1"/>
    </row>
    <row r="110" spans="1:29" ht="15.75" thickBot="1" x14ac:dyDescent="0.3">
      <c r="A110" s="47">
        <f>RANK(O110,O$3:O$231)</f>
        <v>108</v>
      </c>
      <c r="B110" s="1" t="s">
        <v>592</v>
      </c>
      <c r="C110" s="1" t="s">
        <v>39</v>
      </c>
      <c r="D110" s="1">
        <f>VLOOKUP(E110,BYEs!$A$2:$B$34,2,FALSE)</f>
        <v>9</v>
      </c>
      <c r="E110" s="1" t="s">
        <v>363</v>
      </c>
      <c r="F110" s="249">
        <v>0</v>
      </c>
      <c r="G110" s="250">
        <v>0</v>
      </c>
      <c r="H110" s="251">
        <v>0</v>
      </c>
      <c r="I110" s="251">
        <v>0</v>
      </c>
      <c r="J110" s="251">
        <v>0</v>
      </c>
      <c r="K110" s="249">
        <v>21.6</v>
      </c>
      <c r="L110" s="247">
        <v>276.5</v>
      </c>
      <c r="M110" s="250">
        <v>1.3</v>
      </c>
      <c r="N110" s="251">
        <v>0.2</v>
      </c>
      <c r="O110" s="252">
        <f>(I110*WRRushingYd)+(J110*WRRushingTD)+(K110*WRRec)+(L110*WRRecYd)+(M110*WRRecTD)+(N110*WRFuml)+(H110*WRRushAtt)</f>
        <v>35.050000000000004</v>
      </c>
      <c r="P110" s="1" t="str">
        <f ca="1">IF(A110&lt;=WRStarters,"Starter",IF(A110&gt;WRStarters+WRBench,"Undrafted","Bench"))</f>
        <v>Undrafted</v>
      </c>
      <c r="Q110" s="47">
        <f ca="1">IFERROR(MAX(O110-LARGE(O$3:O$231,WRStarters),0),0)</f>
        <v>0</v>
      </c>
      <c r="R110" s="47">
        <f ca="1">IFERROR(IF(AllowNegative="Yes",O110-LARGE(O$3:O$231,WRCount),MAX(O110-LARGE(O$3:O$231,WRCount),0)),0)</f>
        <v>-54.57</v>
      </c>
      <c r="S110" s="108">
        <f ca="1">(R110-Q110)*BenchPF+Q110*StarterPF</f>
        <v>-13.069288487668384</v>
      </c>
      <c r="T110" s="108">
        <f ca="1">S110*Auction!$A$2</f>
        <v>-13.069288487668384</v>
      </c>
      <c r="U110" s="25" t="str">
        <f>IF(OR(INDEX(Auction!$H$13:$H$683,MATCH(B110,Auction!$A$13:$A$683,0))&gt;0,IFERROR(INDEX(CheatSheet!$V$5:$V$64,MATCH(B110,CheatSheet!$S$5:$S$64,0)),"")&lt;&gt;""),"Yes","No")</f>
        <v>No</v>
      </c>
      <c r="V110" s="218"/>
      <c r="W110" s="1"/>
      <c r="X110" s="143">
        <f ca="1">IFERROR(SUMIFS($Y$3:$Y338,$Y$3:$Y$231,"&gt;0",$U$3:$U$231,"No")/SUMIF($Y$3:$Y$231,"&gt;0"),0)</f>
        <v>0</v>
      </c>
      <c r="Y110" s="1">
        <f t="shared" ca="1" si="1"/>
        <v>-27.285</v>
      </c>
      <c r="Z110" s="145" t="str">
        <f ca="1">CONCATENATE("WR",ROUND((LARGE($Y$3:$Y$231,1)-$Y110)/(STDEVP($Y$3:$Y$231)/2)+1,0))</f>
        <v>WR9</v>
      </c>
      <c r="AA110" s="1">
        <f ca="1">Y110*LeagueInfo!$H$5</f>
        <v>-12.47854722651407</v>
      </c>
      <c r="AB110" s="1"/>
      <c r="AC110" s="1"/>
    </row>
    <row r="111" spans="1:29" ht="15.75" thickBot="1" x14ac:dyDescent="0.3">
      <c r="A111" s="47">
        <f>RANK(O111,O$3:O$231)</f>
        <v>109</v>
      </c>
      <c r="B111" s="1" t="s">
        <v>599</v>
      </c>
      <c r="C111" s="1" t="s">
        <v>39</v>
      </c>
      <c r="D111" s="1">
        <f>VLOOKUP(E111,BYEs!$A$2:$B$34,2,FALSE)</f>
        <v>8</v>
      </c>
      <c r="E111" s="1" t="s">
        <v>367</v>
      </c>
      <c r="F111" s="249">
        <v>0</v>
      </c>
      <c r="G111" s="250">
        <v>0</v>
      </c>
      <c r="H111" s="251">
        <v>0</v>
      </c>
      <c r="I111" s="251">
        <v>0</v>
      </c>
      <c r="J111" s="251">
        <v>0</v>
      </c>
      <c r="K111" s="249">
        <v>21.8</v>
      </c>
      <c r="L111" s="247">
        <v>277.8</v>
      </c>
      <c r="M111" s="250">
        <v>1.3</v>
      </c>
      <c r="N111" s="251">
        <v>0.4</v>
      </c>
      <c r="O111" s="252">
        <f>(I111*WRRushingYd)+(J111*WRRushingTD)+(K111*WRRec)+(L111*WRRecYd)+(M111*WRRecTD)+(N111*WRFuml)+(H111*WRRushAtt)</f>
        <v>34.78</v>
      </c>
      <c r="P111" s="1" t="str">
        <f ca="1">IF(A111&lt;=WRStarters,"Starter",IF(A111&gt;WRStarters+WRBench,"Undrafted","Bench"))</f>
        <v>Undrafted</v>
      </c>
      <c r="Q111" s="47">
        <f ca="1">IFERROR(MAX(O111-LARGE(O$3:O$231,WRStarters),0),0)</f>
        <v>0</v>
      </c>
      <c r="R111" s="47">
        <f ca="1">IFERROR(IF(AllowNegative="Yes",O111-LARGE(O$3:O$231,WRCount),MAX(O111-LARGE(O$3:O$231,WRCount),0)),0)</f>
        <v>-54.84</v>
      </c>
      <c r="S111" s="108">
        <f ca="1">(R111-Q111)*BenchPF+Q111*StarterPF</f>
        <v>-13.133952366936674</v>
      </c>
      <c r="T111" s="108">
        <f ca="1">S111*Auction!$A$2</f>
        <v>-13.133952366936674</v>
      </c>
      <c r="U111" s="25" t="str">
        <f>IF(OR(INDEX(Auction!$H$13:$H$683,MATCH(B111,Auction!$A$13:$A$683,0))&gt;0,IFERROR(INDEX(CheatSheet!$V$5:$V$64,MATCH(B111,CheatSheet!$S$5:$S$64,0)),"")&lt;&gt;""),"Yes","No")</f>
        <v>No</v>
      </c>
      <c r="V111" s="218"/>
      <c r="W111" s="1"/>
      <c r="X111" s="143">
        <f ca="1">IFERROR(SUMIFS($Y$3:$Y339,$Y$3:$Y$231,"&gt;0",$U$3:$U$231,"No")/SUMIF($Y$3:$Y$231,"&gt;0"),0)</f>
        <v>0</v>
      </c>
      <c r="Y111" s="1">
        <f t="shared" ca="1" si="1"/>
        <v>-27.42</v>
      </c>
      <c r="Z111" s="145" t="str">
        <f ca="1">CONCATENATE("WR",ROUND((LARGE($Y$3:$Y$231,1)-$Y111)/(STDEVP($Y$3:$Y$231)/2)+1,0))</f>
        <v>WR9</v>
      </c>
      <c r="AA111" s="1">
        <f ca="1">Y111*LeagueInfo!$H$5</f>
        <v>-12.540288251823927</v>
      </c>
      <c r="AB111" s="1"/>
      <c r="AC111" s="1"/>
    </row>
    <row r="112" spans="1:29" ht="15.75" thickBot="1" x14ac:dyDescent="0.3">
      <c r="A112" s="47">
        <f>RANK(O112,O$3:O$231)</f>
        <v>110</v>
      </c>
      <c r="B112" s="1" t="s">
        <v>587</v>
      </c>
      <c r="C112" s="1" t="s">
        <v>39</v>
      </c>
      <c r="D112" s="1">
        <f>VLOOKUP(E112,BYEs!$A$2:$B$34,2,FALSE)</f>
        <v>6</v>
      </c>
      <c r="E112" s="1" t="s">
        <v>360</v>
      </c>
      <c r="F112" s="249">
        <v>0</v>
      </c>
      <c r="G112" s="250">
        <v>0</v>
      </c>
      <c r="H112" s="251">
        <v>0</v>
      </c>
      <c r="I112" s="251">
        <v>0</v>
      </c>
      <c r="J112" s="251">
        <v>0</v>
      </c>
      <c r="K112" s="249">
        <v>16.600000000000001</v>
      </c>
      <c r="L112" s="247">
        <v>235.5</v>
      </c>
      <c r="M112" s="250">
        <v>1.9</v>
      </c>
      <c r="N112" s="251">
        <v>0.2</v>
      </c>
      <c r="O112" s="252">
        <f>(I112*WRRushingYd)+(J112*WRRushingTD)+(K112*WRRec)+(L112*WRRecYd)+(M112*WRRecTD)+(N112*WRFuml)+(H112*WRRushAtt)</f>
        <v>34.550000000000004</v>
      </c>
      <c r="P112" s="1" t="str">
        <f ca="1">IF(A112&lt;=WRStarters,"Starter",IF(A112&gt;WRStarters+WRBench,"Undrafted","Bench"))</f>
        <v>Undrafted</v>
      </c>
      <c r="Q112" s="47">
        <f ca="1">IFERROR(MAX(O112-LARGE(O$3:O$231,WRStarters),0),0)</f>
        <v>0</v>
      </c>
      <c r="R112" s="47">
        <f ca="1">IFERROR(IF(AllowNegative="Yes",O112-LARGE(O$3:O$231,WRCount),MAX(O112-LARGE(O$3:O$231,WRCount),0)),0)</f>
        <v>-55.07</v>
      </c>
      <c r="S112" s="108">
        <f ca="1">(R112-Q112)*BenchPF+Q112*StarterPF</f>
        <v>-13.189036412239288</v>
      </c>
      <c r="T112" s="108">
        <f ca="1">S112*Auction!$A$2</f>
        <v>-13.189036412239288</v>
      </c>
      <c r="U112" s="25" t="str">
        <f>IF(OR(INDEX(Auction!$H$13:$H$683,MATCH(B112,Auction!$A$13:$A$683,0))&gt;0,IFERROR(INDEX(CheatSheet!$V$5:$V$64,MATCH(B112,CheatSheet!$S$5:$S$64,0)),"")&lt;&gt;""),"Yes","No")</f>
        <v>No</v>
      </c>
      <c r="V112" s="218"/>
      <c r="W112" s="1"/>
      <c r="X112" s="143">
        <f ca="1">IFERROR(SUMIFS($Y$3:$Y340,$Y$3:$Y$231,"&gt;0",$U$3:$U$231,"No")/SUMIF($Y$3:$Y$231,"&gt;0"),0)</f>
        <v>0</v>
      </c>
      <c r="Y112" s="1">
        <f t="shared" ca="1" si="1"/>
        <v>-27.535</v>
      </c>
      <c r="Z112" s="145" t="str">
        <f ca="1">CONCATENATE("WR",ROUND((LARGE($Y$3:$Y$231,1)-$Y112)/(STDEVP($Y$3:$Y$231)/2)+1,0))</f>
        <v>WR9</v>
      </c>
      <c r="AA112" s="1">
        <f ca="1">Y112*LeagueInfo!$H$5</f>
        <v>-12.592882458569358</v>
      </c>
      <c r="AB112" s="1"/>
      <c r="AC112" s="1"/>
    </row>
    <row r="113" spans="1:29" ht="15.75" thickBot="1" x14ac:dyDescent="0.3">
      <c r="A113" s="47">
        <f>RANK(O113,O$3:O$231)</f>
        <v>111</v>
      </c>
      <c r="B113" s="1" t="s">
        <v>590</v>
      </c>
      <c r="C113" s="1" t="s">
        <v>39</v>
      </c>
      <c r="D113" s="1">
        <f>VLOOKUP(E113,BYEs!$A$2:$B$34,2,FALSE)</f>
        <v>8</v>
      </c>
      <c r="E113" s="1" t="s">
        <v>350</v>
      </c>
      <c r="F113" s="249">
        <v>0</v>
      </c>
      <c r="G113" s="250">
        <v>0</v>
      </c>
      <c r="H113" s="251">
        <v>0</v>
      </c>
      <c r="I113" s="251">
        <v>-0.1</v>
      </c>
      <c r="J113" s="251">
        <v>0</v>
      </c>
      <c r="K113" s="249">
        <v>17.399999999999999</v>
      </c>
      <c r="L113" s="247">
        <v>242.1</v>
      </c>
      <c r="M113" s="250">
        <v>1.7</v>
      </c>
      <c r="N113" s="251">
        <v>0.2</v>
      </c>
      <c r="O113" s="252">
        <f>(I113*WRRushingYd)+(J113*WRRushingTD)+(K113*WRRec)+(L113*WRRecYd)+(M113*WRRecTD)+(N113*WRFuml)+(H113*WRRushAtt)</f>
        <v>34</v>
      </c>
      <c r="P113" s="1" t="str">
        <f ca="1">IF(A113&lt;=WRStarters,"Starter",IF(A113&gt;WRStarters+WRBench,"Undrafted","Bench"))</f>
        <v>Undrafted</v>
      </c>
      <c r="Q113" s="47">
        <f ca="1">IFERROR(MAX(O113-LARGE(O$3:O$231,WRStarters),0),0)</f>
        <v>0</v>
      </c>
      <c r="R113" s="47">
        <f ca="1">IFERROR(IF(AllowNegative="Yes",O113-LARGE(O$3:O$231,WRCount),MAX(O113-LARGE(O$3:O$231,WRCount),0)),0)</f>
        <v>-55.620000000000005</v>
      </c>
      <c r="S113" s="108">
        <f ca="1">(R113-Q113)*BenchPF+Q113*StarterPF</f>
        <v>-13.320759129267284</v>
      </c>
      <c r="T113" s="108">
        <f ca="1">S113*Auction!$A$2</f>
        <v>-13.320759129267284</v>
      </c>
      <c r="U113" s="25" t="str">
        <f>IF(OR(INDEX(Auction!$H$13:$H$683,MATCH(B113,Auction!$A$13:$A$683,0))&gt;0,IFERROR(INDEX(CheatSheet!$V$5:$V$64,MATCH(B113,CheatSheet!$S$5:$S$64,0)),"")&lt;&gt;""),"Yes","No")</f>
        <v>No</v>
      </c>
      <c r="V113" s="218"/>
      <c r="W113" s="1"/>
      <c r="X113" s="143">
        <f ca="1">IFERROR(SUMIFS($Y$3:$Y341,$Y$3:$Y$231,"&gt;0",$U$3:$U$231,"No")/SUMIF($Y$3:$Y$231,"&gt;0"),0)</f>
        <v>0</v>
      </c>
      <c r="Y113" s="1">
        <f t="shared" ca="1" si="1"/>
        <v>-27.810000000000002</v>
      </c>
      <c r="Z113" s="145" t="str">
        <f ca="1">CONCATENATE("WR",ROUND((LARGE($Y$3:$Y$231,1)-$Y113)/(STDEVP($Y$3:$Y$231)/2)+1,0))</f>
        <v>WR10</v>
      </c>
      <c r="AA113" s="1">
        <f ca="1">Y113*LeagueInfo!$H$5</f>
        <v>-12.718651213830176</v>
      </c>
      <c r="AB113" s="1"/>
      <c r="AC113" s="1"/>
    </row>
    <row r="114" spans="1:29" ht="15.75" thickBot="1" x14ac:dyDescent="0.3">
      <c r="A114" s="47">
        <f>RANK(O114,O$3:O$231)</f>
        <v>112</v>
      </c>
      <c r="B114" s="1" t="s">
        <v>593</v>
      </c>
      <c r="C114" s="1" t="s">
        <v>39</v>
      </c>
      <c r="D114" s="1">
        <f>VLOOKUP(E114,BYEs!$A$2:$B$34,2,FALSE)</f>
        <v>6</v>
      </c>
      <c r="E114" s="1" t="s">
        <v>364</v>
      </c>
      <c r="F114" s="249">
        <v>0</v>
      </c>
      <c r="G114" s="250">
        <v>0</v>
      </c>
      <c r="H114" s="251">
        <v>0</v>
      </c>
      <c r="I114" s="251">
        <v>0</v>
      </c>
      <c r="J114" s="251">
        <v>0</v>
      </c>
      <c r="K114" s="249">
        <v>18.3</v>
      </c>
      <c r="L114" s="247">
        <v>235</v>
      </c>
      <c r="M114" s="250">
        <v>1.6</v>
      </c>
      <c r="N114" s="251">
        <v>0.2</v>
      </c>
      <c r="O114" s="252">
        <f>(I114*WRRushingYd)+(J114*WRRushingTD)+(K114*WRRec)+(L114*WRRecYd)+(M114*WRRecTD)+(N114*WRFuml)+(H114*WRRushAtt)</f>
        <v>32.700000000000003</v>
      </c>
      <c r="P114" s="1" t="str">
        <f ca="1">IF(A114&lt;=WRStarters,"Starter",IF(A114&gt;WRStarters+WRBench,"Undrafted","Bench"))</f>
        <v>Undrafted</v>
      </c>
      <c r="Q114" s="47">
        <f ca="1">IFERROR(MAX(O114-LARGE(O$3:O$231,WRStarters),0),0)</f>
        <v>0</v>
      </c>
      <c r="R114" s="47">
        <f ca="1">IFERROR(IF(AllowNegative="Yes",O114-LARGE(O$3:O$231,WRCount),MAX(O114-LARGE(O$3:O$231,WRCount),0)),0)</f>
        <v>-56.92</v>
      </c>
      <c r="S114" s="108">
        <f ca="1">(R114-Q114)*BenchPF+Q114*StarterPF</f>
        <v>-13.632103733151631</v>
      </c>
      <c r="T114" s="108">
        <f ca="1">S114*Auction!$A$2</f>
        <v>-13.632103733151631</v>
      </c>
      <c r="U114" s="25" t="str">
        <f>IF(OR(INDEX(Auction!$H$13:$H$683,MATCH(B114,Auction!$A$13:$A$683,0))&gt;0,IFERROR(INDEX(CheatSheet!$V$5:$V$64,MATCH(B114,CheatSheet!$S$5:$S$64,0)),"")&lt;&gt;""),"Yes","No")</f>
        <v>No</v>
      </c>
      <c r="V114" s="218"/>
      <c r="W114" s="1"/>
      <c r="X114" s="143">
        <f ca="1">IFERROR(SUMIFS($Y$3:$Y342,$Y$3:$Y$231,"&gt;0",$U$3:$U$231,"No")/SUMIF($Y$3:$Y$231,"&gt;0"),0)</f>
        <v>0</v>
      </c>
      <c r="Y114" s="1">
        <f t="shared" ca="1" si="1"/>
        <v>-28.46</v>
      </c>
      <c r="Z114" s="145" t="str">
        <f ca="1">CONCATENATE("WR",ROUND((LARGE($Y$3:$Y$231,1)-$Y114)/(STDEVP($Y$3:$Y$231)/2)+1,0))</f>
        <v>WR10</v>
      </c>
      <c r="AA114" s="1">
        <f ca="1">Y114*LeagueInfo!$H$5</f>
        <v>-13.015922817173923</v>
      </c>
      <c r="AB114" s="1"/>
      <c r="AC114" s="1"/>
    </row>
    <row r="115" spans="1:29" ht="15.75" thickBot="1" x14ac:dyDescent="0.3">
      <c r="A115" s="47">
        <f>RANK(O115,O$3:O$231)</f>
        <v>113</v>
      </c>
      <c r="B115" s="1" t="s">
        <v>461</v>
      </c>
      <c r="C115" s="1" t="s">
        <v>39</v>
      </c>
      <c r="D115" s="1">
        <f>VLOOKUP(E115,BYEs!$A$2:$B$34,2,FALSE)</f>
        <v>8</v>
      </c>
      <c r="E115" s="1" t="s">
        <v>370</v>
      </c>
      <c r="F115" s="249">
        <v>0</v>
      </c>
      <c r="G115" s="250">
        <v>0</v>
      </c>
      <c r="H115" s="251">
        <v>20.399999999999999</v>
      </c>
      <c r="I115" s="251">
        <v>87.4</v>
      </c>
      <c r="J115" s="251">
        <v>0.5</v>
      </c>
      <c r="K115" s="249">
        <v>25.8</v>
      </c>
      <c r="L115" s="247">
        <v>181.1</v>
      </c>
      <c r="M115" s="250">
        <v>0.4</v>
      </c>
      <c r="N115" s="251">
        <v>0</v>
      </c>
      <c r="O115" s="252">
        <f>(I115*WRRushingYd)+(J115*WRRushingTD)+(K115*WRRec)+(L115*WRRecYd)+(M115*WRRecTD)+(N115*WRFuml)+(H115*WRRushAtt)</f>
        <v>32.25</v>
      </c>
      <c r="P115" s="1" t="str">
        <f ca="1">IF(A115&lt;=WRStarters,"Starter",IF(A115&gt;WRStarters+WRBench,"Undrafted","Bench"))</f>
        <v>Undrafted</v>
      </c>
      <c r="Q115" s="47">
        <f ca="1">IFERROR(MAX(O115-LARGE(O$3:O$231,WRStarters),0),0)</f>
        <v>0</v>
      </c>
      <c r="R115" s="47">
        <f ca="1">IFERROR(IF(AllowNegative="Yes",O115-LARGE(O$3:O$231,WRCount),MAX(O115-LARGE(O$3:O$231,WRCount),0)),0)</f>
        <v>-57.370000000000005</v>
      </c>
      <c r="S115" s="108">
        <f ca="1">(R115-Q115)*BenchPF+Q115*StarterPF</f>
        <v>-13.739876865265444</v>
      </c>
      <c r="T115" s="108">
        <f ca="1">S115*Auction!$A$2</f>
        <v>-13.739876865265444</v>
      </c>
      <c r="U115" s="25" t="str">
        <f>IF(OR(INDEX(Auction!$H$13:$H$683,MATCH(B115,Auction!$A$13:$A$683,0))&gt;0,IFERROR(INDEX(CheatSheet!$V$5:$V$64,MATCH(B115,CheatSheet!$S$5:$S$64,0)),"")&lt;&gt;""),"Yes","No")</f>
        <v>No</v>
      </c>
      <c r="V115" s="218"/>
      <c r="W115" s="1"/>
      <c r="X115" s="143">
        <f ca="1">IFERROR(SUMIFS($Y$3:$Y343,$Y$3:$Y$231,"&gt;0",$U$3:$U$231,"No")/SUMIF($Y$3:$Y$231,"&gt;0"),0)</f>
        <v>0</v>
      </c>
      <c r="Y115" s="1">
        <f t="shared" ca="1" si="1"/>
        <v>-28.685000000000002</v>
      </c>
      <c r="Z115" s="145" t="str">
        <f ca="1">CONCATENATE("WR",ROUND((LARGE($Y$3:$Y$231,1)-$Y115)/(STDEVP($Y$3:$Y$231)/2)+1,0))</f>
        <v>WR10</v>
      </c>
      <c r="AA115" s="1">
        <f ca="1">Y115*LeagueInfo!$H$5</f>
        <v>-13.118824526023682</v>
      </c>
      <c r="AB115" s="1"/>
      <c r="AC115" s="1"/>
    </row>
    <row r="116" spans="1:29" ht="15.75" thickBot="1" x14ac:dyDescent="0.3">
      <c r="A116" s="47">
        <f>RANK(O116,O$3:O$231)</f>
        <v>114</v>
      </c>
      <c r="B116" s="1" t="s">
        <v>605</v>
      </c>
      <c r="C116" s="1" t="s">
        <v>39</v>
      </c>
      <c r="D116" s="1">
        <f>VLOOKUP(E116,BYEs!$A$2:$B$34,2,FALSE)</f>
        <v>11</v>
      </c>
      <c r="E116" s="1" t="s">
        <v>357</v>
      </c>
      <c r="F116" s="249">
        <v>0</v>
      </c>
      <c r="G116" s="250">
        <v>0</v>
      </c>
      <c r="H116" s="251">
        <v>1.5</v>
      </c>
      <c r="I116" s="251">
        <v>5.9</v>
      </c>
      <c r="J116" s="251">
        <v>0</v>
      </c>
      <c r="K116" s="249">
        <v>17.2</v>
      </c>
      <c r="L116" s="247">
        <v>235.2</v>
      </c>
      <c r="M116" s="250">
        <v>1.3</v>
      </c>
      <c r="N116" s="251">
        <v>0.2</v>
      </c>
      <c r="O116" s="252">
        <f>(I116*WRRushingYd)+(J116*WRRushingTD)+(K116*WRRec)+(L116*WRRecYd)+(M116*WRRecTD)+(N116*WRFuml)+(H116*WRRushAtt)</f>
        <v>31.51</v>
      </c>
      <c r="P116" s="1" t="str">
        <f ca="1">IF(A116&lt;=WRStarters,"Starter",IF(A116&gt;WRStarters+WRBench,"Undrafted","Bench"))</f>
        <v>Undrafted</v>
      </c>
      <c r="Q116" s="47">
        <f ca="1">IFERROR(MAX(O116-LARGE(O$3:O$231,WRStarters),0),0)</f>
        <v>0</v>
      </c>
      <c r="R116" s="47">
        <f ca="1">IFERROR(IF(AllowNegative="Yes",O116-LARGE(O$3:O$231,WRCount),MAX(O116-LARGE(O$3:O$231,WRCount),0)),0)</f>
        <v>-58.11</v>
      </c>
      <c r="S116" s="108">
        <f ca="1">(R116-Q116)*BenchPF+Q116*StarterPF</f>
        <v>-13.91710379363038</v>
      </c>
      <c r="T116" s="108">
        <f ca="1">S116*Auction!$A$2</f>
        <v>-13.91710379363038</v>
      </c>
      <c r="U116" s="25" t="str">
        <f>IF(OR(INDEX(Auction!$H$13:$H$683,MATCH(B116,Auction!$A$13:$A$683,0))&gt;0,IFERROR(INDEX(CheatSheet!$V$5:$V$64,MATCH(B116,CheatSheet!$S$5:$S$64,0)),"")&lt;&gt;""),"Yes","No")</f>
        <v>No</v>
      </c>
      <c r="V116" s="218"/>
      <c r="W116" s="1"/>
      <c r="X116" s="143">
        <f ca="1">IFERROR(SUMIFS($Y$3:$Y344,$Y$3:$Y$231,"&gt;0",$U$3:$U$231,"No")/SUMIF($Y$3:$Y$231,"&gt;0"),0)</f>
        <v>0</v>
      </c>
      <c r="Y116" s="1">
        <f t="shared" ca="1" si="1"/>
        <v>-29.055</v>
      </c>
      <c r="Z116" s="145" t="str">
        <f ca="1">CONCATENATE("WR",ROUND((LARGE($Y$3:$Y$231,1)-$Y116)/(STDEVP($Y$3:$Y$231)/2)+1,0))</f>
        <v>WR10</v>
      </c>
      <c r="AA116" s="1">
        <f ca="1">Y116*LeagueInfo!$H$5</f>
        <v>-13.288040669465506</v>
      </c>
      <c r="AB116" s="1"/>
      <c r="AC116" s="1"/>
    </row>
    <row r="117" spans="1:29" ht="15.75" thickBot="1" x14ac:dyDescent="0.3">
      <c r="A117" s="47">
        <f>RANK(O117,O$3:O$231)</f>
        <v>115</v>
      </c>
      <c r="B117" s="1" t="s">
        <v>604</v>
      </c>
      <c r="C117" s="1" t="s">
        <v>39</v>
      </c>
      <c r="D117" s="1">
        <f>VLOOKUP(E117,BYEs!$A$2:$B$34,2,FALSE)</f>
        <v>10</v>
      </c>
      <c r="E117" s="1" t="s">
        <v>365</v>
      </c>
      <c r="F117" s="249">
        <v>0</v>
      </c>
      <c r="G117" s="250">
        <v>0</v>
      </c>
      <c r="H117" s="251">
        <v>4.9000000000000004</v>
      </c>
      <c r="I117" s="251">
        <v>36.5</v>
      </c>
      <c r="J117" s="251">
        <v>0.1</v>
      </c>
      <c r="K117" s="249">
        <v>19.399999999999999</v>
      </c>
      <c r="L117" s="247">
        <v>199.4</v>
      </c>
      <c r="M117" s="250">
        <v>1.2</v>
      </c>
      <c r="N117" s="251">
        <v>0.2</v>
      </c>
      <c r="O117" s="252">
        <f>(I117*WRRushingYd)+(J117*WRRushingTD)+(K117*WRRec)+(L117*WRRecYd)+(M117*WRRecTD)+(N117*WRFuml)+(H117*WRRushAtt)</f>
        <v>30.990000000000002</v>
      </c>
      <c r="P117" s="1" t="str">
        <f ca="1">IF(A117&lt;=WRStarters,"Starter",IF(A117&gt;WRStarters+WRBench,"Undrafted","Bench"))</f>
        <v>Undrafted</v>
      </c>
      <c r="Q117" s="47">
        <f ca="1">IFERROR(MAX(O117-LARGE(O$3:O$231,WRStarters),0),0)</f>
        <v>0</v>
      </c>
      <c r="R117" s="47">
        <f ca="1">IFERROR(IF(AllowNegative="Yes",O117-LARGE(O$3:O$231,WRCount),MAX(O117-LARGE(O$3:O$231,WRCount),0)),0)</f>
        <v>-58.63</v>
      </c>
      <c r="S117" s="108">
        <f ca="1">(R117-Q117)*BenchPF+Q117*StarterPF</f>
        <v>-14.041641635184121</v>
      </c>
      <c r="T117" s="108">
        <f ca="1">S117*Auction!$A$2</f>
        <v>-14.041641635184121</v>
      </c>
      <c r="U117" s="25" t="str">
        <f>IF(OR(INDEX(Auction!$H$13:$H$683,MATCH(B117,Auction!$A$13:$A$683,0))&gt;0,IFERROR(INDEX(CheatSheet!$V$5:$V$64,MATCH(B117,CheatSheet!$S$5:$S$64,0)),"")&lt;&gt;""),"Yes","No")</f>
        <v>No</v>
      </c>
      <c r="V117" s="218"/>
      <c r="W117" s="1"/>
      <c r="X117" s="143">
        <f ca="1">IFERROR(SUMIFS($Y$3:$Y345,$Y$3:$Y$231,"&gt;0",$U$3:$U$231,"No")/SUMIF($Y$3:$Y$231,"&gt;0"),0)</f>
        <v>0</v>
      </c>
      <c r="Y117" s="1">
        <f t="shared" ca="1" si="1"/>
        <v>-29.315000000000001</v>
      </c>
      <c r="Z117" s="145" t="str">
        <f ca="1">CONCATENATE("WR",ROUND((LARGE($Y$3:$Y$231,1)-$Y117)/(STDEVP($Y$3:$Y$231)/2)+1,0))</f>
        <v>WR10</v>
      </c>
      <c r="AA117" s="1">
        <f ca="1">Y117*LeagueInfo!$H$5</f>
        <v>-13.406949310803006</v>
      </c>
      <c r="AB117" s="1"/>
      <c r="AC117" s="1"/>
    </row>
    <row r="118" spans="1:29" ht="15.75" thickBot="1" x14ac:dyDescent="0.3">
      <c r="A118" s="47">
        <f>RANK(O118,O$3:O$231)</f>
        <v>116</v>
      </c>
      <c r="B118" s="1" t="s">
        <v>594</v>
      </c>
      <c r="C118" s="1" t="s">
        <v>39</v>
      </c>
      <c r="D118" s="1">
        <f>VLOOKUP(E118,BYEs!$A$2:$B$34,2,FALSE)</f>
        <v>9</v>
      </c>
      <c r="E118" s="1" t="s">
        <v>361</v>
      </c>
      <c r="F118" s="249">
        <v>0</v>
      </c>
      <c r="G118" s="250">
        <v>0</v>
      </c>
      <c r="H118" s="251">
        <v>0</v>
      </c>
      <c r="I118" s="251">
        <v>0</v>
      </c>
      <c r="J118" s="251">
        <v>0</v>
      </c>
      <c r="K118" s="249">
        <v>17.2</v>
      </c>
      <c r="L118" s="247">
        <v>238.6</v>
      </c>
      <c r="M118" s="250">
        <v>1.2</v>
      </c>
      <c r="N118" s="251">
        <v>0.3</v>
      </c>
      <c r="O118" s="252">
        <f>(I118*WRRushingYd)+(J118*WRRushingTD)+(K118*WRRec)+(L118*WRRecYd)+(M118*WRRecTD)+(N118*WRFuml)+(H118*WRRushAtt)</f>
        <v>30.459999999999997</v>
      </c>
      <c r="P118" s="1" t="str">
        <f ca="1">IF(A118&lt;=WRStarters,"Starter",IF(A118&gt;WRStarters+WRBench,"Undrafted","Bench"))</f>
        <v>Undrafted</v>
      </c>
      <c r="Q118" s="47">
        <f ca="1">IFERROR(MAX(O118-LARGE(O$3:O$231,WRStarters),0),0)</f>
        <v>0</v>
      </c>
      <c r="R118" s="47">
        <f ca="1">IFERROR(IF(AllowNegative="Yes",O118-LARGE(O$3:O$231,WRCount),MAX(O118-LARGE(O$3:O$231,WRCount),0)),0)</f>
        <v>-59.160000000000011</v>
      </c>
      <c r="S118" s="108">
        <f ca="1">(R118-Q118)*BenchPF+Q118*StarterPF</f>
        <v>-14.16857443522928</v>
      </c>
      <c r="T118" s="108">
        <f ca="1">S118*Auction!$A$2</f>
        <v>-14.16857443522928</v>
      </c>
      <c r="U118" s="25" t="str">
        <f>IF(OR(INDEX(Auction!$H$13:$H$683,MATCH(B118,Auction!$A$13:$A$683,0))&gt;0,IFERROR(INDEX(CheatSheet!$V$5:$V$64,MATCH(B118,CheatSheet!$S$5:$S$64,0)),"")&lt;&gt;""),"Yes","No")</f>
        <v>No</v>
      </c>
      <c r="V118" s="218"/>
      <c r="W118" s="1"/>
      <c r="X118" s="143">
        <f ca="1">IFERROR(SUMIFS($Y$3:$Y346,$Y$3:$Y$231,"&gt;0",$U$3:$U$231,"No")/SUMIF($Y$3:$Y$231,"&gt;0"),0)</f>
        <v>0</v>
      </c>
      <c r="Y118" s="1">
        <f t="shared" ca="1" si="1"/>
        <v>-29.580000000000005</v>
      </c>
      <c r="Z118" s="145" t="str">
        <f ca="1">CONCATENATE("WR",ROUND((LARGE($Y$3:$Y$231,1)-$Y118)/(STDEVP($Y$3:$Y$231)/2)+1,0))</f>
        <v>WR10</v>
      </c>
      <c r="AA118" s="1">
        <f ca="1">Y118*LeagueInfo!$H$5</f>
        <v>-13.528144656781611</v>
      </c>
      <c r="AB118" s="1"/>
      <c r="AC118" s="1"/>
    </row>
    <row r="119" spans="1:29" ht="15.75" thickBot="1" x14ac:dyDescent="0.3">
      <c r="A119" s="47">
        <f>RANK(O119,O$3:O$231)</f>
        <v>117</v>
      </c>
      <c r="B119" s="1" t="s">
        <v>603</v>
      </c>
      <c r="C119" s="1" t="s">
        <v>39</v>
      </c>
      <c r="D119" s="1">
        <f>VLOOKUP(E119,BYEs!$A$2:$B$34,2,FALSE)</f>
        <v>9</v>
      </c>
      <c r="E119" s="1" t="s">
        <v>387</v>
      </c>
      <c r="F119" s="249">
        <v>0</v>
      </c>
      <c r="G119" s="250">
        <v>0</v>
      </c>
      <c r="H119" s="251">
        <v>0</v>
      </c>
      <c r="I119" s="251">
        <v>-0.1</v>
      </c>
      <c r="J119" s="251">
        <v>0</v>
      </c>
      <c r="K119" s="249">
        <v>21.8</v>
      </c>
      <c r="L119" s="247">
        <v>256</v>
      </c>
      <c r="M119" s="250">
        <v>0.8</v>
      </c>
      <c r="N119" s="251">
        <v>0.2</v>
      </c>
      <c r="O119" s="252">
        <f>(I119*WRRushingYd)+(J119*WRRushingTD)+(K119*WRRec)+(L119*WRRecYd)+(M119*WRRecTD)+(N119*WRFuml)+(H119*WRRushAtt)</f>
        <v>29.990000000000002</v>
      </c>
      <c r="P119" s="1" t="str">
        <f ca="1">IF(A119&lt;=WRStarters,"Starter",IF(A119&gt;WRStarters+WRBench,"Undrafted","Bench"))</f>
        <v>Undrafted</v>
      </c>
      <c r="Q119" s="47">
        <f ca="1">IFERROR(MAX(O119-LARGE(O$3:O$231,WRStarters),0),0)</f>
        <v>0</v>
      </c>
      <c r="R119" s="47">
        <f ca="1">IFERROR(IF(AllowNegative="Yes",O119-LARGE(O$3:O$231,WRCount),MAX(O119-LARGE(O$3:O$231,WRCount),0)),0)</f>
        <v>-59.63</v>
      </c>
      <c r="S119" s="108">
        <f ca="1">(R119-Q119)*BenchPF+Q119*StarterPF</f>
        <v>-14.281137484325926</v>
      </c>
      <c r="T119" s="108">
        <f ca="1">S119*Auction!$A$2</f>
        <v>-14.281137484325926</v>
      </c>
      <c r="U119" s="25" t="str">
        <f>IF(OR(INDEX(Auction!$H$13:$H$683,MATCH(B119,Auction!$A$13:$A$683,0))&gt;0,IFERROR(INDEX(CheatSheet!$V$5:$V$64,MATCH(B119,CheatSheet!$S$5:$S$64,0)),"")&lt;&gt;""),"Yes","No")</f>
        <v>No</v>
      </c>
      <c r="V119" s="218"/>
      <c r="W119" s="1"/>
      <c r="X119" s="143">
        <f ca="1">IFERROR(SUMIFS($Y$3:$Y347,$Y$3:$Y$231,"&gt;0",$U$3:$U$231,"No")/SUMIF($Y$3:$Y$231,"&gt;0"),0)</f>
        <v>0</v>
      </c>
      <c r="Y119" s="1">
        <f t="shared" ca="1" si="1"/>
        <v>-29.815000000000001</v>
      </c>
      <c r="Z119" s="145" t="str">
        <f ca="1">CONCATENATE("WR",ROUND((LARGE($Y$3:$Y$231,1)-$Y119)/(STDEVP($Y$3:$Y$231)/2)+1,0))</f>
        <v>WR10</v>
      </c>
      <c r="AA119" s="1">
        <f ca="1">Y119*LeagueInfo!$H$5</f>
        <v>-13.635619774913581</v>
      </c>
      <c r="AB119" s="1"/>
      <c r="AC119" s="1"/>
    </row>
    <row r="120" spans="1:29" ht="15.75" thickBot="1" x14ac:dyDescent="0.3">
      <c r="A120" s="47">
        <f>RANK(O120,O$3:O$231)</f>
        <v>118</v>
      </c>
      <c r="B120" s="1" t="s">
        <v>630</v>
      </c>
      <c r="C120" s="1" t="s">
        <v>39</v>
      </c>
      <c r="D120" s="1">
        <f>VLOOKUP(E120,BYEs!$A$2:$B$34,2,FALSE)</f>
        <v>11</v>
      </c>
      <c r="E120" s="1" t="s">
        <v>355</v>
      </c>
      <c r="F120" s="249">
        <v>0</v>
      </c>
      <c r="G120" s="250">
        <v>0</v>
      </c>
      <c r="H120" s="251">
        <v>0</v>
      </c>
      <c r="I120" s="251">
        <v>0</v>
      </c>
      <c r="J120" s="251">
        <v>0</v>
      </c>
      <c r="K120" s="249">
        <v>17</v>
      </c>
      <c r="L120" s="247">
        <v>223.4</v>
      </c>
      <c r="M120" s="250">
        <v>1.2</v>
      </c>
      <c r="N120" s="251">
        <v>0.2</v>
      </c>
      <c r="O120" s="252">
        <f>(I120*WRRushingYd)+(J120*WRRushingTD)+(K120*WRRec)+(L120*WRRecYd)+(M120*WRRecTD)+(N120*WRFuml)+(H120*WRRushAtt)</f>
        <v>29.140000000000004</v>
      </c>
      <c r="P120" s="1" t="str">
        <f ca="1">IF(A120&lt;=WRStarters,"Starter",IF(A120&gt;WRStarters+WRBench,"Undrafted","Bench"))</f>
        <v>Undrafted</v>
      </c>
      <c r="Q120" s="47">
        <f ca="1">IFERROR(MAX(O120-LARGE(O$3:O$231,WRStarters),0),0)</f>
        <v>0</v>
      </c>
      <c r="R120" s="47">
        <f ca="1">IFERROR(IF(AllowNegative="Yes",O120-LARGE(O$3:O$231,WRCount),MAX(O120-LARGE(O$3:O$231,WRCount),0)),0)</f>
        <v>-60.480000000000004</v>
      </c>
      <c r="S120" s="108">
        <f ca="1">(R120-Q120)*BenchPF+Q120*StarterPF</f>
        <v>-14.484708956096462</v>
      </c>
      <c r="T120" s="108">
        <f ca="1">S120*Auction!$A$2</f>
        <v>-14.484708956096462</v>
      </c>
      <c r="U120" s="25" t="str">
        <f>IF(OR(INDEX(Auction!$H$13:$H$683,MATCH(B120,Auction!$A$13:$A$683,0))&gt;0,IFERROR(INDEX(CheatSheet!$V$5:$V$64,MATCH(B120,CheatSheet!$S$5:$S$64,0)),"")&lt;&gt;""),"Yes","No")</f>
        <v>No</v>
      </c>
      <c r="V120" s="218"/>
      <c r="W120" s="1"/>
      <c r="X120" s="143">
        <f ca="1">IFERROR(SUMIFS($Y$3:$Y348,$Y$3:$Y$231,"&gt;0",$U$3:$U$231,"No")/SUMIF($Y$3:$Y$231,"&gt;0"),0)</f>
        <v>0</v>
      </c>
      <c r="Y120" s="1">
        <f t="shared" ca="1" si="1"/>
        <v>-30.240000000000002</v>
      </c>
      <c r="Z120" s="145" t="str">
        <f ca="1">CONCATENATE("WR",ROUND((LARGE($Y$3:$Y$231,1)-$Y120)/(STDEVP($Y$3:$Y$231)/2)+1,0))</f>
        <v>WR10</v>
      </c>
      <c r="AA120" s="1">
        <f ca="1">Y120*LeagueInfo!$H$5</f>
        <v>-13.829989669407569</v>
      </c>
      <c r="AB120" s="1"/>
      <c r="AC120" s="1"/>
    </row>
    <row r="121" spans="1:29" ht="15.75" thickBot="1" x14ac:dyDescent="0.3">
      <c r="A121" s="47">
        <f>RANK(O121,O$3:O$231)</f>
        <v>119</v>
      </c>
      <c r="B121" s="1" t="s">
        <v>704</v>
      </c>
      <c r="C121" s="1" t="s">
        <v>39</v>
      </c>
      <c r="D121" s="1">
        <f>VLOOKUP(E121,BYEs!$A$2:$B$34,2,FALSE)</f>
        <v>11</v>
      </c>
      <c r="E121" s="1" t="s">
        <v>382</v>
      </c>
      <c r="F121" s="249">
        <v>0</v>
      </c>
      <c r="G121" s="250">
        <v>0</v>
      </c>
      <c r="H121" s="251">
        <v>0</v>
      </c>
      <c r="I121" s="251">
        <v>0</v>
      </c>
      <c r="J121" s="251">
        <v>0</v>
      </c>
      <c r="K121" s="249">
        <v>18</v>
      </c>
      <c r="L121" s="247">
        <v>229</v>
      </c>
      <c r="M121" s="250">
        <v>1.1000000000000001</v>
      </c>
      <c r="N121" s="251">
        <v>0.3</v>
      </c>
      <c r="O121" s="252">
        <f>(I121*WRRushingYd)+(J121*WRRushingTD)+(K121*WRRec)+(L121*WRRecYd)+(M121*WRRecTD)+(N121*WRFuml)+(H121*WRRushAtt)</f>
        <v>28.900000000000002</v>
      </c>
      <c r="P121" s="1" t="str">
        <f ca="1">IF(A121&lt;=WRStarters,"Starter",IF(A121&gt;WRStarters+WRBench,"Undrafted","Bench"))</f>
        <v>Undrafted</v>
      </c>
      <c r="Q121" s="47">
        <f ca="1">IFERROR(MAX(O121-LARGE(O$3:O$231,WRStarters),0),0)</f>
        <v>0</v>
      </c>
      <c r="R121" s="47">
        <f ca="1">IFERROR(IF(AllowNegative="Yes",O121-LARGE(O$3:O$231,WRCount),MAX(O121-LARGE(O$3:O$231,WRCount),0)),0)</f>
        <v>-60.72</v>
      </c>
      <c r="S121" s="108">
        <f ca="1">(R121-Q121)*BenchPF+Q121*StarterPF</f>
        <v>-14.542187959890494</v>
      </c>
      <c r="T121" s="108">
        <f ca="1">S121*Auction!$A$2</f>
        <v>-14.542187959890494</v>
      </c>
      <c r="U121" s="25" t="str">
        <f>IF(OR(INDEX(Auction!$H$13:$H$683,MATCH(B121,Auction!$A$13:$A$683,0))&gt;0,IFERROR(INDEX(CheatSheet!$V$5:$V$64,MATCH(B121,CheatSheet!$S$5:$S$64,0)),"")&lt;&gt;""),"Yes","No")</f>
        <v>No</v>
      </c>
      <c r="V121" s="218"/>
      <c r="W121" s="1"/>
      <c r="X121" s="143">
        <f ca="1">IFERROR(SUMIFS($Y$3:$Y349,$Y$3:$Y$231,"&gt;0",$U$3:$U$231,"No")/SUMIF($Y$3:$Y$231,"&gt;0"),0)</f>
        <v>0</v>
      </c>
      <c r="Y121" s="1">
        <f t="shared" ca="1" si="1"/>
        <v>-30.36</v>
      </c>
      <c r="Z121" s="145" t="str">
        <f ca="1">CONCATENATE("WR",ROUND((LARGE($Y$3:$Y$231,1)-$Y121)/(STDEVP($Y$3:$Y$231)/2)+1,0))</f>
        <v>WR10</v>
      </c>
      <c r="AA121" s="1">
        <f ca="1">Y121*LeagueInfo!$H$5</f>
        <v>-13.884870580794106</v>
      </c>
      <c r="AB121" s="1"/>
      <c r="AC121" s="1"/>
    </row>
    <row r="122" spans="1:29" ht="15.75" thickBot="1" x14ac:dyDescent="0.3">
      <c r="A122" s="47">
        <f>RANK(O122,O$3:O$231)</f>
        <v>120</v>
      </c>
      <c r="B122" s="1" t="s">
        <v>607</v>
      </c>
      <c r="C122" s="1" t="s">
        <v>39</v>
      </c>
      <c r="D122" s="1">
        <f>VLOOKUP(E122,BYEs!$A$2:$B$34,2,FALSE)</f>
        <v>5</v>
      </c>
      <c r="E122" s="1" t="s">
        <v>353</v>
      </c>
      <c r="F122" s="249">
        <v>0</v>
      </c>
      <c r="G122" s="250">
        <v>0</v>
      </c>
      <c r="H122" s="251">
        <v>0</v>
      </c>
      <c r="I122" s="251">
        <v>0</v>
      </c>
      <c r="J122" s="251">
        <v>0</v>
      </c>
      <c r="K122" s="249">
        <v>16.100000000000001</v>
      </c>
      <c r="L122" s="247">
        <v>191.1</v>
      </c>
      <c r="M122" s="250">
        <v>1.6</v>
      </c>
      <c r="N122" s="251">
        <v>0.1</v>
      </c>
      <c r="O122" s="252">
        <f>(I122*WRRushingYd)+(J122*WRRushingTD)+(K122*WRRec)+(L122*WRRecYd)+(M122*WRRecTD)+(N122*WRFuml)+(H122*WRRushAtt)</f>
        <v>28.51</v>
      </c>
      <c r="P122" s="1" t="str">
        <f ca="1">IF(A122&lt;=WRStarters,"Starter",IF(A122&gt;WRStarters+WRBench,"Undrafted","Bench"))</f>
        <v>Undrafted</v>
      </c>
      <c r="Q122" s="47">
        <f ca="1">IFERROR(MAX(O122-LARGE(O$3:O$231,WRStarters),0),0)</f>
        <v>0</v>
      </c>
      <c r="R122" s="47">
        <f ca="1">IFERROR(IF(AllowNegative="Yes",O122-LARGE(O$3:O$231,WRCount),MAX(O122-LARGE(O$3:O$231,WRCount),0)),0)</f>
        <v>-61.11</v>
      </c>
      <c r="S122" s="108">
        <f ca="1">(R122-Q122)*BenchPF+Q122*StarterPF</f>
        <v>-14.6355913410558</v>
      </c>
      <c r="T122" s="108">
        <f ca="1">S122*Auction!$A$2</f>
        <v>-14.6355913410558</v>
      </c>
      <c r="U122" s="25" t="str">
        <f>IF(OR(INDEX(Auction!$H$13:$H$683,MATCH(B122,Auction!$A$13:$A$683,0))&gt;0,IFERROR(INDEX(CheatSheet!$V$5:$V$64,MATCH(B122,CheatSheet!$S$5:$S$64,0)),"")&lt;&gt;""),"Yes","No")</f>
        <v>No</v>
      </c>
      <c r="V122" s="218"/>
      <c r="W122" s="1"/>
      <c r="X122" s="143">
        <f ca="1">IFERROR(SUMIFS($Y$3:$Y350,$Y$3:$Y$231,"&gt;0",$U$3:$U$231,"No")/SUMIF($Y$3:$Y$231,"&gt;0"),0)</f>
        <v>0</v>
      </c>
      <c r="Y122" s="1">
        <f t="shared" ca="1" si="1"/>
        <v>-30.555</v>
      </c>
      <c r="Z122" s="145" t="str">
        <f ca="1">CONCATENATE("WR",ROUND((LARGE($Y$3:$Y$231,1)-$Y122)/(STDEVP($Y$3:$Y$231)/2)+1,0))</f>
        <v>WR10</v>
      </c>
      <c r="AA122" s="1">
        <f ca="1">Y122*LeagueInfo!$H$5</f>
        <v>-13.974052061797231</v>
      </c>
      <c r="AB122" s="1"/>
      <c r="AC122" s="1"/>
    </row>
    <row r="123" spans="1:29" ht="15.75" thickBot="1" x14ac:dyDescent="0.3">
      <c r="A123" s="47">
        <f>RANK(O123,O$3:O$231)</f>
        <v>121</v>
      </c>
      <c r="B123" s="1" t="s">
        <v>616</v>
      </c>
      <c r="C123" s="1" t="s">
        <v>39</v>
      </c>
      <c r="D123" s="1">
        <f>VLOOKUP(E123,BYEs!$A$2:$B$34,2,FALSE)</f>
        <v>11</v>
      </c>
      <c r="E123" s="1" t="s">
        <v>382</v>
      </c>
      <c r="F123" s="249">
        <v>0</v>
      </c>
      <c r="G123" s="250">
        <v>0</v>
      </c>
      <c r="H123" s="251">
        <v>0</v>
      </c>
      <c r="I123" s="251">
        <v>0</v>
      </c>
      <c r="J123" s="251">
        <v>0</v>
      </c>
      <c r="K123" s="249">
        <v>19.2</v>
      </c>
      <c r="L123" s="247">
        <v>228.9</v>
      </c>
      <c r="M123" s="250">
        <v>1.2</v>
      </c>
      <c r="N123" s="251">
        <v>0.9</v>
      </c>
      <c r="O123" s="252">
        <f>(I123*WRRushingYd)+(J123*WRRushingTD)+(K123*WRRec)+(L123*WRRecYd)+(M123*WRRecTD)+(N123*WRFuml)+(H123*WRRushAtt)</f>
        <v>28.29</v>
      </c>
      <c r="P123" s="1" t="str">
        <f ca="1">IF(A123&lt;=WRStarters,"Starter",IF(A123&gt;WRStarters+WRBench,"Undrafted","Bench"))</f>
        <v>Undrafted</v>
      </c>
      <c r="Q123" s="47">
        <f ca="1">IFERROR(MAX(O123-LARGE(O$3:O$231,WRStarters),0),0)</f>
        <v>0</v>
      </c>
      <c r="R123" s="47">
        <f ca="1">IFERROR(IF(AllowNegative="Yes",O123-LARGE(O$3:O$231,WRCount),MAX(O123-LARGE(O$3:O$231,WRCount),0)),0)</f>
        <v>-61.330000000000005</v>
      </c>
      <c r="S123" s="108">
        <f ca="1">(R123-Q123)*BenchPF+Q123*StarterPF</f>
        <v>-14.688280427866999</v>
      </c>
      <c r="T123" s="108">
        <f ca="1">S123*Auction!$A$2</f>
        <v>-14.688280427866999</v>
      </c>
      <c r="U123" s="25" t="str">
        <f>IF(OR(INDEX(Auction!$H$13:$H$683,MATCH(B123,Auction!$A$13:$A$683,0))&gt;0,IFERROR(INDEX(CheatSheet!$V$5:$V$64,MATCH(B123,CheatSheet!$S$5:$S$64,0)),"")&lt;&gt;""),"Yes","No")</f>
        <v>No</v>
      </c>
      <c r="V123" s="218"/>
      <c r="W123" s="1"/>
      <c r="X123" s="143">
        <f ca="1">IFERROR(SUMIFS($Y$3:$Y351,$Y$3:$Y$231,"&gt;0",$U$3:$U$231,"No")/SUMIF($Y$3:$Y$231,"&gt;0"),0)</f>
        <v>0</v>
      </c>
      <c r="Y123" s="1">
        <f t="shared" ca="1" si="1"/>
        <v>-30.665000000000003</v>
      </c>
      <c r="Z123" s="145" t="str">
        <f ca="1">CONCATENATE("WR",ROUND((LARGE($Y$3:$Y$231,1)-$Y123)/(STDEVP($Y$3:$Y$231)/2)+1,0))</f>
        <v>WR10</v>
      </c>
      <c r="AA123" s="1">
        <f ca="1">Y123*LeagueInfo!$H$5</f>
        <v>-14.024359563901559</v>
      </c>
      <c r="AB123" s="1"/>
      <c r="AC123" s="1"/>
    </row>
    <row r="124" spans="1:29" ht="15.75" thickBot="1" x14ac:dyDescent="0.3">
      <c r="A124" s="47">
        <f>RANK(O124,O$3:O$231)</f>
        <v>122</v>
      </c>
      <c r="B124" s="1" t="s">
        <v>611</v>
      </c>
      <c r="C124" s="1" t="s">
        <v>39</v>
      </c>
      <c r="D124" s="1">
        <f>VLOOKUP(E124,BYEs!$A$2:$B$34,2,FALSE)</f>
        <v>11</v>
      </c>
      <c r="E124" s="1" t="s">
        <v>378</v>
      </c>
      <c r="F124" s="249">
        <v>0</v>
      </c>
      <c r="G124" s="250">
        <v>0</v>
      </c>
      <c r="H124" s="251">
        <v>1</v>
      </c>
      <c r="I124" s="251">
        <v>5.8</v>
      </c>
      <c r="J124" s="251">
        <v>0</v>
      </c>
      <c r="K124" s="249">
        <v>14.8</v>
      </c>
      <c r="L124" s="247">
        <v>212.5</v>
      </c>
      <c r="M124" s="250">
        <v>1.1000000000000001</v>
      </c>
      <c r="N124" s="251">
        <v>0.2</v>
      </c>
      <c r="O124" s="252">
        <f>(I124*WRRushingYd)+(J124*WRRushingTD)+(K124*WRRec)+(L124*WRRecYd)+(M124*WRRecTD)+(N124*WRFuml)+(H124*WRRushAtt)</f>
        <v>28.03</v>
      </c>
      <c r="P124" s="1" t="str">
        <f ca="1">IF(A124&lt;=WRStarters,"Starter",IF(A124&gt;WRStarters+WRBench,"Undrafted","Bench"))</f>
        <v>Undrafted</v>
      </c>
      <c r="Q124" s="47">
        <f ca="1">IFERROR(MAX(O124-LARGE(O$3:O$231,WRStarters),0),0)</f>
        <v>0</v>
      </c>
      <c r="R124" s="47">
        <f ca="1">IFERROR(IF(AllowNegative="Yes",O124-LARGE(O$3:O$231,WRCount),MAX(O124-LARGE(O$3:O$231,WRCount),0)),0)</f>
        <v>-61.59</v>
      </c>
      <c r="S124" s="108">
        <f ca="1">(R124-Q124)*BenchPF+Q124*StarterPF</f>
        <v>-14.750549348643867</v>
      </c>
      <c r="T124" s="108">
        <f ca="1">S124*Auction!$A$2</f>
        <v>-14.750549348643867</v>
      </c>
      <c r="U124" s="25" t="str">
        <f>IF(OR(INDEX(Auction!$H$13:$H$683,MATCH(B124,Auction!$A$13:$A$683,0))&gt;0,IFERROR(INDEX(CheatSheet!$V$5:$V$64,MATCH(B124,CheatSheet!$S$5:$S$64,0)),"")&lt;&gt;""),"Yes","No")</f>
        <v>No</v>
      </c>
      <c r="V124" s="218"/>
      <c r="W124" s="1"/>
      <c r="X124" s="143">
        <f ca="1">IFERROR(SUMIFS($Y$3:$Y352,$Y$3:$Y$231,"&gt;0",$U$3:$U$231,"No")/SUMIF($Y$3:$Y$231,"&gt;0"),0)</f>
        <v>0</v>
      </c>
      <c r="Y124" s="1">
        <f t="shared" ca="1" si="1"/>
        <v>-30.795000000000002</v>
      </c>
      <c r="Z124" s="145" t="str">
        <f ca="1">CONCATENATE("WR",ROUND((LARGE($Y$3:$Y$231,1)-$Y124)/(STDEVP($Y$3:$Y$231)/2)+1,0))</f>
        <v>WR10</v>
      </c>
      <c r="AA124" s="1">
        <f ca="1">Y124*LeagueInfo!$H$5</f>
        <v>-14.083813884570308</v>
      </c>
      <c r="AB124" s="1"/>
      <c r="AC124" s="1"/>
    </row>
    <row r="125" spans="1:29" ht="15.75" thickBot="1" x14ac:dyDescent="0.3">
      <c r="A125" s="47">
        <f>RANK(O125,O$3:O$231)</f>
        <v>123</v>
      </c>
      <c r="B125" s="1" t="s">
        <v>596</v>
      </c>
      <c r="C125" s="1" t="s">
        <v>39</v>
      </c>
      <c r="D125" s="1">
        <f>VLOOKUP(E125,BYEs!$A$2:$B$34,2,FALSE)</f>
        <v>6</v>
      </c>
      <c r="E125" s="1" t="s">
        <v>364</v>
      </c>
      <c r="F125" s="249">
        <v>0</v>
      </c>
      <c r="G125" s="250">
        <v>0</v>
      </c>
      <c r="H125" s="251">
        <v>1</v>
      </c>
      <c r="I125" s="251">
        <v>3.6</v>
      </c>
      <c r="J125" s="251">
        <v>0</v>
      </c>
      <c r="K125" s="249">
        <v>15.2</v>
      </c>
      <c r="L125" s="247">
        <v>177.5</v>
      </c>
      <c r="M125" s="250">
        <v>1.6</v>
      </c>
      <c r="N125" s="251">
        <v>0.2</v>
      </c>
      <c r="O125" s="252">
        <f>(I125*WRRushingYd)+(J125*WRRushingTD)+(K125*WRRec)+(L125*WRRecYd)+(M125*WRRecTD)+(N125*WRFuml)+(H125*WRRushAtt)</f>
        <v>27.310000000000002</v>
      </c>
      <c r="P125" s="1" t="str">
        <f ca="1">IF(A125&lt;=WRStarters,"Starter",IF(A125&gt;WRStarters+WRBench,"Undrafted","Bench"))</f>
        <v>Undrafted</v>
      </c>
      <c r="Q125" s="47">
        <f ca="1">IFERROR(MAX(O125-LARGE(O$3:O$231,WRStarters),0),0)</f>
        <v>0</v>
      </c>
      <c r="R125" s="47">
        <f ca="1">IFERROR(IF(AllowNegative="Yes",O125-LARGE(O$3:O$231,WRCount),MAX(O125-LARGE(O$3:O$231,WRCount),0)),0)</f>
        <v>-62.31</v>
      </c>
      <c r="S125" s="108">
        <f ca="1">(R125-Q125)*BenchPF+Q125*StarterPF</f>
        <v>-14.922986360025968</v>
      </c>
      <c r="T125" s="108">
        <f ca="1">S125*Auction!$A$2</f>
        <v>-14.922986360025968</v>
      </c>
      <c r="U125" s="25" t="str">
        <f>IF(OR(INDEX(Auction!$H$13:$H$683,MATCH(B125,Auction!$A$13:$A$683,0))&gt;0,IFERROR(INDEX(CheatSheet!$V$5:$V$64,MATCH(B125,CheatSheet!$S$5:$S$64,0)),"")&lt;&gt;""),"Yes","No")</f>
        <v>No</v>
      </c>
      <c r="V125" s="218"/>
      <c r="W125" s="1"/>
      <c r="X125" s="143">
        <f ca="1">IFERROR(SUMIFS($Y$3:$Y353,$Y$3:$Y$231,"&gt;0",$U$3:$U$231,"No")/SUMIF($Y$3:$Y$231,"&gt;0"),0)</f>
        <v>0</v>
      </c>
      <c r="Y125" s="1">
        <f t="shared" ca="1" si="1"/>
        <v>-31.155000000000001</v>
      </c>
      <c r="Z125" s="145" t="str">
        <f ca="1">CONCATENATE("WR",ROUND((LARGE($Y$3:$Y$231,1)-$Y125)/(STDEVP($Y$3:$Y$231)/2)+1,0))</f>
        <v>WR10</v>
      </c>
      <c r="AA125" s="1">
        <f ca="1">Y125*LeagueInfo!$H$5</f>
        <v>-14.248456618729922</v>
      </c>
      <c r="AB125" s="1"/>
      <c r="AC125" s="1"/>
    </row>
    <row r="126" spans="1:29" ht="15.75" thickBot="1" x14ac:dyDescent="0.3">
      <c r="A126" s="47">
        <f>RANK(O126,O$3:O$231)</f>
        <v>124</v>
      </c>
      <c r="B126" s="1" t="s">
        <v>236</v>
      </c>
      <c r="C126" s="1" t="s">
        <v>39</v>
      </c>
      <c r="D126" s="1">
        <f>VLOOKUP(E126,BYEs!$A$2:$B$34,2,FALSE)</f>
        <v>9</v>
      </c>
      <c r="E126" s="1" t="s">
        <v>373</v>
      </c>
      <c r="F126" s="249">
        <v>0</v>
      </c>
      <c r="G126" s="250">
        <v>0</v>
      </c>
      <c r="H126" s="251">
        <v>0</v>
      </c>
      <c r="I126" s="251">
        <v>0</v>
      </c>
      <c r="J126" s="251">
        <v>0</v>
      </c>
      <c r="K126" s="249">
        <v>15.8</v>
      </c>
      <c r="L126" s="247">
        <v>195.1</v>
      </c>
      <c r="M126" s="250">
        <v>1.3</v>
      </c>
      <c r="N126" s="251">
        <v>0.1</v>
      </c>
      <c r="O126" s="252">
        <f>(I126*WRRushingYd)+(J126*WRRushingTD)+(K126*WRRec)+(L126*WRRecYd)+(M126*WRRecTD)+(N126*WRFuml)+(H126*WRRushAtt)</f>
        <v>27.110000000000003</v>
      </c>
      <c r="P126" s="1" t="str">
        <f ca="1">IF(A126&lt;=WRStarters,"Starter",IF(A126&gt;WRStarters+WRBench,"Undrafted","Bench"))</f>
        <v>Undrafted</v>
      </c>
      <c r="Q126" s="47">
        <f ca="1">IFERROR(MAX(O126-LARGE(O$3:O$231,WRStarters),0),0)</f>
        <v>0</v>
      </c>
      <c r="R126" s="47">
        <f ca="1">IFERROR(IF(AllowNegative="Yes",O126-LARGE(O$3:O$231,WRCount),MAX(O126-LARGE(O$3:O$231,WRCount),0)),0)</f>
        <v>-62.510000000000005</v>
      </c>
      <c r="S126" s="108">
        <f ca="1">(R126-Q126)*BenchPF+Q126*StarterPF</f>
        <v>-14.97088552985433</v>
      </c>
      <c r="T126" s="108">
        <f ca="1">S126*Auction!$A$2</f>
        <v>-14.97088552985433</v>
      </c>
      <c r="U126" s="25" t="str">
        <f>IF(OR(INDEX(Auction!$H$13:$H$683,MATCH(B126,Auction!$A$13:$A$683,0))&gt;0,IFERROR(INDEX(CheatSheet!$V$5:$V$64,MATCH(B126,CheatSheet!$S$5:$S$64,0)),"")&lt;&gt;""),"Yes","No")</f>
        <v>No</v>
      </c>
      <c r="V126" s="218"/>
      <c r="W126" s="1"/>
      <c r="X126" s="143">
        <f ca="1">IFERROR(SUMIFS($Y$3:$Y354,$Y$3:$Y$231,"&gt;0",$U$3:$U$231,"No")/SUMIF($Y$3:$Y$231,"&gt;0"),0)</f>
        <v>0</v>
      </c>
      <c r="Y126" s="1">
        <f t="shared" ca="1" si="1"/>
        <v>-31.255000000000003</v>
      </c>
      <c r="Z126" s="145" t="str">
        <f ca="1">CONCATENATE("WR",ROUND((LARGE($Y$3:$Y$231,1)-$Y126)/(STDEVP($Y$3:$Y$231)/2)+1,0))</f>
        <v>WR10</v>
      </c>
      <c r="AA126" s="1">
        <f ca="1">Y126*LeagueInfo!$H$5</f>
        <v>-14.294190711552037</v>
      </c>
      <c r="AB126" s="1"/>
      <c r="AC126" s="1"/>
    </row>
    <row r="127" spans="1:29" ht="15.75" thickBot="1" x14ac:dyDescent="0.3">
      <c r="A127" s="47">
        <f>RANK(O127,O$3:O$231)</f>
        <v>125</v>
      </c>
      <c r="B127" s="1" t="s">
        <v>615</v>
      </c>
      <c r="C127" s="1" t="s">
        <v>39</v>
      </c>
      <c r="D127" s="1">
        <f>VLOOKUP(E127,BYEs!$A$2:$B$34,2,FALSE)</f>
        <v>7</v>
      </c>
      <c r="E127" s="1" t="s">
        <v>362</v>
      </c>
      <c r="F127" s="249">
        <v>0</v>
      </c>
      <c r="G127" s="250">
        <v>0</v>
      </c>
      <c r="H127" s="251">
        <v>0.1</v>
      </c>
      <c r="I127" s="251">
        <v>0.2</v>
      </c>
      <c r="J127" s="251">
        <v>0</v>
      </c>
      <c r="K127" s="249">
        <v>16.5</v>
      </c>
      <c r="L127" s="247">
        <v>210.8</v>
      </c>
      <c r="M127" s="250">
        <v>1.3</v>
      </c>
      <c r="N127" s="251">
        <v>0.9</v>
      </c>
      <c r="O127" s="252">
        <f>(I127*WRRushingYd)+(J127*WRRushingTD)+(K127*WRRec)+(L127*WRRecYd)+(M127*WRRecTD)+(N127*WRFuml)+(H127*WRRushAtt)</f>
        <v>27.1</v>
      </c>
      <c r="P127" s="1" t="str">
        <f ca="1">IF(A127&lt;=WRStarters,"Starter",IF(A127&gt;WRStarters+WRBench,"Undrafted","Bench"))</f>
        <v>Undrafted</v>
      </c>
      <c r="Q127" s="47">
        <f ca="1">IFERROR(MAX(O127-LARGE(O$3:O$231,WRStarters),0),0)</f>
        <v>0</v>
      </c>
      <c r="R127" s="47">
        <f ca="1">IFERROR(IF(AllowNegative="Yes",O127-LARGE(O$3:O$231,WRCount),MAX(O127-LARGE(O$3:O$231,WRCount),0)),0)</f>
        <v>-62.52</v>
      </c>
      <c r="S127" s="108">
        <f ca="1">(R127-Q127)*BenchPF+Q127*StarterPF</f>
        <v>-14.973280488345749</v>
      </c>
      <c r="T127" s="108">
        <f ca="1">S127*Auction!$A$2</f>
        <v>-14.973280488345749</v>
      </c>
      <c r="U127" s="25" t="str">
        <f>IF(OR(INDEX(Auction!$H$13:$H$683,MATCH(B127,Auction!$A$13:$A$683,0))&gt;0,IFERROR(INDEX(CheatSheet!$V$5:$V$64,MATCH(B127,CheatSheet!$S$5:$S$64,0)),"")&lt;&gt;""),"Yes","No")</f>
        <v>No</v>
      </c>
      <c r="V127" s="218"/>
      <c r="W127" s="1"/>
      <c r="X127" s="143">
        <f ca="1">IFERROR(SUMIFS($Y$3:$Y355,$Y$3:$Y$231,"&gt;0",$U$3:$U$231,"No")/SUMIF($Y$3:$Y$231,"&gt;0"),0)</f>
        <v>0</v>
      </c>
      <c r="Y127" s="1">
        <f t="shared" ca="1" si="1"/>
        <v>-31.26</v>
      </c>
      <c r="Z127" s="145" t="str">
        <f ca="1">CONCATENATE("WR",ROUND((LARGE($Y$3:$Y$231,1)-$Y127)/(STDEVP($Y$3:$Y$231)/2)+1,0))</f>
        <v>WR10</v>
      </c>
      <c r="AA127" s="1">
        <f ca="1">Y127*LeagueInfo!$H$5</f>
        <v>-14.296477416193142</v>
      </c>
      <c r="AB127" s="1"/>
      <c r="AC127" s="1"/>
    </row>
    <row r="128" spans="1:29" ht="15.75" thickBot="1" x14ac:dyDescent="0.3">
      <c r="A128" s="47">
        <f>RANK(O128,O$3:O$231)</f>
        <v>126</v>
      </c>
      <c r="B128" s="1" t="s">
        <v>926</v>
      </c>
      <c r="C128" s="1" t="s">
        <v>39</v>
      </c>
      <c r="D128" s="1">
        <f>VLOOKUP(E128,BYEs!$A$2:$B$34,2,FALSE)</f>
        <v>11</v>
      </c>
      <c r="E128" s="1" t="s">
        <v>382</v>
      </c>
      <c r="F128" s="249">
        <v>0</v>
      </c>
      <c r="G128" s="250">
        <v>0</v>
      </c>
      <c r="H128" s="251">
        <v>0</v>
      </c>
      <c r="I128" s="251">
        <v>0</v>
      </c>
      <c r="J128" s="251">
        <v>0</v>
      </c>
      <c r="K128" s="249">
        <v>20</v>
      </c>
      <c r="L128" s="247">
        <v>226</v>
      </c>
      <c r="M128" s="250">
        <v>0.8</v>
      </c>
      <c r="N128" s="251">
        <v>0.4</v>
      </c>
      <c r="O128" s="252">
        <f>(I128*WRRushingYd)+(J128*WRRushingTD)+(K128*WRRec)+(L128*WRRecYd)+(M128*WRRecTD)+(N128*WRFuml)+(H128*WRRushAtt)</f>
        <v>26.6</v>
      </c>
      <c r="P128" s="1" t="str">
        <f ca="1">IF(A128&lt;=WRStarters,"Starter",IF(A128&gt;WRStarters+WRBench,"Undrafted","Bench"))</f>
        <v>Undrafted</v>
      </c>
      <c r="Q128" s="47">
        <f ca="1">IFERROR(MAX(O128-LARGE(O$3:O$231,WRStarters),0),0)</f>
        <v>0</v>
      </c>
      <c r="R128" s="47">
        <f ca="1">IFERROR(IF(AllowNegative="Yes",O128-LARGE(O$3:O$231,WRCount),MAX(O128-LARGE(O$3:O$231,WRCount),0)),0)</f>
        <v>-63.02</v>
      </c>
      <c r="S128" s="108">
        <f ca="1">(R128-Q128)*BenchPF+Q128*StarterPF</f>
        <v>-15.093028412916651</v>
      </c>
      <c r="T128" s="108">
        <f ca="1">S128*Auction!$A$2</f>
        <v>-15.093028412916651</v>
      </c>
      <c r="U128" s="25" t="str">
        <f>IF(OR(INDEX(Auction!$H$13:$H$683,MATCH(B128,Auction!$A$13:$A$683,0))&gt;0,IFERROR(INDEX(CheatSheet!$V$5:$V$64,MATCH(B128,CheatSheet!$S$5:$S$64,0)),"")&lt;&gt;""),"Yes","No")</f>
        <v>No</v>
      </c>
      <c r="V128" s="218"/>
      <c r="W128" s="1"/>
      <c r="X128" s="143">
        <f ca="1">IFERROR(SUMIFS($Y$3:$Y356,$Y$3:$Y$231,"&gt;0",$U$3:$U$231,"No")/SUMIF($Y$3:$Y$231,"&gt;0"),0)</f>
        <v>0</v>
      </c>
      <c r="Y128" s="1">
        <f t="shared" ca="1" si="1"/>
        <v>-31.51</v>
      </c>
      <c r="Z128" s="145" t="str">
        <f ca="1">CONCATENATE("WR",ROUND((LARGE($Y$3:$Y$231,1)-$Y128)/(STDEVP($Y$3:$Y$231)/2)+1,0))</f>
        <v>WR10</v>
      </c>
      <c r="AA128" s="1">
        <f ca="1">Y128*LeagueInfo!$H$5</f>
        <v>-14.410812648248429</v>
      </c>
      <c r="AB128" s="1"/>
      <c r="AC128" s="1"/>
    </row>
    <row r="129" spans="1:29" ht="15.75" thickBot="1" x14ac:dyDescent="0.3">
      <c r="A129" s="47">
        <f>RANK(O129,O$3:O$231)</f>
        <v>127</v>
      </c>
      <c r="B129" s="1" t="s">
        <v>614</v>
      </c>
      <c r="C129" s="1" t="s">
        <v>39</v>
      </c>
      <c r="D129" s="1">
        <f>VLOOKUP(E129,BYEs!$A$2:$B$34,2,FALSE)</f>
        <v>9</v>
      </c>
      <c r="E129" s="1" t="s">
        <v>376</v>
      </c>
      <c r="F129" s="249">
        <v>0</v>
      </c>
      <c r="G129" s="250">
        <v>0</v>
      </c>
      <c r="H129" s="251">
        <v>0</v>
      </c>
      <c r="I129" s="251">
        <v>0</v>
      </c>
      <c r="J129" s="251">
        <v>0</v>
      </c>
      <c r="K129" s="249">
        <v>19.5</v>
      </c>
      <c r="L129" s="247">
        <v>222.3</v>
      </c>
      <c r="M129" s="250">
        <v>1.2</v>
      </c>
      <c r="N129" s="251">
        <v>1.6</v>
      </c>
      <c r="O129" s="252">
        <f>(I129*WRRushingYd)+(J129*WRRushingTD)+(K129*WRRec)+(L129*WRRecYd)+(M129*WRRecTD)+(N129*WRFuml)+(H129*WRRushAtt)</f>
        <v>26.230000000000004</v>
      </c>
      <c r="P129" s="1" t="str">
        <f ca="1">IF(A129&lt;=WRStarters,"Starter",IF(A129&gt;WRStarters+WRBench,"Undrafted","Bench"))</f>
        <v>Undrafted</v>
      </c>
      <c r="Q129" s="47">
        <f ca="1">IFERROR(MAX(O129-LARGE(O$3:O$231,WRStarters),0),0)</f>
        <v>0</v>
      </c>
      <c r="R129" s="47">
        <f ca="1">IFERROR(IF(AllowNegative="Yes",O129-LARGE(O$3:O$231,WRCount),MAX(O129-LARGE(O$3:O$231,WRCount),0)),0)</f>
        <v>-63.39</v>
      </c>
      <c r="S129" s="108">
        <f ca="1">(R129-Q129)*BenchPF+Q129*StarterPF</f>
        <v>-15.181641877099119</v>
      </c>
      <c r="T129" s="108">
        <f ca="1">S129*Auction!$A$2</f>
        <v>-15.181641877099119</v>
      </c>
      <c r="U129" s="25" t="str">
        <f>IF(OR(INDEX(Auction!$H$13:$H$683,MATCH(B129,Auction!$A$13:$A$683,0))&gt;0,IFERROR(INDEX(CheatSheet!$V$5:$V$64,MATCH(B129,CheatSheet!$S$5:$S$64,0)),"")&lt;&gt;""),"Yes","No")</f>
        <v>No</v>
      </c>
      <c r="V129" s="218"/>
      <c r="W129" s="1"/>
      <c r="X129" s="143">
        <f ca="1">IFERROR(SUMIFS($Y$3:$Y357,$Y$3:$Y$231,"&gt;0",$U$3:$U$231,"No")/SUMIF($Y$3:$Y$231,"&gt;0"),0)</f>
        <v>0</v>
      </c>
      <c r="Y129" s="1">
        <f t="shared" ca="1" si="1"/>
        <v>-31.695</v>
      </c>
      <c r="Z129" s="145" t="str">
        <f ca="1">CONCATENATE("WR",ROUND((LARGE($Y$3:$Y$231,1)-$Y129)/(STDEVP($Y$3:$Y$231)/2)+1,0))</f>
        <v>WR10</v>
      </c>
      <c r="AA129" s="1">
        <f ca="1">Y129*LeagueInfo!$H$5</f>
        <v>-14.495420719969342</v>
      </c>
      <c r="AB129" s="1"/>
      <c r="AC129" s="1"/>
    </row>
    <row r="130" spans="1:29" ht="15.75" thickBot="1" x14ac:dyDescent="0.3">
      <c r="A130" s="47">
        <f>RANK(O130,O$3:O$231)</f>
        <v>128</v>
      </c>
      <c r="B130" s="1" t="s">
        <v>618</v>
      </c>
      <c r="C130" s="1" t="s">
        <v>39</v>
      </c>
      <c r="D130" s="1">
        <f>VLOOKUP(E130,BYEs!$A$2:$B$34,2,FALSE)</f>
        <v>9</v>
      </c>
      <c r="E130" s="1" t="s">
        <v>363</v>
      </c>
      <c r="F130" s="249">
        <v>0</v>
      </c>
      <c r="G130" s="250">
        <v>0</v>
      </c>
      <c r="H130" s="251">
        <v>0</v>
      </c>
      <c r="I130" s="251">
        <v>0</v>
      </c>
      <c r="J130" s="251">
        <v>0</v>
      </c>
      <c r="K130" s="249">
        <v>12.1</v>
      </c>
      <c r="L130" s="247">
        <v>164.5</v>
      </c>
      <c r="M130" s="250">
        <v>1.4</v>
      </c>
      <c r="N130" s="251">
        <v>0.2</v>
      </c>
      <c r="O130" s="252">
        <f>(I130*WRRushingYd)+(J130*WRRushingTD)+(K130*WRRec)+(L130*WRRecYd)+(M130*WRRecTD)+(N130*WRFuml)+(H130*WRRushAtt)</f>
        <v>24.45</v>
      </c>
      <c r="P130" s="1" t="str">
        <f ca="1">IF(A130&lt;=WRStarters,"Starter",IF(A130&gt;WRStarters+WRBench,"Undrafted","Bench"))</f>
        <v>Undrafted</v>
      </c>
      <c r="Q130" s="47">
        <f ca="1">IFERROR(MAX(O130-LARGE(O$3:O$231,WRStarters),0),0)</f>
        <v>0</v>
      </c>
      <c r="R130" s="47">
        <f ca="1">IFERROR(IF(AllowNegative="Yes",O130-LARGE(O$3:O$231,WRCount),MAX(O130-LARGE(O$3:O$231,WRCount),0)),0)</f>
        <v>-65.17</v>
      </c>
      <c r="S130" s="108">
        <f ca="1">(R130-Q130)*BenchPF+Q130*StarterPF</f>
        <v>-15.607944488571535</v>
      </c>
      <c r="T130" s="108">
        <f ca="1">S130*Auction!$A$2</f>
        <v>-15.607944488571535</v>
      </c>
      <c r="U130" s="25" t="str">
        <f>IF(OR(INDEX(Auction!$H$13:$H$683,MATCH(B130,Auction!$A$13:$A$683,0))&gt;0,IFERROR(INDEX(CheatSheet!$V$5:$V$64,MATCH(B130,CheatSheet!$S$5:$S$64,0)),"")&lt;&gt;""),"Yes","No")</f>
        <v>No</v>
      </c>
      <c r="V130" s="218"/>
      <c r="W130" s="1"/>
      <c r="X130" s="143">
        <f ca="1">IFERROR(SUMIFS($Y$3:$Y358,$Y$3:$Y$231,"&gt;0",$U$3:$U$231,"No")/SUMIF($Y$3:$Y$231,"&gt;0"),0)</f>
        <v>0</v>
      </c>
      <c r="Y130" s="1">
        <f t="shared" ca="1" si="1"/>
        <v>-32.585000000000001</v>
      </c>
      <c r="Z130" s="145" t="str">
        <f ca="1">CONCATENATE("WR",ROUND((LARGE($Y$3:$Y$231,1)-$Y130)/(STDEVP($Y$3:$Y$231)/2)+1,0))</f>
        <v>WR10</v>
      </c>
      <c r="AA130" s="1">
        <f ca="1">Y130*LeagueInfo!$H$5</f>
        <v>-14.902454146086164</v>
      </c>
      <c r="AB130" s="1"/>
      <c r="AC130" s="1"/>
    </row>
    <row r="131" spans="1:29" ht="15.75" thickBot="1" x14ac:dyDescent="0.3">
      <c r="A131" s="47">
        <f>RANK(O131,O$3:O$231)</f>
        <v>129</v>
      </c>
      <c r="B131" s="1" t="s">
        <v>595</v>
      </c>
      <c r="C131" s="1" t="s">
        <v>39</v>
      </c>
      <c r="D131" s="1">
        <f>VLOOKUP(E131,BYEs!$A$2:$B$34,2,FALSE)</f>
        <v>8</v>
      </c>
      <c r="E131" s="1" t="s">
        <v>370</v>
      </c>
      <c r="F131" s="249">
        <v>0</v>
      </c>
      <c r="G131" s="250">
        <v>0</v>
      </c>
      <c r="H131" s="251">
        <v>0</v>
      </c>
      <c r="I131" s="251">
        <v>0</v>
      </c>
      <c r="J131" s="251">
        <v>0</v>
      </c>
      <c r="K131" s="249">
        <v>13.9</v>
      </c>
      <c r="L131" s="247">
        <v>177.1</v>
      </c>
      <c r="M131" s="250">
        <v>1</v>
      </c>
      <c r="N131" s="251">
        <v>0.4</v>
      </c>
      <c r="O131" s="252">
        <f>(I131*WRRushingYd)+(J131*WRRushingTD)+(K131*WRRec)+(L131*WRRecYd)+(M131*WRRecTD)+(N131*WRFuml)+(H131*WRRushAtt)</f>
        <v>22.91</v>
      </c>
      <c r="P131" s="1" t="str">
        <f ca="1">IF(A131&lt;=WRStarters,"Starter",IF(A131&gt;WRStarters+WRBench,"Undrafted","Bench"))</f>
        <v>Undrafted</v>
      </c>
      <c r="Q131" s="47">
        <f ca="1">IFERROR(MAX(O131-LARGE(O$3:O$231,WRStarters),0),0)</f>
        <v>0</v>
      </c>
      <c r="R131" s="47">
        <f ca="1">IFERROR(IF(AllowNegative="Yes",O131-LARGE(O$3:O$231,WRCount),MAX(O131-LARGE(O$3:O$231,WRCount),0)),0)</f>
        <v>-66.710000000000008</v>
      </c>
      <c r="S131" s="108">
        <f ca="1">(R131-Q131)*BenchPF+Q131*StarterPF</f>
        <v>-15.976768096249918</v>
      </c>
      <c r="T131" s="108">
        <f ca="1">S131*Auction!$A$2</f>
        <v>-15.976768096249918</v>
      </c>
      <c r="U131" s="25" t="str">
        <f>IF(OR(INDEX(Auction!$H$13:$H$683,MATCH(B131,Auction!$A$13:$A$683,0))&gt;0,IFERROR(INDEX(CheatSheet!$V$5:$V$64,MATCH(B131,CheatSheet!$S$5:$S$64,0)),"")&lt;&gt;""),"Yes","No")</f>
        <v>No</v>
      </c>
      <c r="V131" s="218"/>
      <c r="W131" s="1"/>
      <c r="X131" s="143">
        <f ca="1">IFERROR(SUMIFS($Y$3:$Y359,$Y$3:$Y$231,"&gt;0",$U$3:$U$231,"No")/SUMIF($Y$3:$Y$231,"&gt;0"),0)</f>
        <v>0</v>
      </c>
      <c r="Y131" s="1">
        <f t="shared" ca="1" si="1"/>
        <v>-33.355000000000004</v>
      </c>
      <c r="Z131" s="145" t="str">
        <f ca="1">CONCATENATE("WR",ROUND((LARGE($Y$3:$Y$231,1)-$Y131)/(STDEVP($Y$3:$Y$231)/2)+1,0))</f>
        <v>WR10</v>
      </c>
      <c r="AA131" s="1">
        <f ca="1">Y131*LeagueInfo!$H$5</f>
        <v>-15.254606660816451</v>
      </c>
      <c r="AB131" s="1"/>
      <c r="AC131" s="1"/>
    </row>
    <row r="132" spans="1:29" ht="15.75" thickBot="1" x14ac:dyDescent="0.3">
      <c r="A132" s="47">
        <f>RANK(O132,O$3:O$231)</f>
        <v>130</v>
      </c>
      <c r="B132" s="1" t="s">
        <v>612</v>
      </c>
      <c r="C132" s="1" t="s">
        <v>39</v>
      </c>
      <c r="D132" s="1">
        <f>VLOOKUP(E132,BYEs!$A$2:$B$34,2,FALSE)</f>
        <v>5</v>
      </c>
      <c r="E132" s="1" t="s">
        <v>358</v>
      </c>
      <c r="F132" s="249">
        <v>0</v>
      </c>
      <c r="G132" s="250">
        <v>0</v>
      </c>
      <c r="H132" s="251">
        <v>0</v>
      </c>
      <c r="I132" s="251">
        <v>0</v>
      </c>
      <c r="J132" s="251">
        <v>0</v>
      </c>
      <c r="K132" s="249">
        <v>14.5</v>
      </c>
      <c r="L132" s="247">
        <v>184.3</v>
      </c>
      <c r="M132" s="250">
        <v>0.7</v>
      </c>
      <c r="N132" s="251">
        <v>0.1</v>
      </c>
      <c r="O132" s="252">
        <f>(I132*WRRushingYd)+(J132*WRRushingTD)+(K132*WRRec)+(L132*WRRecYd)+(M132*WRRecTD)+(N132*WRFuml)+(H132*WRRushAtt)</f>
        <v>22.430000000000003</v>
      </c>
      <c r="P132" s="1" t="str">
        <f ca="1">IF(A132&lt;=WRStarters,"Starter",IF(A132&gt;WRStarters+WRBench,"Undrafted","Bench"))</f>
        <v>Undrafted</v>
      </c>
      <c r="Q132" s="47">
        <f ca="1">IFERROR(MAX(O132-LARGE(O$3:O$231,WRStarters),0),0)</f>
        <v>0</v>
      </c>
      <c r="R132" s="47">
        <f ca="1">IFERROR(IF(AllowNegative="Yes",O132-LARGE(O$3:O$231,WRCount),MAX(O132-LARGE(O$3:O$231,WRCount),0)),0)</f>
        <v>-67.19</v>
      </c>
      <c r="S132" s="108">
        <f ca="1">(R132-Q132)*BenchPF+Q132*StarterPF</f>
        <v>-16.091726103837985</v>
      </c>
      <c r="T132" s="108">
        <f ca="1">S132*Auction!$A$2</f>
        <v>-16.091726103837985</v>
      </c>
      <c r="U132" s="25" t="str">
        <f>IF(OR(INDEX(Auction!$H$13:$H$683,MATCH(B132,Auction!$A$13:$A$683,0))&gt;0,IFERROR(INDEX(CheatSheet!$V$5:$V$64,MATCH(B132,CheatSheet!$S$5:$S$64,0)),"")&lt;&gt;""),"Yes","No")</f>
        <v>No</v>
      </c>
      <c r="V132" s="218"/>
      <c r="W132" s="1"/>
      <c r="X132" s="143">
        <f ca="1">IFERROR(SUMIFS($Y$3:$Y360,$Y$3:$Y$231,"&gt;0",$U$3:$U$231,"No")/SUMIF($Y$3:$Y$231,"&gt;0"),0)</f>
        <v>0</v>
      </c>
      <c r="Y132" s="1">
        <f t="shared" ref="Y132:Y195" ca="1" si="2">AVERAGE(Q132:R132)</f>
        <v>-33.594999999999999</v>
      </c>
      <c r="Z132" s="145" t="str">
        <f ca="1">CONCATENATE("WR",ROUND((LARGE($Y$3:$Y$231,1)-$Y132)/(STDEVP($Y$3:$Y$231)/2)+1,0))</f>
        <v>WR10</v>
      </c>
      <c r="AA132" s="1">
        <f ca="1">Y132*LeagueInfo!$H$5</f>
        <v>-15.364368483589525</v>
      </c>
      <c r="AB132" s="1"/>
      <c r="AC132" s="1"/>
    </row>
    <row r="133" spans="1:29" ht="15.75" thickBot="1" x14ac:dyDescent="0.3">
      <c r="A133" s="47">
        <f>RANK(O133,O$3:O$231)</f>
        <v>131</v>
      </c>
      <c r="B133" s="1" t="s">
        <v>624</v>
      </c>
      <c r="C133" s="1" t="s">
        <v>39</v>
      </c>
      <c r="D133" s="1">
        <f>VLOOKUP(E133,BYEs!$A$2:$B$34,2,FALSE)</f>
        <v>10</v>
      </c>
      <c r="E133" s="1" t="s">
        <v>372</v>
      </c>
      <c r="F133" s="249">
        <v>0</v>
      </c>
      <c r="G133" s="250">
        <v>0</v>
      </c>
      <c r="H133" s="251">
        <v>0</v>
      </c>
      <c r="I133" s="251">
        <v>0</v>
      </c>
      <c r="J133" s="251">
        <v>0</v>
      </c>
      <c r="K133" s="249">
        <v>12.2</v>
      </c>
      <c r="L133" s="247">
        <v>156.6</v>
      </c>
      <c r="M133" s="250">
        <v>0.9</v>
      </c>
      <c r="N133" s="251">
        <v>0.1</v>
      </c>
      <c r="O133" s="252">
        <f>(I133*WRRushingYd)+(J133*WRRushingTD)+(K133*WRRec)+(L133*WRRecYd)+(M133*WRRecTD)+(N133*WRFuml)+(H133*WRRushAtt)</f>
        <v>20.860000000000003</v>
      </c>
      <c r="P133" s="1" t="str">
        <f ca="1">IF(A133&lt;=WRStarters,"Starter",IF(A133&gt;WRStarters+WRBench,"Undrafted","Bench"))</f>
        <v>Undrafted</v>
      </c>
      <c r="Q133" s="47">
        <f ca="1">IFERROR(MAX(O133-LARGE(O$3:O$231,WRStarters),0),0)</f>
        <v>0</v>
      </c>
      <c r="R133" s="47">
        <f ca="1">IFERROR(IF(AllowNegative="Yes",O133-LARGE(O$3:O$231,WRCount),MAX(O133-LARGE(O$3:O$231,WRCount),0)),0)</f>
        <v>-68.760000000000005</v>
      </c>
      <c r="S133" s="108">
        <f ca="1">(R133-Q133)*BenchPF+Q133*StarterPF</f>
        <v>-16.46773458699062</v>
      </c>
      <c r="T133" s="108">
        <f ca="1">S133*Auction!$A$2</f>
        <v>-16.46773458699062</v>
      </c>
      <c r="U133" s="25" t="str">
        <f>IF(OR(INDEX(Auction!$H$13:$H$683,MATCH(B133,Auction!$A$13:$A$683,0))&gt;0,IFERROR(INDEX(CheatSheet!$V$5:$V$64,MATCH(B133,CheatSheet!$S$5:$S$64,0)),"")&lt;&gt;""),"Yes","No")</f>
        <v>No</v>
      </c>
      <c r="V133" s="218"/>
      <c r="W133" s="1"/>
      <c r="X133" s="143">
        <f ca="1">IFERROR(SUMIFS($Y$3:$Y361,$Y$3:$Y$231,"&gt;0",$U$3:$U$231,"No")/SUMIF($Y$3:$Y$231,"&gt;0"),0)</f>
        <v>0</v>
      </c>
      <c r="Y133" s="1">
        <f t="shared" ca="1" si="2"/>
        <v>-34.380000000000003</v>
      </c>
      <c r="Z133" s="145" t="str">
        <f ca="1">CONCATENATE("WR",ROUND((LARGE($Y$3:$Y$231,1)-$Y133)/(STDEVP($Y$3:$Y$231)/2)+1,0))</f>
        <v>WR10</v>
      </c>
      <c r="AA133" s="1">
        <f ca="1">Y133*LeagueInfo!$H$5</f>
        <v>-15.72338111224313</v>
      </c>
      <c r="AB133" s="1"/>
      <c r="AC133" s="1"/>
    </row>
    <row r="134" spans="1:29" ht="15.75" thickBot="1" x14ac:dyDescent="0.3">
      <c r="A134" s="47">
        <f>RANK(O134,O$3:O$231)</f>
        <v>132</v>
      </c>
      <c r="B134" s="1" t="s">
        <v>625</v>
      </c>
      <c r="C134" s="1" t="s">
        <v>39</v>
      </c>
      <c r="D134" s="1">
        <f>VLOOKUP(E134,BYEs!$A$2:$B$34,2,FALSE)</f>
        <v>10</v>
      </c>
      <c r="E134" s="1" t="s">
        <v>371</v>
      </c>
      <c r="F134" s="249">
        <v>0</v>
      </c>
      <c r="G134" s="250">
        <v>0</v>
      </c>
      <c r="H134" s="251">
        <v>1.1000000000000001</v>
      </c>
      <c r="I134" s="251">
        <v>7.4</v>
      </c>
      <c r="J134" s="251">
        <v>0</v>
      </c>
      <c r="K134" s="249">
        <v>14.2</v>
      </c>
      <c r="L134" s="247">
        <v>159.1</v>
      </c>
      <c r="M134" s="250">
        <v>0.5</v>
      </c>
      <c r="N134" s="251">
        <v>0.1</v>
      </c>
      <c r="O134" s="252">
        <f>(I134*WRRushingYd)+(J134*WRRushingTD)+(K134*WRRec)+(L134*WRRecYd)+(M134*WRRecTD)+(N134*WRFuml)+(H134*WRRushAtt)</f>
        <v>19.45</v>
      </c>
      <c r="P134" s="1" t="str">
        <f ca="1">IF(A134&lt;=WRStarters,"Starter",IF(A134&gt;WRStarters+WRBench,"Undrafted","Bench"))</f>
        <v>Undrafted</v>
      </c>
      <c r="Q134" s="47">
        <f ca="1">IFERROR(MAX(O134-LARGE(O$3:O$231,WRStarters),0),0)</f>
        <v>0</v>
      </c>
      <c r="R134" s="47">
        <f ca="1">IFERROR(IF(AllowNegative="Yes",O134-LARGE(O$3:O$231,WRCount),MAX(O134-LARGE(O$3:O$231,WRCount),0)),0)</f>
        <v>-70.17</v>
      </c>
      <c r="S134" s="108">
        <f ca="1">(R134-Q134)*BenchPF+Q134*StarterPF</f>
        <v>-16.805423734280566</v>
      </c>
      <c r="T134" s="108">
        <f ca="1">S134*Auction!$A$2</f>
        <v>-16.805423734280566</v>
      </c>
      <c r="U134" s="25" t="str">
        <f>IF(OR(INDEX(Auction!$H$13:$H$683,MATCH(B134,Auction!$A$13:$A$683,0))&gt;0,IFERROR(INDEX(CheatSheet!$V$5:$V$64,MATCH(B134,CheatSheet!$S$5:$S$64,0)),"")&lt;&gt;""),"Yes","No")</f>
        <v>No</v>
      </c>
      <c r="V134" s="218"/>
      <c r="W134" s="1"/>
      <c r="X134" s="143">
        <f ca="1">IFERROR(SUMIFS($Y$3:$Y362,$Y$3:$Y$231,"&gt;0",$U$3:$U$231,"No")/SUMIF($Y$3:$Y$231,"&gt;0"),0)</f>
        <v>0</v>
      </c>
      <c r="Y134" s="1">
        <f t="shared" ca="1" si="2"/>
        <v>-35.085000000000001</v>
      </c>
      <c r="Z134" s="145" t="str">
        <f ca="1">CONCATENATE("WR",ROUND((LARGE($Y$3:$Y$231,1)-$Y134)/(STDEVP($Y$3:$Y$231)/2)+1,0))</f>
        <v>WR10</v>
      </c>
      <c r="AA134" s="1">
        <f ca="1">Y134*LeagueInfo!$H$5</f>
        <v>-16.045806466639039</v>
      </c>
      <c r="AB134" s="1"/>
      <c r="AC134" s="1"/>
    </row>
    <row r="135" spans="1:29" ht="15.75" thickBot="1" x14ac:dyDescent="0.3">
      <c r="A135" s="47">
        <f>RANK(O135,O$3:O$231)</f>
        <v>133</v>
      </c>
      <c r="B135" s="1" t="s">
        <v>608</v>
      </c>
      <c r="C135" s="1" t="s">
        <v>39</v>
      </c>
      <c r="D135" s="1">
        <f>VLOOKUP(E135,BYEs!$A$2:$B$34,2,FALSE)</f>
        <v>5</v>
      </c>
      <c r="E135" s="1" t="s">
        <v>384</v>
      </c>
      <c r="F135" s="249">
        <v>0</v>
      </c>
      <c r="G135" s="250">
        <v>0</v>
      </c>
      <c r="H135" s="251">
        <v>0</v>
      </c>
      <c r="I135" s="251">
        <v>0</v>
      </c>
      <c r="J135" s="251">
        <v>0</v>
      </c>
      <c r="K135" s="249">
        <v>12.9</v>
      </c>
      <c r="L135" s="247">
        <v>159.69999999999999</v>
      </c>
      <c r="M135" s="250">
        <v>0.6</v>
      </c>
      <c r="N135" s="251">
        <v>0.1</v>
      </c>
      <c r="O135" s="252">
        <f>(I135*WRRushingYd)+(J135*WRRushingTD)+(K135*WRRec)+(L135*WRRecYd)+(M135*WRRecTD)+(N135*WRFuml)+(H135*WRRushAtt)</f>
        <v>19.37</v>
      </c>
      <c r="P135" s="1" t="str">
        <f ca="1">IF(A135&lt;=WRStarters,"Starter",IF(A135&gt;WRStarters+WRBench,"Undrafted","Bench"))</f>
        <v>Undrafted</v>
      </c>
      <c r="Q135" s="47">
        <f ca="1">IFERROR(MAX(O135-LARGE(O$3:O$231,WRStarters),0),0)</f>
        <v>0</v>
      </c>
      <c r="R135" s="47">
        <f ca="1">IFERROR(IF(AllowNegative="Yes",O135-LARGE(O$3:O$231,WRCount),MAX(O135-LARGE(O$3:O$231,WRCount),0)),0)</f>
        <v>-70.25</v>
      </c>
      <c r="S135" s="108">
        <f ca="1">(R135-Q135)*BenchPF+Q135*StarterPF</f>
        <v>-16.824583402211911</v>
      </c>
      <c r="T135" s="108">
        <f ca="1">S135*Auction!$A$2</f>
        <v>-16.824583402211911</v>
      </c>
      <c r="U135" s="25" t="str">
        <f>IF(OR(INDEX(Auction!$H$13:$H$683,MATCH(B135,Auction!$A$13:$A$683,0))&gt;0,IFERROR(INDEX(CheatSheet!$V$5:$V$64,MATCH(B135,CheatSheet!$S$5:$S$64,0)),"")&lt;&gt;""),"Yes","No")</f>
        <v>No</v>
      </c>
      <c r="V135" s="218"/>
      <c r="W135" s="1"/>
      <c r="X135" s="143">
        <f ca="1">IFERROR(SUMIFS($Y$3:$Y363,$Y$3:$Y$231,"&gt;0",$U$3:$U$231,"No")/SUMIF($Y$3:$Y$231,"&gt;0"),0)</f>
        <v>0</v>
      </c>
      <c r="Y135" s="1">
        <f t="shared" ca="1" si="2"/>
        <v>-35.125</v>
      </c>
      <c r="Z135" s="145" t="str">
        <f ca="1">CONCATENATE("WR",ROUND((LARGE($Y$3:$Y$231,1)-$Y135)/(STDEVP($Y$3:$Y$231)/2)+1,0))</f>
        <v>WR10</v>
      </c>
      <c r="AA135" s="1">
        <f ca="1">Y135*LeagueInfo!$H$5</f>
        <v>-16.064100103767885</v>
      </c>
      <c r="AB135" s="1"/>
      <c r="AC135" s="1"/>
    </row>
    <row r="136" spans="1:29" ht="15.75" thickBot="1" x14ac:dyDescent="0.3">
      <c r="A136" s="47">
        <f>RANK(O136,O$3:O$231)</f>
        <v>134</v>
      </c>
      <c r="B136" s="1" t="s">
        <v>620</v>
      </c>
      <c r="C136" s="1" t="s">
        <v>39</v>
      </c>
      <c r="D136" s="1">
        <f>VLOOKUP(E136,BYEs!$A$2:$B$34,2,FALSE)</f>
        <v>9</v>
      </c>
      <c r="E136" s="1" t="s">
        <v>363</v>
      </c>
      <c r="F136" s="249">
        <v>0</v>
      </c>
      <c r="G136" s="250">
        <v>0</v>
      </c>
      <c r="H136" s="251">
        <v>1.3</v>
      </c>
      <c r="I136" s="251">
        <v>9.9</v>
      </c>
      <c r="J136" s="251">
        <v>0.1</v>
      </c>
      <c r="K136" s="249">
        <v>8.1999999999999993</v>
      </c>
      <c r="L136" s="247">
        <v>140.6</v>
      </c>
      <c r="M136" s="250">
        <v>0.6</v>
      </c>
      <c r="N136" s="251">
        <v>0.1</v>
      </c>
      <c r="O136" s="252">
        <f>(I136*WRRushingYd)+(J136*WRRushingTD)+(K136*WRRec)+(L136*WRRecYd)+(M136*WRRecTD)+(N136*WRFuml)+(H136*WRRushAtt)</f>
        <v>19.05</v>
      </c>
      <c r="P136" s="1" t="str">
        <f ca="1">IF(A136&lt;=WRStarters,"Starter",IF(A136&gt;WRStarters+WRBench,"Undrafted","Bench"))</f>
        <v>Undrafted</v>
      </c>
      <c r="Q136" s="47">
        <f ca="1">IFERROR(MAX(O136-LARGE(O$3:O$231,WRStarters),0),0)</f>
        <v>0</v>
      </c>
      <c r="R136" s="47">
        <f ca="1">IFERROR(IF(AllowNegative="Yes",O136-LARGE(O$3:O$231,WRCount),MAX(O136-LARGE(O$3:O$231,WRCount),0)),0)</f>
        <v>-70.570000000000007</v>
      </c>
      <c r="S136" s="108">
        <f ca="1">(R136-Q136)*BenchPF+Q136*StarterPF</f>
        <v>-16.901222073937291</v>
      </c>
      <c r="T136" s="108">
        <f ca="1">S136*Auction!$A$2</f>
        <v>-16.901222073937291</v>
      </c>
      <c r="U136" s="25" t="str">
        <f>IF(OR(INDEX(Auction!$H$13:$H$683,MATCH(B136,Auction!$A$13:$A$683,0))&gt;0,IFERROR(INDEX(CheatSheet!$V$5:$V$64,MATCH(B136,CheatSheet!$S$5:$S$64,0)),"")&lt;&gt;""),"Yes","No")</f>
        <v>No</v>
      </c>
      <c r="V136" s="218"/>
      <c r="W136" s="1"/>
      <c r="X136" s="143">
        <f ca="1">IFERROR(SUMIFS($Y$3:$Y364,$Y$3:$Y$231,"&gt;0",$U$3:$U$231,"No")/SUMIF($Y$3:$Y$231,"&gt;0"),0)</f>
        <v>0</v>
      </c>
      <c r="Y136" s="1">
        <f t="shared" ca="1" si="2"/>
        <v>-35.285000000000004</v>
      </c>
      <c r="Z136" s="145" t="str">
        <f ca="1">CONCATENATE("WR",ROUND((LARGE($Y$3:$Y$231,1)-$Y136)/(STDEVP($Y$3:$Y$231)/2)+1,0))</f>
        <v>WR10</v>
      </c>
      <c r="AA136" s="1">
        <f ca="1">Y136*LeagueInfo!$H$5</f>
        <v>-16.137274652283271</v>
      </c>
      <c r="AB136" s="1"/>
      <c r="AC136" s="1"/>
    </row>
    <row r="137" spans="1:29" ht="15.75" thickBot="1" x14ac:dyDescent="0.3">
      <c r="A137" s="47">
        <f>RANK(O137,O$3:O$231)</f>
        <v>135</v>
      </c>
      <c r="B137" s="1" t="s">
        <v>609</v>
      </c>
      <c r="C137" s="1" t="s">
        <v>39</v>
      </c>
      <c r="D137" s="1">
        <f>VLOOKUP(E137,BYEs!$A$2:$B$34,2,FALSE)</f>
        <v>8</v>
      </c>
      <c r="E137" s="1" t="s">
        <v>368</v>
      </c>
      <c r="F137" s="249">
        <v>0</v>
      </c>
      <c r="G137" s="250">
        <v>0</v>
      </c>
      <c r="H137" s="251">
        <v>0</v>
      </c>
      <c r="I137" s="251">
        <v>0</v>
      </c>
      <c r="J137" s="251">
        <v>0</v>
      </c>
      <c r="K137" s="249">
        <v>12</v>
      </c>
      <c r="L137" s="247">
        <v>150.4</v>
      </c>
      <c r="M137" s="250">
        <v>0.7</v>
      </c>
      <c r="N137" s="251">
        <v>0.2</v>
      </c>
      <c r="O137" s="252">
        <f>(I137*WRRushingYd)+(J137*WRRushingTD)+(K137*WRRec)+(L137*WRRecYd)+(M137*WRRecTD)+(N137*WRFuml)+(H137*WRRushAtt)</f>
        <v>18.840000000000003</v>
      </c>
      <c r="P137" s="1" t="str">
        <f ca="1">IF(A137&lt;=WRStarters,"Starter",IF(A137&gt;WRStarters+WRBench,"Undrafted","Bench"))</f>
        <v>Undrafted</v>
      </c>
      <c r="Q137" s="47">
        <f ca="1">IFERROR(MAX(O137-LARGE(O$3:O$231,WRStarters),0),0)</f>
        <v>0</v>
      </c>
      <c r="R137" s="47">
        <f ca="1">IFERROR(IF(AllowNegative="Yes",O137-LARGE(O$3:O$231,WRCount),MAX(O137-LARGE(O$3:O$231,WRCount),0)),0)</f>
        <v>-70.78</v>
      </c>
      <c r="S137" s="108">
        <f ca="1">(R137-Q137)*BenchPF+Q137*StarterPF</f>
        <v>-16.951516202257071</v>
      </c>
      <c r="T137" s="108">
        <f ca="1">S137*Auction!$A$2</f>
        <v>-16.951516202257071</v>
      </c>
      <c r="U137" s="25" t="str">
        <f>IF(OR(INDEX(Auction!$H$13:$H$683,MATCH(B137,Auction!$A$13:$A$683,0))&gt;0,IFERROR(INDEX(CheatSheet!$V$5:$V$64,MATCH(B137,CheatSheet!$S$5:$S$64,0)),"")&lt;&gt;""),"Yes","No")</f>
        <v>No</v>
      </c>
      <c r="V137" s="218"/>
      <c r="W137" s="1"/>
      <c r="X137" s="143">
        <f ca="1">IFERROR(SUMIFS($Y$3:$Y365,$Y$3:$Y$231,"&gt;0",$U$3:$U$231,"No")/SUMIF($Y$3:$Y$231,"&gt;0"),0)</f>
        <v>0</v>
      </c>
      <c r="Y137" s="1">
        <f t="shared" ca="1" si="2"/>
        <v>-35.39</v>
      </c>
      <c r="Z137" s="145" t="str">
        <f ca="1">CONCATENATE("WR",ROUND((LARGE($Y$3:$Y$231,1)-$Y137)/(STDEVP($Y$3:$Y$231)/2)+1,0))</f>
        <v>WR10</v>
      </c>
      <c r="AA137" s="1">
        <f ca="1">Y137*LeagueInfo!$H$5</f>
        <v>-16.185295449746491</v>
      </c>
      <c r="AB137" s="1"/>
      <c r="AC137" s="1"/>
    </row>
    <row r="138" spans="1:29" ht="15.75" thickBot="1" x14ac:dyDescent="0.3">
      <c r="A138" s="47">
        <f>RANK(O138,O$3:O$231)</f>
        <v>136</v>
      </c>
      <c r="B138" s="1" t="s">
        <v>631</v>
      </c>
      <c r="C138" s="1" t="s">
        <v>39</v>
      </c>
      <c r="D138" s="1">
        <f>VLOOKUP(E138,BYEs!$A$2:$B$34,2,FALSE)</f>
        <v>9</v>
      </c>
      <c r="E138" s="1" t="s">
        <v>387</v>
      </c>
      <c r="F138" s="249">
        <v>0</v>
      </c>
      <c r="G138" s="250">
        <v>0</v>
      </c>
      <c r="H138" s="251">
        <v>0</v>
      </c>
      <c r="I138" s="251">
        <v>0</v>
      </c>
      <c r="J138" s="251">
        <v>0</v>
      </c>
      <c r="K138" s="249">
        <v>11.6</v>
      </c>
      <c r="L138" s="247">
        <v>139.69999999999999</v>
      </c>
      <c r="M138" s="250">
        <v>0.7</v>
      </c>
      <c r="N138" s="251">
        <v>0.1</v>
      </c>
      <c r="O138" s="252">
        <f>(I138*WRRushingYd)+(J138*WRRushingTD)+(K138*WRRec)+(L138*WRRecYd)+(M138*WRRecTD)+(N138*WRFuml)+(H138*WRRushAtt)</f>
        <v>17.97</v>
      </c>
      <c r="P138" s="1" t="str">
        <f ca="1">IF(A138&lt;=WRStarters,"Starter",IF(A138&gt;WRStarters+WRBench,"Undrafted","Bench"))</f>
        <v>Undrafted</v>
      </c>
      <c r="Q138" s="47">
        <f ca="1">IFERROR(MAX(O138-LARGE(O$3:O$231,WRStarters),0),0)</f>
        <v>0</v>
      </c>
      <c r="R138" s="47">
        <f ca="1">IFERROR(IF(AllowNegative="Yes",O138-LARGE(O$3:O$231,WRCount),MAX(O138-LARGE(O$3:O$231,WRCount),0)),0)</f>
        <v>-71.650000000000006</v>
      </c>
      <c r="S138" s="108">
        <f ca="1">(R138-Q138)*BenchPF+Q138*StarterPF</f>
        <v>-17.159877591010442</v>
      </c>
      <c r="T138" s="108">
        <f ca="1">S138*Auction!$A$2</f>
        <v>-17.159877591010442</v>
      </c>
      <c r="U138" s="25" t="str">
        <f>IF(OR(INDEX(Auction!$H$13:$H$683,MATCH(B138,Auction!$A$13:$A$683,0))&gt;0,IFERROR(INDEX(CheatSheet!$V$5:$V$64,MATCH(B138,CheatSheet!$S$5:$S$64,0)),"")&lt;&gt;""),"Yes","No")</f>
        <v>No</v>
      </c>
      <c r="V138" s="218"/>
      <c r="W138" s="1"/>
      <c r="X138" s="143">
        <f ca="1">IFERROR(SUMIFS($Y$3:$Y366,$Y$3:$Y$231,"&gt;0",$U$3:$U$231,"No")/SUMIF($Y$3:$Y$231,"&gt;0"),0)</f>
        <v>0</v>
      </c>
      <c r="Y138" s="1">
        <f t="shared" ca="1" si="2"/>
        <v>-35.825000000000003</v>
      </c>
      <c r="Z138" s="145" t="str">
        <f ca="1">CONCATENATE("WR",ROUND((LARGE($Y$3:$Y$231,1)-$Y138)/(STDEVP($Y$3:$Y$231)/2)+1,0))</f>
        <v>WR10</v>
      </c>
      <c r="AA138" s="1">
        <f ca="1">Y138*LeagueInfo!$H$5</f>
        <v>-16.384238753522691</v>
      </c>
      <c r="AB138" s="1"/>
      <c r="AC138" s="1"/>
    </row>
    <row r="139" spans="1:29" ht="15.75" thickBot="1" x14ac:dyDescent="0.3">
      <c r="A139" s="47">
        <f>RANK(O139,O$3:O$231)</f>
        <v>137</v>
      </c>
      <c r="B139" s="1" t="s">
        <v>628</v>
      </c>
      <c r="C139" s="1" t="s">
        <v>39</v>
      </c>
      <c r="D139" s="1">
        <f>VLOOKUP(E139,BYEs!$A$2:$B$34,2,FALSE)</f>
        <v>9</v>
      </c>
      <c r="E139" s="1" t="s">
        <v>373</v>
      </c>
      <c r="F139" s="249">
        <v>0</v>
      </c>
      <c r="G139" s="250">
        <v>0</v>
      </c>
      <c r="H139" s="251">
        <v>0.1</v>
      </c>
      <c r="I139" s="251">
        <v>0.3</v>
      </c>
      <c r="J139" s="251">
        <v>0</v>
      </c>
      <c r="K139" s="249">
        <v>13.7</v>
      </c>
      <c r="L139" s="247">
        <v>155.9</v>
      </c>
      <c r="M139" s="250">
        <v>0.2</v>
      </c>
      <c r="N139" s="251">
        <v>0.1</v>
      </c>
      <c r="O139" s="252">
        <f>(I139*WRRushingYd)+(J139*WRRushingTD)+(K139*WRRec)+(L139*WRRecYd)+(M139*WRRecTD)+(N139*WRFuml)+(H139*WRRushAtt)</f>
        <v>16.62</v>
      </c>
      <c r="P139" s="1" t="str">
        <f ca="1">IF(A139&lt;=WRStarters,"Starter",IF(A139&gt;WRStarters+WRBench,"Undrafted","Bench"))</f>
        <v>Undrafted</v>
      </c>
      <c r="Q139" s="47">
        <f ca="1">IFERROR(MAX(O139-LARGE(O$3:O$231,WRStarters),0),0)</f>
        <v>0</v>
      </c>
      <c r="R139" s="47">
        <f ca="1">IFERROR(IF(AllowNegative="Yes",O139-LARGE(O$3:O$231,WRCount),MAX(O139-LARGE(O$3:O$231,WRCount),0)),0)</f>
        <v>-73</v>
      </c>
      <c r="S139" s="108">
        <f ca="1">(R139-Q139)*BenchPF+Q139*StarterPF</f>
        <v>-17.483196987351882</v>
      </c>
      <c r="T139" s="108">
        <f ca="1">S139*Auction!$A$2</f>
        <v>-17.483196987351882</v>
      </c>
      <c r="U139" s="25" t="str">
        <f>IF(OR(INDEX(Auction!$H$13:$H$683,MATCH(B139,Auction!$A$13:$A$683,0))&gt;0,IFERROR(INDEX(CheatSheet!$V$5:$V$64,MATCH(B139,CheatSheet!$S$5:$S$64,0)),"")&lt;&gt;""),"Yes","No")</f>
        <v>No</v>
      </c>
      <c r="V139" s="218"/>
      <c r="W139" s="1"/>
      <c r="X139" s="143">
        <f ca="1">IFERROR(SUMIFS($Y$3:$Y367,$Y$3:$Y$231,"&gt;0",$U$3:$U$231,"No")/SUMIF($Y$3:$Y$231,"&gt;0"),0)</f>
        <v>0</v>
      </c>
      <c r="Y139" s="1">
        <f t="shared" ca="1" si="2"/>
        <v>-36.5</v>
      </c>
      <c r="Z139" s="145" t="str">
        <f ca="1">CONCATENATE("WR",ROUND((LARGE($Y$3:$Y$231,1)-$Y139)/(STDEVP($Y$3:$Y$231)/2)+1,0))</f>
        <v>WR10</v>
      </c>
      <c r="AA139" s="1">
        <f ca="1">Y139*LeagueInfo!$H$5</f>
        <v>-16.692943880071965</v>
      </c>
      <c r="AB139" s="1"/>
      <c r="AC139" s="1"/>
    </row>
    <row r="140" spans="1:29" ht="15.75" thickBot="1" x14ac:dyDescent="0.3">
      <c r="A140" s="47">
        <f>RANK(O140,O$3:O$231)</f>
        <v>138</v>
      </c>
      <c r="B140" s="1" t="s">
        <v>658</v>
      </c>
      <c r="C140" s="1" t="s">
        <v>39</v>
      </c>
      <c r="D140" s="1">
        <f>VLOOKUP(E140,BYEs!$A$2:$B$34,2,FALSE)</f>
        <v>6</v>
      </c>
      <c r="E140" s="1" t="s">
        <v>354</v>
      </c>
      <c r="F140" s="249">
        <v>0</v>
      </c>
      <c r="G140" s="250">
        <v>0</v>
      </c>
      <c r="H140" s="251">
        <v>0.1</v>
      </c>
      <c r="I140" s="251">
        <v>-0.2</v>
      </c>
      <c r="J140" s="251">
        <v>0</v>
      </c>
      <c r="K140" s="249">
        <v>10.1</v>
      </c>
      <c r="L140" s="247">
        <v>123.4</v>
      </c>
      <c r="M140" s="250">
        <v>0.7</v>
      </c>
      <c r="N140" s="251">
        <v>0</v>
      </c>
      <c r="O140" s="252">
        <f>(I140*WRRushingYd)+(J140*WRRushingTD)+(K140*WRRec)+(L140*WRRecYd)+(M140*WRRecTD)+(N140*WRFuml)+(H140*WRRushAtt)</f>
        <v>16.520000000000003</v>
      </c>
      <c r="P140" s="1" t="str">
        <f ca="1">IF(A140&lt;=WRStarters,"Starter",IF(A140&gt;WRStarters+WRBench,"Undrafted","Bench"))</f>
        <v>Undrafted</v>
      </c>
      <c r="Q140" s="47">
        <f ca="1">IFERROR(MAX(O140-LARGE(O$3:O$231,WRStarters),0),0)</f>
        <v>0</v>
      </c>
      <c r="R140" s="47">
        <f ca="1">IFERROR(IF(AllowNegative="Yes",O140-LARGE(O$3:O$231,WRCount),MAX(O140-LARGE(O$3:O$231,WRCount),0)),0)</f>
        <v>-73.099999999999994</v>
      </c>
      <c r="S140" s="108">
        <f ca="1">(R140-Q140)*BenchPF+Q140*StarterPF</f>
        <v>-17.507146572266059</v>
      </c>
      <c r="T140" s="108">
        <f ca="1">S140*Auction!$A$2</f>
        <v>-17.507146572266059</v>
      </c>
      <c r="U140" s="25" t="str">
        <f>IF(OR(INDEX(Auction!$H$13:$H$683,MATCH(B140,Auction!$A$13:$A$683,0))&gt;0,IFERROR(INDEX(CheatSheet!$V$5:$V$64,MATCH(B140,CheatSheet!$S$5:$S$64,0)),"")&lt;&gt;""),"Yes","No")</f>
        <v>No</v>
      </c>
      <c r="V140" s="218"/>
      <c r="W140" s="1"/>
      <c r="X140" s="143">
        <f ca="1">IFERROR(SUMIFS($Y$3:$Y368,$Y$3:$Y$231,"&gt;0",$U$3:$U$231,"No")/SUMIF($Y$3:$Y$231,"&gt;0"),0)</f>
        <v>0</v>
      </c>
      <c r="Y140" s="1">
        <f t="shared" ca="1" si="2"/>
        <v>-36.549999999999997</v>
      </c>
      <c r="Z140" s="145" t="str">
        <f ca="1">CONCATENATE("WR",ROUND((LARGE($Y$3:$Y$231,1)-$Y140)/(STDEVP($Y$3:$Y$231)/2)+1,0))</f>
        <v>WR10</v>
      </c>
      <c r="AA140" s="1">
        <f ca="1">Y140*LeagueInfo!$H$5</f>
        <v>-16.715810926483023</v>
      </c>
      <c r="AB140" s="1"/>
      <c r="AC140" s="1"/>
    </row>
    <row r="141" spans="1:29" ht="15.75" thickBot="1" x14ac:dyDescent="0.3">
      <c r="A141" s="47">
        <f>RANK(O141,O$3:O$231)</f>
        <v>139</v>
      </c>
      <c r="B141" s="1" t="s">
        <v>617</v>
      </c>
      <c r="C141" s="1" t="s">
        <v>39</v>
      </c>
      <c r="D141" s="1">
        <f>VLOOKUP(E141,BYEs!$A$2:$B$34,2,FALSE)</f>
        <v>5</v>
      </c>
      <c r="E141" s="1" t="s">
        <v>353</v>
      </c>
      <c r="F141" s="249">
        <v>0</v>
      </c>
      <c r="G141" s="250">
        <v>0</v>
      </c>
      <c r="H141" s="251">
        <v>0</v>
      </c>
      <c r="I141" s="251">
        <v>0</v>
      </c>
      <c r="J141" s="251">
        <v>0</v>
      </c>
      <c r="K141" s="249">
        <v>9.5</v>
      </c>
      <c r="L141" s="247">
        <v>122.6</v>
      </c>
      <c r="M141" s="250">
        <v>0.8</v>
      </c>
      <c r="N141" s="251">
        <v>0.3</v>
      </c>
      <c r="O141" s="252">
        <f>(I141*WRRushingYd)+(J141*WRRushingTD)+(K141*WRRec)+(L141*WRRecYd)+(M141*WRRecTD)+(N141*WRFuml)+(H141*WRRushAtt)</f>
        <v>16.46</v>
      </c>
      <c r="P141" s="1" t="str">
        <f ca="1">IF(A141&lt;=WRStarters,"Starter",IF(A141&gt;WRStarters+WRBench,"Undrafted","Bench"))</f>
        <v>Undrafted</v>
      </c>
      <c r="Q141" s="47">
        <f ca="1">IFERROR(MAX(O141-LARGE(O$3:O$231,WRStarters),0),0)</f>
        <v>0</v>
      </c>
      <c r="R141" s="47">
        <f ca="1">IFERROR(IF(AllowNegative="Yes",O141-LARGE(O$3:O$231,WRCount),MAX(O141-LARGE(O$3:O$231,WRCount),0)),0)</f>
        <v>-73.16</v>
      </c>
      <c r="S141" s="108">
        <f ca="1">(R141-Q141)*BenchPF+Q141*StarterPF</f>
        <v>-17.52151632321457</v>
      </c>
      <c r="T141" s="108">
        <f ca="1">S141*Auction!$A$2</f>
        <v>-17.52151632321457</v>
      </c>
      <c r="U141" s="25" t="str">
        <f>IF(OR(INDEX(Auction!$H$13:$H$683,MATCH(B141,Auction!$A$13:$A$683,0))&gt;0,IFERROR(INDEX(CheatSheet!$V$5:$V$64,MATCH(B141,CheatSheet!$S$5:$S$64,0)),"")&lt;&gt;""),"Yes","No")</f>
        <v>No</v>
      </c>
      <c r="V141" s="218"/>
      <c r="W141" s="1"/>
      <c r="X141" s="143">
        <f ca="1">IFERROR(SUMIFS($Y$3:$Y369,$Y$3:$Y$231,"&gt;0",$U$3:$U$231,"No")/SUMIF($Y$3:$Y$231,"&gt;0"),0)</f>
        <v>0</v>
      </c>
      <c r="Y141" s="1">
        <f t="shared" ca="1" si="2"/>
        <v>-36.58</v>
      </c>
      <c r="Z141" s="145" t="str">
        <f ca="1">CONCATENATE("WR",ROUND((LARGE($Y$3:$Y$231,1)-$Y141)/(STDEVP($Y$3:$Y$231)/2)+1,0))</f>
        <v>WR10</v>
      </c>
      <c r="AA141" s="1">
        <f ca="1">Y141*LeagueInfo!$H$5</f>
        <v>-16.729531154329656</v>
      </c>
      <c r="AB141" s="1"/>
      <c r="AC141" s="1"/>
    </row>
    <row r="142" spans="1:29" ht="15.75" thickBot="1" x14ac:dyDescent="0.3">
      <c r="A142" s="47">
        <f>RANK(O142,O$3:O$231)</f>
        <v>140</v>
      </c>
      <c r="B142" s="1" t="s">
        <v>619</v>
      </c>
      <c r="C142" s="1" t="s">
        <v>39</v>
      </c>
      <c r="D142" s="1">
        <f>VLOOKUP(E142,BYEs!$A$2:$B$34,2,FALSE)</f>
        <v>5</v>
      </c>
      <c r="E142" s="1" t="s">
        <v>384</v>
      </c>
      <c r="F142" s="249">
        <v>0</v>
      </c>
      <c r="G142" s="250">
        <v>0</v>
      </c>
      <c r="H142" s="251">
        <v>0</v>
      </c>
      <c r="I142" s="251">
        <v>0</v>
      </c>
      <c r="J142" s="251">
        <v>0</v>
      </c>
      <c r="K142" s="249">
        <v>9.4</v>
      </c>
      <c r="L142" s="247">
        <v>130.19999999999999</v>
      </c>
      <c r="M142" s="250">
        <v>0.7</v>
      </c>
      <c r="N142" s="251">
        <v>0.4</v>
      </c>
      <c r="O142" s="252">
        <f>(I142*WRRushingYd)+(J142*WRRushingTD)+(K142*WRRec)+(L142*WRRecYd)+(M142*WRRecTD)+(N142*WRFuml)+(H142*WRRushAtt)</f>
        <v>16.419999999999998</v>
      </c>
      <c r="P142" s="1" t="str">
        <f ca="1">IF(A142&lt;=WRStarters,"Starter",IF(A142&gt;WRStarters+WRBench,"Undrafted","Bench"))</f>
        <v>Undrafted</v>
      </c>
      <c r="Q142" s="47">
        <f ca="1">IFERROR(MAX(O142-LARGE(O$3:O$231,WRStarters),0),0)</f>
        <v>0</v>
      </c>
      <c r="R142" s="47">
        <f ca="1">IFERROR(IF(AllowNegative="Yes",O142-LARGE(O$3:O$231,WRCount),MAX(O142-LARGE(O$3:O$231,WRCount),0)),0)</f>
        <v>-73.2</v>
      </c>
      <c r="S142" s="108">
        <f ca="1">(R142-Q142)*BenchPF+Q142*StarterPF</f>
        <v>-17.531096157180244</v>
      </c>
      <c r="T142" s="108">
        <f ca="1">S142*Auction!$A$2</f>
        <v>-17.531096157180244</v>
      </c>
      <c r="U142" s="25" t="str">
        <f>IF(OR(INDEX(Auction!$H$13:$H$683,MATCH(B142,Auction!$A$13:$A$683,0))&gt;0,IFERROR(INDEX(CheatSheet!$V$5:$V$64,MATCH(B142,CheatSheet!$S$5:$S$64,0)),"")&lt;&gt;""),"Yes","No")</f>
        <v>No</v>
      </c>
      <c r="V142" s="218"/>
      <c r="W142" s="1"/>
      <c r="X142" s="143">
        <f ca="1">IFERROR(SUMIFS($Y$3:$Y370,$Y$3:$Y$231,"&gt;0",$U$3:$U$231,"No")/SUMIF($Y$3:$Y$231,"&gt;0"),0)</f>
        <v>0</v>
      </c>
      <c r="Y142" s="1">
        <f t="shared" ca="1" si="2"/>
        <v>-36.6</v>
      </c>
      <c r="Z142" s="145" t="str">
        <f ca="1">CONCATENATE("WR",ROUND((LARGE($Y$3:$Y$231,1)-$Y142)/(STDEVP($Y$3:$Y$231)/2)+1,0))</f>
        <v>WR10</v>
      </c>
      <c r="AA142" s="1">
        <f ca="1">Y142*LeagueInfo!$H$5</f>
        <v>-16.738677972894081</v>
      </c>
      <c r="AB142" s="1"/>
      <c r="AC142" s="1"/>
    </row>
    <row r="143" spans="1:29" ht="15.75" thickBot="1" x14ac:dyDescent="0.3">
      <c r="A143" s="47">
        <f>RANK(O143,O$3:O$231)</f>
        <v>141</v>
      </c>
      <c r="B143" s="1" t="s">
        <v>629</v>
      </c>
      <c r="C143" s="1" t="s">
        <v>39</v>
      </c>
      <c r="D143" s="1">
        <f>VLOOKUP(E143,BYEs!$A$2:$B$34,2,FALSE)</f>
        <v>7</v>
      </c>
      <c r="E143" s="1" t="s">
        <v>362</v>
      </c>
      <c r="F143" s="249">
        <v>0</v>
      </c>
      <c r="G143" s="250">
        <v>0</v>
      </c>
      <c r="H143" s="251">
        <v>0.2</v>
      </c>
      <c r="I143" s="251">
        <v>2.2999999999999998</v>
      </c>
      <c r="J143" s="251">
        <v>0</v>
      </c>
      <c r="K143" s="249">
        <v>12.3</v>
      </c>
      <c r="L143" s="247">
        <v>141.30000000000001</v>
      </c>
      <c r="M143" s="250">
        <v>0.3</v>
      </c>
      <c r="N143" s="251">
        <v>0</v>
      </c>
      <c r="O143" s="252">
        <f>(I143*WRRushingYd)+(J143*WRRushingTD)+(K143*WRRec)+(L143*WRRecYd)+(M143*WRRecTD)+(N143*WRFuml)+(H143*WRRushAtt)</f>
        <v>16.160000000000004</v>
      </c>
      <c r="P143" s="1" t="str">
        <f ca="1">IF(A143&lt;=WRStarters,"Starter",IF(A143&gt;WRStarters+WRBench,"Undrafted","Bench"))</f>
        <v>Undrafted</v>
      </c>
      <c r="Q143" s="47">
        <f ca="1">IFERROR(MAX(O143-LARGE(O$3:O$231,WRStarters),0),0)</f>
        <v>0</v>
      </c>
      <c r="R143" s="47">
        <f ca="1">IFERROR(IF(AllowNegative="Yes",O143-LARGE(O$3:O$231,WRCount),MAX(O143-LARGE(O$3:O$231,WRCount),0)),0)</f>
        <v>-73.460000000000008</v>
      </c>
      <c r="S143" s="108">
        <f ca="1">(R143-Q143)*BenchPF+Q143*StarterPF</f>
        <v>-17.593365077957113</v>
      </c>
      <c r="T143" s="108">
        <f ca="1">S143*Auction!$A$2</f>
        <v>-17.593365077957113</v>
      </c>
      <c r="U143" s="25" t="str">
        <f>IF(OR(INDEX(Auction!$H$13:$H$683,MATCH(B143,Auction!$A$13:$A$683,0))&gt;0,IFERROR(INDEX(CheatSheet!$V$5:$V$64,MATCH(B143,CheatSheet!$S$5:$S$64,0)),"")&lt;&gt;""),"Yes","No")</f>
        <v>No</v>
      </c>
      <c r="V143" s="218"/>
      <c r="W143" s="1"/>
      <c r="X143" s="143">
        <f ca="1">IFERROR(SUMIFS($Y$3:$Y371,$Y$3:$Y$231,"&gt;0",$U$3:$U$231,"No")/SUMIF($Y$3:$Y$231,"&gt;0"),0)</f>
        <v>0</v>
      </c>
      <c r="Y143" s="1">
        <f t="shared" ca="1" si="2"/>
        <v>-36.730000000000004</v>
      </c>
      <c r="Z143" s="145" t="str">
        <f ca="1">CONCATENATE("WR",ROUND((LARGE($Y$3:$Y$231,1)-$Y143)/(STDEVP($Y$3:$Y$231)/2)+1,0))</f>
        <v>WR10</v>
      </c>
      <c r="AA143" s="1">
        <f ca="1">Y143*LeagueInfo!$H$5</f>
        <v>-16.798132293562833</v>
      </c>
      <c r="AB143" s="1"/>
      <c r="AC143" s="1"/>
    </row>
    <row r="144" spans="1:29" ht="15.75" thickBot="1" x14ac:dyDescent="0.3">
      <c r="A144" s="47">
        <f>RANK(O144,O$3:O$231)</f>
        <v>142</v>
      </c>
      <c r="B144" s="1" t="s">
        <v>687</v>
      </c>
      <c r="C144" s="1" t="s">
        <v>39</v>
      </c>
      <c r="D144" s="1">
        <f>VLOOKUP(E144,BYEs!$A$2:$B$34,2,FALSE)</f>
        <v>11</v>
      </c>
      <c r="E144" s="1" t="s">
        <v>382</v>
      </c>
      <c r="F144" s="249">
        <v>0</v>
      </c>
      <c r="G144" s="250">
        <v>0</v>
      </c>
      <c r="H144" s="251">
        <v>0</v>
      </c>
      <c r="I144" s="251">
        <v>0</v>
      </c>
      <c r="J144" s="251">
        <v>0</v>
      </c>
      <c r="K144" s="249">
        <v>11.2</v>
      </c>
      <c r="L144" s="247">
        <v>136.5</v>
      </c>
      <c r="M144" s="250">
        <v>0.5</v>
      </c>
      <c r="N144" s="251">
        <v>0.3</v>
      </c>
      <c r="O144" s="252">
        <f>(I144*WRRushingYd)+(J144*WRRushingTD)+(K144*WRRec)+(L144*WRRecYd)+(M144*WRRecTD)+(N144*WRFuml)+(H144*WRRushAtt)</f>
        <v>16.049999999999997</v>
      </c>
      <c r="P144" s="1" t="str">
        <f ca="1">IF(A144&lt;=WRStarters,"Starter",IF(A144&gt;WRStarters+WRBench,"Undrafted","Bench"))</f>
        <v>Undrafted</v>
      </c>
      <c r="Q144" s="47">
        <f ca="1">IFERROR(MAX(O144-LARGE(O$3:O$231,WRStarters),0),0)</f>
        <v>0</v>
      </c>
      <c r="R144" s="47">
        <f ca="1">IFERROR(IF(AllowNegative="Yes",O144-LARGE(O$3:O$231,WRCount),MAX(O144-LARGE(O$3:O$231,WRCount),0)),0)</f>
        <v>-73.570000000000007</v>
      </c>
      <c r="S144" s="108">
        <f ca="1">(R144-Q144)*BenchPF+Q144*StarterPF</f>
        <v>-17.619709621362713</v>
      </c>
      <c r="T144" s="108">
        <f ca="1">S144*Auction!$A$2</f>
        <v>-17.619709621362713</v>
      </c>
      <c r="U144" s="25" t="str">
        <f>IF(OR(INDEX(Auction!$H$13:$H$683,MATCH(B144,Auction!$A$13:$A$683,0))&gt;0,IFERROR(INDEX(CheatSheet!$V$5:$V$64,MATCH(B144,CheatSheet!$S$5:$S$64,0)),"")&lt;&gt;""),"Yes","No")</f>
        <v>No</v>
      </c>
      <c r="V144" s="218"/>
      <c r="W144" s="1"/>
      <c r="X144" s="143">
        <f ca="1">IFERROR(SUMIFS($Y$3:$Y372,$Y$3:$Y$231,"&gt;0",$U$3:$U$231,"No")/SUMIF($Y$3:$Y$231,"&gt;0"),0)</f>
        <v>0</v>
      </c>
      <c r="Y144" s="1">
        <f t="shared" ca="1" si="2"/>
        <v>-36.785000000000004</v>
      </c>
      <c r="Z144" s="145" t="str">
        <f ca="1">CONCATENATE("WR",ROUND((LARGE($Y$3:$Y$231,1)-$Y144)/(STDEVP($Y$3:$Y$231)/2)+1,0))</f>
        <v>WR10</v>
      </c>
      <c r="AA144" s="1">
        <f ca="1">Y144*LeagueInfo!$H$5</f>
        <v>-16.823286044614996</v>
      </c>
      <c r="AB144" s="1"/>
      <c r="AC144" s="1"/>
    </row>
    <row r="145" spans="1:29" ht="15.75" thickBot="1" x14ac:dyDescent="0.3">
      <c r="A145" s="47">
        <f>RANK(O145,O$3:O$231)</f>
        <v>143</v>
      </c>
      <c r="B145" s="1" t="s">
        <v>601</v>
      </c>
      <c r="C145" s="1" t="s">
        <v>39</v>
      </c>
      <c r="D145" s="1">
        <f>VLOOKUP(E145,BYEs!$A$2:$B$34,2,FALSE)</f>
        <v>8</v>
      </c>
      <c r="E145" s="1" t="s">
        <v>380</v>
      </c>
      <c r="F145" s="249">
        <v>0</v>
      </c>
      <c r="G145" s="250">
        <v>0</v>
      </c>
      <c r="H145" s="251">
        <v>0</v>
      </c>
      <c r="I145" s="251">
        <v>0</v>
      </c>
      <c r="J145" s="251">
        <v>0</v>
      </c>
      <c r="K145" s="249">
        <v>9.3000000000000007</v>
      </c>
      <c r="L145" s="247">
        <v>118.8</v>
      </c>
      <c r="M145" s="250">
        <v>0.7</v>
      </c>
      <c r="N145" s="251">
        <v>0.3</v>
      </c>
      <c r="O145" s="252">
        <f>(I145*WRRushingYd)+(J145*WRRushingTD)+(K145*WRRec)+(L145*WRRecYd)+(M145*WRRecTD)+(N145*WRFuml)+(H145*WRRushAtt)</f>
        <v>15.479999999999999</v>
      </c>
      <c r="P145" s="1" t="str">
        <f ca="1">IF(A145&lt;=WRStarters,"Starter",IF(A145&gt;WRStarters+WRBench,"Undrafted","Bench"))</f>
        <v>Undrafted</v>
      </c>
      <c r="Q145" s="47">
        <f ca="1">IFERROR(MAX(O145-LARGE(O$3:O$231,WRStarters),0),0)</f>
        <v>0</v>
      </c>
      <c r="R145" s="47">
        <f ca="1">IFERROR(IF(AllowNegative="Yes",O145-LARGE(O$3:O$231,WRCount),MAX(O145-LARGE(O$3:O$231,WRCount),0)),0)</f>
        <v>-74.14</v>
      </c>
      <c r="S145" s="108">
        <f ca="1">(R145-Q145)*BenchPF+Q145*StarterPF</f>
        <v>-17.75622225537354</v>
      </c>
      <c r="T145" s="108">
        <f ca="1">S145*Auction!$A$2</f>
        <v>-17.75622225537354</v>
      </c>
      <c r="U145" s="25" t="str">
        <f>IF(OR(INDEX(Auction!$H$13:$H$683,MATCH(B145,Auction!$A$13:$A$683,0))&gt;0,IFERROR(INDEX(CheatSheet!$V$5:$V$64,MATCH(B145,CheatSheet!$S$5:$S$64,0)),"")&lt;&gt;""),"Yes","No")</f>
        <v>No</v>
      </c>
      <c r="V145" s="218"/>
      <c r="W145" s="1"/>
      <c r="X145" s="143">
        <f ca="1">IFERROR(SUMIFS($Y$3:$Y373,$Y$3:$Y$231,"&gt;0",$U$3:$U$231,"No")/SUMIF($Y$3:$Y$231,"&gt;0"),0)</f>
        <v>0</v>
      </c>
      <c r="Y145" s="1">
        <f t="shared" ca="1" si="2"/>
        <v>-37.07</v>
      </c>
      <c r="Z145" s="145" t="str">
        <f ca="1">CONCATENATE("WR",ROUND((LARGE($Y$3:$Y$231,1)-$Y145)/(STDEVP($Y$3:$Y$231)/2)+1,0))</f>
        <v>WR10</v>
      </c>
      <c r="AA145" s="1">
        <f ca="1">Y145*LeagueInfo!$H$5</f>
        <v>-16.953628209158023</v>
      </c>
      <c r="AB145" s="1"/>
      <c r="AC145" s="1"/>
    </row>
    <row r="146" spans="1:29" ht="15.75" thickBot="1" x14ac:dyDescent="0.3">
      <c r="A146" s="47">
        <f>RANK(O146,O$3:O$231)</f>
        <v>144</v>
      </c>
      <c r="B146" s="1" t="s">
        <v>606</v>
      </c>
      <c r="C146" s="1" t="s">
        <v>39</v>
      </c>
      <c r="D146" s="1">
        <f>VLOOKUP(E146,BYEs!$A$2:$B$34,2,FALSE)</f>
        <v>8</v>
      </c>
      <c r="E146" s="1" t="s">
        <v>359</v>
      </c>
      <c r="F146" s="249">
        <v>0</v>
      </c>
      <c r="G146" s="250">
        <v>0</v>
      </c>
      <c r="H146" s="251">
        <v>0</v>
      </c>
      <c r="I146" s="251">
        <v>0.2</v>
      </c>
      <c r="J146" s="251">
        <v>0</v>
      </c>
      <c r="K146" s="249">
        <v>9.1999999999999993</v>
      </c>
      <c r="L146" s="247">
        <v>113.5</v>
      </c>
      <c r="M146" s="250">
        <v>0.6</v>
      </c>
      <c r="N146" s="251">
        <v>0.1</v>
      </c>
      <c r="O146" s="252">
        <f>(I146*WRRushingYd)+(J146*WRRushingTD)+(K146*WRRec)+(L146*WRRecYd)+(M146*WRRecTD)+(N146*WRFuml)+(H146*WRRushAtt)</f>
        <v>14.770000000000001</v>
      </c>
      <c r="P146" s="1" t="str">
        <f ca="1">IF(A146&lt;=WRStarters,"Starter",IF(A146&gt;WRStarters+WRBench,"Undrafted","Bench"))</f>
        <v>Undrafted</v>
      </c>
      <c r="Q146" s="47">
        <f ca="1">IFERROR(MAX(O146-LARGE(O$3:O$231,WRStarters),0),0)</f>
        <v>0</v>
      </c>
      <c r="R146" s="47">
        <f ca="1">IFERROR(IF(AllowNegative="Yes",O146-LARGE(O$3:O$231,WRCount),MAX(O146-LARGE(O$3:O$231,WRCount),0)),0)</f>
        <v>-74.850000000000009</v>
      </c>
      <c r="S146" s="108">
        <f ca="1">(R146-Q146)*BenchPF+Q146*StarterPF</f>
        <v>-17.926264308264223</v>
      </c>
      <c r="T146" s="108">
        <f ca="1">S146*Auction!$A$2</f>
        <v>-17.926264308264223</v>
      </c>
      <c r="U146" s="25" t="str">
        <f>IF(OR(INDEX(Auction!$H$13:$H$683,MATCH(B146,Auction!$A$13:$A$683,0))&gt;0,IFERROR(INDEX(CheatSheet!$V$5:$V$64,MATCH(B146,CheatSheet!$S$5:$S$64,0)),"")&lt;&gt;""),"Yes","No")</f>
        <v>No</v>
      </c>
      <c r="V146" s="218"/>
      <c r="W146" s="1"/>
      <c r="X146" s="143">
        <f ca="1">IFERROR(SUMIFS($Y$3:$Y374,$Y$3:$Y$231,"&gt;0",$U$3:$U$231,"No")/SUMIF($Y$3:$Y$231,"&gt;0"),0)</f>
        <v>0</v>
      </c>
      <c r="Y146" s="1">
        <f t="shared" ca="1" si="2"/>
        <v>-37.425000000000004</v>
      </c>
      <c r="Z146" s="145" t="str">
        <f ca="1">CONCATENATE("WR",ROUND((LARGE($Y$3:$Y$231,1)-$Y146)/(STDEVP($Y$3:$Y$231)/2)+1,0))</f>
        <v>WR10</v>
      </c>
      <c r="AA146" s="1">
        <f ca="1">Y146*LeagueInfo!$H$5</f>
        <v>-17.115984238676532</v>
      </c>
      <c r="AB146" s="1"/>
      <c r="AC146" s="1"/>
    </row>
    <row r="147" spans="1:29" ht="15.75" thickBot="1" x14ac:dyDescent="0.3">
      <c r="A147" s="47">
        <f>RANK(O147,O$3:O$231)</f>
        <v>145</v>
      </c>
      <c r="B147" s="1" t="s">
        <v>633</v>
      </c>
      <c r="C147" s="1" t="s">
        <v>39</v>
      </c>
      <c r="D147" s="1">
        <f>VLOOKUP(E147,BYEs!$A$2:$B$34,2,FALSE)</f>
        <v>9</v>
      </c>
      <c r="E147" s="1" t="s">
        <v>363</v>
      </c>
      <c r="F147" s="249">
        <v>0</v>
      </c>
      <c r="G147" s="250">
        <v>0</v>
      </c>
      <c r="H147" s="251">
        <v>0.2</v>
      </c>
      <c r="I147" s="251">
        <v>4.7</v>
      </c>
      <c r="J147" s="251">
        <v>0</v>
      </c>
      <c r="K147" s="249">
        <v>6.8</v>
      </c>
      <c r="L147" s="247">
        <v>112.1</v>
      </c>
      <c r="M147" s="250">
        <v>0.5</v>
      </c>
      <c r="N147" s="251">
        <v>0</v>
      </c>
      <c r="O147" s="252">
        <f>(I147*WRRushingYd)+(J147*WRRushingTD)+(K147*WRRec)+(L147*WRRecYd)+(M147*WRRecTD)+(N147*WRFuml)+(H147*WRRushAtt)</f>
        <v>14.680000000000001</v>
      </c>
      <c r="P147" s="1" t="str">
        <f ca="1">IF(A147&lt;=WRStarters,"Starter",IF(A147&gt;WRStarters+WRBench,"Undrafted","Bench"))</f>
        <v>Undrafted</v>
      </c>
      <c r="Q147" s="47">
        <f ca="1">IFERROR(MAX(O147-LARGE(O$3:O$231,WRStarters),0),0)</f>
        <v>0</v>
      </c>
      <c r="R147" s="47">
        <f ca="1">IFERROR(IF(AllowNegative="Yes",O147-LARGE(O$3:O$231,WRCount),MAX(O147-LARGE(O$3:O$231,WRCount),0)),0)</f>
        <v>-74.94</v>
      </c>
      <c r="S147" s="108">
        <f ca="1">(R147-Q147)*BenchPF+Q147*StarterPF</f>
        <v>-17.947818934686985</v>
      </c>
      <c r="T147" s="108">
        <f ca="1">S147*Auction!$A$2</f>
        <v>-17.947818934686985</v>
      </c>
      <c r="U147" s="25" t="str">
        <f>IF(OR(INDEX(Auction!$H$13:$H$683,MATCH(B147,Auction!$A$13:$A$683,0))&gt;0,IFERROR(INDEX(CheatSheet!$V$5:$V$64,MATCH(B147,CheatSheet!$S$5:$S$64,0)),"")&lt;&gt;""),"Yes","No")</f>
        <v>No</v>
      </c>
      <c r="V147" s="218"/>
      <c r="W147" s="1"/>
      <c r="X147" s="143">
        <f ca="1">IFERROR(SUMIFS($Y$3:$Y375,$Y$3:$Y$231,"&gt;0",$U$3:$U$231,"No")/SUMIF($Y$3:$Y$231,"&gt;0"),0)</f>
        <v>0</v>
      </c>
      <c r="Y147" s="1">
        <f t="shared" ca="1" si="2"/>
        <v>-37.47</v>
      </c>
      <c r="Z147" s="145" t="str">
        <f ca="1">CONCATENATE("WR",ROUND((LARGE($Y$3:$Y$231,1)-$Y147)/(STDEVP($Y$3:$Y$231)/2)+1,0))</f>
        <v>WR10</v>
      </c>
      <c r="AA147" s="1">
        <f ca="1">Y147*LeagueInfo!$H$5</f>
        <v>-17.136564580446482</v>
      </c>
      <c r="AB147" s="1"/>
      <c r="AC147" s="1"/>
    </row>
    <row r="148" spans="1:29" ht="15.75" thickBot="1" x14ac:dyDescent="0.3">
      <c r="A148" s="47">
        <f>RANK(O148,O$3:O$231)</f>
        <v>146</v>
      </c>
      <c r="B148" s="1" t="s">
        <v>709</v>
      </c>
      <c r="C148" s="1" t="s">
        <v>39</v>
      </c>
      <c r="D148" s="1">
        <f>VLOOKUP(E148,BYEs!$A$2:$B$34,2,FALSE)</f>
        <v>11</v>
      </c>
      <c r="E148" s="1" t="s">
        <v>382</v>
      </c>
      <c r="F148" s="249">
        <v>0</v>
      </c>
      <c r="G148" s="250">
        <v>0</v>
      </c>
      <c r="H148" s="251">
        <v>0</v>
      </c>
      <c r="I148" s="251">
        <v>0</v>
      </c>
      <c r="J148" s="251">
        <v>0</v>
      </c>
      <c r="K148" s="249">
        <v>9.5</v>
      </c>
      <c r="L148" s="247">
        <v>115.5</v>
      </c>
      <c r="M148" s="250">
        <v>0.5</v>
      </c>
      <c r="N148" s="251">
        <v>0</v>
      </c>
      <c r="O148" s="252">
        <f>(I148*WRRushingYd)+(J148*WRRushingTD)+(K148*WRRec)+(L148*WRRecYd)+(M148*WRRecTD)+(N148*WRFuml)+(H148*WRRushAtt)</f>
        <v>14.55</v>
      </c>
      <c r="P148" s="1" t="str">
        <f ca="1">IF(A148&lt;=WRStarters,"Starter",IF(A148&gt;WRStarters+WRBench,"Undrafted","Bench"))</f>
        <v>Undrafted</v>
      </c>
      <c r="Q148" s="47">
        <f ca="1">IFERROR(MAX(O148-LARGE(O$3:O$231,WRStarters),0),0)</f>
        <v>0</v>
      </c>
      <c r="R148" s="47">
        <f ca="1">IFERROR(IF(AllowNegative="Yes",O148-LARGE(O$3:O$231,WRCount),MAX(O148-LARGE(O$3:O$231,WRCount),0)),0)</f>
        <v>-75.070000000000007</v>
      </c>
      <c r="S148" s="108">
        <f ca="1">(R148-Q148)*BenchPF+Q148*StarterPF</f>
        <v>-17.978953395075422</v>
      </c>
      <c r="T148" s="108">
        <f ca="1">S148*Auction!$A$2</f>
        <v>-17.978953395075422</v>
      </c>
      <c r="U148" s="25" t="str">
        <f>IF(OR(INDEX(Auction!$H$13:$H$683,MATCH(B148,Auction!$A$13:$A$683,0))&gt;0,IFERROR(INDEX(CheatSheet!$V$5:$V$64,MATCH(B148,CheatSheet!$S$5:$S$64,0)),"")&lt;&gt;""),"Yes","No")</f>
        <v>No</v>
      </c>
      <c r="V148" s="218"/>
      <c r="W148" s="1"/>
      <c r="X148" s="143">
        <f ca="1">IFERROR(SUMIFS($Y$3:$Y376,$Y$3:$Y$231,"&gt;0",$U$3:$U$231,"No")/SUMIF($Y$3:$Y$231,"&gt;0"),0)</f>
        <v>0</v>
      </c>
      <c r="Y148" s="1">
        <f t="shared" ca="1" si="2"/>
        <v>-37.535000000000004</v>
      </c>
      <c r="Z148" s="145" t="str">
        <f ca="1">CONCATENATE("WR",ROUND((LARGE($Y$3:$Y$231,1)-$Y148)/(STDEVP($Y$3:$Y$231)/2)+1,0))</f>
        <v>WR10</v>
      </c>
      <c r="AA148" s="1">
        <f ca="1">Y148*LeagueInfo!$H$5</f>
        <v>-17.166291740780856</v>
      </c>
      <c r="AB148" s="1"/>
      <c r="AC148" s="1"/>
    </row>
    <row r="149" spans="1:29" ht="15.75" thickBot="1" x14ac:dyDescent="0.3">
      <c r="A149" s="47">
        <f>RANK(O149,O$3:O$231)</f>
        <v>147</v>
      </c>
      <c r="B149" s="1" t="s">
        <v>627</v>
      </c>
      <c r="C149" s="1" t="s">
        <v>39</v>
      </c>
      <c r="D149" s="1">
        <f>VLOOKUP(E149,BYEs!$A$2:$B$34,2,FALSE)</f>
        <v>9</v>
      </c>
      <c r="E149" s="1" t="s">
        <v>363</v>
      </c>
      <c r="F149" s="249">
        <v>0</v>
      </c>
      <c r="G149" s="250">
        <v>0</v>
      </c>
      <c r="H149" s="251">
        <v>0</v>
      </c>
      <c r="I149" s="251">
        <v>0</v>
      </c>
      <c r="J149" s="251">
        <v>0</v>
      </c>
      <c r="K149" s="249">
        <v>6.4</v>
      </c>
      <c r="L149" s="247">
        <v>89.9</v>
      </c>
      <c r="M149" s="250">
        <v>0.9</v>
      </c>
      <c r="N149" s="251">
        <v>0</v>
      </c>
      <c r="O149" s="252">
        <f>(I149*WRRushingYd)+(J149*WRRushingTD)+(K149*WRRec)+(L149*WRRecYd)+(M149*WRRecTD)+(N149*WRFuml)+(H149*WRRushAtt)</f>
        <v>14.39</v>
      </c>
      <c r="P149" s="1" t="str">
        <f ca="1">IF(A149&lt;=WRStarters,"Starter",IF(A149&gt;WRStarters+WRBench,"Undrafted","Bench"))</f>
        <v>Undrafted</v>
      </c>
      <c r="Q149" s="47">
        <f ca="1">IFERROR(MAX(O149-LARGE(O$3:O$231,WRStarters),0),0)</f>
        <v>0</v>
      </c>
      <c r="R149" s="47">
        <f ca="1">IFERROR(IF(AllowNegative="Yes",O149-LARGE(O$3:O$231,WRCount),MAX(O149-LARGE(O$3:O$231,WRCount),0)),0)</f>
        <v>-75.23</v>
      </c>
      <c r="S149" s="108">
        <f ca="1">(R149-Q149)*BenchPF+Q149*StarterPF</f>
        <v>-18.01727273093811</v>
      </c>
      <c r="T149" s="108">
        <f ca="1">S149*Auction!$A$2</f>
        <v>-18.01727273093811</v>
      </c>
      <c r="U149" s="25" t="str">
        <f>IF(OR(INDEX(Auction!$H$13:$H$683,MATCH(B149,Auction!$A$13:$A$683,0))&gt;0,IFERROR(INDEX(CheatSheet!$V$5:$V$64,MATCH(B149,CheatSheet!$S$5:$S$64,0)),"")&lt;&gt;""),"Yes","No")</f>
        <v>No</v>
      </c>
      <c r="V149" s="218"/>
      <c r="W149" s="1"/>
      <c r="X149" s="143">
        <f ca="1">IFERROR(SUMIFS($Y$3:$Y377,$Y$3:$Y$231,"&gt;0",$U$3:$U$231,"No")/SUMIF($Y$3:$Y$231,"&gt;0"),0)</f>
        <v>0</v>
      </c>
      <c r="Y149" s="1">
        <f t="shared" ca="1" si="2"/>
        <v>-37.615000000000002</v>
      </c>
      <c r="Z149" s="145" t="str">
        <f ca="1">CONCATENATE("WR",ROUND((LARGE($Y$3:$Y$231,1)-$Y149)/(STDEVP($Y$3:$Y$231)/2)+1,0))</f>
        <v>WR10</v>
      </c>
      <c r="AA149" s="1">
        <f ca="1">Y149*LeagueInfo!$H$5</f>
        <v>-17.202879015038548</v>
      </c>
      <c r="AB149" s="1"/>
      <c r="AC149" s="1"/>
    </row>
    <row r="150" spans="1:29" ht="15.75" thickBot="1" x14ac:dyDescent="0.3">
      <c r="A150" s="47">
        <f>RANK(O150,O$3:O$231)</f>
        <v>148</v>
      </c>
      <c r="B150" s="1" t="s">
        <v>639</v>
      </c>
      <c r="C150" s="1" t="s">
        <v>39</v>
      </c>
      <c r="D150" s="1">
        <f>VLOOKUP(E150,BYEs!$A$2:$B$34,2,FALSE)</f>
        <v>5</v>
      </c>
      <c r="E150" s="1" t="s">
        <v>358</v>
      </c>
      <c r="F150" s="249">
        <v>0</v>
      </c>
      <c r="G150" s="250">
        <v>0</v>
      </c>
      <c r="H150" s="251">
        <v>0</v>
      </c>
      <c r="I150" s="251">
        <v>0.1</v>
      </c>
      <c r="J150" s="251">
        <v>0</v>
      </c>
      <c r="K150" s="249">
        <v>9.4</v>
      </c>
      <c r="L150" s="247">
        <v>120</v>
      </c>
      <c r="M150" s="250">
        <v>0.4</v>
      </c>
      <c r="N150" s="251">
        <v>0.2</v>
      </c>
      <c r="O150" s="252">
        <f>(I150*WRRushingYd)+(J150*WRRushingTD)+(K150*WRRec)+(L150*WRRecYd)+(M150*WRRecTD)+(N150*WRFuml)+(H150*WRRushAtt)</f>
        <v>14.01</v>
      </c>
      <c r="P150" s="1" t="str">
        <f ca="1">IF(A150&lt;=WRStarters,"Starter",IF(A150&gt;WRStarters+WRBench,"Undrafted","Bench"))</f>
        <v>Undrafted</v>
      </c>
      <c r="Q150" s="47">
        <f ca="1">IFERROR(MAX(O150-LARGE(O$3:O$231,WRStarters),0),0)</f>
        <v>0</v>
      </c>
      <c r="R150" s="47">
        <f ca="1">IFERROR(IF(AllowNegative="Yes",O150-LARGE(O$3:O$231,WRCount),MAX(O150-LARGE(O$3:O$231,WRCount),0)),0)</f>
        <v>-75.61</v>
      </c>
      <c r="S150" s="108">
        <f ca="1">(R150-Q150)*BenchPF+Q150*StarterPF</f>
        <v>-18.108281153611994</v>
      </c>
      <c r="T150" s="108">
        <f ca="1">S150*Auction!$A$2</f>
        <v>-18.108281153611994</v>
      </c>
      <c r="U150" s="25" t="str">
        <f>IF(OR(INDEX(Auction!$H$13:$H$683,MATCH(B150,Auction!$A$13:$A$683,0))&gt;0,IFERROR(INDEX(CheatSheet!$V$5:$V$64,MATCH(B150,CheatSheet!$S$5:$S$64,0)),"")&lt;&gt;""),"Yes","No")</f>
        <v>No</v>
      </c>
      <c r="V150" s="218"/>
      <c r="W150" s="1"/>
      <c r="X150" s="143">
        <f ca="1">IFERROR(SUMIFS($Y$3:$Y378,$Y$3:$Y$231,"&gt;0",$U$3:$U$231,"No")/SUMIF($Y$3:$Y$231,"&gt;0"),0)</f>
        <v>0</v>
      </c>
      <c r="Y150" s="1">
        <f t="shared" ca="1" si="2"/>
        <v>-37.805</v>
      </c>
      <c r="Z150" s="145" t="str">
        <f ca="1">CONCATENATE("WR",ROUND((LARGE($Y$3:$Y$231,1)-$Y150)/(STDEVP($Y$3:$Y$231)/2)+1,0))</f>
        <v>WR10</v>
      </c>
      <c r="AA150" s="1">
        <f ca="1">Y150*LeagueInfo!$H$5</f>
        <v>-17.289773791400567</v>
      </c>
      <c r="AB150" s="1"/>
      <c r="AC150" s="1"/>
    </row>
    <row r="151" spans="1:29" ht="15.75" thickBot="1" x14ac:dyDescent="0.3">
      <c r="A151" s="47">
        <f>RANK(O151,O$3:O$231)</f>
        <v>149</v>
      </c>
      <c r="B151" s="1" t="s">
        <v>643</v>
      </c>
      <c r="C151" s="1" t="s">
        <v>39</v>
      </c>
      <c r="D151" s="1">
        <f>VLOOKUP(E151,BYEs!$A$2:$B$34,2,FALSE)</f>
        <v>6</v>
      </c>
      <c r="E151" s="1" t="s">
        <v>354</v>
      </c>
      <c r="F151" s="249">
        <v>0</v>
      </c>
      <c r="G151" s="250">
        <v>0</v>
      </c>
      <c r="H151" s="251">
        <v>0</v>
      </c>
      <c r="I151" s="251">
        <v>0</v>
      </c>
      <c r="J151" s="251">
        <v>0</v>
      </c>
      <c r="K151" s="249">
        <v>4.9000000000000004</v>
      </c>
      <c r="L151" s="247">
        <v>73.599999999999994</v>
      </c>
      <c r="M151" s="250">
        <v>1.1000000000000001</v>
      </c>
      <c r="N151" s="251">
        <v>0.1</v>
      </c>
      <c r="O151" s="252">
        <f>(I151*WRRushingYd)+(J151*WRRushingTD)+(K151*WRRec)+(L151*WRRecYd)+(M151*WRRecTD)+(N151*WRFuml)+(H151*WRRushAtt)</f>
        <v>13.760000000000002</v>
      </c>
      <c r="P151" s="1" t="str">
        <f ca="1">IF(A151&lt;=WRStarters,"Starter",IF(A151&gt;WRStarters+WRBench,"Undrafted","Bench"))</f>
        <v>Undrafted</v>
      </c>
      <c r="Q151" s="47">
        <f ca="1">IFERROR(MAX(O151-LARGE(O$3:O$231,WRStarters),0),0)</f>
        <v>0</v>
      </c>
      <c r="R151" s="47">
        <f ca="1">IFERROR(IF(AllowNegative="Yes",O151-LARGE(O$3:O$231,WRCount),MAX(O151-LARGE(O$3:O$231,WRCount),0)),0)</f>
        <v>-75.86</v>
      </c>
      <c r="S151" s="108">
        <f ca="1">(R151-Q151)*BenchPF+Q151*StarterPF</f>
        <v>-18.168155115897449</v>
      </c>
      <c r="T151" s="108">
        <f ca="1">S151*Auction!$A$2</f>
        <v>-18.168155115897449</v>
      </c>
      <c r="U151" s="25" t="str">
        <f>IF(OR(INDEX(Auction!$H$13:$H$683,MATCH(B151,Auction!$A$13:$A$683,0))&gt;0,IFERROR(INDEX(CheatSheet!$V$5:$V$64,MATCH(B151,CheatSheet!$S$5:$S$64,0)),"")&lt;&gt;""),"Yes","No")</f>
        <v>No</v>
      </c>
      <c r="V151" s="218"/>
      <c r="W151" s="1"/>
      <c r="X151" s="143">
        <f ca="1">IFERROR(SUMIFS($Y$3:$Y379,$Y$3:$Y$231,"&gt;0",$U$3:$U$231,"No")/SUMIF($Y$3:$Y$231,"&gt;0"),0)</f>
        <v>0</v>
      </c>
      <c r="Y151" s="1">
        <f t="shared" ca="1" si="2"/>
        <v>-37.93</v>
      </c>
      <c r="Z151" s="145" t="str">
        <f ca="1">CONCATENATE("WR",ROUND((LARGE($Y$3:$Y$231,1)-$Y151)/(STDEVP($Y$3:$Y$231)/2)+1,0))</f>
        <v>WR10</v>
      </c>
      <c r="AA151" s="1">
        <f ca="1">Y151*LeagueInfo!$H$5</f>
        <v>-17.346941407428211</v>
      </c>
      <c r="AB151" s="1"/>
      <c r="AC151" s="1"/>
    </row>
    <row r="152" spans="1:29" ht="15.75" thickBot="1" x14ac:dyDescent="0.3">
      <c r="A152" s="47">
        <f>RANK(O152,O$3:O$231)</f>
        <v>150</v>
      </c>
      <c r="B152" s="1" t="s">
        <v>623</v>
      </c>
      <c r="C152" s="1" t="s">
        <v>39</v>
      </c>
      <c r="D152" s="1">
        <f>VLOOKUP(E152,BYEs!$A$2:$B$34,2,FALSE)</f>
        <v>10</v>
      </c>
      <c r="E152" s="1" t="s">
        <v>371</v>
      </c>
      <c r="F152" s="249">
        <v>0</v>
      </c>
      <c r="G152" s="250">
        <v>0</v>
      </c>
      <c r="H152" s="251">
        <v>1.8</v>
      </c>
      <c r="I152" s="251">
        <v>10.199999999999999</v>
      </c>
      <c r="J152" s="251">
        <v>0</v>
      </c>
      <c r="K152" s="249">
        <v>8.8000000000000007</v>
      </c>
      <c r="L152" s="247">
        <v>100</v>
      </c>
      <c r="M152" s="250">
        <v>0.4</v>
      </c>
      <c r="N152" s="251">
        <v>0.1</v>
      </c>
      <c r="O152" s="252">
        <f>(I152*WRRushingYd)+(J152*WRRushingTD)+(K152*WRRec)+(L152*WRRecYd)+(M152*WRRecTD)+(N152*WRFuml)+(H152*WRRushAtt)</f>
        <v>13.22</v>
      </c>
      <c r="P152" s="1" t="str">
        <f ca="1">IF(A152&lt;=WRStarters,"Starter",IF(A152&gt;WRStarters+WRBench,"Undrafted","Bench"))</f>
        <v>Undrafted</v>
      </c>
      <c r="Q152" s="47">
        <f ca="1">IFERROR(MAX(O152-LARGE(O$3:O$231,WRStarters),0),0)</f>
        <v>0</v>
      </c>
      <c r="R152" s="47">
        <f ca="1">IFERROR(IF(AllowNegative="Yes",O152-LARGE(O$3:O$231,WRCount),MAX(O152-LARGE(O$3:O$231,WRCount),0)),0)</f>
        <v>-76.400000000000006</v>
      </c>
      <c r="S152" s="108">
        <f ca="1">(R152-Q152)*BenchPF+Q152*StarterPF</f>
        <v>-18.297482874434024</v>
      </c>
      <c r="T152" s="108">
        <f ca="1">S152*Auction!$A$2</f>
        <v>-18.297482874434024</v>
      </c>
      <c r="U152" s="25" t="str">
        <f>IF(OR(INDEX(Auction!$H$13:$H$683,MATCH(B152,Auction!$A$13:$A$683,0))&gt;0,IFERROR(INDEX(CheatSheet!$V$5:$V$64,MATCH(B152,CheatSheet!$S$5:$S$64,0)),"")&lt;&gt;""),"Yes","No")</f>
        <v>No</v>
      </c>
      <c r="V152" s="218"/>
      <c r="W152" s="1"/>
      <c r="X152" s="143">
        <f ca="1">IFERROR(SUMIFS($Y$3:$Y380,$Y$3:$Y$231,"&gt;0",$U$3:$U$231,"No")/SUMIF($Y$3:$Y$231,"&gt;0"),0)</f>
        <v>0</v>
      </c>
      <c r="Y152" s="1">
        <f t="shared" ca="1" si="2"/>
        <v>-38.200000000000003</v>
      </c>
      <c r="Z152" s="145" t="str">
        <f ca="1">CONCATENATE("WR",ROUND((LARGE($Y$3:$Y$231,1)-$Y152)/(STDEVP($Y$3:$Y$231)/2)+1,0))</f>
        <v>WR10</v>
      </c>
      <c r="AA152" s="1">
        <f ca="1">Y152*LeagueInfo!$H$5</f>
        <v>-17.470423458047922</v>
      </c>
      <c r="AB152" s="1"/>
      <c r="AC152" s="1"/>
    </row>
    <row r="153" spans="1:29" ht="15.75" thickBot="1" x14ac:dyDescent="0.3">
      <c r="A153" s="47">
        <f>RANK(O153,O$3:O$231)</f>
        <v>151</v>
      </c>
      <c r="B153" s="1" t="s">
        <v>679</v>
      </c>
      <c r="C153" s="1" t="s">
        <v>39</v>
      </c>
      <c r="D153" s="1">
        <f>VLOOKUP(E153,BYEs!$A$2:$B$34,2,FALSE)</f>
        <v>11</v>
      </c>
      <c r="E153" s="1" t="s">
        <v>382</v>
      </c>
      <c r="F153" s="249">
        <v>0</v>
      </c>
      <c r="G153" s="250">
        <v>0</v>
      </c>
      <c r="H153" s="251">
        <v>0</v>
      </c>
      <c r="I153" s="251">
        <v>-0.1</v>
      </c>
      <c r="J153" s="251">
        <v>0</v>
      </c>
      <c r="K153" s="249">
        <v>7.5</v>
      </c>
      <c r="L153" s="247">
        <v>93.6</v>
      </c>
      <c r="M153" s="250">
        <v>0.5</v>
      </c>
      <c r="N153" s="251">
        <v>0</v>
      </c>
      <c r="O153" s="252">
        <f>(I153*WRRushingYd)+(J153*WRRushingTD)+(K153*WRRec)+(L153*WRRecYd)+(M153*WRRecTD)+(N153*WRFuml)+(H153*WRRushAtt)</f>
        <v>12.35</v>
      </c>
      <c r="P153" s="1" t="str">
        <f ca="1">IF(A153&lt;=WRStarters,"Starter",IF(A153&gt;WRStarters+WRBench,"Undrafted","Bench"))</f>
        <v>Undrafted</v>
      </c>
      <c r="Q153" s="47">
        <f ca="1">IFERROR(MAX(O153-LARGE(O$3:O$231,WRStarters),0),0)</f>
        <v>0</v>
      </c>
      <c r="R153" s="47">
        <f ca="1">IFERROR(IF(AllowNegative="Yes",O153-LARGE(O$3:O$231,WRCount),MAX(O153-LARGE(O$3:O$231,WRCount),0)),0)</f>
        <v>-77.27000000000001</v>
      </c>
      <c r="S153" s="108">
        <f ca="1">(R153-Q153)*BenchPF+Q153*StarterPF</f>
        <v>-18.505844263187395</v>
      </c>
      <c r="T153" s="108">
        <f ca="1">S153*Auction!$A$2</f>
        <v>-18.505844263187395</v>
      </c>
      <c r="U153" s="25" t="str">
        <f>IF(OR(INDEX(Auction!$H$13:$H$683,MATCH(B153,Auction!$A$13:$A$683,0))&gt;0,IFERROR(INDEX(CheatSheet!$V$5:$V$64,MATCH(B153,CheatSheet!$S$5:$S$64,0)),"")&lt;&gt;""),"Yes","No")</f>
        <v>No</v>
      </c>
      <c r="V153" s="218"/>
      <c r="W153" s="1"/>
      <c r="X153" s="143">
        <f ca="1">IFERROR(SUMIFS($Y$3:$Y381,$Y$3:$Y$231,"&gt;0",$U$3:$U$231,"No")/SUMIF($Y$3:$Y$231,"&gt;0"),0)</f>
        <v>0</v>
      </c>
      <c r="Y153" s="1">
        <f t="shared" ca="1" si="2"/>
        <v>-38.635000000000005</v>
      </c>
      <c r="Z153" s="145" t="str">
        <f ca="1">CONCATENATE("WR",ROUND((LARGE($Y$3:$Y$231,1)-$Y153)/(STDEVP($Y$3:$Y$231)/2)+1,0))</f>
        <v>WR10</v>
      </c>
      <c r="AA153" s="1">
        <f ca="1">Y153*LeagueInfo!$H$5</f>
        <v>-17.669366761824122</v>
      </c>
      <c r="AB153" s="1"/>
      <c r="AC153" s="1"/>
    </row>
    <row r="154" spans="1:29" ht="15.75" thickBot="1" x14ac:dyDescent="0.3">
      <c r="A154" s="47">
        <f>RANK(O154,O$3:O$231)</f>
        <v>152</v>
      </c>
      <c r="B154" s="1" t="s">
        <v>635</v>
      </c>
      <c r="C154" s="1" t="s">
        <v>39</v>
      </c>
      <c r="D154" s="1">
        <f>VLOOKUP(E154,BYEs!$A$2:$B$34,2,FALSE)</f>
        <v>5</v>
      </c>
      <c r="E154" s="1" t="s">
        <v>384</v>
      </c>
      <c r="F154" s="249">
        <v>0</v>
      </c>
      <c r="G154" s="250">
        <v>0</v>
      </c>
      <c r="H154" s="251">
        <v>0</v>
      </c>
      <c r="I154" s="251">
        <v>0</v>
      </c>
      <c r="J154" s="251">
        <v>0</v>
      </c>
      <c r="K154" s="249">
        <v>9.6</v>
      </c>
      <c r="L154" s="247">
        <v>105</v>
      </c>
      <c r="M154" s="250">
        <v>0.3</v>
      </c>
      <c r="N154" s="251">
        <v>0.1</v>
      </c>
      <c r="O154" s="252">
        <f>(I154*WRRushingYd)+(J154*WRRushingTD)+(K154*WRRec)+(L154*WRRecYd)+(M154*WRRecTD)+(N154*WRFuml)+(H154*WRRushAtt)</f>
        <v>12.100000000000001</v>
      </c>
      <c r="P154" s="1" t="str">
        <f ca="1">IF(A154&lt;=WRStarters,"Starter",IF(A154&gt;WRStarters+WRBench,"Undrafted","Bench"))</f>
        <v>Undrafted</v>
      </c>
      <c r="Q154" s="47">
        <f ca="1">IFERROR(MAX(O154-LARGE(O$3:O$231,WRStarters),0),0)</f>
        <v>0</v>
      </c>
      <c r="R154" s="47">
        <f ca="1">IFERROR(IF(AllowNegative="Yes",O154-LARGE(O$3:O$231,WRCount),MAX(O154-LARGE(O$3:O$231,WRCount),0)),0)</f>
        <v>-77.52000000000001</v>
      </c>
      <c r="S154" s="108">
        <f ca="1">(R154-Q154)*BenchPF+Q154*StarterPF</f>
        <v>-18.56571822547285</v>
      </c>
      <c r="T154" s="108">
        <f ca="1">S154*Auction!$A$2</f>
        <v>-18.56571822547285</v>
      </c>
      <c r="U154" s="25" t="str">
        <f>IF(OR(INDEX(Auction!$H$13:$H$683,MATCH(B154,Auction!$A$13:$A$683,0))&gt;0,IFERROR(INDEX(CheatSheet!$V$5:$V$64,MATCH(B154,CheatSheet!$S$5:$S$64,0)),"")&lt;&gt;""),"Yes","No")</f>
        <v>No</v>
      </c>
      <c r="V154" s="218"/>
      <c r="W154" s="1"/>
      <c r="X154" s="143">
        <f ca="1">IFERROR(SUMIFS($Y$3:$Y382,$Y$3:$Y$231,"&gt;0",$U$3:$U$231,"No")/SUMIF($Y$3:$Y$231,"&gt;0"),0)</f>
        <v>0</v>
      </c>
      <c r="Y154" s="1">
        <f t="shared" ca="1" si="2"/>
        <v>-38.760000000000005</v>
      </c>
      <c r="Z154" s="145" t="str">
        <f ca="1">CONCATENATE("WR",ROUND((LARGE($Y$3:$Y$231,1)-$Y154)/(STDEVP($Y$3:$Y$231)/2)+1,0))</f>
        <v>WR10</v>
      </c>
      <c r="AA154" s="1">
        <f ca="1">Y154*LeagueInfo!$H$5</f>
        <v>-17.726534377851767</v>
      </c>
      <c r="AB154" s="1"/>
      <c r="AC154" s="1"/>
    </row>
    <row r="155" spans="1:29" ht="15.75" thickBot="1" x14ac:dyDescent="0.3">
      <c r="A155" s="47">
        <f>RANK(O155,O$3:O$231)</f>
        <v>153</v>
      </c>
      <c r="B155" s="1" t="s">
        <v>613</v>
      </c>
      <c r="C155" s="1" t="s">
        <v>39</v>
      </c>
      <c r="D155" s="1">
        <f>VLOOKUP(E155,BYEs!$A$2:$B$34,2,FALSE)</f>
        <v>8</v>
      </c>
      <c r="E155" s="1" t="s">
        <v>380</v>
      </c>
      <c r="F155" s="249">
        <v>0</v>
      </c>
      <c r="G155" s="250">
        <v>0</v>
      </c>
      <c r="H155" s="251">
        <v>1</v>
      </c>
      <c r="I155" s="251">
        <v>5</v>
      </c>
      <c r="J155" s="251">
        <v>0</v>
      </c>
      <c r="K155" s="249">
        <v>10.1</v>
      </c>
      <c r="L155" s="247">
        <v>107.6</v>
      </c>
      <c r="M155" s="250">
        <v>0.2</v>
      </c>
      <c r="N155" s="251">
        <v>0.2</v>
      </c>
      <c r="O155" s="252">
        <f>(I155*WRRushingYd)+(J155*WRRushingTD)+(K155*WRRec)+(L155*WRRecYd)+(M155*WRRecTD)+(N155*WRFuml)+(H155*WRRushAtt)</f>
        <v>12.06</v>
      </c>
      <c r="P155" s="1" t="str">
        <f ca="1">IF(A155&lt;=WRStarters,"Starter",IF(A155&gt;WRStarters+WRBench,"Undrafted","Bench"))</f>
        <v>Undrafted</v>
      </c>
      <c r="Q155" s="47">
        <f ca="1">IFERROR(MAX(O155-LARGE(O$3:O$231,WRStarters),0),0)</f>
        <v>0</v>
      </c>
      <c r="R155" s="47">
        <f ca="1">IFERROR(IF(AllowNegative="Yes",O155-LARGE(O$3:O$231,WRCount),MAX(O155-LARGE(O$3:O$231,WRCount),0)),0)</f>
        <v>-77.56</v>
      </c>
      <c r="S155" s="108">
        <f ca="1">(R155-Q155)*BenchPF+Q155*StarterPF</f>
        <v>-18.57529805943852</v>
      </c>
      <c r="T155" s="108">
        <f ca="1">S155*Auction!$A$2</f>
        <v>-18.57529805943852</v>
      </c>
      <c r="U155" s="25" t="str">
        <f>IF(OR(INDEX(Auction!$H$13:$H$683,MATCH(B155,Auction!$A$13:$A$683,0))&gt;0,IFERROR(INDEX(CheatSheet!$V$5:$V$64,MATCH(B155,CheatSheet!$S$5:$S$64,0)),"")&lt;&gt;""),"Yes","No")</f>
        <v>No</v>
      </c>
      <c r="V155" s="218"/>
      <c r="W155" s="1"/>
      <c r="X155" s="143">
        <f ca="1">IFERROR(SUMIFS($Y$3:$Y383,$Y$3:$Y$231,"&gt;0",$U$3:$U$231,"No")/SUMIF($Y$3:$Y$231,"&gt;0"),0)</f>
        <v>0</v>
      </c>
      <c r="Y155" s="1">
        <f t="shared" ca="1" si="2"/>
        <v>-38.78</v>
      </c>
      <c r="Z155" s="145" t="str">
        <f ca="1">CONCATENATE("WR",ROUND((LARGE($Y$3:$Y$231,1)-$Y155)/(STDEVP($Y$3:$Y$231)/2)+1,0))</f>
        <v>WR10</v>
      </c>
      <c r="AA155" s="1">
        <f ca="1">Y155*LeagueInfo!$H$5</f>
        <v>-17.735681196416188</v>
      </c>
      <c r="AB155" s="1"/>
      <c r="AC155" s="1"/>
    </row>
    <row r="156" spans="1:29" ht="15.75" thickBot="1" x14ac:dyDescent="0.3">
      <c r="A156" s="47">
        <f>RANK(O156,O$3:O$231)</f>
        <v>154</v>
      </c>
      <c r="B156" s="1" t="s">
        <v>647</v>
      </c>
      <c r="C156" s="1" t="s">
        <v>39</v>
      </c>
      <c r="D156" s="1">
        <f>VLOOKUP(E156,BYEs!$A$2:$B$34,2,FALSE)</f>
        <v>11</v>
      </c>
      <c r="E156" s="1" t="s">
        <v>374</v>
      </c>
      <c r="F156" s="249">
        <v>0</v>
      </c>
      <c r="G156" s="250">
        <v>0</v>
      </c>
      <c r="H156" s="251">
        <v>0</v>
      </c>
      <c r="I156" s="251">
        <v>0</v>
      </c>
      <c r="J156" s="251">
        <v>0</v>
      </c>
      <c r="K156" s="249">
        <v>8</v>
      </c>
      <c r="L156" s="247">
        <v>100.5</v>
      </c>
      <c r="M156" s="250">
        <v>0.2</v>
      </c>
      <c r="N156" s="251">
        <v>0.1</v>
      </c>
      <c r="O156" s="252">
        <f>(I156*WRRushingYd)+(J156*WRRushingTD)+(K156*WRRec)+(L156*WRRecYd)+(M156*WRRecTD)+(N156*WRFuml)+(H156*WRRushAtt)</f>
        <v>11.05</v>
      </c>
      <c r="P156" s="1" t="str">
        <f ca="1">IF(A156&lt;=WRStarters,"Starter",IF(A156&gt;WRStarters+WRBench,"Undrafted","Bench"))</f>
        <v>Undrafted</v>
      </c>
      <c r="Q156" s="47">
        <f ca="1">IFERROR(MAX(O156-LARGE(O$3:O$231,WRStarters),0),0)</f>
        <v>0</v>
      </c>
      <c r="R156" s="47">
        <f ca="1">IFERROR(IF(AllowNegative="Yes",O156-LARGE(O$3:O$231,WRCount),MAX(O156-LARGE(O$3:O$231,WRCount),0)),0)</f>
        <v>-78.570000000000007</v>
      </c>
      <c r="S156" s="108">
        <f ca="1">(R156-Q156)*BenchPF+Q156*StarterPF</f>
        <v>-18.817188867071746</v>
      </c>
      <c r="T156" s="108">
        <f ca="1">S156*Auction!$A$2</f>
        <v>-18.817188867071746</v>
      </c>
      <c r="U156" s="25" t="str">
        <f>IF(OR(INDEX(Auction!$H$13:$H$683,MATCH(B156,Auction!$A$13:$A$683,0))&gt;0,IFERROR(INDEX(CheatSheet!$V$5:$V$64,MATCH(B156,CheatSheet!$S$5:$S$64,0)),"")&lt;&gt;""),"Yes","No")</f>
        <v>No</v>
      </c>
      <c r="V156" s="218"/>
      <c r="W156" s="1"/>
      <c r="X156" s="143">
        <f ca="1">IFERROR(SUMIFS($Y$3:$Y384,$Y$3:$Y$231,"&gt;0",$U$3:$U$231,"No")/SUMIF($Y$3:$Y$231,"&gt;0"),0)</f>
        <v>0</v>
      </c>
      <c r="Y156" s="1">
        <f t="shared" ca="1" si="2"/>
        <v>-39.285000000000004</v>
      </c>
      <c r="Z156" s="145" t="str">
        <f ca="1">CONCATENATE("WR",ROUND((LARGE($Y$3:$Y$231,1)-$Y156)/(STDEVP($Y$3:$Y$231)/2)+1,0))</f>
        <v>WR10</v>
      </c>
      <c r="AA156" s="1">
        <f ca="1">Y156*LeagueInfo!$H$5</f>
        <v>-17.966638365167871</v>
      </c>
      <c r="AB156" s="1"/>
      <c r="AC156" s="1"/>
    </row>
    <row r="157" spans="1:29" ht="15.75" thickBot="1" x14ac:dyDescent="0.3">
      <c r="A157" s="47">
        <f>RANK(O157,O$3:O$231)</f>
        <v>155</v>
      </c>
      <c r="B157" s="1" t="s">
        <v>699</v>
      </c>
      <c r="C157" s="1" t="s">
        <v>39</v>
      </c>
      <c r="D157" s="1">
        <f>VLOOKUP(E157,BYEs!$A$2:$B$34,2,FALSE)</f>
        <v>10</v>
      </c>
      <c r="E157" s="1" t="s">
        <v>369</v>
      </c>
      <c r="F157" s="249">
        <v>0</v>
      </c>
      <c r="G157" s="250">
        <v>0</v>
      </c>
      <c r="H157" s="251">
        <v>0</v>
      </c>
      <c r="I157" s="251">
        <v>0</v>
      </c>
      <c r="J157" s="251">
        <v>0</v>
      </c>
      <c r="K157" s="249">
        <v>7.7</v>
      </c>
      <c r="L157" s="247">
        <v>90.3</v>
      </c>
      <c r="M157" s="250">
        <v>0.3</v>
      </c>
      <c r="N157" s="251">
        <v>0</v>
      </c>
      <c r="O157" s="252">
        <f>(I157*WRRushingYd)+(J157*WRRushingTD)+(K157*WRRec)+(L157*WRRecYd)+(M157*WRRecTD)+(N157*WRFuml)+(H157*WRRushAtt)</f>
        <v>10.829999999999998</v>
      </c>
      <c r="P157" s="1" t="str">
        <f ca="1">IF(A157&lt;=WRStarters,"Starter",IF(A157&gt;WRStarters+WRBench,"Undrafted","Bench"))</f>
        <v>Undrafted</v>
      </c>
      <c r="Q157" s="47">
        <f ca="1">IFERROR(MAX(O157-LARGE(O$3:O$231,WRStarters),0),0)</f>
        <v>0</v>
      </c>
      <c r="R157" s="47">
        <f ca="1">IFERROR(IF(AllowNegative="Yes",O157-LARGE(O$3:O$231,WRCount),MAX(O157-LARGE(O$3:O$231,WRCount),0)),0)</f>
        <v>-78.790000000000006</v>
      </c>
      <c r="S157" s="108">
        <f ca="1">(R157-Q157)*BenchPF+Q157*StarterPF</f>
        <v>-18.869877953882941</v>
      </c>
      <c r="T157" s="108">
        <f ca="1">S157*Auction!$A$2</f>
        <v>-18.869877953882941</v>
      </c>
      <c r="U157" s="25" t="str">
        <f>IF(OR(INDEX(Auction!$H$13:$H$683,MATCH(B157,Auction!$A$13:$A$683,0))&gt;0,IFERROR(INDEX(CheatSheet!$V$5:$V$64,MATCH(B157,CheatSheet!$S$5:$S$64,0)),"")&lt;&gt;""),"Yes","No")</f>
        <v>No</v>
      </c>
      <c r="V157" s="218"/>
      <c r="W157" s="1"/>
      <c r="X157" s="143">
        <f ca="1">IFERROR(SUMIFS($Y$3:$Y385,$Y$3:$Y$231,"&gt;0",$U$3:$U$231,"No")/SUMIF($Y$3:$Y$231,"&gt;0"),0)</f>
        <v>0</v>
      </c>
      <c r="Y157" s="1">
        <f t="shared" ca="1" si="2"/>
        <v>-39.395000000000003</v>
      </c>
      <c r="Z157" s="145" t="str">
        <f ca="1">CONCATENATE("WR",ROUND((LARGE($Y$3:$Y$231,1)-$Y157)/(STDEVP($Y$3:$Y$231)/2)+1,0))</f>
        <v>WR10</v>
      </c>
      <c r="AA157" s="1">
        <f ca="1">Y157*LeagueInfo!$H$5</f>
        <v>-18.016945867272195</v>
      </c>
      <c r="AB157" s="1"/>
      <c r="AC157" s="1"/>
    </row>
    <row r="158" spans="1:29" ht="15.75" thickBot="1" x14ac:dyDescent="0.3">
      <c r="A158" s="47">
        <f>RANK(O158,O$3:O$231)</f>
        <v>156</v>
      </c>
      <c r="B158" s="1" t="s">
        <v>634</v>
      </c>
      <c r="C158" s="1" t="s">
        <v>39</v>
      </c>
      <c r="D158" s="1">
        <f>VLOOKUP(E158,BYEs!$A$2:$B$34,2,FALSE)</f>
        <v>8</v>
      </c>
      <c r="E158" s="1" t="s">
        <v>359</v>
      </c>
      <c r="F158" s="249">
        <v>0</v>
      </c>
      <c r="G158" s="250">
        <v>0</v>
      </c>
      <c r="H158" s="251">
        <v>0.1</v>
      </c>
      <c r="I158" s="251">
        <v>0.1</v>
      </c>
      <c r="J158" s="251">
        <v>0</v>
      </c>
      <c r="K158" s="249">
        <v>6.5</v>
      </c>
      <c r="L158" s="247">
        <v>83.9</v>
      </c>
      <c r="M158" s="250">
        <v>0.4</v>
      </c>
      <c r="N158" s="251">
        <v>0</v>
      </c>
      <c r="O158" s="252">
        <f>(I158*WRRushingYd)+(J158*WRRushingTD)+(K158*WRRec)+(L158*WRRecYd)+(M158*WRRecTD)+(N158*WRFuml)+(H158*WRRushAtt)</f>
        <v>10.8</v>
      </c>
      <c r="P158" s="1" t="str">
        <f ca="1">IF(A158&lt;=WRStarters,"Starter",IF(A158&gt;WRStarters+WRBench,"Undrafted","Bench"))</f>
        <v>Undrafted</v>
      </c>
      <c r="Q158" s="47">
        <f ca="1">IFERROR(MAX(O158-LARGE(O$3:O$231,WRStarters),0),0)</f>
        <v>0</v>
      </c>
      <c r="R158" s="47">
        <f ca="1">IFERROR(IF(AllowNegative="Yes",O158-LARGE(O$3:O$231,WRCount),MAX(O158-LARGE(O$3:O$231,WRCount),0)),0)</f>
        <v>-78.820000000000007</v>
      </c>
      <c r="S158" s="108">
        <f ca="1">(R158-Q158)*BenchPF+Q158*StarterPF</f>
        <v>-18.877062829357197</v>
      </c>
      <c r="T158" s="108">
        <f ca="1">S158*Auction!$A$2</f>
        <v>-18.877062829357197</v>
      </c>
      <c r="U158" s="25" t="str">
        <f>IF(OR(INDEX(Auction!$H$13:$H$683,MATCH(B158,Auction!$A$13:$A$683,0))&gt;0,IFERROR(INDEX(CheatSheet!$V$5:$V$64,MATCH(B158,CheatSheet!$S$5:$S$64,0)),"")&lt;&gt;""),"Yes","No")</f>
        <v>No</v>
      </c>
      <c r="V158" s="218"/>
      <c r="W158" s="1"/>
      <c r="X158" s="143">
        <f ca="1">IFERROR(SUMIFS($Y$3:$Y386,$Y$3:$Y$231,"&gt;0",$U$3:$U$231,"No")/SUMIF($Y$3:$Y$231,"&gt;0"),0)</f>
        <v>0</v>
      </c>
      <c r="Y158" s="1">
        <f t="shared" ca="1" si="2"/>
        <v>-39.410000000000004</v>
      </c>
      <c r="Z158" s="145" t="str">
        <f ca="1">CONCATENATE("WR",ROUND((LARGE($Y$3:$Y$231,1)-$Y158)/(STDEVP($Y$3:$Y$231)/2)+1,0))</f>
        <v>WR10</v>
      </c>
      <c r="AA158" s="1">
        <f ca="1">Y158*LeagueInfo!$H$5</f>
        <v>-18.023805981195512</v>
      </c>
      <c r="AB158" s="1"/>
      <c r="AC158" s="1"/>
    </row>
    <row r="159" spans="1:29" ht="15.75" thickBot="1" x14ac:dyDescent="0.3">
      <c r="A159" s="47">
        <f>RANK(O159,O$3:O$231)</f>
        <v>157</v>
      </c>
      <c r="B159" s="1" t="s">
        <v>653</v>
      </c>
      <c r="C159" s="1" t="s">
        <v>39</v>
      </c>
      <c r="D159" s="1">
        <f>VLOOKUP(E159,BYEs!$A$2:$B$34,2,FALSE)</f>
        <v>8</v>
      </c>
      <c r="E159" s="1" t="s">
        <v>359</v>
      </c>
      <c r="F159" s="249">
        <v>0</v>
      </c>
      <c r="G159" s="250">
        <v>0</v>
      </c>
      <c r="H159" s="251">
        <v>0</v>
      </c>
      <c r="I159" s="251">
        <v>0</v>
      </c>
      <c r="J159" s="251">
        <v>0</v>
      </c>
      <c r="K159" s="249">
        <v>6.3</v>
      </c>
      <c r="L159" s="247">
        <v>80.8</v>
      </c>
      <c r="M159" s="250">
        <v>0.4</v>
      </c>
      <c r="N159" s="251">
        <v>0</v>
      </c>
      <c r="O159" s="252">
        <f>(I159*WRRushingYd)+(J159*WRRushingTD)+(K159*WRRec)+(L159*WRRecYd)+(M159*WRRecTD)+(N159*WRFuml)+(H159*WRRushAtt)</f>
        <v>10.48</v>
      </c>
      <c r="P159" s="1" t="str">
        <f ca="1">IF(A159&lt;=WRStarters,"Starter",IF(A159&gt;WRStarters+WRBench,"Undrafted","Bench"))</f>
        <v>Undrafted</v>
      </c>
      <c r="Q159" s="47">
        <f ca="1">IFERROR(MAX(O159-LARGE(O$3:O$231,WRStarters),0),0)</f>
        <v>0</v>
      </c>
      <c r="R159" s="47">
        <f ca="1">IFERROR(IF(AllowNegative="Yes",O159-LARGE(O$3:O$231,WRCount),MAX(O159-LARGE(O$3:O$231,WRCount),0)),0)</f>
        <v>-79.14</v>
      </c>
      <c r="S159" s="108">
        <f ca="1">(R159-Q159)*BenchPF+Q159*StarterPF</f>
        <v>-18.953701501082573</v>
      </c>
      <c r="T159" s="108">
        <f ca="1">S159*Auction!$A$2</f>
        <v>-18.953701501082573</v>
      </c>
      <c r="U159" s="25" t="str">
        <f>IF(OR(INDEX(Auction!$H$13:$H$683,MATCH(B159,Auction!$A$13:$A$683,0))&gt;0,IFERROR(INDEX(CheatSheet!$V$5:$V$64,MATCH(B159,CheatSheet!$S$5:$S$64,0)),"")&lt;&gt;""),"Yes","No")</f>
        <v>No</v>
      </c>
      <c r="V159" s="218"/>
      <c r="W159" s="1"/>
      <c r="X159" s="143">
        <f ca="1">IFERROR(SUMIFS($Y$3:$Y387,$Y$3:$Y$231,"&gt;0",$U$3:$U$231,"No")/SUMIF($Y$3:$Y$231,"&gt;0"),0)</f>
        <v>0</v>
      </c>
      <c r="Y159" s="1">
        <f t="shared" ca="1" si="2"/>
        <v>-39.57</v>
      </c>
      <c r="Z159" s="145" t="str">
        <f ca="1">CONCATENATE("WR",ROUND((LARGE($Y$3:$Y$231,1)-$Y159)/(STDEVP($Y$3:$Y$231)/2)+1,0))</f>
        <v>WR10</v>
      </c>
      <c r="AA159" s="1">
        <f ca="1">Y159*LeagueInfo!$H$5</f>
        <v>-18.096980529710894</v>
      </c>
      <c r="AB159" s="1"/>
      <c r="AC159" s="1"/>
    </row>
    <row r="160" spans="1:29" ht="15.75" thickBot="1" x14ac:dyDescent="0.3">
      <c r="A160" s="47">
        <f>RANK(O160,O$3:O$231)</f>
        <v>158</v>
      </c>
      <c r="B160" s="1" t="s">
        <v>654</v>
      </c>
      <c r="C160" s="1" t="s">
        <v>39</v>
      </c>
      <c r="D160" s="1">
        <f>VLOOKUP(E160,BYEs!$A$2:$B$34,2,FALSE)</f>
        <v>10</v>
      </c>
      <c r="E160" s="1" t="s">
        <v>372</v>
      </c>
      <c r="F160" s="249">
        <v>0</v>
      </c>
      <c r="G160" s="250">
        <v>0</v>
      </c>
      <c r="H160" s="251">
        <v>0</v>
      </c>
      <c r="I160" s="251">
        <v>0</v>
      </c>
      <c r="J160" s="251">
        <v>0</v>
      </c>
      <c r="K160" s="249">
        <v>5.8</v>
      </c>
      <c r="L160" s="247">
        <v>72.8</v>
      </c>
      <c r="M160" s="250">
        <v>0.5</v>
      </c>
      <c r="N160" s="251">
        <v>0</v>
      </c>
      <c r="O160" s="252">
        <f>(I160*WRRushingYd)+(J160*WRRushingTD)+(K160*WRRec)+(L160*WRRecYd)+(M160*WRRecTD)+(N160*WRFuml)+(H160*WRRushAtt)</f>
        <v>10.280000000000001</v>
      </c>
      <c r="P160" s="1" t="str">
        <f ca="1">IF(A160&lt;=WRStarters,"Starter",IF(A160&gt;WRStarters+WRBench,"Undrafted","Bench"))</f>
        <v>Undrafted</v>
      </c>
      <c r="Q160" s="47">
        <f ca="1">IFERROR(MAX(O160-LARGE(O$3:O$231,WRStarters),0),0)</f>
        <v>0</v>
      </c>
      <c r="R160" s="47">
        <f ca="1">IFERROR(IF(AllowNegative="Yes",O160-LARGE(O$3:O$231,WRCount),MAX(O160-LARGE(O$3:O$231,WRCount),0)),0)</f>
        <v>-79.34</v>
      </c>
      <c r="S160" s="108">
        <f ca="1">(R160-Q160)*BenchPF+Q160*StarterPF</f>
        <v>-19.001600670910936</v>
      </c>
      <c r="T160" s="108">
        <f ca="1">S160*Auction!$A$2</f>
        <v>-19.001600670910936</v>
      </c>
      <c r="U160" s="25" t="str">
        <f>IF(OR(INDEX(Auction!$H$13:$H$683,MATCH(B160,Auction!$A$13:$A$683,0))&gt;0,IFERROR(INDEX(CheatSheet!$V$5:$V$64,MATCH(B160,CheatSheet!$S$5:$S$64,0)),"")&lt;&gt;""),"Yes","No")</f>
        <v>No</v>
      </c>
      <c r="V160" s="218"/>
      <c r="W160" s="1"/>
      <c r="X160" s="143">
        <f ca="1">IFERROR(SUMIFS($Y$3:$Y388,$Y$3:$Y$231,"&gt;0",$U$3:$U$231,"No")/SUMIF($Y$3:$Y$231,"&gt;0"),0)</f>
        <v>0</v>
      </c>
      <c r="Y160" s="1">
        <f t="shared" ca="1" si="2"/>
        <v>-39.67</v>
      </c>
      <c r="Z160" s="145" t="str">
        <f ca="1">CONCATENATE("WR",ROUND((LARGE($Y$3:$Y$231,1)-$Y160)/(STDEVP($Y$3:$Y$231)/2)+1,0))</f>
        <v>WR10</v>
      </c>
      <c r="AA160" s="1">
        <f ca="1">Y160*LeagueInfo!$H$5</f>
        <v>-18.14271462253301</v>
      </c>
      <c r="AB160" s="1"/>
      <c r="AC160" s="1"/>
    </row>
    <row r="161" spans="1:29" ht="15.75" thickBot="1" x14ac:dyDescent="0.3">
      <c r="A161" s="47">
        <f>RANK(O161,O$3:O$231)</f>
        <v>159</v>
      </c>
      <c r="B161" s="1" t="s">
        <v>662</v>
      </c>
      <c r="C161" s="1" t="s">
        <v>39</v>
      </c>
      <c r="D161" s="1">
        <f>VLOOKUP(E161,BYEs!$A$2:$B$34,2,FALSE)</f>
        <v>5</v>
      </c>
      <c r="E161" s="1" t="s">
        <v>352</v>
      </c>
      <c r="F161" s="249">
        <v>0</v>
      </c>
      <c r="G161" s="250">
        <v>0</v>
      </c>
      <c r="H161" s="251">
        <v>0</v>
      </c>
      <c r="I161" s="251">
        <v>0</v>
      </c>
      <c r="J161" s="251">
        <v>0</v>
      </c>
      <c r="K161" s="249">
        <v>6</v>
      </c>
      <c r="L161" s="247">
        <v>79.599999999999994</v>
      </c>
      <c r="M161" s="250">
        <v>0.5</v>
      </c>
      <c r="N161" s="251">
        <v>0.5</v>
      </c>
      <c r="O161" s="252">
        <f>(I161*WRRushingYd)+(J161*WRRushingTD)+(K161*WRRec)+(L161*WRRecYd)+(M161*WRRecTD)+(N161*WRFuml)+(H161*WRRushAtt)</f>
        <v>9.9600000000000009</v>
      </c>
      <c r="P161" s="1" t="str">
        <f ca="1">IF(A161&lt;=WRStarters,"Starter",IF(A161&gt;WRStarters+WRBench,"Undrafted","Bench"))</f>
        <v>Undrafted</v>
      </c>
      <c r="Q161" s="47">
        <f ca="1">IFERROR(MAX(O161-LARGE(O$3:O$231,WRStarters),0),0)</f>
        <v>0</v>
      </c>
      <c r="R161" s="47">
        <f ca="1">IFERROR(IF(AllowNegative="Yes",O161-LARGE(O$3:O$231,WRCount),MAX(O161-LARGE(O$3:O$231,WRCount),0)),0)</f>
        <v>-79.66</v>
      </c>
      <c r="S161" s="108">
        <f ca="1">(R161-Q161)*BenchPF+Q161*StarterPF</f>
        <v>-19.078239342636312</v>
      </c>
      <c r="T161" s="108">
        <f ca="1">S161*Auction!$A$2</f>
        <v>-19.078239342636312</v>
      </c>
      <c r="U161" s="25" t="str">
        <f>IF(OR(INDEX(Auction!$H$13:$H$683,MATCH(B161,Auction!$A$13:$A$683,0))&gt;0,IFERROR(INDEX(CheatSheet!$V$5:$V$64,MATCH(B161,CheatSheet!$S$5:$S$64,0)),"")&lt;&gt;""),"Yes","No")</f>
        <v>No</v>
      </c>
      <c r="V161" s="218"/>
      <c r="W161" s="1"/>
      <c r="X161" s="143">
        <f ca="1">IFERROR(SUMIFS($Y$3:$Y389,$Y$3:$Y$231,"&gt;0",$U$3:$U$231,"No")/SUMIF($Y$3:$Y$231,"&gt;0"),0)</f>
        <v>0</v>
      </c>
      <c r="Y161" s="1">
        <f t="shared" ca="1" si="2"/>
        <v>-39.83</v>
      </c>
      <c r="Z161" s="145" t="str">
        <f ca="1">CONCATENATE("WR",ROUND((LARGE($Y$3:$Y$231,1)-$Y161)/(STDEVP($Y$3:$Y$231)/2)+1,0))</f>
        <v>WR10</v>
      </c>
      <c r="AA161" s="1">
        <f ca="1">Y161*LeagueInfo!$H$5</f>
        <v>-18.215889171048392</v>
      </c>
      <c r="AB161" s="1"/>
      <c r="AC161" s="1"/>
    </row>
    <row r="162" spans="1:29" ht="15.75" thickBot="1" x14ac:dyDescent="0.3">
      <c r="A162" s="47">
        <f>RANK(O162,O$3:O$231)</f>
        <v>160</v>
      </c>
      <c r="B162" s="1" t="s">
        <v>656</v>
      </c>
      <c r="C162" s="1" t="s">
        <v>39</v>
      </c>
      <c r="D162" s="1">
        <f>VLOOKUP(E162,BYEs!$A$2:$B$34,2,FALSE)</f>
        <v>8</v>
      </c>
      <c r="E162" s="1" t="s">
        <v>350</v>
      </c>
      <c r="F162" s="249">
        <v>0</v>
      </c>
      <c r="G162" s="250">
        <v>0</v>
      </c>
      <c r="H162" s="251">
        <v>0</v>
      </c>
      <c r="I162" s="251">
        <v>0</v>
      </c>
      <c r="J162" s="251">
        <v>0</v>
      </c>
      <c r="K162" s="249">
        <v>6</v>
      </c>
      <c r="L162" s="247">
        <v>68</v>
      </c>
      <c r="M162" s="250">
        <v>0.5</v>
      </c>
      <c r="N162" s="251">
        <v>0</v>
      </c>
      <c r="O162" s="252">
        <f>(I162*WRRushingYd)+(J162*WRRushingTD)+(K162*WRRec)+(L162*WRRecYd)+(M162*WRRecTD)+(N162*WRFuml)+(H162*WRRushAtt)</f>
        <v>9.8000000000000007</v>
      </c>
      <c r="P162" s="1" t="str">
        <f ca="1">IF(A162&lt;=WRStarters,"Starter",IF(A162&gt;WRStarters+WRBench,"Undrafted","Bench"))</f>
        <v>Undrafted</v>
      </c>
      <c r="Q162" s="47">
        <f ca="1">IFERROR(MAX(O162-LARGE(O$3:O$231,WRStarters),0),0)</f>
        <v>0</v>
      </c>
      <c r="R162" s="47">
        <f ca="1">IFERROR(IF(AllowNegative="Yes",O162-LARGE(O$3:O$231,WRCount),MAX(O162-LARGE(O$3:O$231,WRCount),0)),0)</f>
        <v>-79.820000000000007</v>
      </c>
      <c r="S162" s="108">
        <f ca="1">(R162-Q162)*BenchPF+Q162*StarterPF</f>
        <v>-19.116558678499004</v>
      </c>
      <c r="T162" s="108">
        <f ca="1">S162*Auction!$A$2</f>
        <v>-19.116558678499004</v>
      </c>
      <c r="U162" s="25" t="str">
        <f>IF(OR(INDEX(Auction!$H$13:$H$683,MATCH(B162,Auction!$A$13:$A$683,0))&gt;0,IFERROR(INDEX(CheatSheet!$V$5:$V$64,MATCH(B162,CheatSheet!$S$5:$S$64,0)),"")&lt;&gt;""),"Yes","No")</f>
        <v>No</v>
      </c>
      <c r="V162" s="218"/>
      <c r="W162" s="1"/>
      <c r="X162" s="143">
        <f ca="1">IFERROR(SUMIFS($Y$3:$Y390,$Y$3:$Y$231,"&gt;0",$U$3:$U$231,"No")/SUMIF($Y$3:$Y$231,"&gt;0"),0)</f>
        <v>0</v>
      </c>
      <c r="Y162" s="1">
        <f t="shared" ca="1" si="2"/>
        <v>-39.910000000000004</v>
      </c>
      <c r="Z162" s="145" t="str">
        <f ca="1">CONCATENATE("WR",ROUND((LARGE($Y$3:$Y$231,1)-$Y162)/(STDEVP($Y$3:$Y$231)/2)+1,0))</f>
        <v>WR10</v>
      </c>
      <c r="AA162" s="1">
        <f ca="1">Y162*LeagueInfo!$H$5</f>
        <v>-18.252476445306087</v>
      </c>
      <c r="AB162" s="1"/>
      <c r="AC162" s="1"/>
    </row>
    <row r="163" spans="1:29" ht="15.75" thickBot="1" x14ac:dyDescent="0.3">
      <c r="A163" s="47">
        <f>RANK(O163,O$3:O$231)</f>
        <v>161</v>
      </c>
      <c r="B163" s="1" t="s">
        <v>657</v>
      </c>
      <c r="C163" s="1" t="s">
        <v>39</v>
      </c>
      <c r="D163" s="1">
        <f>VLOOKUP(E163,BYEs!$A$2:$B$34,2,FALSE)</f>
        <v>11</v>
      </c>
      <c r="E163" s="1" t="s">
        <v>357</v>
      </c>
      <c r="F163" s="249">
        <v>0</v>
      </c>
      <c r="G163" s="250">
        <v>0</v>
      </c>
      <c r="H163" s="251">
        <v>0</v>
      </c>
      <c r="I163" s="251">
        <v>0</v>
      </c>
      <c r="J163" s="251">
        <v>0</v>
      </c>
      <c r="K163" s="249">
        <v>5.3</v>
      </c>
      <c r="L163" s="247">
        <v>73.8</v>
      </c>
      <c r="M163" s="250">
        <v>0.4</v>
      </c>
      <c r="N163" s="251">
        <v>0</v>
      </c>
      <c r="O163" s="252">
        <f>(I163*WRRushingYd)+(J163*WRRushingTD)+(K163*WRRec)+(L163*WRRecYd)+(M163*WRRecTD)+(N163*WRFuml)+(H163*WRRushAtt)</f>
        <v>9.7800000000000011</v>
      </c>
      <c r="P163" s="1" t="str">
        <f ca="1">IF(A163&lt;=WRStarters,"Starter",IF(A163&gt;WRStarters+WRBench,"Undrafted","Bench"))</f>
        <v>Undrafted</v>
      </c>
      <c r="Q163" s="47">
        <f ca="1">IFERROR(MAX(O163-LARGE(O$3:O$231,WRStarters),0),0)</f>
        <v>0</v>
      </c>
      <c r="R163" s="47">
        <f ca="1">IFERROR(IF(AllowNegative="Yes",O163-LARGE(O$3:O$231,WRCount),MAX(O163-LARGE(O$3:O$231,WRCount),0)),0)</f>
        <v>-79.84</v>
      </c>
      <c r="S163" s="108">
        <f ca="1">(R163-Q163)*BenchPF+Q163*StarterPF</f>
        <v>-19.121348595481837</v>
      </c>
      <c r="T163" s="108">
        <f ca="1">S163*Auction!$A$2</f>
        <v>-19.121348595481837</v>
      </c>
      <c r="U163" s="25" t="str">
        <f>IF(OR(INDEX(Auction!$H$13:$H$683,MATCH(B163,Auction!$A$13:$A$683,0))&gt;0,IFERROR(INDEX(CheatSheet!$V$5:$V$64,MATCH(B163,CheatSheet!$S$5:$S$64,0)),"")&lt;&gt;""),"Yes","No")</f>
        <v>No</v>
      </c>
      <c r="V163" s="218"/>
      <c r="W163" s="1"/>
      <c r="X163" s="143">
        <f ca="1">IFERROR(SUMIFS($Y$3:$Y391,$Y$3:$Y$231,"&gt;0",$U$3:$U$231,"No")/SUMIF($Y$3:$Y$231,"&gt;0"),0)</f>
        <v>0</v>
      </c>
      <c r="Y163" s="1">
        <f t="shared" ca="1" si="2"/>
        <v>-39.92</v>
      </c>
      <c r="Z163" s="145" t="str">
        <f ca="1">CONCATENATE("WR",ROUND((LARGE($Y$3:$Y$231,1)-$Y163)/(STDEVP($Y$3:$Y$231)/2)+1,0))</f>
        <v>WR10</v>
      </c>
      <c r="AA163" s="1">
        <f ca="1">Y163*LeagueInfo!$H$5</f>
        <v>-18.257049854588299</v>
      </c>
      <c r="AB163" s="1"/>
      <c r="AC163" s="1"/>
    </row>
    <row r="164" spans="1:29" ht="15.75" thickBot="1" x14ac:dyDescent="0.3">
      <c r="A164" s="47">
        <f>RANK(O164,O$3:O$231)</f>
        <v>162</v>
      </c>
      <c r="B164" s="1" t="s">
        <v>660</v>
      </c>
      <c r="C164" s="1" t="s">
        <v>39</v>
      </c>
      <c r="D164" s="1">
        <f>VLOOKUP(E164,BYEs!$A$2:$B$34,2,FALSE)</f>
        <v>6</v>
      </c>
      <c r="E164" s="1" t="s">
        <v>360</v>
      </c>
      <c r="F164" s="249">
        <v>0</v>
      </c>
      <c r="G164" s="250">
        <v>0</v>
      </c>
      <c r="H164" s="251">
        <v>1</v>
      </c>
      <c r="I164" s="251">
        <v>4</v>
      </c>
      <c r="J164" s="251">
        <v>0</v>
      </c>
      <c r="K164" s="249">
        <v>7.3</v>
      </c>
      <c r="L164" s="247">
        <v>86.7</v>
      </c>
      <c r="M164" s="250">
        <v>0.1</v>
      </c>
      <c r="N164" s="251">
        <v>0.1</v>
      </c>
      <c r="O164" s="252">
        <f>(I164*WRRushingYd)+(J164*WRRushingTD)+(K164*WRRec)+(L164*WRRecYd)+(M164*WRRecTD)+(N164*WRFuml)+(H164*WRRushAtt)</f>
        <v>9.4700000000000006</v>
      </c>
      <c r="P164" s="1" t="str">
        <f ca="1">IF(A164&lt;=WRStarters,"Starter",IF(A164&gt;WRStarters+WRBench,"Undrafted","Bench"))</f>
        <v>Undrafted</v>
      </c>
      <c r="Q164" s="47">
        <f ca="1">IFERROR(MAX(O164-LARGE(O$3:O$231,WRStarters),0),0)</f>
        <v>0</v>
      </c>
      <c r="R164" s="47">
        <f ca="1">IFERROR(IF(AllowNegative="Yes",O164-LARGE(O$3:O$231,WRCount),MAX(O164-LARGE(O$3:O$231,WRCount),0)),0)</f>
        <v>-80.150000000000006</v>
      </c>
      <c r="S164" s="108">
        <f ca="1">(R164-Q164)*BenchPF+Q164*StarterPF</f>
        <v>-19.195592308715799</v>
      </c>
      <c r="T164" s="108">
        <f ca="1">S164*Auction!$A$2</f>
        <v>-19.195592308715799</v>
      </c>
      <c r="U164" s="25" t="str">
        <f>IF(OR(INDEX(Auction!$H$13:$H$683,MATCH(B164,Auction!$A$13:$A$683,0))&gt;0,IFERROR(INDEX(CheatSheet!$V$5:$V$64,MATCH(B164,CheatSheet!$S$5:$S$64,0)),"")&lt;&gt;""),"Yes","No")</f>
        <v>No</v>
      </c>
      <c r="V164" s="218"/>
      <c r="W164" s="1"/>
      <c r="X164" s="143">
        <f ca="1">IFERROR(SUMIFS($Y$3:$Y392,$Y$3:$Y$231,"&gt;0",$U$3:$U$231,"No")/SUMIF($Y$3:$Y$231,"&gt;0"),0)</f>
        <v>0</v>
      </c>
      <c r="Y164" s="1">
        <f t="shared" ca="1" si="2"/>
        <v>-40.075000000000003</v>
      </c>
      <c r="Z164" s="145" t="str">
        <f ca="1">CONCATENATE("WR",ROUND((LARGE($Y$3:$Y$231,1)-$Y164)/(STDEVP($Y$3:$Y$231)/2)+1,0))</f>
        <v>WR10</v>
      </c>
      <c r="AA164" s="1">
        <f ca="1">Y164*LeagueInfo!$H$5</f>
        <v>-18.327937698462577</v>
      </c>
      <c r="AB164" s="1"/>
      <c r="AC164" s="1"/>
    </row>
    <row r="165" spans="1:29" ht="15.75" thickBot="1" x14ac:dyDescent="0.3">
      <c r="A165" s="47">
        <f>RANK(O165,O$3:O$231)</f>
        <v>163</v>
      </c>
      <c r="B165" s="1" t="s">
        <v>651</v>
      </c>
      <c r="C165" s="1" t="s">
        <v>39</v>
      </c>
      <c r="D165" s="1">
        <f>VLOOKUP(E165,BYEs!$A$2:$B$34,2,FALSE)</f>
        <v>8</v>
      </c>
      <c r="E165" s="1" t="s">
        <v>350</v>
      </c>
      <c r="F165" s="249">
        <v>0</v>
      </c>
      <c r="G165" s="250">
        <v>0</v>
      </c>
      <c r="H165" s="251">
        <v>0</v>
      </c>
      <c r="I165" s="251">
        <v>0</v>
      </c>
      <c r="J165" s="251">
        <v>0</v>
      </c>
      <c r="K165" s="249">
        <v>5.2</v>
      </c>
      <c r="L165" s="247">
        <v>62</v>
      </c>
      <c r="M165" s="250">
        <v>0.6</v>
      </c>
      <c r="N165" s="251">
        <v>0.2</v>
      </c>
      <c r="O165" s="252">
        <f>(I165*WRRushingYd)+(J165*WRRushingTD)+(K165*WRRec)+(L165*WRRecYd)+(M165*WRRecTD)+(N165*WRFuml)+(H165*WRRushAtt)</f>
        <v>9.4</v>
      </c>
      <c r="P165" s="1" t="str">
        <f ca="1">IF(A165&lt;=WRStarters,"Starter",IF(A165&gt;WRStarters+WRBench,"Undrafted","Bench"))</f>
        <v>Undrafted</v>
      </c>
      <c r="Q165" s="47">
        <f ca="1">IFERROR(MAX(O165-LARGE(O$3:O$231,WRStarters),0),0)</f>
        <v>0</v>
      </c>
      <c r="R165" s="47">
        <f ca="1">IFERROR(IF(AllowNegative="Yes",O165-LARGE(O$3:O$231,WRCount),MAX(O165-LARGE(O$3:O$231,WRCount),0)),0)</f>
        <v>-80.22</v>
      </c>
      <c r="S165" s="108">
        <f ca="1">(R165-Q165)*BenchPF+Q165*StarterPF</f>
        <v>-19.212357018155725</v>
      </c>
      <c r="T165" s="108">
        <f ca="1">S165*Auction!$A$2</f>
        <v>-19.212357018155725</v>
      </c>
      <c r="U165" s="25" t="str">
        <f>IF(OR(INDEX(Auction!$H$13:$H$683,MATCH(B165,Auction!$A$13:$A$683,0))&gt;0,IFERROR(INDEX(CheatSheet!$V$5:$V$64,MATCH(B165,CheatSheet!$S$5:$S$64,0)),"")&lt;&gt;""),"Yes","No")</f>
        <v>No</v>
      </c>
      <c r="V165" s="218"/>
      <c r="W165" s="1"/>
      <c r="X165" s="143">
        <f ca="1">IFERROR(SUMIFS($Y$3:$Y393,$Y$3:$Y$231,"&gt;0",$U$3:$U$231,"No")/SUMIF($Y$3:$Y$231,"&gt;0"),0)</f>
        <v>0</v>
      </c>
      <c r="Y165" s="1">
        <f t="shared" ca="1" si="2"/>
        <v>-40.11</v>
      </c>
      <c r="Z165" s="145" t="str">
        <f ca="1">CONCATENATE("WR",ROUND((LARGE($Y$3:$Y$231,1)-$Y165)/(STDEVP($Y$3:$Y$231)/2)+1,0))</f>
        <v>WR10</v>
      </c>
      <c r="AA165" s="1">
        <f ca="1">Y165*LeagueInfo!$H$5</f>
        <v>-18.343944630950315</v>
      </c>
      <c r="AB165" s="1"/>
      <c r="AC165" s="1"/>
    </row>
    <row r="166" spans="1:29" ht="15.75" thickBot="1" x14ac:dyDescent="0.3">
      <c r="A166" s="47">
        <f>RANK(O166,O$3:O$231)</f>
        <v>164</v>
      </c>
      <c r="B166" s="1" t="s">
        <v>640</v>
      </c>
      <c r="C166" s="1" t="s">
        <v>39</v>
      </c>
      <c r="D166" s="1">
        <f>VLOOKUP(E166,BYEs!$A$2:$B$34,2,FALSE)</f>
        <v>11</v>
      </c>
      <c r="E166" s="1" t="s">
        <v>378</v>
      </c>
      <c r="F166" s="249">
        <v>0</v>
      </c>
      <c r="G166" s="250">
        <v>0</v>
      </c>
      <c r="H166" s="251">
        <v>0</v>
      </c>
      <c r="I166" s="251">
        <v>0</v>
      </c>
      <c r="J166" s="251">
        <v>0</v>
      </c>
      <c r="K166" s="249">
        <v>5.2</v>
      </c>
      <c r="L166" s="247">
        <v>69.8</v>
      </c>
      <c r="M166" s="250">
        <v>0.4</v>
      </c>
      <c r="N166" s="251">
        <v>0</v>
      </c>
      <c r="O166" s="252">
        <f>(I166*WRRushingYd)+(J166*WRRushingTD)+(K166*WRRec)+(L166*WRRecYd)+(M166*WRRecTD)+(N166*WRFuml)+(H166*WRRushAtt)</f>
        <v>9.3800000000000008</v>
      </c>
      <c r="P166" s="1" t="str">
        <f ca="1">IF(A166&lt;=WRStarters,"Starter",IF(A166&gt;WRStarters+WRBench,"Undrafted","Bench"))</f>
        <v>Undrafted</v>
      </c>
      <c r="Q166" s="47">
        <f ca="1">IFERROR(MAX(O166-LARGE(O$3:O$231,WRStarters),0),0)</f>
        <v>0</v>
      </c>
      <c r="R166" s="47">
        <f ca="1">IFERROR(IF(AllowNegative="Yes",O166-LARGE(O$3:O$231,WRCount),MAX(O166-LARGE(O$3:O$231,WRCount),0)),0)</f>
        <v>-80.240000000000009</v>
      </c>
      <c r="S166" s="108">
        <f ca="1">(R166-Q166)*BenchPF+Q166*StarterPF</f>
        <v>-19.217146935138562</v>
      </c>
      <c r="T166" s="108">
        <f ca="1">S166*Auction!$A$2</f>
        <v>-19.217146935138562</v>
      </c>
      <c r="U166" s="25" t="str">
        <f>IF(OR(INDEX(Auction!$H$13:$H$683,MATCH(B166,Auction!$A$13:$A$683,0))&gt;0,IFERROR(INDEX(CheatSheet!$V$5:$V$64,MATCH(B166,CheatSheet!$S$5:$S$64,0)),"")&lt;&gt;""),"Yes","No")</f>
        <v>No</v>
      </c>
      <c r="V166" s="218"/>
      <c r="W166" s="1"/>
      <c r="X166" s="143">
        <f ca="1">IFERROR(SUMIFS($Y$3:$Y394,$Y$3:$Y$231,"&gt;0",$U$3:$U$231,"No")/SUMIF($Y$3:$Y$231,"&gt;0"),0)</f>
        <v>0</v>
      </c>
      <c r="Y166" s="1">
        <f t="shared" ca="1" si="2"/>
        <v>-40.120000000000005</v>
      </c>
      <c r="Z166" s="145" t="str">
        <f ca="1">CONCATENATE("WR",ROUND((LARGE($Y$3:$Y$231,1)-$Y166)/(STDEVP($Y$3:$Y$231)/2)+1,0))</f>
        <v>WR10</v>
      </c>
      <c r="AA166" s="1">
        <f ca="1">Y166*LeagueInfo!$H$5</f>
        <v>-18.348518040232531</v>
      </c>
      <c r="AB166" s="1"/>
      <c r="AC166" s="1"/>
    </row>
    <row r="167" spans="1:29" ht="15.75" thickBot="1" x14ac:dyDescent="0.3">
      <c r="A167" s="47">
        <f>RANK(O167,O$3:O$231)</f>
        <v>165</v>
      </c>
      <c r="B167" s="1" t="s">
        <v>636</v>
      </c>
      <c r="C167" s="1" t="s">
        <v>39</v>
      </c>
      <c r="D167" s="1">
        <f>VLOOKUP(E167,BYEs!$A$2:$B$34,2,FALSE)</f>
        <v>6</v>
      </c>
      <c r="E167" s="1" t="s">
        <v>364</v>
      </c>
      <c r="F167" s="249">
        <v>0</v>
      </c>
      <c r="G167" s="250">
        <v>0</v>
      </c>
      <c r="H167" s="251">
        <v>0.2</v>
      </c>
      <c r="I167" s="251">
        <v>2.7</v>
      </c>
      <c r="J167" s="251">
        <v>0</v>
      </c>
      <c r="K167" s="249">
        <v>4.7</v>
      </c>
      <c r="L167" s="247">
        <v>67.8</v>
      </c>
      <c r="M167" s="250">
        <v>0.4</v>
      </c>
      <c r="N167" s="251">
        <v>0.1</v>
      </c>
      <c r="O167" s="252">
        <f>(I167*WRRushingYd)+(J167*WRRushingTD)+(K167*WRRec)+(L167*WRRecYd)+(M167*WRRecTD)+(N167*WRFuml)+(H167*WRRushAtt)</f>
        <v>9.2500000000000018</v>
      </c>
      <c r="P167" s="1" t="str">
        <f ca="1">IF(A167&lt;=WRStarters,"Starter",IF(A167&gt;WRStarters+WRBench,"Undrafted","Bench"))</f>
        <v>Undrafted</v>
      </c>
      <c r="Q167" s="47">
        <f ca="1">IFERROR(MAX(O167-LARGE(O$3:O$231,WRStarters),0),0)</f>
        <v>0</v>
      </c>
      <c r="R167" s="47">
        <f ca="1">IFERROR(IF(AllowNegative="Yes",O167-LARGE(O$3:O$231,WRCount),MAX(O167-LARGE(O$3:O$231,WRCount),0)),0)</f>
        <v>-80.37</v>
      </c>
      <c r="S167" s="108">
        <f ca="1">(R167-Q167)*BenchPF+Q167*StarterPF</f>
        <v>-19.248281395526995</v>
      </c>
      <c r="T167" s="108">
        <f ca="1">S167*Auction!$A$2</f>
        <v>-19.248281395526995</v>
      </c>
      <c r="U167" s="25" t="str">
        <f>IF(OR(INDEX(Auction!$H$13:$H$683,MATCH(B167,Auction!$A$13:$A$683,0))&gt;0,IFERROR(INDEX(CheatSheet!$V$5:$V$64,MATCH(B167,CheatSheet!$S$5:$S$64,0)),"")&lt;&gt;""),"Yes","No")</f>
        <v>No</v>
      </c>
      <c r="V167" s="218"/>
      <c r="W167" s="1"/>
      <c r="X167" s="143">
        <f ca="1">IFERROR(SUMIFS($Y$3:$Y395,$Y$3:$Y$231,"&gt;0",$U$3:$U$231,"No")/SUMIF($Y$3:$Y$231,"&gt;0"),0)</f>
        <v>0</v>
      </c>
      <c r="Y167" s="1">
        <f t="shared" ca="1" si="2"/>
        <v>-40.185000000000002</v>
      </c>
      <c r="Z167" s="145" t="str">
        <f ca="1">CONCATENATE("WR",ROUND((LARGE($Y$3:$Y$231,1)-$Y167)/(STDEVP($Y$3:$Y$231)/2)+1,0))</f>
        <v>WR10</v>
      </c>
      <c r="AA167" s="1">
        <f ca="1">Y167*LeagueInfo!$H$5</f>
        <v>-18.378245200566905</v>
      </c>
      <c r="AB167" s="1"/>
      <c r="AC167" s="1"/>
    </row>
    <row r="168" spans="1:29" ht="15.75" thickBot="1" x14ac:dyDescent="0.3">
      <c r="A168" s="47">
        <f>RANK(O168,O$3:O$231)</f>
        <v>166</v>
      </c>
      <c r="B168" s="1" t="s">
        <v>665</v>
      </c>
      <c r="C168" s="1" t="s">
        <v>39</v>
      </c>
      <c r="D168" s="1">
        <f>VLOOKUP(E168,BYEs!$A$2:$B$34,2,FALSE)</f>
        <v>11</v>
      </c>
      <c r="E168" s="1" t="s">
        <v>355</v>
      </c>
      <c r="F168" s="249">
        <v>0</v>
      </c>
      <c r="G168" s="250">
        <v>0</v>
      </c>
      <c r="H168" s="251">
        <v>0.1</v>
      </c>
      <c r="I168" s="251">
        <v>0.5</v>
      </c>
      <c r="J168" s="251">
        <v>0</v>
      </c>
      <c r="K168" s="249">
        <v>5.8</v>
      </c>
      <c r="L168" s="247">
        <v>73.7</v>
      </c>
      <c r="M168" s="250">
        <v>0.3</v>
      </c>
      <c r="N168" s="251">
        <v>0</v>
      </c>
      <c r="O168" s="252">
        <f>(I168*WRRushingYd)+(J168*WRRushingTD)+(K168*WRRec)+(L168*WRRecYd)+(M168*WRRecTD)+(N168*WRFuml)+(H168*WRRushAtt)</f>
        <v>9.2200000000000006</v>
      </c>
      <c r="P168" s="1" t="str">
        <f ca="1">IF(A168&lt;=WRStarters,"Starter",IF(A168&gt;WRStarters+WRBench,"Undrafted","Bench"))</f>
        <v>Undrafted</v>
      </c>
      <c r="Q168" s="47">
        <f ca="1">IFERROR(MAX(O168-LARGE(O$3:O$231,WRStarters),0),0)</f>
        <v>0</v>
      </c>
      <c r="R168" s="47">
        <f ca="1">IFERROR(IF(AllowNegative="Yes",O168-LARGE(O$3:O$231,WRCount),MAX(O168-LARGE(O$3:O$231,WRCount),0)),0)</f>
        <v>-80.400000000000006</v>
      </c>
      <c r="S168" s="108">
        <f ca="1">(R168-Q168)*BenchPF+Q168*StarterPF</f>
        <v>-19.25546627100125</v>
      </c>
      <c r="T168" s="108">
        <f ca="1">S168*Auction!$A$2</f>
        <v>-19.25546627100125</v>
      </c>
      <c r="U168" s="25" t="str">
        <f>IF(OR(INDEX(Auction!$H$13:$H$683,MATCH(B168,Auction!$A$13:$A$683,0))&gt;0,IFERROR(INDEX(CheatSheet!$V$5:$V$64,MATCH(B168,CheatSheet!$S$5:$S$64,0)),"")&lt;&gt;""),"Yes","No")</f>
        <v>No</v>
      </c>
      <c r="V168" s="218"/>
      <c r="W168" s="1"/>
      <c r="X168" s="143">
        <f ca="1">IFERROR(SUMIFS($Y$3:$Y396,$Y$3:$Y$231,"&gt;0",$U$3:$U$231,"No")/SUMIF($Y$3:$Y$231,"&gt;0"),0)</f>
        <v>0</v>
      </c>
      <c r="Y168" s="1">
        <f t="shared" ca="1" si="2"/>
        <v>-40.200000000000003</v>
      </c>
      <c r="Z168" s="145" t="str">
        <f ca="1">CONCATENATE("WR",ROUND((LARGE($Y$3:$Y$231,1)-$Y168)/(STDEVP($Y$3:$Y$231)/2)+1,0))</f>
        <v>WR10</v>
      </c>
      <c r="AA168" s="1">
        <f ca="1">Y168*LeagueInfo!$H$5</f>
        <v>-18.385105314490222</v>
      </c>
      <c r="AB168" s="1"/>
      <c r="AC168" s="1"/>
    </row>
    <row r="169" spans="1:29" ht="15.75" thickBot="1" x14ac:dyDescent="0.3">
      <c r="A169" s="47">
        <f>RANK(O169,O$3:O$231)</f>
        <v>167</v>
      </c>
      <c r="B169" s="1" t="s">
        <v>648</v>
      </c>
      <c r="C169" s="1" t="s">
        <v>39</v>
      </c>
      <c r="D169" s="1">
        <f>VLOOKUP(E169,BYEs!$A$2:$B$34,2,FALSE)</f>
        <v>8</v>
      </c>
      <c r="E169" s="1" t="s">
        <v>359</v>
      </c>
      <c r="F169" s="249">
        <v>0</v>
      </c>
      <c r="G169" s="250">
        <v>0</v>
      </c>
      <c r="H169" s="251">
        <v>0</v>
      </c>
      <c r="I169" s="251">
        <v>0</v>
      </c>
      <c r="J169" s="251">
        <v>0</v>
      </c>
      <c r="K169" s="249">
        <v>5.4</v>
      </c>
      <c r="L169" s="247">
        <v>65.599999999999994</v>
      </c>
      <c r="M169" s="250">
        <v>0.4</v>
      </c>
      <c r="N169" s="251">
        <v>0</v>
      </c>
      <c r="O169" s="252">
        <f>(I169*WRRushingYd)+(J169*WRRushingTD)+(K169*WRRec)+(L169*WRRecYd)+(M169*WRRecTD)+(N169*WRFuml)+(H169*WRRushAtt)</f>
        <v>8.9600000000000009</v>
      </c>
      <c r="P169" s="1" t="str">
        <f ca="1">IF(A169&lt;=WRStarters,"Starter",IF(A169&gt;WRStarters+WRBench,"Undrafted","Bench"))</f>
        <v>Undrafted</v>
      </c>
      <c r="Q169" s="47">
        <f ca="1">IFERROR(MAX(O169-LARGE(O$3:O$231,WRStarters),0),0)</f>
        <v>0</v>
      </c>
      <c r="R169" s="47">
        <f ca="1">IFERROR(IF(AllowNegative="Yes",O169-LARGE(O$3:O$231,WRCount),MAX(O169-LARGE(O$3:O$231,WRCount),0)),0)</f>
        <v>-80.66</v>
      </c>
      <c r="S169" s="108">
        <f ca="1">(R169-Q169)*BenchPF+Q169*StarterPF</f>
        <v>-19.317735191778116</v>
      </c>
      <c r="T169" s="108">
        <f ca="1">S169*Auction!$A$2</f>
        <v>-19.317735191778116</v>
      </c>
      <c r="U169" s="25" t="str">
        <f>IF(OR(INDEX(Auction!$H$13:$H$683,MATCH(B169,Auction!$A$13:$A$683,0))&gt;0,IFERROR(INDEX(CheatSheet!$V$5:$V$64,MATCH(B169,CheatSheet!$S$5:$S$64,0)),"")&lt;&gt;""),"Yes","No")</f>
        <v>No</v>
      </c>
      <c r="V169" s="218"/>
      <c r="W169" s="1"/>
      <c r="X169" s="143">
        <f ca="1">IFERROR(SUMIFS($Y$3:$Y397,$Y$3:$Y$231,"&gt;0",$U$3:$U$231,"No")/SUMIF($Y$3:$Y$231,"&gt;0"),0)</f>
        <v>0</v>
      </c>
      <c r="Y169" s="1">
        <f t="shared" ca="1" si="2"/>
        <v>-40.33</v>
      </c>
      <c r="Z169" s="145" t="str">
        <f ca="1">CONCATENATE("WR",ROUND((LARGE($Y$3:$Y$231,1)-$Y169)/(STDEVP($Y$3:$Y$231)/2)+1,0))</f>
        <v>WR10</v>
      </c>
      <c r="AA169" s="1">
        <f ca="1">Y169*LeagueInfo!$H$5</f>
        <v>-18.444559635158967</v>
      </c>
      <c r="AB169" s="1"/>
      <c r="AC169" s="1"/>
    </row>
    <row r="170" spans="1:29" ht="15.75" thickBot="1" x14ac:dyDescent="0.3">
      <c r="A170" s="47">
        <f>RANK(O170,O$3:O$231)</f>
        <v>168</v>
      </c>
      <c r="B170" s="1" t="s">
        <v>667</v>
      </c>
      <c r="C170" s="1" t="s">
        <v>39</v>
      </c>
      <c r="D170" s="1">
        <f>VLOOKUP(E170,BYEs!$A$2:$B$34,2,FALSE)</f>
        <v>8</v>
      </c>
      <c r="E170" s="1" t="s">
        <v>359</v>
      </c>
      <c r="F170" s="249">
        <v>0</v>
      </c>
      <c r="G170" s="250">
        <v>0</v>
      </c>
      <c r="H170" s="251">
        <v>0</v>
      </c>
      <c r="I170" s="251">
        <v>0</v>
      </c>
      <c r="J170" s="251">
        <v>0</v>
      </c>
      <c r="K170" s="249">
        <v>6</v>
      </c>
      <c r="L170" s="247">
        <v>71.5</v>
      </c>
      <c r="M170" s="250">
        <v>0.3</v>
      </c>
      <c r="N170" s="251">
        <v>0</v>
      </c>
      <c r="O170" s="252">
        <f>(I170*WRRushingYd)+(J170*WRRushingTD)+(K170*WRRec)+(L170*WRRecYd)+(M170*WRRecTD)+(N170*WRFuml)+(H170*WRRushAtt)</f>
        <v>8.9499999999999993</v>
      </c>
      <c r="P170" s="1" t="str">
        <f ca="1">IF(A170&lt;=WRStarters,"Starter",IF(A170&gt;WRStarters+WRBench,"Undrafted","Bench"))</f>
        <v>Undrafted</v>
      </c>
      <c r="Q170" s="47">
        <f ca="1">IFERROR(MAX(O170-LARGE(O$3:O$231,WRStarters),0),0)</f>
        <v>0</v>
      </c>
      <c r="R170" s="47">
        <f ca="1">IFERROR(IF(AllowNegative="Yes",O170-LARGE(O$3:O$231,WRCount),MAX(O170-LARGE(O$3:O$231,WRCount),0)),0)</f>
        <v>-80.67</v>
      </c>
      <c r="S170" s="108">
        <f ca="1">(R170-Q170)*BenchPF+Q170*StarterPF</f>
        <v>-19.320130150269538</v>
      </c>
      <c r="T170" s="108">
        <f ca="1">S170*Auction!$A$2</f>
        <v>-19.320130150269538</v>
      </c>
      <c r="U170" s="25" t="str">
        <f>IF(OR(INDEX(Auction!$H$13:$H$683,MATCH(B170,Auction!$A$13:$A$683,0))&gt;0,IFERROR(INDEX(CheatSheet!$V$5:$V$64,MATCH(B170,CheatSheet!$S$5:$S$64,0)),"")&lt;&gt;""),"Yes","No")</f>
        <v>No</v>
      </c>
      <c r="V170" s="218"/>
      <c r="W170" s="1"/>
      <c r="X170" s="143">
        <f ca="1">IFERROR(SUMIFS($Y$3:$Y398,$Y$3:$Y$231,"&gt;0",$U$3:$U$231,"No")/SUMIF($Y$3:$Y$231,"&gt;0"),0)</f>
        <v>0</v>
      </c>
      <c r="Y170" s="1">
        <f t="shared" ca="1" si="2"/>
        <v>-40.335000000000001</v>
      </c>
      <c r="Z170" s="145" t="str">
        <f ca="1">CONCATENATE("WR",ROUND((LARGE($Y$3:$Y$231,1)-$Y170)/(STDEVP($Y$3:$Y$231)/2)+1,0))</f>
        <v>WR10</v>
      </c>
      <c r="AA170" s="1">
        <f ca="1">Y170*LeagueInfo!$H$5</f>
        <v>-18.446846339800075</v>
      </c>
      <c r="AB170" s="1"/>
      <c r="AC170" s="1"/>
    </row>
    <row r="171" spans="1:29" ht="15.75" thickBot="1" x14ac:dyDescent="0.3">
      <c r="A171" s="47">
        <f>RANK(O171,O$3:O$231)</f>
        <v>169</v>
      </c>
      <c r="B171" s="1" t="s">
        <v>668</v>
      </c>
      <c r="C171" s="1" t="s">
        <v>39</v>
      </c>
      <c r="D171" s="1">
        <f>VLOOKUP(E171,BYEs!$A$2:$B$34,2,FALSE)</f>
        <v>8</v>
      </c>
      <c r="E171" s="1" t="s">
        <v>367</v>
      </c>
      <c r="F171" s="249">
        <v>0</v>
      </c>
      <c r="G171" s="250">
        <v>0</v>
      </c>
      <c r="H171" s="251">
        <v>0</v>
      </c>
      <c r="I171" s="251">
        <v>0</v>
      </c>
      <c r="J171" s="251">
        <v>0</v>
      </c>
      <c r="K171" s="249">
        <v>7.2</v>
      </c>
      <c r="L171" s="247">
        <v>82.9</v>
      </c>
      <c r="M171" s="250">
        <v>0.1</v>
      </c>
      <c r="N171" s="251">
        <v>0</v>
      </c>
      <c r="O171" s="252">
        <f>(I171*WRRushingYd)+(J171*WRRushingTD)+(K171*WRRec)+(L171*WRRecYd)+(M171*WRRecTD)+(N171*WRFuml)+(H171*WRRushAtt)</f>
        <v>8.89</v>
      </c>
      <c r="P171" s="1" t="str">
        <f ca="1">IF(A171&lt;=WRStarters,"Starter",IF(A171&gt;WRStarters+WRBench,"Undrafted","Bench"))</f>
        <v>Undrafted</v>
      </c>
      <c r="Q171" s="47">
        <f ca="1">IFERROR(MAX(O171-LARGE(O$3:O$231,WRStarters),0),0)</f>
        <v>0</v>
      </c>
      <c r="R171" s="47">
        <f ca="1">IFERROR(IF(AllowNegative="Yes",O171-LARGE(O$3:O$231,WRCount),MAX(O171-LARGE(O$3:O$231,WRCount),0)),0)</f>
        <v>-80.73</v>
      </c>
      <c r="S171" s="108">
        <f ca="1">(R171-Q171)*BenchPF+Q171*StarterPF</f>
        <v>-19.334499901218045</v>
      </c>
      <c r="T171" s="108">
        <f ca="1">S171*Auction!$A$2</f>
        <v>-19.334499901218045</v>
      </c>
      <c r="U171" s="25" t="str">
        <f>IF(OR(INDEX(Auction!$H$13:$H$683,MATCH(B171,Auction!$A$13:$A$683,0))&gt;0,IFERROR(INDEX(CheatSheet!$V$5:$V$64,MATCH(B171,CheatSheet!$S$5:$S$64,0)),"")&lt;&gt;""),"Yes","No")</f>
        <v>No</v>
      </c>
      <c r="V171" s="218"/>
      <c r="W171" s="1"/>
      <c r="X171" s="143">
        <f ca="1">IFERROR(SUMIFS($Y$3:$Y399,$Y$3:$Y$231,"&gt;0",$U$3:$U$231,"No")/SUMIF($Y$3:$Y$231,"&gt;0"),0)</f>
        <v>0</v>
      </c>
      <c r="Y171" s="1">
        <f t="shared" ca="1" si="2"/>
        <v>-40.365000000000002</v>
      </c>
      <c r="Z171" s="145" t="str">
        <f ca="1">CONCATENATE("WR",ROUND((LARGE($Y$3:$Y$231,1)-$Y171)/(STDEVP($Y$3:$Y$231)/2)+1,0))</f>
        <v>WR10</v>
      </c>
      <c r="AA171" s="1">
        <f ca="1">Y171*LeagueInfo!$H$5</f>
        <v>-18.460566567646712</v>
      </c>
      <c r="AB171" s="1"/>
      <c r="AC171" s="1"/>
    </row>
    <row r="172" spans="1:29" ht="15.75" thickBot="1" x14ac:dyDescent="0.3">
      <c r="A172" s="47">
        <f>RANK(O172,O$3:O$231)</f>
        <v>170</v>
      </c>
      <c r="B172" s="1" t="s">
        <v>669</v>
      </c>
      <c r="C172" s="1" t="s">
        <v>39</v>
      </c>
      <c r="D172" s="1">
        <f>VLOOKUP(E172,BYEs!$A$2:$B$34,2,FALSE)</f>
        <v>8</v>
      </c>
      <c r="E172" s="1" t="s">
        <v>367</v>
      </c>
      <c r="F172" s="249">
        <v>0</v>
      </c>
      <c r="G172" s="250">
        <v>0</v>
      </c>
      <c r="H172" s="251">
        <v>0</v>
      </c>
      <c r="I172" s="251">
        <v>0</v>
      </c>
      <c r="J172" s="251">
        <v>0</v>
      </c>
      <c r="K172" s="249">
        <v>3</v>
      </c>
      <c r="L172" s="247">
        <v>60.4</v>
      </c>
      <c r="M172" s="250">
        <v>0.5</v>
      </c>
      <c r="N172" s="251">
        <v>0.1</v>
      </c>
      <c r="O172" s="252">
        <f>(I172*WRRushingYd)+(J172*WRRushingTD)+(K172*WRRec)+(L172*WRRecYd)+(M172*WRRecTD)+(N172*WRFuml)+(H172*WRRushAtt)</f>
        <v>8.84</v>
      </c>
      <c r="P172" s="1" t="str">
        <f ca="1">IF(A172&lt;=WRStarters,"Starter",IF(A172&gt;WRStarters+WRBench,"Undrafted","Bench"))</f>
        <v>Undrafted</v>
      </c>
      <c r="Q172" s="47">
        <f ca="1">IFERROR(MAX(O172-LARGE(O$3:O$231,WRStarters),0),0)</f>
        <v>0</v>
      </c>
      <c r="R172" s="47">
        <f ca="1">IFERROR(IF(AllowNegative="Yes",O172-LARGE(O$3:O$231,WRCount),MAX(O172-LARGE(O$3:O$231,WRCount),0)),0)</f>
        <v>-80.78</v>
      </c>
      <c r="S172" s="108">
        <f ca="1">(R172-Q172)*BenchPF+Q172*StarterPF</f>
        <v>-19.346474693675134</v>
      </c>
      <c r="T172" s="108">
        <f ca="1">S172*Auction!$A$2</f>
        <v>-19.346474693675134</v>
      </c>
      <c r="U172" s="25" t="str">
        <f>IF(OR(INDEX(Auction!$H$13:$H$683,MATCH(B172,Auction!$A$13:$A$683,0))&gt;0,IFERROR(INDEX(CheatSheet!$V$5:$V$64,MATCH(B172,CheatSheet!$S$5:$S$64,0)),"")&lt;&gt;""),"Yes","No")</f>
        <v>No</v>
      </c>
      <c r="V172" s="218"/>
      <c r="W172" s="1"/>
      <c r="X172" s="143">
        <f ca="1">IFERROR(SUMIFS($Y$3:$Y400,$Y$3:$Y$231,"&gt;0",$U$3:$U$231,"No")/SUMIF($Y$3:$Y$231,"&gt;0"),0)</f>
        <v>0</v>
      </c>
      <c r="Y172" s="1">
        <f t="shared" ca="1" si="2"/>
        <v>-40.39</v>
      </c>
      <c r="Z172" s="145" t="str">
        <f ca="1">CONCATENATE("WR",ROUND((LARGE($Y$3:$Y$231,1)-$Y172)/(STDEVP($Y$3:$Y$231)/2)+1,0))</f>
        <v>WR10</v>
      </c>
      <c r="AA172" s="1">
        <f ca="1">Y172*LeagueInfo!$H$5</f>
        <v>-18.472000090852237</v>
      </c>
      <c r="AB172" s="1"/>
      <c r="AC172" s="1"/>
    </row>
    <row r="173" spans="1:29" ht="15.75" thickBot="1" x14ac:dyDescent="0.3">
      <c r="A173" s="47">
        <f>RANK(O173,O$3:O$231)</f>
        <v>171</v>
      </c>
      <c r="B173" s="1" t="s">
        <v>670</v>
      </c>
      <c r="C173" s="1" t="s">
        <v>39</v>
      </c>
      <c r="D173" s="1">
        <f>VLOOKUP(E173,BYEs!$A$2:$B$34,2,FALSE)</f>
        <v>5</v>
      </c>
      <c r="E173" s="1" t="s">
        <v>352</v>
      </c>
      <c r="F173" s="249">
        <v>0</v>
      </c>
      <c r="G173" s="250">
        <v>0</v>
      </c>
      <c r="H173" s="251">
        <v>0</v>
      </c>
      <c r="I173" s="251">
        <v>0</v>
      </c>
      <c r="J173" s="251">
        <v>0</v>
      </c>
      <c r="K173" s="249">
        <v>5.0999999999999996</v>
      </c>
      <c r="L173" s="247">
        <v>65</v>
      </c>
      <c r="M173" s="250">
        <v>0.4</v>
      </c>
      <c r="N173" s="251">
        <v>0.1</v>
      </c>
      <c r="O173" s="252">
        <f>(I173*WRRushingYd)+(J173*WRRushingTD)+(K173*WRRec)+(L173*WRRecYd)+(M173*WRRecTD)+(N173*WRFuml)+(H173*WRRushAtt)</f>
        <v>8.7000000000000011</v>
      </c>
      <c r="P173" s="1" t="str">
        <f ca="1">IF(A173&lt;=WRStarters,"Starter",IF(A173&gt;WRStarters+WRBench,"Undrafted","Bench"))</f>
        <v>Undrafted</v>
      </c>
      <c r="Q173" s="47">
        <f ca="1">IFERROR(MAX(O173-LARGE(O$3:O$231,WRStarters),0),0)</f>
        <v>0</v>
      </c>
      <c r="R173" s="47">
        <f ca="1">IFERROR(IF(AllowNegative="Yes",O173-LARGE(O$3:O$231,WRCount),MAX(O173-LARGE(O$3:O$231,WRCount),0)),0)</f>
        <v>-80.92</v>
      </c>
      <c r="S173" s="108">
        <f ca="1">(R173-Q173)*BenchPF+Q173*StarterPF</f>
        <v>-19.380004112554989</v>
      </c>
      <c r="T173" s="108">
        <f ca="1">S173*Auction!$A$2</f>
        <v>-19.380004112554989</v>
      </c>
      <c r="U173" s="25" t="str">
        <f>IF(OR(INDEX(Auction!$H$13:$H$683,MATCH(B173,Auction!$A$13:$A$683,0))&gt;0,IFERROR(INDEX(CheatSheet!$V$5:$V$64,MATCH(B173,CheatSheet!$S$5:$S$64,0)),"")&lt;&gt;""),"Yes","No")</f>
        <v>No</v>
      </c>
      <c r="V173" s="218"/>
      <c r="W173" s="1"/>
      <c r="X173" s="143">
        <f ca="1">IFERROR(SUMIFS($Y$3:$Y401,$Y$3:$Y$231,"&gt;0",$U$3:$U$231,"No")/SUMIF($Y$3:$Y$231,"&gt;0"),0)</f>
        <v>0</v>
      </c>
      <c r="Y173" s="1">
        <f t="shared" ca="1" si="2"/>
        <v>-40.46</v>
      </c>
      <c r="Z173" s="145" t="str">
        <f ca="1">CONCATENATE("WR",ROUND((LARGE($Y$3:$Y$231,1)-$Y173)/(STDEVP($Y$3:$Y$231)/2)+1,0))</f>
        <v>WR10</v>
      </c>
      <c r="AA173" s="1">
        <f ca="1">Y173*LeagueInfo!$H$5</f>
        <v>-18.50401395582772</v>
      </c>
      <c r="AB173" s="1"/>
      <c r="AC173" s="1"/>
    </row>
    <row r="174" spans="1:29" ht="15.75" thickBot="1" x14ac:dyDescent="0.3">
      <c r="A174" s="47">
        <f>RANK(O174,O$3:O$231)</f>
        <v>171</v>
      </c>
      <c r="B174" s="1" t="s">
        <v>671</v>
      </c>
      <c r="C174" s="1" t="s">
        <v>39</v>
      </c>
      <c r="D174" s="1">
        <f>VLOOKUP(E174,BYEs!$A$2:$B$34,2,FALSE)</f>
        <v>6</v>
      </c>
      <c r="E174" s="1" t="s">
        <v>354</v>
      </c>
      <c r="F174" s="249">
        <v>0</v>
      </c>
      <c r="G174" s="250">
        <v>0</v>
      </c>
      <c r="H174" s="251">
        <v>0</v>
      </c>
      <c r="I174" s="251">
        <v>0</v>
      </c>
      <c r="J174" s="251">
        <v>0</v>
      </c>
      <c r="K174" s="249">
        <v>5</v>
      </c>
      <c r="L174" s="247">
        <v>63</v>
      </c>
      <c r="M174" s="250">
        <v>0.4</v>
      </c>
      <c r="N174" s="251">
        <v>0</v>
      </c>
      <c r="O174" s="252">
        <f>(I174*WRRushingYd)+(J174*WRRushingTD)+(K174*WRRec)+(L174*WRRecYd)+(M174*WRRecTD)+(N174*WRFuml)+(H174*WRRushAtt)</f>
        <v>8.7000000000000011</v>
      </c>
      <c r="P174" s="1" t="str">
        <f ca="1">IF(A174&lt;=WRStarters,"Starter",IF(A174&gt;WRStarters+WRBench,"Undrafted","Bench"))</f>
        <v>Undrafted</v>
      </c>
      <c r="Q174" s="47">
        <f ca="1">IFERROR(MAX(O174-LARGE(O$3:O$231,WRStarters),0),0)</f>
        <v>0</v>
      </c>
      <c r="R174" s="47">
        <f ca="1">IFERROR(IF(AllowNegative="Yes",O174-LARGE(O$3:O$231,WRCount),MAX(O174-LARGE(O$3:O$231,WRCount),0)),0)</f>
        <v>-80.92</v>
      </c>
      <c r="S174" s="108">
        <f ca="1">(R174-Q174)*BenchPF+Q174*StarterPF</f>
        <v>-19.380004112554989</v>
      </c>
      <c r="T174" s="108">
        <f ca="1">S174*Auction!$A$2</f>
        <v>-19.380004112554989</v>
      </c>
      <c r="U174" s="25" t="str">
        <f>IF(OR(INDEX(Auction!$H$13:$H$683,MATCH(B174,Auction!$A$13:$A$683,0))&gt;0,IFERROR(INDEX(CheatSheet!$V$5:$V$64,MATCH(B174,CheatSheet!$S$5:$S$64,0)),"")&lt;&gt;""),"Yes","No")</f>
        <v>No</v>
      </c>
      <c r="V174" s="218"/>
      <c r="W174" s="1"/>
      <c r="X174" s="143">
        <f ca="1">IFERROR(SUMIFS($Y$3:$Y402,$Y$3:$Y$231,"&gt;0",$U$3:$U$231,"No")/SUMIF($Y$3:$Y$231,"&gt;0"),0)</f>
        <v>0</v>
      </c>
      <c r="Y174" s="1">
        <f t="shared" ca="1" si="2"/>
        <v>-40.46</v>
      </c>
      <c r="Z174" s="145" t="str">
        <f ca="1">CONCATENATE("WR",ROUND((LARGE($Y$3:$Y$231,1)-$Y174)/(STDEVP($Y$3:$Y$231)/2)+1,0))</f>
        <v>WR10</v>
      </c>
      <c r="AA174" s="1">
        <f ca="1">Y174*LeagueInfo!$H$5</f>
        <v>-18.50401395582772</v>
      </c>
      <c r="AB174" s="1"/>
      <c r="AC174" s="1"/>
    </row>
    <row r="175" spans="1:29" ht="15.75" thickBot="1" x14ac:dyDescent="0.3">
      <c r="A175" s="47">
        <f>RANK(O175,O$3:O$231)</f>
        <v>173</v>
      </c>
      <c r="B175" s="1" t="s">
        <v>655</v>
      </c>
      <c r="C175" s="1" t="s">
        <v>39</v>
      </c>
      <c r="D175" s="1">
        <f>VLOOKUP(E175,BYEs!$A$2:$B$34,2,FALSE)</f>
        <v>11</v>
      </c>
      <c r="E175" s="1" t="s">
        <v>356</v>
      </c>
      <c r="F175" s="249">
        <v>0</v>
      </c>
      <c r="G175" s="250">
        <v>0</v>
      </c>
      <c r="H175" s="1">
        <v>0</v>
      </c>
      <c r="I175" s="1">
        <v>0</v>
      </c>
      <c r="J175" s="1">
        <v>0</v>
      </c>
      <c r="K175" s="12">
        <v>4.2</v>
      </c>
      <c r="L175" s="1">
        <v>64.599999999999994</v>
      </c>
      <c r="M175" s="10">
        <v>0.4</v>
      </c>
      <c r="N175" s="1">
        <v>0.1</v>
      </c>
      <c r="O175" s="252">
        <f>(I175*WRRushingYd)+(J175*WRRushingTD)+(K175*WRRec)+(L175*WRRecYd)+(M175*WRRecTD)+(N175*WRFuml)+(H175*WRRushAtt)</f>
        <v>8.66</v>
      </c>
      <c r="P175" s="1" t="str">
        <f ca="1">IF(A175&lt;=WRStarters,"Starter",IF(A175&gt;WRStarters+WRBench,"Undrafted","Bench"))</f>
        <v>Undrafted</v>
      </c>
      <c r="Q175" s="47">
        <f ca="1">IFERROR(MAX(O175-LARGE(O$3:O$231,WRStarters),0),0)</f>
        <v>0</v>
      </c>
      <c r="R175" s="47">
        <f ca="1">IFERROR(IF(AllowNegative="Yes",O175-LARGE(O$3:O$231,WRCount),MAX(O175-LARGE(O$3:O$231,WRCount),0)),0)</f>
        <v>-80.960000000000008</v>
      </c>
      <c r="S175" s="108">
        <f ca="1">(R175-Q175)*BenchPF+Q175*StarterPF</f>
        <v>-19.389583946520663</v>
      </c>
      <c r="T175" s="108">
        <f ca="1">S175*Auction!$A$2</f>
        <v>-19.389583946520663</v>
      </c>
      <c r="U175" s="25" t="str">
        <f>IF(OR(INDEX(Auction!$H$13:$H$683,MATCH(B175,Auction!$A$13:$A$683,0))&gt;0,IFERROR(INDEX(CheatSheet!$V$5:$V$64,MATCH(B175,CheatSheet!$S$5:$S$64,0)),"")&lt;&gt;""),"Yes","No")</f>
        <v>No</v>
      </c>
      <c r="V175" s="218"/>
      <c r="W175" s="1"/>
      <c r="X175" s="143">
        <f ca="1">IFERROR(SUMIFS($Y$3:$Y403,$Y$3:$Y$231,"&gt;0",$U$3:$U$231,"No")/SUMIF($Y$3:$Y$231,"&gt;0"),0)</f>
        <v>0</v>
      </c>
      <c r="Y175" s="1">
        <f t="shared" ca="1" si="2"/>
        <v>-40.480000000000004</v>
      </c>
      <c r="Z175" s="145" t="str">
        <f ca="1">CONCATENATE("WR",ROUND((LARGE($Y$3:$Y$231,1)-$Y175)/(STDEVP($Y$3:$Y$231)/2)+1,0))</f>
        <v>WR10</v>
      </c>
      <c r="AA175" s="1">
        <f ca="1">Y175*LeagueInfo!$H$5</f>
        <v>-18.513160774392144</v>
      </c>
      <c r="AB175" s="1"/>
      <c r="AC175" s="1"/>
    </row>
    <row r="176" spans="1:29" ht="15.75" thickBot="1" x14ac:dyDescent="0.3">
      <c r="A176" s="47">
        <f>RANK(O176,O$3:O$231)</f>
        <v>174</v>
      </c>
      <c r="B176" s="1" t="s">
        <v>672</v>
      </c>
      <c r="C176" s="1" t="s">
        <v>39</v>
      </c>
      <c r="D176" s="1">
        <f>VLOOKUP(E176,BYEs!$A$2:$B$34,2,FALSE)</f>
        <v>8</v>
      </c>
      <c r="E176" s="1" t="s">
        <v>367</v>
      </c>
      <c r="F176" s="249">
        <v>0</v>
      </c>
      <c r="G176" s="250">
        <v>0</v>
      </c>
      <c r="H176" s="251">
        <v>0</v>
      </c>
      <c r="I176" s="251">
        <v>0</v>
      </c>
      <c r="J176" s="251">
        <v>0</v>
      </c>
      <c r="K176" s="249">
        <v>6.2</v>
      </c>
      <c r="L176" s="247">
        <v>68.2</v>
      </c>
      <c r="M176" s="250">
        <v>0.3</v>
      </c>
      <c r="N176" s="251">
        <v>0</v>
      </c>
      <c r="O176" s="252">
        <f>(I176*WRRushingYd)+(J176*WRRushingTD)+(K176*WRRec)+(L176*WRRecYd)+(M176*WRRecTD)+(N176*WRFuml)+(H176*WRRushAtt)</f>
        <v>8.620000000000001</v>
      </c>
      <c r="P176" s="1" t="str">
        <f ca="1">IF(A176&lt;=WRStarters,"Starter",IF(A176&gt;WRStarters+WRBench,"Undrafted","Bench"))</f>
        <v>Undrafted</v>
      </c>
      <c r="Q176" s="47">
        <f ca="1">IFERROR(MAX(O176-LARGE(O$3:O$231,WRStarters),0),0)</f>
        <v>0</v>
      </c>
      <c r="R176" s="47">
        <f ca="1">IFERROR(IF(AllowNegative="Yes",O176-LARGE(O$3:O$231,WRCount),MAX(O176-LARGE(O$3:O$231,WRCount),0)),0)</f>
        <v>-81</v>
      </c>
      <c r="S176" s="108">
        <f ca="1">(R176-Q176)*BenchPF+Q176*StarterPF</f>
        <v>-19.399163780486333</v>
      </c>
      <c r="T176" s="108">
        <f ca="1">S176*Auction!$A$2</f>
        <v>-19.399163780486333</v>
      </c>
      <c r="U176" s="25" t="str">
        <f>IF(OR(INDEX(Auction!$H$13:$H$683,MATCH(B176,Auction!$A$13:$A$683,0))&gt;0,IFERROR(INDEX(CheatSheet!$V$5:$V$64,MATCH(B176,CheatSheet!$S$5:$S$64,0)),"")&lt;&gt;""),"Yes","No")</f>
        <v>No</v>
      </c>
      <c r="V176" s="218"/>
      <c r="W176" s="1"/>
      <c r="X176" s="143">
        <f ca="1">IFERROR(SUMIFS($Y$3:$Y404,$Y$3:$Y$231,"&gt;0",$U$3:$U$231,"No")/SUMIF($Y$3:$Y$231,"&gt;0"),0)</f>
        <v>0</v>
      </c>
      <c r="Y176" s="1">
        <f t="shared" ca="1" si="2"/>
        <v>-40.5</v>
      </c>
      <c r="Z176" s="145" t="str">
        <f ca="1">CONCATENATE("WR",ROUND((LARGE($Y$3:$Y$231,1)-$Y176)/(STDEVP($Y$3:$Y$231)/2)+1,0))</f>
        <v>WR10</v>
      </c>
      <c r="AA176" s="1">
        <f ca="1">Y176*LeagueInfo!$H$5</f>
        <v>-18.522307592956565</v>
      </c>
      <c r="AB176" s="1"/>
      <c r="AC176" s="1"/>
    </row>
    <row r="177" spans="1:29" ht="15.75" thickBot="1" x14ac:dyDescent="0.3">
      <c r="A177" s="47">
        <f>RANK(O177,O$3:O$231)</f>
        <v>175</v>
      </c>
      <c r="B177" s="1" t="s">
        <v>664</v>
      </c>
      <c r="C177" s="1" t="s">
        <v>39</v>
      </c>
      <c r="D177" s="1">
        <f>VLOOKUP(E177,BYEs!$A$2:$B$34,2,FALSE)</f>
        <v>5</v>
      </c>
      <c r="E177" s="1" t="s">
        <v>358</v>
      </c>
      <c r="F177" s="249">
        <v>0</v>
      </c>
      <c r="G177" s="250">
        <v>0</v>
      </c>
      <c r="H177" s="251">
        <v>0</v>
      </c>
      <c r="I177" s="251">
        <v>0</v>
      </c>
      <c r="J177" s="251">
        <v>0</v>
      </c>
      <c r="K177" s="249">
        <v>5</v>
      </c>
      <c r="L177" s="247">
        <v>70</v>
      </c>
      <c r="M177" s="250">
        <v>0.3</v>
      </c>
      <c r="N177" s="251">
        <v>0.1</v>
      </c>
      <c r="O177" s="252">
        <f>(I177*WRRushingYd)+(J177*WRRushingTD)+(K177*WRRec)+(L177*WRRecYd)+(M177*WRRecTD)+(N177*WRFuml)+(H177*WRRushAtt)</f>
        <v>8.6000000000000014</v>
      </c>
      <c r="P177" s="1" t="str">
        <f ca="1">IF(A177&lt;=WRStarters,"Starter",IF(A177&gt;WRStarters+WRBench,"Undrafted","Bench"))</f>
        <v>Undrafted</v>
      </c>
      <c r="Q177" s="47">
        <f ca="1">IFERROR(MAX(O177-LARGE(O$3:O$231,WRStarters),0),0)</f>
        <v>0</v>
      </c>
      <c r="R177" s="47">
        <f ca="1">IFERROR(IF(AllowNegative="Yes",O177-LARGE(O$3:O$231,WRCount),MAX(O177-LARGE(O$3:O$231,WRCount),0)),0)</f>
        <v>-81.02000000000001</v>
      </c>
      <c r="S177" s="108">
        <f ca="1">(R177-Q177)*BenchPF+Q177*StarterPF</f>
        <v>-19.40395369746917</v>
      </c>
      <c r="T177" s="108">
        <f ca="1">S177*Auction!$A$2</f>
        <v>-19.40395369746917</v>
      </c>
      <c r="U177" s="25" t="str">
        <f>IF(OR(INDEX(Auction!$H$13:$H$683,MATCH(B177,Auction!$A$13:$A$683,0))&gt;0,IFERROR(INDEX(CheatSheet!$V$5:$V$64,MATCH(B177,CheatSheet!$S$5:$S$64,0)),"")&lt;&gt;""),"Yes","No")</f>
        <v>No</v>
      </c>
      <c r="V177" s="218"/>
      <c r="W177" s="1"/>
      <c r="X177" s="143">
        <f ca="1">IFERROR(SUMIFS($Y$3:$Y405,$Y$3:$Y$231,"&gt;0",$U$3:$U$231,"No")/SUMIF($Y$3:$Y$231,"&gt;0"),0)</f>
        <v>0</v>
      </c>
      <c r="Y177" s="1">
        <f t="shared" ca="1" si="2"/>
        <v>-40.510000000000005</v>
      </c>
      <c r="Z177" s="145" t="str">
        <f ca="1">CONCATENATE("WR",ROUND((LARGE($Y$3:$Y$231,1)-$Y177)/(STDEVP($Y$3:$Y$231)/2)+1,0))</f>
        <v>WR10</v>
      </c>
      <c r="AA177" s="1">
        <f ca="1">Y177*LeagueInfo!$H$5</f>
        <v>-18.526881002238778</v>
      </c>
      <c r="AB177" s="1"/>
      <c r="AC177" s="1"/>
    </row>
    <row r="178" spans="1:29" ht="15.75" thickBot="1" x14ac:dyDescent="0.3">
      <c r="A178" s="47">
        <f>RANK(O178,O$3:O$231)</f>
        <v>176</v>
      </c>
      <c r="B178" s="1" t="s">
        <v>646</v>
      </c>
      <c r="C178" s="1" t="s">
        <v>39</v>
      </c>
      <c r="D178" s="1">
        <f>VLOOKUP(E178,BYEs!$A$2:$B$34,2,FALSE)</f>
        <v>6</v>
      </c>
      <c r="E178" s="1" t="s">
        <v>366</v>
      </c>
      <c r="F178" s="249">
        <v>0</v>
      </c>
      <c r="G178" s="250">
        <v>0</v>
      </c>
      <c r="H178" s="251">
        <v>0</v>
      </c>
      <c r="I178" s="251">
        <v>0</v>
      </c>
      <c r="J178" s="251">
        <v>0</v>
      </c>
      <c r="K178" s="249">
        <v>7</v>
      </c>
      <c r="L178" s="247">
        <v>81.599999999999994</v>
      </c>
      <c r="M178" s="250">
        <v>0.1</v>
      </c>
      <c r="N178" s="251">
        <v>0.1</v>
      </c>
      <c r="O178" s="252">
        <f>(I178*WRRushingYd)+(J178*WRRushingTD)+(K178*WRRec)+(L178*WRRecYd)+(M178*WRRecTD)+(N178*WRFuml)+(H178*WRRushAtt)</f>
        <v>8.56</v>
      </c>
      <c r="P178" s="1" t="str">
        <f ca="1">IF(A178&lt;=WRStarters,"Starter",IF(A178&gt;WRStarters+WRBench,"Undrafted","Bench"))</f>
        <v>Undrafted</v>
      </c>
      <c r="Q178" s="47">
        <f ca="1">IFERROR(MAX(O178-LARGE(O$3:O$231,WRStarters),0),0)</f>
        <v>0</v>
      </c>
      <c r="R178" s="47">
        <f ca="1">IFERROR(IF(AllowNegative="Yes",O178-LARGE(O$3:O$231,WRCount),MAX(O178-LARGE(O$3:O$231,WRCount),0)),0)</f>
        <v>-81.06</v>
      </c>
      <c r="S178" s="108">
        <f ca="1">(R178-Q178)*BenchPF+Q178*StarterPF</f>
        <v>-19.41353353143484</v>
      </c>
      <c r="T178" s="108">
        <f ca="1">S178*Auction!$A$2</f>
        <v>-19.41353353143484</v>
      </c>
      <c r="U178" s="25" t="str">
        <f>IF(OR(INDEX(Auction!$H$13:$H$683,MATCH(B178,Auction!$A$13:$A$683,0))&gt;0,IFERROR(INDEX(CheatSheet!$V$5:$V$64,MATCH(B178,CheatSheet!$S$5:$S$64,0)),"")&lt;&gt;""),"Yes","No")</f>
        <v>No</v>
      </c>
      <c r="V178" s="218"/>
      <c r="W178" s="1"/>
      <c r="X178" s="143">
        <f ca="1">IFERROR(SUMIFS($Y$3:$Y406,$Y$3:$Y$231,"&gt;0",$U$3:$U$231,"No")/SUMIF($Y$3:$Y$231,"&gt;0"),0)</f>
        <v>0</v>
      </c>
      <c r="Y178" s="1">
        <f t="shared" ca="1" si="2"/>
        <v>-40.53</v>
      </c>
      <c r="Z178" s="145" t="str">
        <f ca="1">CONCATENATE("WR",ROUND((LARGE($Y$3:$Y$231,1)-$Y178)/(STDEVP($Y$3:$Y$231)/2)+1,0))</f>
        <v>WR10</v>
      </c>
      <c r="AA178" s="1">
        <f ca="1">Y178*LeagueInfo!$H$5</f>
        <v>-18.536027820803199</v>
      </c>
      <c r="AB178" s="1"/>
      <c r="AC178" s="1"/>
    </row>
    <row r="179" spans="1:29" ht="15.75" thickBot="1" x14ac:dyDescent="0.3">
      <c r="A179" s="47">
        <f>RANK(O179,O$3:O$231)</f>
        <v>177</v>
      </c>
      <c r="B179" s="1" t="s">
        <v>707</v>
      </c>
      <c r="C179" s="1" t="s">
        <v>39</v>
      </c>
      <c r="D179" s="1">
        <f>VLOOKUP(E179,BYEs!$A$2:$B$34,2,FALSE)</f>
        <v>6</v>
      </c>
      <c r="E179" s="1" t="s">
        <v>364</v>
      </c>
      <c r="F179" s="249">
        <v>0</v>
      </c>
      <c r="G179" s="250">
        <v>0</v>
      </c>
      <c r="H179" s="251">
        <v>0</v>
      </c>
      <c r="I179" s="251">
        <v>0</v>
      </c>
      <c r="J179" s="251">
        <v>0</v>
      </c>
      <c r="K179" s="249">
        <v>7</v>
      </c>
      <c r="L179" s="247">
        <v>81</v>
      </c>
      <c r="M179" s="250">
        <v>0.1</v>
      </c>
      <c r="N179" s="251">
        <v>0.1</v>
      </c>
      <c r="O179" s="252">
        <f>(I179*WRRushingYd)+(J179*WRRushingTD)+(K179*WRRec)+(L179*WRRecYd)+(M179*WRRecTD)+(N179*WRFuml)+(H179*WRRushAtt)</f>
        <v>8.5</v>
      </c>
      <c r="P179" s="1" t="str">
        <f ca="1">IF(A179&lt;=WRStarters,"Starter",IF(A179&gt;WRStarters+WRBench,"Undrafted","Bench"))</f>
        <v>Undrafted</v>
      </c>
      <c r="Q179" s="47">
        <f ca="1">IFERROR(MAX(O179-LARGE(O$3:O$231,WRStarters),0),0)</f>
        <v>0</v>
      </c>
      <c r="R179" s="47">
        <f ca="1">IFERROR(IF(AllowNegative="Yes",O179-LARGE(O$3:O$231,WRCount),MAX(O179-LARGE(O$3:O$231,WRCount),0)),0)</f>
        <v>-81.12</v>
      </c>
      <c r="S179" s="108">
        <f ca="1">(R179-Q179)*BenchPF+Q179*StarterPF</f>
        <v>-19.427903282383351</v>
      </c>
      <c r="T179" s="108">
        <f ca="1">S179*Auction!$A$2</f>
        <v>-19.427903282383351</v>
      </c>
      <c r="U179" s="25" t="str">
        <f>IF(OR(INDEX(Auction!$H$13:$H$683,MATCH(B179,Auction!$A$13:$A$683,0))&gt;0,IFERROR(INDEX(CheatSheet!$V$5:$V$64,MATCH(B179,CheatSheet!$S$5:$S$64,0)),"")&lt;&gt;""),"Yes","No")</f>
        <v>No</v>
      </c>
      <c r="V179" s="218"/>
      <c r="W179" s="1"/>
      <c r="X179" s="143">
        <f ca="1">IFERROR(SUMIFS($Y$3:$Y407,$Y$3:$Y$231,"&gt;0",$U$3:$U$231,"No")/SUMIF($Y$3:$Y$231,"&gt;0"),0)</f>
        <v>0</v>
      </c>
      <c r="Y179" s="1">
        <f t="shared" ca="1" si="2"/>
        <v>-40.56</v>
      </c>
      <c r="Z179" s="145" t="str">
        <f ca="1">CONCATENATE("WR",ROUND((LARGE($Y$3:$Y$231,1)-$Y179)/(STDEVP($Y$3:$Y$231)/2)+1,0))</f>
        <v>WR10</v>
      </c>
      <c r="AA179" s="1">
        <f ca="1">Y179*LeagueInfo!$H$5</f>
        <v>-18.549748048649835</v>
      </c>
      <c r="AB179" s="1"/>
      <c r="AC179" s="1"/>
    </row>
    <row r="180" spans="1:29" ht="15.75" thickBot="1" x14ac:dyDescent="0.3">
      <c r="A180" s="47">
        <f>RANK(O180,O$3:O$231)</f>
        <v>177</v>
      </c>
      <c r="B180" s="1" t="s">
        <v>927</v>
      </c>
      <c r="C180" s="1" t="s">
        <v>39</v>
      </c>
      <c r="D180" s="1">
        <f>VLOOKUP(E180,BYEs!$A$2:$B$34,2,FALSE)</f>
        <v>11</v>
      </c>
      <c r="E180" s="1" t="s">
        <v>355</v>
      </c>
      <c r="F180" s="249">
        <v>0</v>
      </c>
      <c r="G180" s="250">
        <v>0</v>
      </c>
      <c r="H180" s="1">
        <v>0</v>
      </c>
      <c r="I180" s="1">
        <v>0</v>
      </c>
      <c r="J180" s="1">
        <v>0</v>
      </c>
      <c r="K180" s="12">
        <v>5</v>
      </c>
      <c r="L180" s="1">
        <v>61</v>
      </c>
      <c r="M180" s="10">
        <v>0.4</v>
      </c>
      <c r="N180" s="1">
        <v>0</v>
      </c>
      <c r="O180" s="252">
        <f>(I180*WRRushingYd)+(J180*WRRushingTD)+(K180*WRRec)+(L180*WRRecYd)+(M180*WRRecTD)+(N180*WRFuml)+(H180*WRRushAtt)</f>
        <v>8.5</v>
      </c>
      <c r="P180" s="1" t="str">
        <f ca="1">IF(A180&lt;=WRStarters,"Starter",IF(A180&gt;WRStarters+WRBench,"Undrafted","Bench"))</f>
        <v>Undrafted</v>
      </c>
      <c r="Q180" s="47">
        <f ca="1">IFERROR(MAX(O180-LARGE(O$3:O$231,WRStarters),0),0)</f>
        <v>0</v>
      </c>
      <c r="R180" s="47">
        <f ca="1">IFERROR(IF(AllowNegative="Yes",O180-LARGE(O$3:O$231,WRCount),MAX(O180-LARGE(O$3:O$231,WRCount),0)),0)</f>
        <v>-81.12</v>
      </c>
      <c r="S180" s="108">
        <f ca="1">(R180-Q180)*BenchPF+Q180*StarterPF</f>
        <v>-19.427903282383351</v>
      </c>
      <c r="T180" s="108">
        <f ca="1">S180*Auction!$A$2</f>
        <v>-19.427903282383351</v>
      </c>
      <c r="U180" s="25" t="str">
        <f>IF(OR(INDEX(Auction!$H$13:$H$683,MATCH(B180,Auction!$A$13:$A$683,0))&gt;0,IFERROR(INDEX(CheatSheet!$V$5:$V$64,MATCH(B180,CheatSheet!$S$5:$S$64,0)),"")&lt;&gt;""),"Yes","No")</f>
        <v>No</v>
      </c>
      <c r="V180" s="218"/>
      <c r="W180" s="1"/>
      <c r="X180" s="143">
        <f ca="1">IFERROR(SUMIFS($Y$3:$Y408,$Y$3:$Y$231,"&gt;0",$U$3:$U$231,"No")/SUMIF($Y$3:$Y$231,"&gt;0"),0)</f>
        <v>0</v>
      </c>
      <c r="Y180" s="1">
        <f t="shared" ca="1" si="2"/>
        <v>-40.56</v>
      </c>
      <c r="Z180" s="145" t="str">
        <f ca="1">CONCATENATE("WR",ROUND((LARGE($Y$3:$Y$231,1)-$Y180)/(STDEVP($Y$3:$Y$231)/2)+1,0))</f>
        <v>WR10</v>
      </c>
      <c r="AA180" s="1">
        <f ca="1">Y180*LeagueInfo!$H$5</f>
        <v>-18.549748048649835</v>
      </c>
      <c r="AB180" s="1"/>
      <c r="AC180" s="1"/>
    </row>
    <row r="181" spans="1:29" ht="15.75" thickBot="1" x14ac:dyDescent="0.3">
      <c r="A181" s="47">
        <f>RANK(O181,O$3:O$231)</f>
        <v>179</v>
      </c>
      <c r="B181" s="1" t="s">
        <v>673</v>
      </c>
      <c r="C181" s="1" t="s">
        <v>39</v>
      </c>
      <c r="D181" s="1">
        <f>VLOOKUP(E181,BYEs!$A$2:$B$34,2,FALSE)</f>
        <v>11</v>
      </c>
      <c r="E181" s="1" t="s">
        <v>356</v>
      </c>
      <c r="F181" s="249">
        <v>0</v>
      </c>
      <c r="G181" s="250">
        <v>0</v>
      </c>
      <c r="H181" s="1">
        <v>0</v>
      </c>
      <c r="I181" s="1">
        <v>0</v>
      </c>
      <c r="J181" s="1">
        <v>0</v>
      </c>
      <c r="K181" s="12">
        <v>5.5</v>
      </c>
      <c r="L181" s="1">
        <v>66.3</v>
      </c>
      <c r="M181" s="10">
        <v>0.3</v>
      </c>
      <c r="N181" s="1">
        <v>0</v>
      </c>
      <c r="O181" s="252">
        <f>(I181*WRRushingYd)+(J181*WRRushingTD)+(K181*WRRec)+(L181*WRRecYd)+(M181*WRRecTD)+(N181*WRFuml)+(H181*WRRushAtt)</f>
        <v>8.43</v>
      </c>
      <c r="P181" s="1" t="str">
        <f ca="1">IF(A181&lt;=WRStarters,"Starter",IF(A181&gt;WRStarters+WRBench,"Undrafted","Bench"))</f>
        <v>Undrafted</v>
      </c>
      <c r="Q181" s="47">
        <f ca="1">IFERROR(MAX(O181-LARGE(O$3:O$231,WRStarters),0),0)</f>
        <v>0</v>
      </c>
      <c r="R181" s="47">
        <f ca="1">IFERROR(IF(AllowNegative="Yes",O181-LARGE(O$3:O$231,WRCount),MAX(O181-LARGE(O$3:O$231,WRCount),0)),0)</f>
        <v>-81.19</v>
      </c>
      <c r="S181" s="108">
        <f ca="1">(R181-Q181)*BenchPF+Q181*StarterPF</f>
        <v>-19.444667991823277</v>
      </c>
      <c r="T181" s="108">
        <f ca="1">S181*Auction!$A$2</f>
        <v>-19.444667991823277</v>
      </c>
      <c r="U181" s="25" t="str">
        <f>IF(OR(INDEX(Auction!$H$13:$H$683,MATCH(B181,Auction!$A$13:$A$683,0))&gt;0,IFERROR(INDEX(CheatSheet!$V$5:$V$64,MATCH(B181,CheatSheet!$S$5:$S$64,0)),"")&lt;&gt;""),"Yes","No")</f>
        <v>No</v>
      </c>
      <c r="V181" s="218"/>
      <c r="W181" s="1"/>
      <c r="X181" s="143">
        <f ca="1">IFERROR(SUMIFS($Y$3:$Y409,$Y$3:$Y$231,"&gt;0",$U$3:$U$231,"No")/SUMIF($Y$3:$Y$231,"&gt;0"),0)</f>
        <v>0</v>
      </c>
      <c r="Y181" s="1">
        <f t="shared" ca="1" si="2"/>
        <v>-40.594999999999999</v>
      </c>
      <c r="Z181" s="145" t="str">
        <f ca="1">CONCATENATE("WR",ROUND((LARGE($Y$3:$Y$231,1)-$Y181)/(STDEVP($Y$3:$Y$231)/2)+1,0))</f>
        <v>WR10</v>
      </c>
      <c r="AA181" s="1">
        <f ca="1">Y181*LeagueInfo!$H$5</f>
        <v>-18.565754981137573</v>
      </c>
      <c r="AB181" s="1"/>
      <c r="AC181" s="1"/>
    </row>
    <row r="182" spans="1:29" ht="15.75" thickBot="1" x14ac:dyDescent="0.3">
      <c r="A182" s="47">
        <f>RANK(O182,O$3:O$231)</f>
        <v>180</v>
      </c>
      <c r="B182" s="1" t="s">
        <v>632</v>
      </c>
      <c r="C182" s="1" t="s">
        <v>39</v>
      </c>
      <c r="D182" s="1">
        <f>VLOOKUP(E182,BYEs!$A$2:$B$34,2,FALSE)</f>
        <v>10</v>
      </c>
      <c r="E182" s="1" t="s">
        <v>371</v>
      </c>
      <c r="F182" s="249">
        <v>0</v>
      </c>
      <c r="G182" s="250">
        <v>0</v>
      </c>
      <c r="H182" s="251">
        <v>0</v>
      </c>
      <c r="I182" s="251">
        <v>0</v>
      </c>
      <c r="J182" s="251">
        <v>0</v>
      </c>
      <c r="K182" s="249">
        <v>5.8</v>
      </c>
      <c r="L182" s="247">
        <v>62</v>
      </c>
      <c r="M182" s="250">
        <v>0.4</v>
      </c>
      <c r="N182" s="251">
        <v>0.1</v>
      </c>
      <c r="O182" s="252">
        <f>(I182*WRRushingYd)+(J182*WRRushingTD)+(K182*WRRec)+(L182*WRRecYd)+(M182*WRRecTD)+(N182*WRFuml)+(H182*WRRushAtt)</f>
        <v>8.4000000000000021</v>
      </c>
      <c r="P182" s="1" t="str">
        <f ca="1">IF(A182&lt;=WRStarters,"Starter",IF(A182&gt;WRStarters+WRBench,"Undrafted","Bench"))</f>
        <v>Undrafted</v>
      </c>
      <c r="Q182" s="47">
        <f ca="1">IFERROR(MAX(O182-LARGE(O$3:O$231,WRStarters),0),0)</f>
        <v>0</v>
      </c>
      <c r="R182" s="47">
        <f ca="1">IFERROR(IF(AllowNegative="Yes",O182-LARGE(O$3:O$231,WRCount),MAX(O182-LARGE(O$3:O$231,WRCount),0)),0)</f>
        <v>-81.22</v>
      </c>
      <c r="S182" s="108">
        <f ca="1">(R182-Q182)*BenchPF+Q182*StarterPF</f>
        <v>-19.451852867297529</v>
      </c>
      <c r="T182" s="108">
        <f ca="1">S182*Auction!$A$2</f>
        <v>-19.451852867297529</v>
      </c>
      <c r="U182" s="25" t="str">
        <f>IF(OR(INDEX(Auction!$H$13:$H$683,MATCH(B182,Auction!$A$13:$A$683,0))&gt;0,IFERROR(INDEX(CheatSheet!$V$5:$V$64,MATCH(B182,CheatSheet!$S$5:$S$64,0)),"")&lt;&gt;""),"Yes","No")</f>
        <v>No</v>
      </c>
      <c r="V182" s="218"/>
      <c r="W182" s="1"/>
      <c r="X182" s="143">
        <f ca="1">IFERROR(SUMIFS($Y$3:$Y410,$Y$3:$Y$231,"&gt;0",$U$3:$U$231,"No")/SUMIF($Y$3:$Y$231,"&gt;0"),0)</f>
        <v>0</v>
      </c>
      <c r="Y182" s="1">
        <f t="shared" ca="1" si="2"/>
        <v>-40.61</v>
      </c>
      <c r="Z182" s="145" t="str">
        <f ca="1">CONCATENATE("WR",ROUND((LARGE($Y$3:$Y$231,1)-$Y182)/(STDEVP($Y$3:$Y$231)/2)+1,0))</f>
        <v>WR10</v>
      </c>
      <c r="AA182" s="1">
        <f ca="1">Y182*LeagueInfo!$H$5</f>
        <v>-18.57261509506089</v>
      </c>
      <c r="AB182" s="1"/>
      <c r="AC182" s="1"/>
    </row>
    <row r="183" spans="1:29" ht="15.75" thickBot="1" x14ac:dyDescent="0.3">
      <c r="A183" s="47">
        <f>RANK(O183,O$3:O$231)</f>
        <v>181</v>
      </c>
      <c r="B183" s="1" t="s">
        <v>674</v>
      </c>
      <c r="C183" s="1" t="s">
        <v>39</v>
      </c>
      <c r="D183" s="1">
        <f>VLOOKUP(E183,BYEs!$A$2:$B$34,2,FALSE)</f>
        <v>5</v>
      </c>
      <c r="E183" s="1" t="s">
        <v>384</v>
      </c>
      <c r="F183" s="249">
        <v>0</v>
      </c>
      <c r="G183" s="250">
        <v>0</v>
      </c>
      <c r="H183" s="251">
        <v>0</v>
      </c>
      <c r="I183" s="251">
        <v>0</v>
      </c>
      <c r="J183" s="251">
        <v>0</v>
      </c>
      <c r="K183" s="249">
        <v>5</v>
      </c>
      <c r="L183" s="247">
        <v>65.5</v>
      </c>
      <c r="M183" s="250">
        <v>0.3</v>
      </c>
      <c r="N183" s="251">
        <v>0</v>
      </c>
      <c r="O183" s="252">
        <f>(I183*WRRushingYd)+(J183*WRRushingTD)+(K183*WRRec)+(L183*WRRecYd)+(M183*WRRecTD)+(N183*WRFuml)+(H183*WRRushAtt)</f>
        <v>8.3500000000000014</v>
      </c>
      <c r="P183" s="1" t="str">
        <f ca="1">IF(A183&lt;=WRStarters,"Starter",IF(A183&gt;WRStarters+WRBench,"Undrafted","Bench"))</f>
        <v>Undrafted</v>
      </c>
      <c r="Q183" s="47">
        <f ca="1">IFERROR(MAX(O183-LARGE(O$3:O$231,WRStarters),0),0)</f>
        <v>0</v>
      </c>
      <c r="R183" s="47">
        <f ca="1">IFERROR(IF(AllowNegative="Yes",O183-LARGE(O$3:O$231,WRCount),MAX(O183-LARGE(O$3:O$231,WRCount),0)),0)</f>
        <v>-81.27000000000001</v>
      </c>
      <c r="S183" s="108">
        <f ca="1">(R183-Q183)*BenchPF+Q183*StarterPF</f>
        <v>-19.463827659754624</v>
      </c>
      <c r="T183" s="108">
        <f ca="1">S183*Auction!$A$2</f>
        <v>-19.463827659754624</v>
      </c>
      <c r="U183" s="25" t="str">
        <f>IF(OR(INDEX(Auction!$H$13:$H$683,MATCH(B183,Auction!$A$13:$A$683,0))&gt;0,IFERROR(INDEX(CheatSheet!$V$5:$V$64,MATCH(B183,CheatSheet!$S$5:$S$64,0)),"")&lt;&gt;""),"Yes","No")</f>
        <v>No</v>
      </c>
      <c r="V183" s="218"/>
      <c r="W183" s="1"/>
      <c r="X183" s="143">
        <f ca="1">IFERROR(SUMIFS($Y$3:$Y411,$Y$3:$Y$231,"&gt;0",$U$3:$U$231,"No")/SUMIF($Y$3:$Y$231,"&gt;0"),0)</f>
        <v>0</v>
      </c>
      <c r="Y183" s="1">
        <f t="shared" ca="1" si="2"/>
        <v>-40.635000000000005</v>
      </c>
      <c r="Z183" s="145" t="str">
        <f ca="1">CONCATENATE("WR",ROUND((LARGE($Y$3:$Y$231,1)-$Y183)/(STDEVP($Y$3:$Y$231)/2)+1,0))</f>
        <v>WR10</v>
      </c>
      <c r="AA183" s="1">
        <f ca="1">Y183*LeagueInfo!$H$5</f>
        <v>-18.584048618266422</v>
      </c>
      <c r="AB183" s="1"/>
      <c r="AC183" s="1"/>
    </row>
    <row r="184" spans="1:29" ht="15.75" thickBot="1" x14ac:dyDescent="0.3">
      <c r="A184" s="47">
        <f>RANK(O184,O$3:O$231)</f>
        <v>182</v>
      </c>
      <c r="B184" s="1" t="s">
        <v>675</v>
      </c>
      <c r="C184" s="1" t="s">
        <v>39</v>
      </c>
      <c r="D184" s="1">
        <f>VLOOKUP(E184,BYEs!$A$2:$B$34,2,FALSE)</f>
        <v>9</v>
      </c>
      <c r="E184" s="1" t="s">
        <v>373</v>
      </c>
      <c r="F184" s="249">
        <v>0</v>
      </c>
      <c r="G184" s="250">
        <v>0</v>
      </c>
      <c r="H184" s="1">
        <v>0</v>
      </c>
      <c r="I184" s="1">
        <v>0</v>
      </c>
      <c r="J184" s="1">
        <v>0</v>
      </c>
      <c r="K184" s="12">
        <v>5</v>
      </c>
      <c r="L184" s="1">
        <v>64.8</v>
      </c>
      <c r="M184" s="10">
        <v>0.3</v>
      </c>
      <c r="N184" s="1">
        <v>0</v>
      </c>
      <c r="O184" s="252">
        <f>(I184*WRRushingYd)+(J184*WRRushingTD)+(K184*WRRec)+(L184*WRRecYd)+(M184*WRRecTD)+(N184*WRFuml)+(H184*WRRushAtt)</f>
        <v>8.2800000000000011</v>
      </c>
      <c r="P184" s="1" t="str">
        <f ca="1">IF(A184&lt;=WRStarters,"Starter",IF(A184&gt;WRStarters+WRBench,"Undrafted","Bench"))</f>
        <v>Undrafted</v>
      </c>
      <c r="Q184" s="47">
        <f ca="1">IFERROR(MAX(O184-LARGE(O$3:O$231,WRStarters),0),0)</f>
        <v>0</v>
      </c>
      <c r="R184" s="47">
        <f ca="1">IFERROR(IF(AllowNegative="Yes",O184-LARGE(O$3:O$231,WRCount),MAX(O184-LARGE(O$3:O$231,WRCount),0)),0)</f>
        <v>-81.34</v>
      </c>
      <c r="S184" s="108">
        <f ca="1">(R184-Q184)*BenchPF+Q184*StarterPF</f>
        <v>-19.480592369194547</v>
      </c>
      <c r="T184" s="108">
        <f ca="1">S184*Auction!$A$2</f>
        <v>-19.480592369194547</v>
      </c>
      <c r="U184" s="25" t="str">
        <f>IF(OR(INDEX(Auction!$H$13:$H$683,MATCH(B184,Auction!$A$13:$A$683,0))&gt;0,IFERROR(INDEX(CheatSheet!$V$5:$V$64,MATCH(B184,CheatSheet!$S$5:$S$64,0)),"")&lt;&gt;""),"Yes","No")</f>
        <v>No</v>
      </c>
      <c r="V184" s="218"/>
      <c r="W184" s="1"/>
      <c r="X184" s="143">
        <f ca="1">IFERROR(SUMIFS($Y$3:$Y412,$Y$3:$Y$231,"&gt;0",$U$3:$U$231,"No")/SUMIF($Y$3:$Y$231,"&gt;0"),0)</f>
        <v>0</v>
      </c>
      <c r="Y184" s="1">
        <f t="shared" ca="1" si="2"/>
        <v>-40.67</v>
      </c>
      <c r="Z184" s="145" t="str">
        <f ca="1">CONCATENATE("WR",ROUND((LARGE($Y$3:$Y$231,1)-$Y184)/(STDEVP($Y$3:$Y$231)/2)+1,0))</f>
        <v>WR10</v>
      </c>
      <c r="AA184" s="1">
        <f ca="1">Y184*LeagueInfo!$H$5</f>
        <v>-18.60005555075416</v>
      </c>
      <c r="AB184" s="1"/>
      <c r="AC184" s="1"/>
    </row>
    <row r="185" spans="1:29" ht="15.75" thickBot="1" x14ac:dyDescent="0.3">
      <c r="A185" s="47">
        <f>RANK(O185,O$3:O$231)</f>
        <v>183</v>
      </c>
      <c r="B185" s="1" t="s">
        <v>677</v>
      </c>
      <c r="C185" s="1" t="s">
        <v>39</v>
      </c>
      <c r="D185" s="1">
        <f>VLOOKUP(E185,BYEs!$A$2:$B$34,2,FALSE)</f>
        <v>8</v>
      </c>
      <c r="E185" s="1" t="s">
        <v>370</v>
      </c>
      <c r="F185" s="249">
        <v>0</v>
      </c>
      <c r="G185" s="250">
        <v>0</v>
      </c>
      <c r="H185" s="251">
        <v>0</v>
      </c>
      <c r="I185" s="251">
        <v>0</v>
      </c>
      <c r="J185" s="251">
        <v>0</v>
      </c>
      <c r="K185" s="249">
        <v>5.6</v>
      </c>
      <c r="L185" s="247">
        <v>66.5</v>
      </c>
      <c r="M185" s="250">
        <v>0.3</v>
      </c>
      <c r="N185" s="251">
        <v>0.1</v>
      </c>
      <c r="O185" s="252">
        <f>(I185*WRRushingYd)+(J185*WRRushingTD)+(K185*WRRec)+(L185*WRRecYd)+(M185*WRRecTD)+(N185*WRFuml)+(H185*WRRushAtt)</f>
        <v>8.25</v>
      </c>
      <c r="P185" s="1" t="str">
        <f ca="1">IF(A185&lt;=WRStarters,"Starter",IF(A185&gt;WRStarters+WRBench,"Undrafted","Bench"))</f>
        <v>Undrafted</v>
      </c>
      <c r="Q185" s="47">
        <f ca="1">IFERROR(MAX(O185-LARGE(O$3:O$231,WRStarters),0),0)</f>
        <v>0</v>
      </c>
      <c r="R185" s="47">
        <f ca="1">IFERROR(IF(AllowNegative="Yes",O185-LARGE(O$3:O$231,WRCount),MAX(O185-LARGE(O$3:O$231,WRCount),0)),0)</f>
        <v>-81.37</v>
      </c>
      <c r="S185" s="108">
        <f ca="1">(R185-Q185)*BenchPF+Q185*StarterPF</f>
        <v>-19.487777244668802</v>
      </c>
      <c r="T185" s="108">
        <f ca="1">S185*Auction!$A$2</f>
        <v>-19.487777244668802</v>
      </c>
      <c r="U185" s="25" t="str">
        <f>IF(OR(INDEX(Auction!$H$13:$H$683,MATCH(B185,Auction!$A$13:$A$683,0))&gt;0,IFERROR(INDEX(CheatSheet!$V$5:$V$64,MATCH(B185,CheatSheet!$S$5:$S$64,0)),"")&lt;&gt;""),"Yes","No")</f>
        <v>No</v>
      </c>
      <c r="V185" s="218"/>
      <c r="W185" s="1"/>
      <c r="X185" s="143">
        <f ca="1">IFERROR(SUMIFS($Y$3:$Y413,$Y$3:$Y$231,"&gt;0",$U$3:$U$231,"No")/SUMIF($Y$3:$Y$231,"&gt;0"),0)</f>
        <v>0</v>
      </c>
      <c r="Y185" s="1">
        <f t="shared" ca="1" si="2"/>
        <v>-40.685000000000002</v>
      </c>
      <c r="Z185" s="145" t="str">
        <f ca="1">CONCATENATE("WR",ROUND((LARGE($Y$3:$Y$231,1)-$Y185)/(STDEVP($Y$3:$Y$231)/2)+1,0))</f>
        <v>WR10</v>
      </c>
      <c r="AA185" s="1">
        <f ca="1">Y185*LeagueInfo!$H$5</f>
        <v>-18.60691566467748</v>
      </c>
      <c r="AB185" s="1"/>
      <c r="AC185" s="1"/>
    </row>
    <row r="186" spans="1:29" ht="15.75" thickBot="1" x14ac:dyDescent="0.3">
      <c r="A186" s="47">
        <f>RANK(O186,O$3:O$231)</f>
        <v>184</v>
      </c>
      <c r="B186" s="1" t="s">
        <v>666</v>
      </c>
      <c r="C186" s="1" t="s">
        <v>39</v>
      </c>
      <c r="D186" s="1">
        <f>VLOOKUP(E186,BYEs!$A$2:$B$34,2,FALSE)</f>
        <v>11</v>
      </c>
      <c r="E186" s="1" t="s">
        <v>374</v>
      </c>
      <c r="F186" s="249">
        <v>0</v>
      </c>
      <c r="G186" s="250">
        <v>0</v>
      </c>
      <c r="H186" s="1">
        <v>0</v>
      </c>
      <c r="I186" s="1">
        <v>0</v>
      </c>
      <c r="J186" s="1">
        <v>0</v>
      </c>
      <c r="K186" s="12">
        <v>5.3</v>
      </c>
      <c r="L186" s="1">
        <v>66</v>
      </c>
      <c r="M186" s="10">
        <v>0.3</v>
      </c>
      <c r="N186" s="1">
        <v>0.1</v>
      </c>
      <c r="O186" s="252">
        <f>(I186*WRRushingYd)+(J186*WRRushingTD)+(K186*WRRec)+(L186*WRRecYd)+(M186*WRRecTD)+(N186*WRFuml)+(H186*WRRushAtt)</f>
        <v>8.2000000000000011</v>
      </c>
      <c r="P186" s="1" t="str">
        <f ca="1">IF(A186&lt;=WRStarters,"Starter",IF(A186&gt;WRStarters+WRBench,"Undrafted","Bench"))</f>
        <v>Undrafted</v>
      </c>
      <c r="Q186" s="47">
        <f ca="1">IFERROR(MAX(O186-LARGE(O$3:O$231,WRStarters),0),0)</f>
        <v>0</v>
      </c>
      <c r="R186" s="47">
        <f ca="1">IFERROR(IF(AllowNegative="Yes",O186-LARGE(O$3:O$231,WRCount),MAX(O186-LARGE(O$3:O$231,WRCount),0)),0)</f>
        <v>-81.42</v>
      </c>
      <c r="S186" s="108">
        <f ca="1">(R186-Q186)*BenchPF+Q186*StarterPF</f>
        <v>-19.499752037125891</v>
      </c>
      <c r="T186" s="108">
        <f ca="1">S186*Auction!$A$2</f>
        <v>-19.499752037125891</v>
      </c>
      <c r="U186" s="25" t="str">
        <f>IF(OR(INDEX(Auction!$H$13:$H$683,MATCH(B186,Auction!$A$13:$A$683,0))&gt;0,IFERROR(INDEX(CheatSheet!$V$5:$V$64,MATCH(B186,CheatSheet!$S$5:$S$64,0)),"")&lt;&gt;""),"Yes","No")</f>
        <v>No</v>
      </c>
      <c r="V186" s="218"/>
      <c r="W186" s="1"/>
      <c r="X186" s="143">
        <f ca="1">IFERROR(SUMIFS($Y$3:$Y414,$Y$3:$Y$231,"&gt;0",$U$3:$U$231,"No")/SUMIF($Y$3:$Y$231,"&gt;0"),0)</f>
        <v>0</v>
      </c>
      <c r="Y186" s="1">
        <f t="shared" ca="1" si="2"/>
        <v>-40.71</v>
      </c>
      <c r="Z186" s="145" t="str">
        <f ca="1">CONCATENATE("WR",ROUND((LARGE($Y$3:$Y$231,1)-$Y186)/(STDEVP($Y$3:$Y$231)/2)+1,0))</f>
        <v>WR10</v>
      </c>
      <c r="AA186" s="1">
        <f ca="1">Y186*LeagueInfo!$H$5</f>
        <v>-18.618349187883005</v>
      </c>
      <c r="AB186" s="1"/>
      <c r="AC186" s="1"/>
    </row>
    <row r="187" spans="1:29" ht="15.75" thickBot="1" x14ac:dyDescent="0.3">
      <c r="A187" s="47">
        <f>RANK(O187,O$3:O$231)</f>
        <v>185</v>
      </c>
      <c r="B187" s="1" t="s">
        <v>683</v>
      </c>
      <c r="C187" s="1" t="s">
        <v>39</v>
      </c>
      <c r="D187" s="1">
        <f>VLOOKUP(E187,BYEs!$A$2:$B$34,2,FALSE)</f>
        <v>5</v>
      </c>
      <c r="E187" s="1" t="s">
        <v>358</v>
      </c>
      <c r="F187" s="249">
        <v>0</v>
      </c>
      <c r="G187" s="250">
        <v>0</v>
      </c>
      <c r="H187" s="1">
        <v>0</v>
      </c>
      <c r="I187" s="1">
        <v>0</v>
      </c>
      <c r="J187" s="1">
        <v>0</v>
      </c>
      <c r="K187" s="12">
        <v>7.2</v>
      </c>
      <c r="L187" s="1">
        <v>77.900000000000006</v>
      </c>
      <c r="M187" s="10">
        <v>0.1</v>
      </c>
      <c r="N187" s="1">
        <v>0.1</v>
      </c>
      <c r="O187" s="252">
        <f>(I187*WRRushingYd)+(J187*WRRushingTD)+(K187*WRRec)+(L187*WRRecYd)+(M187*WRRecTD)+(N187*WRFuml)+(H187*WRRushAtt)</f>
        <v>8.1900000000000013</v>
      </c>
      <c r="P187" s="1" t="str">
        <f ca="1">IF(A187&lt;=WRStarters,"Starter",IF(A187&gt;WRStarters+WRBench,"Undrafted","Bench"))</f>
        <v>Undrafted</v>
      </c>
      <c r="Q187" s="47">
        <f ca="1">IFERROR(MAX(O187-LARGE(O$3:O$231,WRStarters),0),0)</f>
        <v>0</v>
      </c>
      <c r="R187" s="47">
        <f ca="1">IFERROR(IF(AllowNegative="Yes",O187-LARGE(O$3:O$231,WRCount),MAX(O187-LARGE(O$3:O$231,WRCount),0)),0)</f>
        <v>-81.430000000000007</v>
      </c>
      <c r="S187" s="108">
        <f ca="1">(R187-Q187)*BenchPF+Q187*StarterPF</f>
        <v>-19.502146995617313</v>
      </c>
      <c r="T187" s="108">
        <f ca="1">S187*Auction!$A$2</f>
        <v>-19.502146995617313</v>
      </c>
      <c r="U187" s="25" t="str">
        <f>IF(OR(INDEX(Auction!$H$13:$H$683,MATCH(B187,Auction!$A$13:$A$683,0))&gt;0,IFERROR(INDEX(CheatSheet!$V$5:$V$64,MATCH(B187,CheatSheet!$S$5:$S$64,0)),"")&lt;&gt;""),"Yes","No")</f>
        <v>No</v>
      </c>
      <c r="V187" s="218"/>
      <c r="W187" s="1"/>
      <c r="X187" s="143">
        <f ca="1">IFERROR(SUMIFS($Y$3:$Y415,$Y$3:$Y$231,"&gt;0",$U$3:$U$231,"No")/SUMIF($Y$3:$Y$231,"&gt;0"),0)</f>
        <v>0</v>
      </c>
      <c r="Y187" s="1">
        <f t="shared" ca="1" si="2"/>
        <v>-40.715000000000003</v>
      </c>
      <c r="Z187" s="145" t="str">
        <f ca="1">CONCATENATE("WR",ROUND((LARGE($Y$3:$Y$231,1)-$Y187)/(STDEVP($Y$3:$Y$231)/2)+1,0))</f>
        <v>WR10</v>
      </c>
      <c r="AA187" s="1">
        <f ca="1">Y187*LeagueInfo!$H$5</f>
        <v>-18.620635892524113</v>
      </c>
      <c r="AB187" s="1"/>
      <c r="AC187" s="1"/>
    </row>
    <row r="188" spans="1:29" ht="15.75" thickBot="1" x14ac:dyDescent="0.3">
      <c r="A188" s="47">
        <f>RANK(O188,O$3:O$231)</f>
        <v>186</v>
      </c>
      <c r="B188" s="1" t="s">
        <v>678</v>
      </c>
      <c r="C188" s="1" t="s">
        <v>39</v>
      </c>
      <c r="D188" s="1">
        <f>VLOOKUP(E188,BYEs!$A$2:$B$34,2,FALSE)</f>
        <v>10</v>
      </c>
      <c r="E188" s="1" t="s">
        <v>369</v>
      </c>
      <c r="F188" s="249">
        <v>0</v>
      </c>
      <c r="G188" s="250">
        <v>0</v>
      </c>
      <c r="H188" s="1">
        <v>0</v>
      </c>
      <c r="I188" s="1">
        <v>0</v>
      </c>
      <c r="J188" s="1">
        <v>0</v>
      </c>
      <c r="K188" s="12">
        <v>5.9</v>
      </c>
      <c r="L188" s="1">
        <v>77.7</v>
      </c>
      <c r="M188" s="10">
        <v>0.1</v>
      </c>
      <c r="N188" s="1">
        <v>0.1</v>
      </c>
      <c r="O188" s="252">
        <f>(I188*WRRushingYd)+(J188*WRRushingTD)+(K188*WRRec)+(L188*WRRecYd)+(M188*WRRecTD)+(N188*WRFuml)+(H188*WRRushAtt)</f>
        <v>8.1700000000000017</v>
      </c>
      <c r="P188" s="1" t="str">
        <f ca="1">IF(A188&lt;=WRStarters,"Starter",IF(A188&gt;WRStarters+WRBench,"Undrafted","Bench"))</f>
        <v>Undrafted</v>
      </c>
      <c r="Q188" s="47">
        <f ca="1">IFERROR(MAX(O188-LARGE(O$3:O$231,WRStarters),0),0)</f>
        <v>0</v>
      </c>
      <c r="R188" s="47">
        <f ca="1">IFERROR(IF(AllowNegative="Yes",O188-LARGE(O$3:O$231,WRCount),MAX(O188-LARGE(O$3:O$231,WRCount),0)),0)</f>
        <v>-81.45</v>
      </c>
      <c r="S188" s="108">
        <f ca="1">(R188-Q188)*BenchPF+Q188*StarterPF</f>
        <v>-19.506936912600146</v>
      </c>
      <c r="T188" s="108">
        <f ca="1">S188*Auction!$A$2</f>
        <v>-19.506936912600146</v>
      </c>
      <c r="U188" s="25" t="str">
        <f>IF(OR(INDEX(Auction!$H$13:$H$683,MATCH(B188,Auction!$A$13:$A$683,0))&gt;0,IFERROR(INDEX(CheatSheet!$V$5:$V$64,MATCH(B188,CheatSheet!$S$5:$S$64,0)),"")&lt;&gt;""),"Yes","No")</f>
        <v>No</v>
      </c>
      <c r="V188" s="218"/>
      <c r="W188" s="1"/>
      <c r="X188" s="143">
        <f ca="1">IFERROR(SUMIFS($Y$3:$Y416,$Y$3:$Y$231,"&gt;0",$U$3:$U$231,"No")/SUMIF($Y$3:$Y$231,"&gt;0"),0)</f>
        <v>0</v>
      </c>
      <c r="Y188" s="1">
        <f t="shared" ca="1" si="2"/>
        <v>-40.725000000000001</v>
      </c>
      <c r="Z188" s="145" t="str">
        <f ca="1">CONCATENATE("WR",ROUND((LARGE($Y$3:$Y$231,1)-$Y188)/(STDEVP($Y$3:$Y$231)/2)+1,0))</f>
        <v>WR10</v>
      </c>
      <c r="AA188" s="1">
        <f ca="1">Y188*LeagueInfo!$H$5</f>
        <v>-18.625209301806326</v>
      </c>
      <c r="AB188" s="1"/>
      <c r="AC188" s="1"/>
    </row>
    <row r="189" spans="1:29" ht="15.75" thickBot="1" x14ac:dyDescent="0.3">
      <c r="A189" s="47">
        <f>RANK(O189,O$3:O$231)</f>
        <v>187</v>
      </c>
      <c r="B189" s="1" t="s">
        <v>621</v>
      </c>
      <c r="C189" s="1" t="s">
        <v>39</v>
      </c>
      <c r="D189" s="1">
        <f>VLOOKUP(E189,BYEs!$A$2:$B$34,2,FALSE)</f>
        <v>10</v>
      </c>
      <c r="E189" s="1" t="s">
        <v>371</v>
      </c>
      <c r="F189" s="249">
        <v>0</v>
      </c>
      <c r="G189" s="250">
        <v>0</v>
      </c>
      <c r="H189" s="1">
        <v>0</v>
      </c>
      <c r="I189" s="1">
        <v>0</v>
      </c>
      <c r="J189" s="1">
        <v>0</v>
      </c>
      <c r="K189" s="12">
        <v>4.9000000000000004</v>
      </c>
      <c r="L189" s="1">
        <v>61.6</v>
      </c>
      <c r="M189" s="10">
        <v>0.3</v>
      </c>
      <c r="N189" s="1">
        <v>0</v>
      </c>
      <c r="O189" s="252">
        <f>(I189*WRRushingYd)+(J189*WRRushingTD)+(K189*WRRec)+(L189*WRRecYd)+(M189*WRRecTD)+(N189*WRFuml)+(H189*WRRushAtt)</f>
        <v>7.96</v>
      </c>
      <c r="P189" s="1" t="str">
        <f ca="1">IF(A189&lt;=WRStarters,"Starter",IF(A189&gt;WRStarters+WRBench,"Undrafted","Bench"))</f>
        <v>Undrafted</v>
      </c>
      <c r="Q189" s="47">
        <f ca="1">IFERROR(MAX(O189-LARGE(O$3:O$231,WRStarters),0),0)</f>
        <v>0</v>
      </c>
      <c r="R189" s="47">
        <f ca="1">IFERROR(IF(AllowNegative="Yes",O189-LARGE(O$3:O$231,WRCount),MAX(O189-LARGE(O$3:O$231,WRCount),0)),0)</f>
        <v>-81.660000000000011</v>
      </c>
      <c r="S189" s="108">
        <f ca="1">(R189-Q189)*BenchPF+Q189*StarterPF</f>
        <v>-19.557231040919927</v>
      </c>
      <c r="T189" s="108">
        <f ca="1">S189*Auction!$A$2</f>
        <v>-19.557231040919927</v>
      </c>
      <c r="U189" s="25" t="str">
        <f>IF(OR(INDEX(Auction!$H$13:$H$683,MATCH(B189,Auction!$A$13:$A$683,0))&gt;0,IFERROR(INDEX(CheatSheet!$V$5:$V$64,MATCH(B189,CheatSheet!$S$5:$S$64,0)),"")&lt;&gt;""),"Yes","No")</f>
        <v>No</v>
      </c>
      <c r="V189" s="218"/>
      <c r="W189" s="1"/>
      <c r="X189" s="143">
        <f ca="1">IFERROR(SUMIFS($Y$3:$Y417,$Y$3:$Y$231,"&gt;0",$U$3:$U$231,"No")/SUMIF($Y$3:$Y$231,"&gt;0"),0)</f>
        <v>0</v>
      </c>
      <c r="Y189" s="1">
        <f t="shared" ca="1" si="2"/>
        <v>-40.830000000000005</v>
      </c>
      <c r="Z189" s="145" t="str">
        <f ca="1">CONCATENATE("WR",ROUND((LARGE($Y$3:$Y$231,1)-$Y189)/(STDEVP($Y$3:$Y$231)/2)+1,0))</f>
        <v>WR10</v>
      </c>
      <c r="AA189" s="1">
        <f ca="1">Y189*LeagueInfo!$H$5</f>
        <v>-18.673230099269546</v>
      </c>
      <c r="AB189" s="1"/>
      <c r="AC189" s="1"/>
    </row>
    <row r="190" spans="1:29" ht="15.75" thickBot="1" x14ac:dyDescent="0.3">
      <c r="A190" s="47">
        <f>RANK(O190,O$3:O$231)</f>
        <v>188</v>
      </c>
      <c r="B190" s="1" t="s">
        <v>652</v>
      </c>
      <c r="C190" s="1" t="s">
        <v>39</v>
      </c>
      <c r="D190" s="1">
        <f>VLOOKUP(E190,BYEs!$A$2:$B$34,2,FALSE)</f>
        <v>11</v>
      </c>
      <c r="E190" s="1" t="s">
        <v>357</v>
      </c>
      <c r="F190" s="249">
        <v>0</v>
      </c>
      <c r="G190" s="250">
        <v>0</v>
      </c>
      <c r="H190" s="251">
        <v>0</v>
      </c>
      <c r="I190" s="251">
        <v>0.3</v>
      </c>
      <c r="J190" s="251">
        <v>0</v>
      </c>
      <c r="K190" s="249">
        <v>6.7</v>
      </c>
      <c r="L190" s="247">
        <v>88.5</v>
      </c>
      <c r="M190" s="250">
        <v>0</v>
      </c>
      <c r="N190" s="251">
        <v>0.5</v>
      </c>
      <c r="O190" s="252">
        <f>(I190*WRRushingYd)+(J190*WRRushingTD)+(K190*WRRec)+(L190*WRRecYd)+(M190*WRRecTD)+(N190*WRFuml)+(H190*WRRushAtt)</f>
        <v>7.879999999999999</v>
      </c>
      <c r="P190" s="1" t="str">
        <f ca="1">IF(A190&lt;=WRStarters,"Starter",IF(A190&gt;WRStarters+WRBench,"Undrafted","Bench"))</f>
        <v>Undrafted</v>
      </c>
      <c r="Q190" s="47">
        <f ca="1">IFERROR(MAX(O190-LARGE(O$3:O$231,WRStarters),0),0)</f>
        <v>0</v>
      </c>
      <c r="R190" s="47">
        <f ca="1">IFERROR(IF(AllowNegative="Yes",O190-LARGE(O$3:O$231,WRCount),MAX(O190-LARGE(O$3:O$231,WRCount),0)),0)</f>
        <v>-81.740000000000009</v>
      </c>
      <c r="S190" s="108">
        <f ca="1">(R190-Q190)*BenchPF+Q190*StarterPF</f>
        <v>-19.576390708851271</v>
      </c>
      <c r="T190" s="108">
        <f ca="1">S190*Auction!$A$2</f>
        <v>-19.576390708851271</v>
      </c>
      <c r="U190" s="25" t="str">
        <f>IF(OR(INDEX(Auction!$H$13:$H$683,MATCH(B190,Auction!$A$13:$A$683,0))&gt;0,IFERROR(INDEX(CheatSheet!$V$5:$V$64,MATCH(B190,CheatSheet!$S$5:$S$64,0)),"")&lt;&gt;""),"Yes","No")</f>
        <v>No</v>
      </c>
      <c r="V190" s="218"/>
      <c r="W190" s="1"/>
      <c r="X190" s="143">
        <f ca="1">IFERROR(SUMIFS($Y$3:$Y418,$Y$3:$Y$231,"&gt;0",$U$3:$U$231,"No")/SUMIF($Y$3:$Y$231,"&gt;0"),0)</f>
        <v>0</v>
      </c>
      <c r="Y190" s="1">
        <f t="shared" ca="1" si="2"/>
        <v>-40.870000000000005</v>
      </c>
      <c r="Z190" s="145" t="str">
        <f ca="1">CONCATENATE("WR",ROUND((LARGE($Y$3:$Y$231,1)-$Y190)/(STDEVP($Y$3:$Y$231)/2)+1,0))</f>
        <v>WR10</v>
      </c>
      <c r="AA190" s="1">
        <f ca="1">Y190*LeagueInfo!$H$5</f>
        <v>-18.691523736398391</v>
      </c>
      <c r="AB190" s="1"/>
      <c r="AC190" s="1"/>
    </row>
    <row r="191" spans="1:29" ht="15.75" thickBot="1" x14ac:dyDescent="0.3">
      <c r="A191" s="47">
        <f>RANK(O191,O$3:O$231)</f>
        <v>189</v>
      </c>
      <c r="B191" s="1" t="s">
        <v>690</v>
      </c>
      <c r="C191" s="1" t="s">
        <v>39</v>
      </c>
      <c r="D191" s="1">
        <f>VLOOKUP(E191,BYEs!$A$2:$B$34,2,FALSE)</f>
        <v>8</v>
      </c>
      <c r="E191" s="1" t="s">
        <v>368</v>
      </c>
      <c r="F191" s="249">
        <v>0</v>
      </c>
      <c r="G191" s="250">
        <v>0</v>
      </c>
      <c r="H191" s="1">
        <v>0</v>
      </c>
      <c r="I191" s="1">
        <v>0</v>
      </c>
      <c r="J191" s="1">
        <v>0</v>
      </c>
      <c r="K191" s="12">
        <v>5.7</v>
      </c>
      <c r="L191" s="1">
        <v>70.599999999999994</v>
      </c>
      <c r="M191" s="10">
        <v>0.2</v>
      </c>
      <c r="N191" s="1">
        <v>0.2</v>
      </c>
      <c r="O191" s="252">
        <f>(I191*WRRushingYd)+(J191*WRRushingTD)+(K191*WRRec)+(L191*WRRecYd)+(M191*WRRecTD)+(N191*WRFuml)+(H191*WRRushAtt)</f>
        <v>7.8599999999999994</v>
      </c>
      <c r="P191" s="1" t="str">
        <f ca="1">IF(A191&lt;=WRStarters,"Starter",IF(A191&gt;WRStarters+WRBench,"Undrafted","Bench"))</f>
        <v>Undrafted</v>
      </c>
      <c r="Q191" s="47">
        <f ca="1">IFERROR(MAX(O191-LARGE(O$3:O$231,WRStarters),0),0)</f>
        <v>0</v>
      </c>
      <c r="R191" s="47">
        <f ca="1">IFERROR(IF(AllowNegative="Yes",O191-LARGE(O$3:O$231,WRCount),MAX(O191-LARGE(O$3:O$231,WRCount),0)),0)</f>
        <v>-81.760000000000005</v>
      </c>
      <c r="S191" s="108">
        <f ca="1">(R191-Q191)*BenchPF+Q191*StarterPF</f>
        <v>-19.581180625834108</v>
      </c>
      <c r="T191" s="108">
        <f ca="1">S191*Auction!$A$2</f>
        <v>-19.581180625834108</v>
      </c>
      <c r="U191" s="25" t="str">
        <f>IF(OR(INDEX(Auction!$H$13:$H$683,MATCH(B191,Auction!$A$13:$A$683,0))&gt;0,IFERROR(INDEX(CheatSheet!$V$5:$V$64,MATCH(B191,CheatSheet!$S$5:$S$64,0)),"")&lt;&gt;""),"Yes","No")</f>
        <v>No</v>
      </c>
      <c r="V191" s="218"/>
      <c r="W191" s="1"/>
      <c r="X191" s="143">
        <f ca="1">IFERROR(SUMIFS($Y$3:$Y419,$Y$3:$Y$231,"&gt;0",$U$3:$U$231,"No")/SUMIF($Y$3:$Y$231,"&gt;0"),0)</f>
        <v>0</v>
      </c>
      <c r="Y191" s="1">
        <f t="shared" ca="1" si="2"/>
        <v>-40.880000000000003</v>
      </c>
      <c r="Z191" s="145" t="str">
        <f ca="1">CONCATENATE("WR",ROUND((LARGE($Y$3:$Y$231,1)-$Y191)/(STDEVP($Y$3:$Y$231)/2)+1,0))</f>
        <v>WR10</v>
      </c>
      <c r="AA191" s="1">
        <f ca="1">Y191*LeagueInfo!$H$5</f>
        <v>-18.696097145680604</v>
      </c>
      <c r="AB191" s="1"/>
      <c r="AC191" s="1"/>
    </row>
    <row r="192" spans="1:29" ht="15.75" thickBot="1" x14ac:dyDescent="0.3">
      <c r="A192" s="47">
        <f>RANK(O192,O$3:O$231)</f>
        <v>190</v>
      </c>
      <c r="B192" s="1" t="s">
        <v>680</v>
      </c>
      <c r="C192" s="1" t="s">
        <v>39</v>
      </c>
      <c r="D192" s="1">
        <f>VLOOKUP(E192,BYEs!$A$2:$B$34,2,FALSE)</f>
        <v>6</v>
      </c>
      <c r="E192" s="1" t="s">
        <v>364</v>
      </c>
      <c r="F192" s="249">
        <v>0</v>
      </c>
      <c r="G192" s="250">
        <v>0</v>
      </c>
      <c r="H192" s="1">
        <v>0</v>
      </c>
      <c r="I192" s="1">
        <v>0</v>
      </c>
      <c r="J192" s="1">
        <v>0</v>
      </c>
      <c r="K192" s="12">
        <v>6.1</v>
      </c>
      <c r="L192" s="1">
        <v>68.400000000000006</v>
      </c>
      <c r="M192" s="10">
        <v>0.3</v>
      </c>
      <c r="N192" s="1">
        <v>0.4</v>
      </c>
      <c r="O192" s="252">
        <f>(I192*WRRushingYd)+(J192*WRRushingTD)+(K192*WRRec)+(L192*WRRecYd)+(M192*WRRecTD)+(N192*WRFuml)+(H192*WRRushAtt)</f>
        <v>7.8400000000000007</v>
      </c>
      <c r="P192" s="1" t="str">
        <f ca="1">IF(A192&lt;=WRStarters,"Starter",IF(A192&gt;WRStarters+WRBench,"Undrafted","Bench"))</f>
        <v>Undrafted</v>
      </c>
      <c r="Q192" s="47">
        <f ca="1">IFERROR(MAX(O192-LARGE(O$3:O$231,WRStarters),0),0)</f>
        <v>0</v>
      </c>
      <c r="R192" s="47">
        <f ca="1">IFERROR(IF(AllowNegative="Yes",O192-LARGE(O$3:O$231,WRCount),MAX(O192-LARGE(O$3:O$231,WRCount),0)),0)</f>
        <v>-81.78</v>
      </c>
      <c r="S192" s="108">
        <f ca="1">(R192-Q192)*BenchPF+Q192*StarterPF</f>
        <v>-19.585970542816941</v>
      </c>
      <c r="T192" s="108">
        <f ca="1">S192*Auction!$A$2</f>
        <v>-19.585970542816941</v>
      </c>
      <c r="U192" s="25" t="str">
        <f>IF(OR(INDEX(Auction!$H$13:$H$683,MATCH(B192,Auction!$A$13:$A$683,0))&gt;0,IFERROR(INDEX(CheatSheet!$V$5:$V$64,MATCH(B192,CheatSheet!$S$5:$S$64,0)),"")&lt;&gt;""),"Yes","No")</f>
        <v>No</v>
      </c>
      <c r="V192" s="218"/>
      <c r="W192" s="1"/>
      <c r="X192" s="143">
        <f ca="1">IFERROR(SUMIFS($Y$3:$Y420,$Y$3:$Y$231,"&gt;0",$U$3:$U$231,"No")/SUMIF($Y$3:$Y$231,"&gt;0"),0)</f>
        <v>0</v>
      </c>
      <c r="Y192" s="1">
        <f t="shared" ca="1" si="2"/>
        <v>-40.89</v>
      </c>
      <c r="Z192" s="145" t="str">
        <f ca="1">CONCATENATE("WR",ROUND((LARGE($Y$3:$Y$231,1)-$Y192)/(STDEVP($Y$3:$Y$231)/2)+1,0))</f>
        <v>WR10</v>
      </c>
      <c r="AA192" s="1">
        <f ca="1">Y192*LeagueInfo!$H$5</f>
        <v>-18.700670554962812</v>
      </c>
      <c r="AB192" s="1"/>
      <c r="AC192" s="1"/>
    </row>
    <row r="193" spans="1:29" ht="15.75" thickBot="1" x14ac:dyDescent="0.3">
      <c r="A193" s="47">
        <f>RANK(O193,O$3:O$231)</f>
        <v>190</v>
      </c>
      <c r="B193" s="1" t="s">
        <v>682</v>
      </c>
      <c r="C193" s="1" t="s">
        <v>39</v>
      </c>
      <c r="D193" s="1">
        <f>VLOOKUP(E193,BYEs!$A$2:$B$34,2,FALSE)</f>
        <v>11</v>
      </c>
      <c r="E193" s="1" t="s">
        <v>382</v>
      </c>
      <c r="F193" s="249">
        <v>0</v>
      </c>
      <c r="G193" s="250">
        <v>0</v>
      </c>
      <c r="H193" s="251">
        <v>0.2</v>
      </c>
      <c r="I193" s="251">
        <v>1.7</v>
      </c>
      <c r="J193" s="251">
        <v>0</v>
      </c>
      <c r="K193" s="249">
        <v>5.9</v>
      </c>
      <c r="L193" s="247">
        <v>52.7</v>
      </c>
      <c r="M193" s="250">
        <v>0.4</v>
      </c>
      <c r="N193" s="251">
        <v>0</v>
      </c>
      <c r="O193" s="252">
        <f>(I193*WRRushingYd)+(J193*WRRushingTD)+(K193*WRRec)+(L193*WRRecYd)+(M193*WRRecTD)+(N193*WRFuml)+(H193*WRRushAtt)</f>
        <v>7.8400000000000007</v>
      </c>
      <c r="P193" s="1" t="str">
        <f ca="1">IF(A193&lt;=WRStarters,"Starter",IF(A193&gt;WRStarters+WRBench,"Undrafted","Bench"))</f>
        <v>Undrafted</v>
      </c>
      <c r="Q193" s="47">
        <f ca="1">IFERROR(MAX(O193-LARGE(O$3:O$231,WRStarters),0),0)</f>
        <v>0</v>
      </c>
      <c r="R193" s="47">
        <f ca="1">IFERROR(IF(AllowNegative="Yes",O193-LARGE(O$3:O$231,WRCount),MAX(O193-LARGE(O$3:O$231,WRCount),0)),0)</f>
        <v>-81.78</v>
      </c>
      <c r="S193" s="108">
        <f ca="1">(R193-Q193)*BenchPF+Q193*StarterPF</f>
        <v>-19.585970542816941</v>
      </c>
      <c r="T193" s="108">
        <f ca="1">S193*Auction!$A$2</f>
        <v>-19.585970542816941</v>
      </c>
      <c r="U193" s="25" t="str">
        <f>IF(OR(INDEX(Auction!$H$13:$H$683,MATCH(B193,Auction!$A$13:$A$683,0))&gt;0,IFERROR(INDEX(CheatSheet!$V$5:$V$64,MATCH(B193,CheatSheet!$S$5:$S$64,0)),"")&lt;&gt;""),"Yes","No")</f>
        <v>No</v>
      </c>
      <c r="V193" s="218"/>
      <c r="W193" s="1"/>
      <c r="X193" s="143">
        <f ca="1">IFERROR(SUMIFS($Y$3:$Y421,$Y$3:$Y$231,"&gt;0",$U$3:$U$231,"No")/SUMIF($Y$3:$Y$231,"&gt;0"),0)</f>
        <v>0</v>
      </c>
      <c r="Y193" s="1">
        <f t="shared" ca="1" si="2"/>
        <v>-40.89</v>
      </c>
      <c r="Z193" s="145" t="str">
        <f ca="1">CONCATENATE("WR",ROUND((LARGE($Y$3:$Y$231,1)-$Y193)/(STDEVP($Y$3:$Y$231)/2)+1,0))</f>
        <v>WR10</v>
      </c>
      <c r="AA193" s="1">
        <f ca="1">Y193*LeagueInfo!$H$5</f>
        <v>-18.700670554962812</v>
      </c>
      <c r="AB193" s="1"/>
      <c r="AC193" s="1"/>
    </row>
    <row r="194" spans="1:29" ht="15.75" thickBot="1" x14ac:dyDescent="0.3">
      <c r="A194" s="47">
        <f>RANK(O194,O$3:O$231)</f>
        <v>192</v>
      </c>
      <c r="B194" s="1" t="s">
        <v>685</v>
      </c>
      <c r="C194" s="1" t="s">
        <v>39</v>
      </c>
      <c r="D194" s="1">
        <f>VLOOKUP(E194,BYEs!$A$2:$B$34,2,FALSE)</f>
        <v>9</v>
      </c>
      <c r="E194" s="1" t="s">
        <v>363</v>
      </c>
      <c r="F194" s="249">
        <v>0</v>
      </c>
      <c r="G194" s="250">
        <v>0</v>
      </c>
      <c r="H194" s="1">
        <v>0.2</v>
      </c>
      <c r="I194" s="1">
        <v>1.7</v>
      </c>
      <c r="J194" s="1">
        <v>0</v>
      </c>
      <c r="K194" s="12">
        <v>4.0999999999999996</v>
      </c>
      <c r="L194" s="1">
        <v>51.4</v>
      </c>
      <c r="M194" s="10">
        <v>0.4</v>
      </c>
      <c r="N194" s="1">
        <v>0</v>
      </c>
      <c r="O194" s="252">
        <f>(I194*WRRushingYd)+(J194*WRRushingTD)+(K194*WRRec)+(L194*WRRecYd)+(M194*WRRecTD)+(N194*WRFuml)+(H194*WRRushAtt)</f>
        <v>7.7100000000000009</v>
      </c>
      <c r="P194" s="1" t="str">
        <f ca="1">IF(A194&lt;=WRStarters,"Starter",IF(A194&gt;WRStarters+WRBench,"Undrafted","Bench"))</f>
        <v>Undrafted</v>
      </c>
      <c r="Q194" s="47">
        <f ca="1">IFERROR(MAX(O194-LARGE(O$3:O$231,WRStarters),0),0)</f>
        <v>0</v>
      </c>
      <c r="R194" s="47">
        <f ca="1">IFERROR(IF(AllowNegative="Yes",O194-LARGE(O$3:O$231,WRCount),MAX(O194-LARGE(O$3:O$231,WRCount),0)),0)</f>
        <v>-81.91</v>
      </c>
      <c r="S194" s="108">
        <f ca="1">(R194-Q194)*BenchPF+Q194*StarterPF</f>
        <v>-19.617105003205374</v>
      </c>
      <c r="T194" s="108">
        <f ca="1">S194*Auction!$A$2</f>
        <v>-19.617105003205374</v>
      </c>
      <c r="U194" s="25" t="str">
        <f>IF(OR(INDEX(Auction!$H$13:$H$683,MATCH(B194,Auction!$A$13:$A$683,0))&gt;0,IFERROR(INDEX(CheatSheet!$V$5:$V$64,MATCH(B194,CheatSheet!$S$5:$S$64,0)),"")&lt;&gt;""),"Yes","No")</f>
        <v>No</v>
      </c>
      <c r="V194" s="218"/>
      <c r="W194" s="1"/>
      <c r="X194" s="143">
        <f ca="1">IFERROR(SUMIFS($Y$3:$Y422,$Y$3:$Y$231,"&gt;0",$U$3:$U$231,"No")/SUMIF($Y$3:$Y$231,"&gt;0"),0)</f>
        <v>0</v>
      </c>
      <c r="Y194" s="1">
        <f t="shared" ca="1" si="2"/>
        <v>-40.954999999999998</v>
      </c>
      <c r="Z194" s="145" t="str">
        <f ca="1">CONCATENATE("WR",ROUND((LARGE($Y$3:$Y$231,1)-$Y194)/(STDEVP($Y$3:$Y$231)/2)+1,0))</f>
        <v>WR10</v>
      </c>
      <c r="AA194" s="1">
        <f ca="1">Y194*LeagueInfo!$H$5</f>
        <v>-18.730397715297187</v>
      </c>
      <c r="AB194" s="1"/>
      <c r="AC194" s="1"/>
    </row>
    <row r="195" spans="1:29" ht="15.75" thickBot="1" x14ac:dyDescent="0.3">
      <c r="A195" s="47">
        <f>RANK(O195,O$3:O$231)</f>
        <v>193</v>
      </c>
      <c r="B195" s="1" t="s">
        <v>684</v>
      </c>
      <c r="C195" s="1" t="s">
        <v>39</v>
      </c>
      <c r="D195" s="1">
        <f>VLOOKUP(E195,BYEs!$A$2:$B$34,2,FALSE)</f>
        <v>9</v>
      </c>
      <c r="E195" s="1" t="s">
        <v>376</v>
      </c>
      <c r="F195" s="249">
        <v>0</v>
      </c>
      <c r="G195" s="250">
        <v>0</v>
      </c>
      <c r="H195" s="1">
        <v>0</v>
      </c>
      <c r="I195" s="1">
        <v>0</v>
      </c>
      <c r="J195" s="1">
        <v>0</v>
      </c>
      <c r="K195" s="12">
        <v>4.4000000000000004</v>
      </c>
      <c r="L195" s="1">
        <v>61</v>
      </c>
      <c r="M195" s="10">
        <v>0.3</v>
      </c>
      <c r="N195" s="1">
        <v>0.1</v>
      </c>
      <c r="O195" s="252">
        <f>(I195*WRRushingYd)+(J195*WRRushingTD)+(K195*WRRec)+(L195*WRRecYd)+(M195*WRRecTD)+(N195*WRFuml)+(H195*WRRushAtt)</f>
        <v>7.7</v>
      </c>
      <c r="P195" s="1" t="str">
        <f ca="1">IF(A195&lt;=WRStarters,"Starter",IF(A195&gt;WRStarters+WRBench,"Undrafted","Bench"))</f>
        <v>Undrafted</v>
      </c>
      <c r="Q195" s="47">
        <f ca="1">IFERROR(MAX(O195-LARGE(O$3:O$231,WRStarters),0),0)</f>
        <v>0</v>
      </c>
      <c r="R195" s="47">
        <f ca="1">IFERROR(IF(AllowNegative="Yes",O195-LARGE(O$3:O$231,WRCount),MAX(O195-LARGE(O$3:O$231,WRCount),0)),0)</f>
        <v>-81.92</v>
      </c>
      <c r="S195" s="108">
        <f ca="1">(R195-Q195)*BenchPF+Q195*StarterPF</f>
        <v>-19.619499961696796</v>
      </c>
      <c r="T195" s="108">
        <f ca="1">S195*Auction!$A$2</f>
        <v>-19.619499961696796</v>
      </c>
      <c r="U195" s="25" t="str">
        <f>IF(OR(INDEX(Auction!$H$13:$H$683,MATCH(B195,Auction!$A$13:$A$683,0))&gt;0,IFERROR(INDEX(CheatSheet!$V$5:$V$64,MATCH(B195,CheatSheet!$S$5:$S$64,0)),"")&lt;&gt;""),"Yes","No")</f>
        <v>No</v>
      </c>
      <c r="V195" s="218"/>
      <c r="W195" s="1"/>
      <c r="X195" s="143">
        <f ca="1">IFERROR(SUMIFS($Y$3:$Y423,$Y$3:$Y$231,"&gt;0",$U$3:$U$231,"No")/SUMIF($Y$3:$Y$231,"&gt;0"),0)</f>
        <v>0</v>
      </c>
      <c r="Y195" s="1">
        <f t="shared" ca="1" si="2"/>
        <v>-40.96</v>
      </c>
      <c r="Z195" s="145" t="str">
        <f ca="1">CONCATENATE("WR",ROUND((LARGE($Y$3:$Y$231,1)-$Y195)/(STDEVP($Y$3:$Y$231)/2)+1,0))</f>
        <v>WR10</v>
      </c>
      <c r="AA195" s="1">
        <f ca="1">Y195*LeagueInfo!$H$5</f>
        <v>-18.732684419938295</v>
      </c>
      <c r="AB195" s="1"/>
      <c r="AC195" s="1"/>
    </row>
    <row r="196" spans="1:29" ht="15.75" thickBot="1" x14ac:dyDescent="0.3">
      <c r="A196" s="47">
        <f>RANK(O196,O$3:O$231)</f>
        <v>193</v>
      </c>
      <c r="B196" s="1" t="s">
        <v>681</v>
      </c>
      <c r="C196" s="1" t="s">
        <v>39</v>
      </c>
      <c r="D196" s="1">
        <f>VLOOKUP(E196,BYEs!$A$2:$B$34,2,FALSE)</f>
        <v>6</v>
      </c>
      <c r="E196" s="1" t="s">
        <v>360</v>
      </c>
      <c r="F196" s="249">
        <v>0</v>
      </c>
      <c r="G196" s="250">
        <v>0</v>
      </c>
      <c r="H196" s="1">
        <v>0</v>
      </c>
      <c r="I196" s="1">
        <v>0</v>
      </c>
      <c r="J196" s="1">
        <v>0</v>
      </c>
      <c r="K196" s="12">
        <v>4</v>
      </c>
      <c r="L196" s="1">
        <v>55</v>
      </c>
      <c r="M196" s="10">
        <v>0.4</v>
      </c>
      <c r="N196" s="1">
        <v>0.1</v>
      </c>
      <c r="O196" s="252">
        <f>(I196*WRRushingYd)+(J196*WRRushingTD)+(K196*WRRec)+(L196*WRRecYd)+(M196*WRRecTD)+(N196*WRFuml)+(H196*WRRushAtt)</f>
        <v>7.7</v>
      </c>
      <c r="P196" s="1" t="str">
        <f ca="1">IF(A196&lt;=WRStarters,"Starter",IF(A196&gt;WRStarters+WRBench,"Undrafted","Bench"))</f>
        <v>Undrafted</v>
      </c>
      <c r="Q196" s="47">
        <f ca="1">IFERROR(MAX(O196-LARGE(O$3:O$231,WRStarters),0),0)</f>
        <v>0</v>
      </c>
      <c r="R196" s="47">
        <f ca="1">IFERROR(IF(AllowNegative="Yes",O196-LARGE(O$3:O$231,WRCount),MAX(O196-LARGE(O$3:O$231,WRCount),0)),0)</f>
        <v>-81.92</v>
      </c>
      <c r="S196" s="108">
        <f ca="1">(R196-Q196)*BenchPF+Q196*StarterPF</f>
        <v>-19.619499961696796</v>
      </c>
      <c r="T196" s="108">
        <f ca="1">S196*Auction!$A$2</f>
        <v>-19.619499961696796</v>
      </c>
      <c r="U196" s="25" t="str">
        <f>IF(OR(INDEX(Auction!$H$13:$H$683,MATCH(B196,Auction!$A$13:$A$683,0))&gt;0,IFERROR(INDEX(CheatSheet!$V$5:$V$64,MATCH(B196,CheatSheet!$S$5:$S$64,0)),"")&lt;&gt;""),"Yes","No")</f>
        <v>No</v>
      </c>
      <c r="V196" s="218"/>
      <c r="W196" s="1"/>
      <c r="X196" s="143">
        <f ca="1">IFERROR(SUMIFS($Y$3:$Y424,$Y$3:$Y$231,"&gt;0",$U$3:$U$231,"No")/SUMIF($Y$3:$Y$231,"&gt;0"),0)</f>
        <v>0</v>
      </c>
      <c r="Y196" s="1">
        <f t="shared" ref="Y196:Y231" ca="1" si="3">AVERAGE(Q196:R196)</f>
        <v>-40.96</v>
      </c>
      <c r="Z196" s="145" t="str">
        <f ca="1">CONCATENATE("WR",ROUND((LARGE($Y$3:$Y$231,1)-$Y196)/(STDEVP($Y$3:$Y$231)/2)+1,0))</f>
        <v>WR10</v>
      </c>
      <c r="AA196" s="1">
        <f ca="1">Y196*LeagueInfo!$H$5</f>
        <v>-18.732684419938295</v>
      </c>
      <c r="AB196" s="1"/>
      <c r="AC196" s="1"/>
    </row>
    <row r="197" spans="1:29" ht="15.75" thickBot="1" x14ac:dyDescent="0.3">
      <c r="A197" s="47">
        <f>RANK(O197,O$3:O$231)</f>
        <v>195</v>
      </c>
      <c r="B197" s="1" t="s">
        <v>676</v>
      </c>
      <c r="C197" s="1" t="s">
        <v>39</v>
      </c>
      <c r="D197" s="1">
        <f>VLOOKUP(E197,BYEs!$A$2:$B$34,2,FALSE)</f>
        <v>11</v>
      </c>
      <c r="E197" s="1" t="s">
        <v>356</v>
      </c>
      <c r="F197" s="249">
        <v>0</v>
      </c>
      <c r="G197" s="250">
        <v>0</v>
      </c>
      <c r="H197" s="1">
        <v>0.2</v>
      </c>
      <c r="I197" s="1">
        <v>0.3</v>
      </c>
      <c r="J197" s="1">
        <v>0</v>
      </c>
      <c r="K197" s="12">
        <v>5.6</v>
      </c>
      <c r="L197" s="1">
        <v>59.9</v>
      </c>
      <c r="M197" s="10">
        <v>0.3</v>
      </c>
      <c r="N197" s="1">
        <v>0.1</v>
      </c>
      <c r="O197" s="252">
        <f>(I197*WRRushingYd)+(J197*WRRushingTD)+(K197*WRRec)+(L197*WRRecYd)+(M197*WRRecTD)+(N197*WRFuml)+(H197*WRRushAtt)</f>
        <v>7.62</v>
      </c>
      <c r="P197" s="1" t="str">
        <f ca="1">IF(A197&lt;=WRStarters,"Starter",IF(A197&gt;WRStarters+WRBench,"Undrafted","Bench"))</f>
        <v>Undrafted</v>
      </c>
      <c r="Q197" s="47">
        <f ca="1">IFERROR(MAX(O197-LARGE(O$3:O$231,WRStarters),0),0)</f>
        <v>0</v>
      </c>
      <c r="R197" s="47">
        <f ca="1">IFERROR(IF(AllowNegative="Yes",O197-LARGE(O$3:O$231,WRCount),MAX(O197-LARGE(O$3:O$231,WRCount),0)),0)</f>
        <v>-82</v>
      </c>
      <c r="S197" s="108">
        <f ca="1">(R197-Q197)*BenchPF+Q197*StarterPF</f>
        <v>-19.63865962962814</v>
      </c>
      <c r="T197" s="108">
        <f ca="1">S197*Auction!$A$2</f>
        <v>-19.63865962962814</v>
      </c>
      <c r="U197" s="25" t="str">
        <f>IF(OR(INDEX(Auction!$H$13:$H$683,MATCH(B197,Auction!$A$13:$A$683,0))&gt;0,IFERROR(INDEX(CheatSheet!$V$5:$V$64,MATCH(B197,CheatSheet!$S$5:$S$64,0)),"")&lt;&gt;""),"Yes","No")</f>
        <v>No</v>
      </c>
      <c r="V197" s="218"/>
      <c r="W197" s="1"/>
      <c r="X197" s="143">
        <f ca="1">IFERROR(SUMIFS($Y$3:$Y425,$Y$3:$Y$231,"&gt;0",$U$3:$U$231,"No")/SUMIF($Y$3:$Y$231,"&gt;0"),0)</f>
        <v>0</v>
      </c>
      <c r="Y197" s="1">
        <f t="shared" ca="1" si="3"/>
        <v>-41</v>
      </c>
      <c r="Z197" s="145" t="str">
        <f ca="1">CONCATENATE("WR",ROUND((LARGE($Y$3:$Y$231,1)-$Y197)/(STDEVP($Y$3:$Y$231)/2)+1,0))</f>
        <v>WR10</v>
      </c>
      <c r="AA197" s="1">
        <f ca="1">Y197*LeagueInfo!$H$5</f>
        <v>-18.75097805706714</v>
      </c>
      <c r="AB197" s="1"/>
      <c r="AC197" s="1"/>
    </row>
    <row r="198" spans="1:29" ht="15.75" thickBot="1" x14ac:dyDescent="0.3">
      <c r="A198" s="47">
        <f>RANK(O198,O$3:O$231)</f>
        <v>196</v>
      </c>
      <c r="B198" s="1" t="s">
        <v>638</v>
      </c>
      <c r="C198" s="1" t="s">
        <v>39</v>
      </c>
      <c r="D198" s="1">
        <f>VLOOKUP(E198,BYEs!$A$2:$B$34,2,FALSE)</f>
        <v>9</v>
      </c>
      <c r="E198" s="1" t="s">
        <v>387</v>
      </c>
      <c r="F198" s="249">
        <v>0</v>
      </c>
      <c r="G198" s="250">
        <v>0</v>
      </c>
      <c r="H198" s="1">
        <v>0</v>
      </c>
      <c r="I198" s="1">
        <v>0</v>
      </c>
      <c r="J198" s="1">
        <v>0</v>
      </c>
      <c r="K198" s="12">
        <v>4.9000000000000004</v>
      </c>
      <c r="L198" s="1">
        <v>60.1</v>
      </c>
      <c r="M198" s="10">
        <v>0.3</v>
      </c>
      <c r="N198" s="1">
        <v>0.1</v>
      </c>
      <c r="O198" s="252">
        <f>(I198*WRRushingYd)+(J198*WRRushingTD)+(K198*WRRec)+(L198*WRRecYd)+(M198*WRRecTD)+(N198*WRFuml)+(H198*WRRushAtt)</f>
        <v>7.61</v>
      </c>
      <c r="P198" s="1" t="str">
        <f ca="1">IF(A198&lt;=WRStarters,"Starter",IF(A198&gt;WRStarters+WRBench,"Undrafted","Bench"))</f>
        <v>Undrafted</v>
      </c>
      <c r="Q198" s="47">
        <f ca="1">IFERROR(MAX(O198-LARGE(O$3:O$231,WRStarters),0),0)</f>
        <v>0</v>
      </c>
      <c r="R198" s="47">
        <f ca="1">IFERROR(IF(AllowNegative="Yes",O198-LARGE(O$3:O$231,WRCount),MAX(O198-LARGE(O$3:O$231,WRCount),0)),0)</f>
        <v>-82.01</v>
      </c>
      <c r="S198" s="108">
        <f ca="1">(R198-Q198)*BenchPF+Q198*StarterPF</f>
        <v>-19.641054588119559</v>
      </c>
      <c r="T198" s="108">
        <f ca="1">S198*Auction!$A$2</f>
        <v>-19.641054588119559</v>
      </c>
      <c r="U198" s="25" t="str">
        <f>IF(OR(INDEX(Auction!$H$13:$H$683,MATCH(B198,Auction!$A$13:$A$683,0))&gt;0,IFERROR(INDEX(CheatSheet!$V$5:$V$64,MATCH(B198,CheatSheet!$S$5:$S$64,0)),"")&lt;&gt;""),"Yes","No")</f>
        <v>No</v>
      </c>
      <c r="V198" s="218"/>
      <c r="W198" s="1"/>
      <c r="X198" s="143">
        <f ca="1">IFERROR(SUMIFS($Y$3:$Y426,$Y$3:$Y$231,"&gt;0",$U$3:$U$231,"No")/SUMIF($Y$3:$Y$231,"&gt;0"),0)</f>
        <v>0</v>
      </c>
      <c r="Y198" s="1">
        <f t="shared" ca="1" si="3"/>
        <v>-41.005000000000003</v>
      </c>
      <c r="Z198" s="145" t="str">
        <f ca="1">CONCATENATE("WR",ROUND((LARGE($Y$3:$Y$231,1)-$Y198)/(STDEVP($Y$3:$Y$231)/2)+1,0))</f>
        <v>WR10</v>
      </c>
      <c r="AA198" s="1">
        <f ca="1">Y198*LeagueInfo!$H$5</f>
        <v>-18.753264761708248</v>
      </c>
      <c r="AB198" s="1"/>
      <c r="AC198" s="1"/>
    </row>
    <row r="199" spans="1:29" ht="15.75" thickBot="1" x14ac:dyDescent="0.3">
      <c r="A199" s="47">
        <f>RANK(O199,O$3:O$231)</f>
        <v>197</v>
      </c>
      <c r="B199" s="1" t="s">
        <v>661</v>
      </c>
      <c r="C199" s="1" t="s">
        <v>39</v>
      </c>
      <c r="D199" s="1">
        <f>VLOOKUP(E199,BYEs!$A$2:$B$34,2,FALSE)</f>
        <v>10</v>
      </c>
      <c r="E199" s="1" t="s">
        <v>369</v>
      </c>
      <c r="F199" s="249">
        <v>0</v>
      </c>
      <c r="G199" s="250">
        <v>0</v>
      </c>
      <c r="H199" s="1">
        <v>0.1</v>
      </c>
      <c r="I199" s="1">
        <v>0.1</v>
      </c>
      <c r="J199" s="1">
        <v>0</v>
      </c>
      <c r="K199" s="12">
        <v>4.5</v>
      </c>
      <c r="L199" s="1">
        <v>64.900000000000006</v>
      </c>
      <c r="M199" s="10">
        <v>0.2</v>
      </c>
      <c r="N199" s="1">
        <v>0.1</v>
      </c>
      <c r="O199" s="252">
        <f>(I199*WRRushingYd)+(J199*WRRushingTD)+(K199*WRRec)+(L199*WRRecYd)+(M199*WRRecTD)+(N199*WRFuml)+(H199*WRRushAtt)</f>
        <v>7.5000000000000009</v>
      </c>
      <c r="P199" s="1" t="str">
        <f ca="1">IF(A199&lt;=WRStarters,"Starter",IF(A199&gt;WRStarters+WRBench,"Undrafted","Bench"))</f>
        <v>Undrafted</v>
      </c>
      <c r="Q199" s="47">
        <f ca="1">IFERROR(MAX(O199-LARGE(O$3:O$231,WRStarters),0),0)</f>
        <v>0</v>
      </c>
      <c r="R199" s="47">
        <f ca="1">IFERROR(IF(AllowNegative="Yes",O199-LARGE(O$3:O$231,WRCount),MAX(O199-LARGE(O$3:O$231,WRCount),0)),0)</f>
        <v>-82.12</v>
      </c>
      <c r="S199" s="108">
        <f ca="1">(R199-Q199)*BenchPF+Q199*StarterPF</f>
        <v>-19.667399131525158</v>
      </c>
      <c r="T199" s="108">
        <f ca="1">S199*Auction!$A$2</f>
        <v>-19.667399131525158</v>
      </c>
      <c r="U199" s="25" t="str">
        <f>IF(OR(INDEX(Auction!$H$13:$H$683,MATCH(B199,Auction!$A$13:$A$683,0))&gt;0,IFERROR(INDEX(CheatSheet!$V$5:$V$64,MATCH(B199,CheatSheet!$S$5:$S$64,0)),"")&lt;&gt;""),"Yes","No")</f>
        <v>No</v>
      </c>
      <c r="V199" s="218"/>
      <c r="W199" s="1"/>
      <c r="X199" s="143">
        <f ca="1">IFERROR(SUMIFS($Y$3:$Y427,$Y$3:$Y$231,"&gt;0",$U$3:$U$231,"No")/SUMIF($Y$3:$Y$231,"&gt;0"),0)</f>
        <v>0</v>
      </c>
      <c r="Y199" s="1">
        <f t="shared" ca="1" si="3"/>
        <v>-41.06</v>
      </c>
      <c r="Z199" s="145" t="str">
        <f ca="1">CONCATENATE("WR",ROUND((LARGE($Y$3:$Y$231,1)-$Y199)/(STDEVP($Y$3:$Y$231)/2)+1,0))</f>
        <v>WR10</v>
      </c>
      <c r="AA199" s="1">
        <f ca="1">Y199*LeagueInfo!$H$5</f>
        <v>-18.77841851276041</v>
      </c>
      <c r="AB199" s="1"/>
      <c r="AC199" s="1"/>
    </row>
    <row r="200" spans="1:29" ht="15.75" thickBot="1" x14ac:dyDescent="0.3">
      <c r="A200" s="47">
        <f>RANK(O200,O$3:O$231)</f>
        <v>198</v>
      </c>
      <c r="B200" s="1" t="s">
        <v>691</v>
      </c>
      <c r="C200" s="1" t="s">
        <v>39</v>
      </c>
      <c r="D200" s="1">
        <f>VLOOKUP(E200,BYEs!$A$2:$B$34,2,FALSE)</f>
        <v>9</v>
      </c>
      <c r="E200" s="1" t="s">
        <v>373</v>
      </c>
      <c r="F200" s="249">
        <v>0</v>
      </c>
      <c r="G200" s="250">
        <v>0</v>
      </c>
      <c r="H200" s="1">
        <v>0</v>
      </c>
      <c r="I200" s="1">
        <v>0</v>
      </c>
      <c r="J200" s="1">
        <v>0</v>
      </c>
      <c r="K200" s="12">
        <v>5</v>
      </c>
      <c r="L200" s="1">
        <v>56</v>
      </c>
      <c r="M200" s="10">
        <v>0.3</v>
      </c>
      <c r="N200" s="1">
        <v>0</v>
      </c>
      <c r="O200" s="252">
        <f>(I200*WRRushingYd)+(J200*WRRushingTD)+(K200*WRRec)+(L200*WRRecYd)+(M200*WRRecTD)+(N200*WRFuml)+(H200*WRRushAtt)</f>
        <v>7.4</v>
      </c>
      <c r="P200" s="1" t="str">
        <f ca="1">IF(A200&lt;=WRStarters,"Starter",IF(A200&gt;WRStarters+WRBench,"Undrafted","Bench"))</f>
        <v>Undrafted</v>
      </c>
      <c r="Q200" s="47">
        <f ca="1">IFERROR(MAX(O200-LARGE(O$3:O$231,WRStarters),0),0)</f>
        <v>0</v>
      </c>
      <c r="R200" s="47">
        <f ca="1">IFERROR(IF(AllowNegative="Yes",O200-LARGE(O$3:O$231,WRCount),MAX(O200-LARGE(O$3:O$231,WRCount),0)),0)</f>
        <v>-82.22</v>
      </c>
      <c r="S200" s="108">
        <f ca="1">(R200-Q200)*BenchPF+Q200*StarterPF</f>
        <v>-19.691348716439336</v>
      </c>
      <c r="T200" s="108">
        <f ca="1">S200*Auction!$A$2</f>
        <v>-19.691348716439336</v>
      </c>
      <c r="U200" s="25" t="str">
        <f>IF(OR(INDEX(Auction!$H$13:$H$683,MATCH(B200,Auction!$A$13:$A$683,0))&gt;0,IFERROR(INDEX(CheatSheet!$V$5:$V$64,MATCH(B200,CheatSheet!$S$5:$S$64,0)),"")&lt;&gt;""),"Yes","No")</f>
        <v>No</v>
      </c>
      <c r="V200" s="218"/>
      <c r="W200" s="1"/>
      <c r="X200" s="143">
        <f ca="1">IFERROR(SUMIFS($Y$3:$Y428,$Y$3:$Y$231,"&gt;0",$U$3:$U$231,"No")/SUMIF($Y$3:$Y$231,"&gt;0"),0)</f>
        <v>0</v>
      </c>
      <c r="Y200" s="1">
        <f t="shared" ca="1" si="3"/>
        <v>-41.11</v>
      </c>
      <c r="Z200" s="145" t="str">
        <f ca="1">CONCATENATE("WR",ROUND((LARGE($Y$3:$Y$231,1)-$Y200)/(STDEVP($Y$3:$Y$231)/2)+1,0))</f>
        <v>WR10</v>
      </c>
      <c r="AA200" s="1">
        <f ca="1">Y200*LeagueInfo!$H$5</f>
        <v>-18.801285559171465</v>
      </c>
      <c r="AB200" s="1"/>
      <c r="AC200" s="1"/>
    </row>
    <row r="201" spans="1:29" ht="15.75" thickBot="1" x14ac:dyDescent="0.3">
      <c r="A201" s="47">
        <f>RANK(O201,O$3:O$231)</f>
        <v>198</v>
      </c>
      <c r="B201" s="1" t="s">
        <v>692</v>
      </c>
      <c r="C201" s="1" t="s">
        <v>39</v>
      </c>
      <c r="D201" s="1">
        <f>VLOOKUP(E201,BYEs!$A$2:$B$34,2,FALSE)</f>
        <v>9</v>
      </c>
      <c r="E201" s="1" t="s">
        <v>373</v>
      </c>
      <c r="F201" s="249">
        <v>0</v>
      </c>
      <c r="G201" s="250">
        <v>0</v>
      </c>
      <c r="H201" s="1">
        <v>0</v>
      </c>
      <c r="I201" s="1">
        <v>0</v>
      </c>
      <c r="J201" s="1">
        <v>0</v>
      </c>
      <c r="K201" s="12">
        <v>5</v>
      </c>
      <c r="L201" s="1">
        <v>56</v>
      </c>
      <c r="M201" s="10">
        <v>0.3</v>
      </c>
      <c r="N201" s="1">
        <v>0</v>
      </c>
      <c r="O201" s="252">
        <f>(I201*WRRushingYd)+(J201*WRRushingTD)+(K201*WRRec)+(L201*WRRecYd)+(M201*WRRecTD)+(N201*WRFuml)+(H201*WRRushAtt)</f>
        <v>7.4</v>
      </c>
      <c r="P201" s="1" t="str">
        <f ca="1">IF(A201&lt;=WRStarters,"Starter",IF(A201&gt;WRStarters+WRBench,"Undrafted","Bench"))</f>
        <v>Undrafted</v>
      </c>
      <c r="Q201" s="47">
        <f ca="1">IFERROR(MAX(O201-LARGE(O$3:O$231,WRStarters),0),0)</f>
        <v>0</v>
      </c>
      <c r="R201" s="47">
        <f ca="1">IFERROR(IF(AllowNegative="Yes",O201-LARGE(O$3:O$231,WRCount),MAX(O201-LARGE(O$3:O$231,WRCount),0)),0)</f>
        <v>-82.22</v>
      </c>
      <c r="S201" s="108">
        <f ca="1">(R201-Q201)*BenchPF+Q201*StarterPF</f>
        <v>-19.691348716439336</v>
      </c>
      <c r="T201" s="108">
        <f ca="1">S201*Auction!$A$2</f>
        <v>-19.691348716439336</v>
      </c>
      <c r="U201" s="25" t="str">
        <f>IF(OR(INDEX(Auction!$H$13:$H$683,MATCH(B201,Auction!$A$13:$A$683,0))&gt;0,IFERROR(INDEX(CheatSheet!$V$5:$V$64,MATCH(B201,CheatSheet!$S$5:$S$64,0)),"")&lt;&gt;""),"Yes","No")</f>
        <v>No</v>
      </c>
      <c r="V201" s="218"/>
      <c r="W201" s="1"/>
      <c r="X201" s="143">
        <f ca="1">IFERROR(SUMIFS($Y$3:$Y429,$Y$3:$Y$231,"&gt;0",$U$3:$U$231,"No")/SUMIF($Y$3:$Y$231,"&gt;0"),0)</f>
        <v>0</v>
      </c>
      <c r="Y201" s="1">
        <f t="shared" ca="1" si="3"/>
        <v>-41.11</v>
      </c>
      <c r="Z201" s="145" t="str">
        <f ca="1">CONCATENATE("WR",ROUND((LARGE($Y$3:$Y$231,1)-$Y201)/(STDEVP($Y$3:$Y$231)/2)+1,0))</f>
        <v>WR10</v>
      </c>
      <c r="AA201" s="1">
        <f ca="1">Y201*LeagueInfo!$H$5</f>
        <v>-18.801285559171465</v>
      </c>
      <c r="AB201" s="1"/>
      <c r="AC201" s="1"/>
    </row>
    <row r="202" spans="1:29" ht="15.75" thickBot="1" x14ac:dyDescent="0.3">
      <c r="A202" s="47">
        <f>RANK(O202,O$3:O$231)</f>
        <v>200</v>
      </c>
      <c r="B202" s="1" t="s">
        <v>644</v>
      </c>
      <c r="C202" s="1" t="s">
        <v>39</v>
      </c>
      <c r="D202" s="1">
        <f>VLOOKUP(E202,BYEs!$A$2:$B$34,2,FALSE)</f>
        <v>8</v>
      </c>
      <c r="E202" s="1" t="s">
        <v>359</v>
      </c>
      <c r="F202" s="249">
        <v>0</v>
      </c>
      <c r="G202" s="250">
        <v>0</v>
      </c>
      <c r="H202" s="1">
        <v>0</v>
      </c>
      <c r="I202" s="1">
        <v>0.1</v>
      </c>
      <c r="J202" s="1">
        <v>0</v>
      </c>
      <c r="K202" s="12">
        <v>5.7</v>
      </c>
      <c r="L202" s="1">
        <v>69.599999999999994</v>
      </c>
      <c r="M202" s="10">
        <v>0.1</v>
      </c>
      <c r="N202" s="1">
        <v>0.1</v>
      </c>
      <c r="O202" s="252">
        <f>(I202*WRRushingYd)+(J202*WRRushingTD)+(K202*WRRec)+(L202*WRRecYd)+(M202*WRRecTD)+(N202*WRFuml)+(H202*WRRushAtt)</f>
        <v>7.37</v>
      </c>
      <c r="P202" s="1" t="str">
        <f ca="1">IF(A202&lt;=WRStarters,"Starter",IF(A202&gt;WRStarters+WRBench,"Undrafted","Bench"))</f>
        <v>Undrafted</v>
      </c>
      <c r="Q202" s="47">
        <f ca="1">IFERROR(MAX(O202-LARGE(O$3:O$231,WRStarters),0),0)</f>
        <v>0</v>
      </c>
      <c r="R202" s="47">
        <f ca="1">IFERROR(IF(AllowNegative="Yes",O202-LARGE(O$3:O$231,WRCount),MAX(O202-LARGE(O$3:O$231,WRCount),0)),0)</f>
        <v>-82.25</v>
      </c>
      <c r="S202" s="108">
        <f ca="1">(R202-Q202)*BenchPF+Q202*StarterPF</f>
        <v>-19.698533591913591</v>
      </c>
      <c r="T202" s="108">
        <f ca="1">S202*Auction!$A$2</f>
        <v>-19.698533591913591</v>
      </c>
      <c r="U202" s="25" t="str">
        <f>IF(OR(INDEX(Auction!$H$13:$H$683,MATCH(B202,Auction!$A$13:$A$683,0))&gt;0,IFERROR(INDEX(CheatSheet!$V$5:$V$64,MATCH(B202,CheatSheet!$S$5:$S$64,0)),"")&lt;&gt;""),"Yes","No")</f>
        <v>No</v>
      </c>
      <c r="V202" s="218"/>
      <c r="W202" s="1"/>
      <c r="X202" s="143">
        <f ca="1">IFERROR(SUMIFS($Y$3:$Y430,$Y$3:$Y$231,"&gt;0",$U$3:$U$231,"No")/SUMIF($Y$3:$Y$231,"&gt;0"),0)</f>
        <v>0</v>
      </c>
      <c r="Y202" s="1">
        <f t="shared" ca="1" si="3"/>
        <v>-41.125</v>
      </c>
      <c r="Z202" s="145" t="str">
        <f ca="1">CONCATENATE("WR",ROUND((LARGE($Y$3:$Y$231,1)-$Y202)/(STDEVP($Y$3:$Y$231)/2)+1,0))</f>
        <v>WR10</v>
      </c>
      <c r="AA202" s="1">
        <f ca="1">Y202*LeagueInfo!$H$5</f>
        <v>-18.808145673094785</v>
      </c>
      <c r="AB202" s="1"/>
      <c r="AC202" s="1"/>
    </row>
    <row r="203" spans="1:29" ht="15.75" thickBot="1" x14ac:dyDescent="0.3">
      <c r="A203" s="47">
        <f>RANK(O203,O$3:O$231)</f>
        <v>201</v>
      </c>
      <c r="B203" s="1" t="s">
        <v>696</v>
      </c>
      <c r="C203" s="1" t="s">
        <v>39</v>
      </c>
      <c r="D203" s="1">
        <f>VLOOKUP(E203,BYEs!$A$2:$B$34,2,FALSE)</f>
        <v>10</v>
      </c>
      <c r="E203" s="1" t="s">
        <v>369</v>
      </c>
      <c r="F203" s="249">
        <v>0</v>
      </c>
      <c r="G203" s="250">
        <v>0</v>
      </c>
      <c r="H203" s="1">
        <v>0</v>
      </c>
      <c r="I203" s="1">
        <v>0</v>
      </c>
      <c r="J203" s="1">
        <v>0</v>
      </c>
      <c r="K203" s="12">
        <v>5</v>
      </c>
      <c r="L203" s="1">
        <v>54</v>
      </c>
      <c r="M203" s="10">
        <v>0.3</v>
      </c>
      <c r="N203" s="1">
        <v>0</v>
      </c>
      <c r="O203" s="252">
        <f>(I203*WRRushingYd)+(J203*WRRushingTD)+(K203*WRRec)+(L203*WRRecYd)+(M203*WRRecTD)+(N203*WRFuml)+(H203*WRRushAtt)</f>
        <v>7.2</v>
      </c>
      <c r="P203" s="1" t="str">
        <f ca="1">IF(A203&lt;=WRStarters,"Starter",IF(A203&gt;WRStarters+WRBench,"Undrafted","Bench"))</f>
        <v>Undrafted</v>
      </c>
      <c r="Q203" s="47">
        <f ca="1">IFERROR(MAX(O203-LARGE(O$3:O$231,WRStarters),0),0)</f>
        <v>0</v>
      </c>
      <c r="R203" s="47">
        <f ca="1">IFERROR(IF(AllowNegative="Yes",O203-LARGE(O$3:O$231,WRCount),MAX(O203-LARGE(O$3:O$231,WRCount),0)),0)</f>
        <v>-82.42</v>
      </c>
      <c r="S203" s="108">
        <f ca="1">(R203-Q203)*BenchPF+Q203*StarterPF</f>
        <v>-19.739247886267698</v>
      </c>
      <c r="T203" s="108">
        <f ca="1">S203*Auction!$A$2</f>
        <v>-19.739247886267698</v>
      </c>
      <c r="U203" s="25" t="str">
        <f>IF(OR(INDEX(Auction!$H$13:$H$683,MATCH(B203,Auction!$A$13:$A$683,0))&gt;0,IFERROR(INDEX(CheatSheet!$V$5:$V$64,MATCH(B203,CheatSheet!$S$5:$S$64,0)),"")&lt;&gt;""),"Yes","No")</f>
        <v>No</v>
      </c>
      <c r="V203" s="218"/>
      <c r="W203" s="1"/>
      <c r="X203" s="143">
        <f ca="1">IFERROR(SUMIFS($Y$3:$Y431,$Y$3:$Y$231,"&gt;0",$U$3:$U$231,"No")/SUMIF($Y$3:$Y$231,"&gt;0"),0)</f>
        <v>0</v>
      </c>
      <c r="Y203" s="1">
        <f t="shared" ca="1" si="3"/>
        <v>-41.21</v>
      </c>
      <c r="Z203" s="145" t="str">
        <f ca="1">CONCATENATE("WR",ROUND((LARGE($Y$3:$Y$231,1)-$Y203)/(STDEVP($Y$3:$Y$231)/2)+1,0))</f>
        <v>WR10</v>
      </c>
      <c r="AA203" s="1">
        <f ca="1">Y203*LeagueInfo!$H$5</f>
        <v>-18.84701965199358</v>
      </c>
      <c r="AB203" s="1"/>
      <c r="AC203" s="1"/>
    </row>
    <row r="204" spans="1:29" ht="15.75" thickBot="1" x14ac:dyDescent="0.3">
      <c r="A204" s="47">
        <f>RANK(O204,O$3:O$231)</f>
        <v>202</v>
      </c>
      <c r="B204" s="1" t="s">
        <v>693</v>
      </c>
      <c r="C204" s="1" t="s">
        <v>39</v>
      </c>
      <c r="D204" s="1">
        <f>VLOOKUP(E204,BYEs!$A$2:$B$34,2,FALSE)</f>
        <v>5</v>
      </c>
      <c r="E204" s="1" t="s">
        <v>352</v>
      </c>
      <c r="F204" s="249">
        <v>0</v>
      </c>
      <c r="G204" s="250">
        <v>0</v>
      </c>
      <c r="H204" s="1">
        <v>0.1</v>
      </c>
      <c r="I204" s="1">
        <v>0.3</v>
      </c>
      <c r="J204" s="1">
        <v>0</v>
      </c>
      <c r="K204" s="12">
        <v>5.9</v>
      </c>
      <c r="L204" s="1">
        <v>66.400000000000006</v>
      </c>
      <c r="M204" s="10">
        <v>0.1</v>
      </c>
      <c r="N204" s="1">
        <v>0.1</v>
      </c>
      <c r="O204" s="252">
        <f>(I204*WRRushingYd)+(J204*WRRushingTD)+(K204*WRRec)+(L204*WRRecYd)+(M204*WRRecTD)+(N204*WRFuml)+(H204*WRRushAtt)</f>
        <v>7.0700000000000012</v>
      </c>
      <c r="P204" s="1" t="str">
        <f ca="1">IF(A204&lt;=WRStarters,"Starter",IF(A204&gt;WRStarters+WRBench,"Undrafted","Bench"))</f>
        <v>Undrafted</v>
      </c>
      <c r="Q204" s="47">
        <f ca="1">IFERROR(MAX(O204-LARGE(O$3:O$231,WRStarters),0),0)</f>
        <v>0</v>
      </c>
      <c r="R204" s="47">
        <f ca="1">IFERROR(IF(AllowNegative="Yes",O204-LARGE(O$3:O$231,WRCount),MAX(O204-LARGE(O$3:O$231,WRCount),0)),0)</f>
        <v>-82.55</v>
      </c>
      <c r="S204" s="108">
        <f ca="1">(R204-Q204)*BenchPF+Q204*StarterPF</f>
        <v>-19.770382346656131</v>
      </c>
      <c r="T204" s="108">
        <f ca="1">S204*Auction!$A$2</f>
        <v>-19.770382346656131</v>
      </c>
      <c r="U204" s="25" t="str">
        <f>IF(OR(INDEX(Auction!$H$13:$H$683,MATCH(B204,Auction!$A$13:$A$683,0))&gt;0,IFERROR(INDEX(CheatSheet!$V$5:$V$64,MATCH(B204,CheatSheet!$S$5:$S$64,0)),"")&lt;&gt;""),"Yes","No")</f>
        <v>No</v>
      </c>
      <c r="V204" s="218"/>
      <c r="W204" s="1"/>
      <c r="X204" s="143">
        <f ca="1">IFERROR(SUMIFS($Y$3:$Y432,$Y$3:$Y$231,"&gt;0",$U$3:$U$231,"No")/SUMIF($Y$3:$Y$231,"&gt;0"),0)</f>
        <v>0</v>
      </c>
      <c r="Y204" s="1">
        <f t="shared" ca="1" si="3"/>
        <v>-41.274999999999999</v>
      </c>
      <c r="Z204" s="145" t="str">
        <f ca="1">CONCATENATE("WR",ROUND((LARGE($Y$3:$Y$231,1)-$Y204)/(STDEVP($Y$3:$Y$231)/2)+1,0))</f>
        <v>WR10</v>
      </c>
      <c r="AA204" s="1">
        <f ca="1">Y204*LeagueInfo!$H$5</f>
        <v>-18.876746812327955</v>
      </c>
      <c r="AB204" s="1"/>
      <c r="AC204" s="1"/>
    </row>
    <row r="205" spans="1:29" ht="15.75" thickBot="1" x14ac:dyDescent="0.3">
      <c r="A205" s="47">
        <f>RANK(O205,O$3:O$231)</f>
        <v>203</v>
      </c>
      <c r="B205" s="1" t="s">
        <v>697</v>
      </c>
      <c r="C205" s="1" t="s">
        <v>39</v>
      </c>
      <c r="D205" s="1">
        <f>VLOOKUP(E205,BYEs!$A$2:$B$34,2,FALSE)</f>
        <v>8</v>
      </c>
      <c r="E205" s="1" t="s">
        <v>370</v>
      </c>
      <c r="F205" s="249">
        <v>0</v>
      </c>
      <c r="G205" s="250">
        <v>0</v>
      </c>
      <c r="H205" s="1">
        <v>0.2</v>
      </c>
      <c r="I205" s="1">
        <v>0.6</v>
      </c>
      <c r="J205" s="1">
        <v>0</v>
      </c>
      <c r="K205" s="12">
        <v>5</v>
      </c>
      <c r="L205" s="1">
        <v>57.9</v>
      </c>
      <c r="M205" s="10">
        <v>0.2</v>
      </c>
      <c r="N205" s="1">
        <v>0</v>
      </c>
      <c r="O205" s="252">
        <f>(I205*WRRushingYd)+(J205*WRRushingTD)+(K205*WRRec)+(L205*WRRecYd)+(M205*WRRecTD)+(N205*WRFuml)+(H205*WRRushAtt)</f>
        <v>7.05</v>
      </c>
      <c r="P205" s="1" t="str">
        <f ca="1">IF(A205&lt;=WRStarters,"Starter",IF(A205&gt;WRStarters+WRBench,"Undrafted","Bench"))</f>
        <v>Undrafted</v>
      </c>
      <c r="Q205" s="47">
        <f ca="1">IFERROR(MAX(O205-LARGE(O$3:O$231,WRStarters),0),0)</f>
        <v>0</v>
      </c>
      <c r="R205" s="47">
        <f ca="1">IFERROR(IF(AllowNegative="Yes",O205-LARGE(O$3:O$231,WRCount),MAX(O205-LARGE(O$3:O$231,WRCount),0)),0)</f>
        <v>-82.570000000000007</v>
      </c>
      <c r="S205" s="108">
        <f ca="1">(R205-Q205)*BenchPF+Q205*StarterPF</f>
        <v>-19.775172263638972</v>
      </c>
      <c r="T205" s="108">
        <f ca="1">S205*Auction!$A$2</f>
        <v>-19.775172263638972</v>
      </c>
      <c r="U205" s="25" t="str">
        <f>IF(OR(INDEX(Auction!$H$13:$H$683,MATCH(B205,Auction!$A$13:$A$683,0))&gt;0,IFERROR(INDEX(CheatSheet!$V$5:$V$64,MATCH(B205,CheatSheet!$S$5:$S$64,0)),"")&lt;&gt;""),"Yes","No")</f>
        <v>No</v>
      </c>
      <c r="V205" s="218"/>
      <c r="W205" s="1"/>
      <c r="X205" s="143">
        <f ca="1">IFERROR(SUMIFS($Y$3:$Y433,$Y$3:$Y$231,"&gt;0",$U$3:$U$231,"No")/SUMIF($Y$3:$Y$231,"&gt;0"),0)</f>
        <v>0</v>
      </c>
      <c r="Y205" s="1">
        <f t="shared" ca="1" si="3"/>
        <v>-41.285000000000004</v>
      </c>
      <c r="Z205" s="145" t="str">
        <f ca="1">CONCATENATE("WR",ROUND((LARGE($Y$3:$Y$231,1)-$Y205)/(STDEVP($Y$3:$Y$231)/2)+1,0))</f>
        <v>WR10</v>
      </c>
      <c r="AA205" s="1">
        <f ca="1">Y205*LeagueInfo!$H$5</f>
        <v>-18.881320221610167</v>
      </c>
      <c r="AB205" s="1"/>
      <c r="AC205" s="1"/>
    </row>
    <row r="206" spans="1:29" ht="15.75" thickBot="1" x14ac:dyDescent="0.3">
      <c r="A206" s="47">
        <f>RANK(O206,O$3:O$231)</f>
        <v>204</v>
      </c>
      <c r="B206" s="1" t="s">
        <v>698</v>
      </c>
      <c r="C206" s="1" t="s">
        <v>39</v>
      </c>
      <c r="D206" s="1">
        <f>VLOOKUP(E206,BYEs!$A$2:$B$34,2,FALSE)</f>
        <v>10</v>
      </c>
      <c r="E206" s="1" t="s">
        <v>372</v>
      </c>
      <c r="F206" s="249">
        <v>0</v>
      </c>
      <c r="G206" s="250">
        <v>0</v>
      </c>
      <c r="H206" s="1">
        <v>0</v>
      </c>
      <c r="I206" s="1">
        <v>0</v>
      </c>
      <c r="J206" s="1">
        <v>0</v>
      </c>
      <c r="K206" s="12">
        <v>5.3</v>
      </c>
      <c r="L206" s="1">
        <v>66.3</v>
      </c>
      <c r="M206" s="10">
        <v>0.1</v>
      </c>
      <c r="N206" s="1">
        <v>0.1</v>
      </c>
      <c r="O206" s="252">
        <f>(I206*WRRushingYd)+(J206*WRRushingTD)+(K206*WRRec)+(L206*WRRecYd)+(M206*WRRecTD)+(N206*WRFuml)+(H206*WRRushAtt)</f>
        <v>7.03</v>
      </c>
      <c r="P206" s="1" t="str">
        <f ca="1">IF(A206&lt;=WRStarters,"Starter",IF(A206&gt;WRStarters+WRBench,"Undrafted","Bench"))</f>
        <v>Undrafted</v>
      </c>
      <c r="Q206" s="47">
        <f ca="1">IFERROR(MAX(O206-LARGE(O$3:O$231,WRStarters),0),0)</f>
        <v>0</v>
      </c>
      <c r="R206" s="47">
        <f ca="1">IFERROR(IF(AllowNegative="Yes",O206-LARGE(O$3:O$231,WRCount),MAX(O206-LARGE(O$3:O$231,WRCount),0)),0)</f>
        <v>-82.59</v>
      </c>
      <c r="S206" s="108">
        <f ca="1">(R206-Q206)*BenchPF+Q206*StarterPF</f>
        <v>-19.779962180621805</v>
      </c>
      <c r="T206" s="108">
        <f ca="1">S206*Auction!$A$2</f>
        <v>-19.779962180621805</v>
      </c>
      <c r="U206" s="25" t="str">
        <f>IF(OR(INDEX(Auction!$H$13:$H$683,MATCH(B206,Auction!$A$13:$A$683,0))&gt;0,IFERROR(INDEX(CheatSheet!$V$5:$V$64,MATCH(B206,CheatSheet!$S$5:$S$64,0)),"")&lt;&gt;""),"Yes","No")</f>
        <v>No</v>
      </c>
      <c r="V206" s="218"/>
      <c r="W206" s="1"/>
      <c r="X206" s="143">
        <f ca="1">IFERROR(SUMIFS($Y$3:$Y434,$Y$3:$Y$231,"&gt;0",$U$3:$U$231,"No")/SUMIF($Y$3:$Y$231,"&gt;0"),0)</f>
        <v>0</v>
      </c>
      <c r="Y206" s="1">
        <f t="shared" ca="1" si="3"/>
        <v>-41.295000000000002</v>
      </c>
      <c r="Z206" s="145" t="str">
        <f ca="1">CONCATENATE("WR",ROUND((LARGE($Y$3:$Y$231,1)-$Y206)/(STDEVP($Y$3:$Y$231)/2)+1,0))</f>
        <v>WR10</v>
      </c>
      <c r="AA206" s="1">
        <f ca="1">Y206*LeagueInfo!$H$5</f>
        <v>-18.885893630892379</v>
      </c>
      <c r="AB206" s="1"/>
      <c r="AC206" s="1"/>
    </row>
    <row r="207" spans="1:29" ht="15.75" thickBot="1" x14ac:dyDescent="0.3">
      <c r="A207" s="47">
        <f>RANK(O207,O$3:O$231)</f>
        <v>204</v>
      </c>
      <c r="B207" s="1" t="s">
        <v>688</v>
      </c>
      <c r="C207" s="1" t="s">
        <v>39</v>
      </c>
      <c r="D207" s="1">
        <f>VLOOKUP(E207,BYEs!$A$2:$B$34,2,FALSE)</f>
        <v>8</v>
      </c>
      <c r="E207" s="1" t="s">
        <v>367</v>
      </c>
      <c r="F207" s="249">
        <v>0</v>
      </c>
      <c r="G207" s="250">
        <v>0</v>
      </c>
      <c r="H207" s="1">
        <v>0.2</v>
      </c>
      <c r="I207" s="1">
        <v>0.7</v>
      </c>
      <c r="J207" s="1">
        <v>0</v>
      </c>
      <c r="K207" s="12">
        <v>4.3</v>
      </c>
      <c r="L207" s="1">
        <v>53.6</v>
      </c>
      <c r="M207" s="10">
        <v>0.3</v>
      </c>
      <c r="N207" s="1">
        <v>0.1</v>
      </c>
      <c r="O207" s="252">
        <f>(I207*WRRushingYd)+(J207*WRRushingTD)+(K207*WRRec)+(L207*WRRecYd)+(M207*WRRecTD)+(N207*WRFuml)+(H207*WRRushAtt)</f>
        <v>7.03</v>
      </c>
      <c r="P207" s="1" t="str">
        <f ca="1">IF(A207&lt;=WRStarters,"Starter",IF(A207&gt;WRStarters+WRBench,"Undrafted","Bench"))</f>
        <v>Undrafted</v>
      </c>
      <c r="Q207" s="47">
        <f ca="1">IFERROR(MAX(O207-LARGE(O$3:O$231,WRStarters),0),0)</f>
        <v>0</v>
      </c>
      <c r="R207" s="47">
        <f ca="1">IFERROR(IF(AllowNegative="Yes",O207-LARGE(O$3:O$231,WRCount),MAX(O207-LARGE(O$3:O$231,WRCount),0)),0)</f>
        <v>-82.59</v>
      </c>
      <c r="S207" s="108">
        <f ca="1">(R207-Q207)*BenchPF+Q207*StarterPF</f>
        <v>-19.779962180621805</v>
      </c>
      <c r="T207" s="108">
        <f ca="1">S207*Auction!$A$2</f>
        <v>-19.779962180621805</v>
      </c>
      <c r="U207" s="25" t="str">
        <f>IF(OR(INDEX(Auction!$H$13:$H$683,MATCH(B207,Auction!$A$13:$A$683,0))&gt;0,IFERROR(INDEX(CheatSheet!$V$5:$V$64,MATCH(B207,CheatSheet!$S$5:$S$64,0)),"")&lt;&gt;""),"Yes","No")</f>
        <v>No</v>
      </c>
      <c r="V207" s="218"/>
      <c r="W207" s="1"/>
      <c r="X207" s="143">
        <f ca="1">IFERROR(SUMIFS($Y$3:$Y435,$Y$3:$Y$231,"&gt;0",$U$3:$U$231,"No")/SUMIF($Y$3:$Y$231,"&gt;0"),0)</f>
        <v>0</v>
      </c>
      <c r="Y207" s="1">
        <f t="shared" ca="1" si="3"/>
        <v>-41.295000000000002</v>
      </c>
      <c r="Z207" s="145" t="str">
        <f ca="1">CONCATENATE("WR",ROUND((LARGE($Y$3:$Y$231,1)-$Y207)/(STDEVP($Y$3:$Y$231)/2)+1,0))</f>
        <v>WR10</v>
      </c>
      <c r="AA207" s="1">
        <f ca="1">Y207*LeagueInfo!$H$5</f>
        <v>-18.885893630892379</v>
      </c>
      <c r="AB207" s="1"/>
      <c r="AC207" s="1"/>
    </row>
    <row r="208" spans="1:29" ht="15.75" thickBot="1" x14ac:dyDescent="0.3">
      <c r="A208" s="47">
        <f>RANK(O208,O$3:O$231)</f>
        <v>206</v>
      </c>
      <c r="B208" s="1" t="s">
        <v>663</v>
      </c>
      <c r="C208" s="1" t="s">
        <v>39</v>
      </c>
      <c r="D208" s="1">
        <f>VLOOKUP(E208,BYEs!$A$2:$B$34,2,FALSE)</f>
        <v>8</v>
      </c>
      <c r="E208" s="1" t="s">
        <v>350</v>
      </c>
      <c r="F208" s="249">
        <v>0</v>
      </c>
      <c r="G208" s="250">
        <v>0</v>
      </c>
      <c r="H208" s="1">
        <v>0.4</v>
      </c>
      <c r="I208" s="1">
        <v>2.6</v>
      </c>
      <c r="J208" s="1">
        <v>0</v>
      </c>
      <c r="K208" s="12">
        <v>5.0999999999999996</v>
      </c>
      <c r="L208" s="1">
        <v>63.2</v>
      </c>
      <c r="M208" s="10">
        <v>0.1</v>
      </c>
      <c r="N208" s="1">
        <v>0.1</v>
      </c>
      <c r="O208" s="252">
        <f>(I208*WRRushingYd)+(J208*WRRushingTD)+(K208*WRRec)+(L208*WRRecYd)+(M208*WRRecTD)+(N208*WRFuml)+(H208*WRRushAtt)</f>
        <v>6.9799999999999995</v>
      </c>
      <c r="P208" s="1" t="str">
        <f ca="1">IF(A208&lt;=WRStarters,"Starter",IF(A208&gt;WRStarters+WRBench,"Undrafted","Bench"))</f>
        <v>Undrafted</v>
      </c>
      <c r="Q208" s="47">
        <f ca="1">IFERROR(MAX(O208-LARGE(O$3:O$231,WRStarters),0),0)</f>
        <v>0</v>
      </c>
      <c r="R208" s="47">
        <f ca="1">IFERROR(IF(AllowNegative="Yes",O208-LARGE(O$3:O$231,WRCount),MAX(O208-LARGE(O$3:O$231,WRCount),0)),0)</f>
        <v>-82.64</v>
      </c>
      <c r="S208" s="108">
        <f ca="1">(R208-Q208)*BenchPF+Q208*StarterPF</f>
        <v>-19.791936973078897</v>
      </c>
      <c r="T208" s="108">
        <f ca="1">S208*Auction!$A$2</f>
        <v>-19.791936973078897</v>
      </c>
      <c r="U208" s="25" t="str">
        <f>IF(OR(INDEX(Auction!$H$13:$H$683,MATCH(B208,Auction!$A$13:$A$683,0))&gt;0,IFERROR(INDEX(CheatSheet!$V$5:$V$64,MATCH(B208,CheatSheet!$S$5:$S$64,0)),"")&lt;&gt;""),"Yes","No")</f>
        <v>No</v>
      </c>
      <c r="V208" s="218"/>
      <c r="W208" s="1"/>
      <c r="X208" s="143">
        <f ca="1">IFERROR(SUMIFS($Y$3:$Y436,$Y$3:$Y$231,"&gt;0",$U$3:$U$231,"No")/SUMIF($Y$3:$Y$231,"&gt;0"),0)</f>
        <v>0</v>
      </c>
      <c r="Y208" s="1">
        <f t="shared" ca="1" si="3"/>
        <v>-41.32</v>
      </c>
      <c r="Z208" s="145" t="str">
        <f ca="1">CONCATENATE("WR",ROUND((LARGE($Y$3:$Y$231,1)-$Y208)/(STDEVP($Y$3:$Y$231)/2)+1,0))</f>
        <v>WR10</v>
      </c>
      <c r="AA208" s="1">
        <f ca="1">Y208*LeagueInfo!$H$5</f>
        <v>-18.897327154097908</v>
      </c>
      <c r="AB208" s="1"/>
      <c r="AC208" s="1"/>
    </row>
    <row r="209" spans="1:29" ht="15.75" thickBot="1" x14ac:dyDescent="0.3">
      <c r="A209" s="47">
        <f>RANK(O209,O$3:O$231)</f>
        <v>207</v>
      </c>
      <c r="B209" s="1" t="s">
        <v>703</v>
      </c>
      <c r="C209" s="1" t="s">
        <v>39</v>
      </c>
      <c r="D209" s="1">
        <f>VLOOKUP(E209,BYEs!$A$2:$B$34,2,FALSE)</f>
        <v>11</v>
      </c>
      <c r="E209" s="1" t="s">
        <v>378</v>
      </c>
      <c r="F209" s="249">
        <v>0</v>
      </c>
      <c r="G209" s="250">
        <v>0</v>
      </c>
      <c r="H209" s="1">
        <v>0</v>
      </c>
      <c r="I209" s="1">
        <v>0</v>
      </c>
      <c r="J209" s="1">
        <v>0</v>
      </c>
      <c r="K209" s="12">
        <v>5.2</v>
      </c>
      <c r="L209" s="1">
        <v>66.3</v>
      </c>
      <c r="M209" s="10">
        <v>0.1</v>
      </c>
      <c r="N209" s="1">
        <v>0.2</v>
      </c>
      <c r="O209" s="252">
        <f>(I209*WRRushingYd)+(J209*WRRushingTD)+(K209*WRRec)+(L209*WRRecYd)+(M209*WRRecTD)+(N209*WRFuml)+(H209*WRRushAtt)</f>
        <v>6.83</v>
      </c>
      <c r="P209" s="1" t="str">
        <f ca="1">IF(A209&lt;=WRStarters,"Starter",IF(A209&gt;WRStarters+WRBench,"Undrafted","Bench"))</f>
        <v>Undrafted</v>
      </c>
      <c r="Q209" s="47">
        <f ca="1">IFERROR(MAX(O209-LARGE(O$3:O$231,WRStarters),0),0)</f>
        <v>0</v>
      </c>
      <c r="R209" s="47">
        <f ca="1">IFERROR(IF(AllowNegative="Yes",O209-LARGE(O$3:O$231,WRCount),MAX(O209-LARGE(O$3:O$231,WRCount),0)),0)</f>
        <v>-82.79</v>
      </c>
      <c r="S209" s="108">
        <f ca="1">(R209-Q209)*BenchPF+Q209*StarterPF</f>
        <v>-19.827861350450167</v>
      </c>
      <c r="T209" s="108">
        <f ca="1">S209*Auction!$A$2</f>
        <v>-19.827861350450167</v>
      </c>
      <c r="U209" s="25" t="str">
        <f>IF(OR(INDEX(Auction!$H$13:$H$683,MATCH(B209,Auction!$A$13:$A$683,0))&gt;0,IFERROR(INDEX(CheatSheet!$V$5:$V$64,MATCH(B209,CheatSheet!$S$5:$S$64,0)),"")&lt;&gt;""),"Yes","No")</f>
        <v>No</v>
      </c>
      <c r="V209" s="218"/>
      <c r="W209" s="1"/>
      <c r="X209" s="143">
        <f ca="1">IFERROR(SUMIFS($Y$3:$Y437,$Y$3:$Y$231,"&gt;0",$U$3:$U$231,"No")/SUMIF($Y$3:$Y$231,"&gt;0"),0)</f>
        <v>0</v>
      </c>
      <c r="Y209" s="1">
        <f t="shared" ca="1" si="3"/>
        <v>-41.395000000000003</v>
      </c>
      <c r="Z209" s="145" t="str">
        <f ca="1">CONCATENATE("WR",ROUND((LARGE($Y$3:$Y$231,1)-$Y209)/(STDEVP($Y$3:$Y$231)/2)+1,0))</f>
        <v>WR10</v>
      </c>
      <c r="AA209" s="1">
        <f ca="1">Y209*LeagueInfo!$H$5</f>
        <v>-18.931627723714495</v>
      </c>
      <c r="AB209" s="1"/>
      <c r="AC209" s="1"/>
    </row>
    <row r="210" spans="1:29" ht="15.75" thickBot="1" x14ac:dyDescent="0.3">
      <c r="A210" s="47">
        <f>RANK(O210,O$3:O$231)</f>
        <v>208</v>
      </c>
      <c r="B210" s="1" t="s">
        <v>645</v>
      </c>
      <c r="C210" s="1" t="s">
        <v>39</v>
      </c>
      <c r="D210" s="1">
        <f>VLOOKUP(E210,BYEs!$A$2:$B$34,2,FALSE)</f>
        <v>9</v>
      </c>
      <c r="E210" s="1" t="s">
        <v>387</v>
      </c>
      <c r="F210" s="249">
        <v>0</v>
      </c>
      <c r="G210" s="250">
        <v>0</v>
      </c>
      <c r="H210" s="1">
        <v>0</v>
      </c>
      <c r="I210" s="1">
        <v>0</v>
      </c>
      <c r="J210" s="1">
        <v>0</v>
      </c>
      <c r="K210" s="12">
        <v>5.3</v>
      </c>
      <c r="L210" s="1">
        <v>61.7</v>
      </c>
      <c r="M210" s="10">
        <v>0.1</v>
      </c>
      <c r="N210" s="1">
        <v>0</v>
      </c>
      <c r="O210" s="252">
        <f>(I210*WRRushingYd)+(J210*WRRushingTD)+(K210*WRRec)+(L210*WRRecYd)+(M210*WRRecTD)+(N210*WRFuml)+(H210*WRRushAtt)</f>
        <v>6.7700000000000014</v>
      </c>
      <c r="P210" s="1" t="str">
        <f ca="1">IF(A210&lt;=WRStarters,"Starter",IF(A210&gt;WRStarters+WRBench,"Undrafted","Bench"))</f>
        <v>Undrafted</v>
      </c>
      <c r="Q210" s="47">
        <f ca="1">IFERROR(MAX(O210-LARGE(O$3:O$231,WRStarters),0),0)</f>
        <v>0</v>
      </c>
      <c r="R210" s="47">
        <f ca="1">IFERROR(IF(AllowNegative="Yes",O210-LARGE(O$3:O$231,WRCount),MAX(O210-LARGE(O$3:O$231,WRCount),0)),0)</f>
        <v>-82.850000000000009</v>
      </c>
      <c r="S210" s="108">
        <f ca="1">(R210-Q210)*BenchPF+Q210*StarterPF</f>
        <v>-19.842231101398678</v>
      </c>
      <c r="T210" s="108">
        <f ca="1">S210*Auction!$A$2</f>
        <v>-19.842231101398678</v>
      </c>
      <c r="U210" s="25" t="str">
        <f>IF(OR(INDEX(Auction!$H$13:$H$683,MATCH(B210,Auction!$A$13:$A$683,0))&gt;0,IFERROR(INDEX(CheatSheet!$V$5:$V$64,MATCH(B210,CheatSheet!$S$5:$S$64,0)),"")&lt;&gt;""),"Yes","No")</f>
        <v>No</v>
      </c>
      <c r="V210" s="218"/>
      <c r="W210" s="1"/>
      <c r="X210" s="143">
        <f ca="1">IFERROR(SUMIFS($Y$3:$Y438,$Y$3:$Y$231,"&gt;0",$U$3:$U$231,"No")/SUMIF($Y$3:$Y$231,"&gt;0"),0)</f>
        <v>0</v>
      </c>
      <c r="Y210" s="1">
        <f t="shared" ca="1" si="3"/>
        <v>-41.425000000000004</v>
      </c>
      <c r="Z210" s="145" t="str">
        <f ca="1">CONCATENATE("WR",ROUND((LARGE($Y$3:$Y$231,1)-$Y210)/(STDEVP($Y$3:$Y$231)/2)+1,0))</f>
        <v>WR10</v>
      </c>
      <c r="AA210" s="1">
        <f ca="1">Y210*LeagueInfo!$H$5</f>
        <v>-18.945347951561128</v>
      </c>
      <c r="AB210" s="1"/>
      <c r="AC210" s="1"/>
    </row>
    <row r="211" spans="1:29" ht="15.75" thickBot="1" x14ac:dyDescent="0.3">
      <c r="A211" s="47">
        <f>RANK(O211,O$3:O$231)</f>
        <v>209</v>
      </c>
      <c r="B211" s="1" t="s">
        <v>705</v>
      </c>
      <c r="C211" s="1" t="s">
        <v>39</v>
      </c>
      <c r="D211" s="1">
        <f>VLOOKUP(E211,BYEs!$A$2:$B$34,2,FALSE)</f>
        <v>11</v>
      </c>
      <c r="E211" s="1" t="s">
        <v>382</v>
      </c>
      <c r="F211" s="249">
        <v>0</v>
      </c>
      <c r="G211" s="250">
        <v>0</v>
      </c>
      <c r="H211" s="1">
        <v>0</v>
      </c>
      <c r="I211" s="1">
        <v>0</v>
      </c>
      <c r="J211" s="1">
        <v>0</v>
      </c>
      <c r="K211" s="12">
        <v>4.9000000000000004</v>
      </c>
      <c r="L211" s="1">
        <v>57.1</v>
      </c>
      <c r="M211" s="10">
        <v>0.3</v>
      </c>
      <c r="N211" s="1">
        <v>0.4</v>
      </c>
      <c r="O211" s="252">
        <f>(I211*WRRushingYd)+(J211*WRRushingTD)+(K211*WRRec)+(L211*WRRecYd)+(M211*WRRecTD)+(N211*WRFuml)+(H211*WRRushAtt)</f>
        <v>6.7100000000000009</v>
      </c>
      <c r="P211" s="1" t="str">
        <f ca="1">IF(A211&lt;=WRStarters,"Starter",IF(A211&gt;WRStarters+WRBench,"Undrafted","Bench"))</f>
        <v>Undrafted</v>
      </c>
      <c r="Q211" s="47">
        <f ca="1">IFERROR(MAX(O211-LARGE(O$3:O$231,WRStarters),0),0)</f>
        <v>0</v>
      </c>
      <c r="R211" s="47">
        <f ca="1">IFERROR(IF(AllowNegative="Yes",O211-LARGE(O$3:O$231,WRCount),MAX(O211-LARGE(O$3:O$231,WRCount),0)),0)</f>
        <v>-82.91</v>
      </c>
      <c r="S211" s="108">
        <f ca="1">(R211-Q211)*BenchPF+Q211*StarterPF</f>
        <v>-19.856600852347182</v>
      </c>
      <c r="T211" s="108">
        <f ca="1">S211*Auction!$A$2</f>
        <v>-19.856600852347182</v>
      </c>
      <c r="U211" s="25" t="str">
        <f>IF(OR(INDEX(Auction!$H$13:$H$683,MATCH(B211,Auction!$A$13:$A$683,0))&gt;0,IFERROR(INDEX(CheatSheet!$V$5:$V$64,MATCH(B211,CheatSheet!$S$5:$S$64,0)),"")&lt;&gt;""),"Yes","No")</f>
        <v>No</v>
      </c>
      <c r="V211" s="218"/>
      <c r="W211" s="1"/>
      <c r="X211" s="143">
        <f ca="1">IFERROR(SUMIFS($Y$3:$Y439,$Y$3:$Y$231,"&gt;0",$U$3:$U$231,"No")/SUMIF($Y$3:$Y$231,"&gt;0"),0)</f>
        <v>0</v>
      </c>
      <c r="Y211" s="1">
        <f t="shared" ca="1" si="3"/>
        <v>-41.454999999999998</v>
      </c>
      <c r="Z211" s="145" t="str">
        <f ca="1">CONCATENATE("WR",ROUND((LARGE($Y$3:$Y$231,1)-$Y211)/(STDEVP($Y$3:$Y$231)/2)+1,0))</f>
        <v>WR10</v>
      </c>
      <c r="AA211" s="1">
        <f ca="1">Y211*LeagueInfo!$H$5</f>
        <v>-18.959068179407762</v>
      </c>
      <c r="AB211" s="1"/>
      <c r="AC211" s="1"/>
    </row>
    <row r="212" spans="1:29" ht="15.75" thickBot="1" x14ac:dyDescent="0.3">
      <c r="A212" s="47">
        <f>RANK(O212,O$3:O$231)</f>
        <v>210</v>
      </c>
      <c r="B212" s="1" t="s">
        <v>650</v>
      </c>
      <c r="C212" s="1" t="s">
        <v>39</v>
      </c>
      <c r="D212" s="1">
        <f>VLOOKUP(E212,BYEs!$A$2:$B$34,2,FALSE)</f>
        <v>11</v>
      </c>
      <c r="E212" s="1" t="s">
        <v>378</v>
      </c>
      <c r="F212" s="249">
        <v>0</v>
      </c>
      <c r="G212" s="250">
        <v>0</v>
      </c>
      <c r="H212" s="1">
        <v>0</v>
      </c>
      <c r="I212" s="1">
        <v>0</v>
      </c>
      <c r="J212" s="1">
        <v>0</v>
      </c>
      <c r="K212" s="12">
        <v>5</v>
      </c>
      <c r="L212" s="1">
        <v>60.3</v>
      </c>
      <c r="M212" s="10">
        <v>0.1</v>
      </c>
      <c r="N212" s="1">
        <v>0.1</v>
      </c>
      <c r="O212" s="252">
        <f>(I212*WRRushingYd)+(J212*WRRushingTD)+(K212*WRRec)+(L212*WRRecYd)+(M212*WRRecTD)+(N212*WRFuml)+(H212*WRRushAtt)</f>
        <v>6.4300000000000006</v>
      </c>
      <c r="P212" s="1" t="str">
        <f ca="1">IF(A212&lt;=WRStarters,"Starter",IF(A212&gt;WRStarters+WRBench,"Undrafted","Bench"))</f>
        <v>Undrafted</v>
      </c>
      <c r="Q212" s="47">
        <f ca="1">IFERROR(MAX(O212-LARGE(O$3:O$231,WRStarters),0),0)</f>
        <v>0</v>
      </c>
      <c r="R212" s="47">
        <f ca="1">IFERROR(IF(AllowNegative="Yes",O212-LARGE(O$3:O$231,WRCount),MAX(O212-LARGE(O$3:O$231,WRCount),0)),0)</f>
        <v>-83.19</v>
      </c>
      <c r="S212" s="108">
        <f ca="1">(R212-Q212)*BenchPF+Q212*StarterPF</f>
        <v>-19.923659690106888</v>
      </c>
      <c r="T212" s="108">
        <f ca="1">S212*Auction!$A$2</f>
        <v>-19.923659690106888</v>
      </c>
      <c r="U212" s="25" t="str">
        <f>IF(OR(INDEX(Auction!$H$13:$H$683,MATCH(B212,Auction!$A$13:$A$683,0))&gt;0,IFERROR(INDEX(CheatSheet!$V$5:$V$64,MATCH(B212,CheatSheet!$S$5:$S$64,0)),"")&lt;&gt;""),"Yes","No")</f>
        <v>No</v>
      </c>
      <c r="V212" s="218"/>
      <c r="W212" s="1"/>
      <c r="X212" s="143">
        <f ca="1">IFERROR(SUMIFS($Y$3:$Y440,$Y$3:$Y$231,"&gt;0",$U$3:$U$231,"No")/SUMIF($Y$3:$Y$231,"&gt;0"),0)</f>
        <v>0</v>
      </c>
      <c r="Y212" s="1">
        <f t="shared" ca="1" si="3"/>
        <v>-41.594999999999999</v>
      </c>
      <c r="Z212" s="145" t="str">
        <f ca="1">CONCATENATE("WR",ROUND((LARGE($Y$3:$Y$231,1)-$Y212)/(STDEVP($Y$3:$Y$231)/2)+1,0))</f>
        <v>WR10</v>
      </c>
      <c r="AA212" s="1">
        <f ca="1">Y212*LeagueInfo!$H$5</f>
        <v>-19.023095909358723</v>
      </c>
      <c r="AB212" s="1"/>
      <c r="AC212" s="1"/>
    </row>
    <row r="213" spans="1:29" ht="15.75" thickBot="1" x14ac:dyDescent="0.3">
      <c r="A213" s="47">
        <f>RANK(O213,O$3:O$231)</f>
        <v>211</v>
      </c>
      <c r="B213" s="1" t="s">
        <v>637</v>
      </c>
      <c r="C213" s="1" t="s">
        <v>39</v>
      </c>
      <c r="D213" s="1">
        <f>VLOOKUP(E213,BYEs!$A$2:$B$34,2,FALSE)</f>
        <v>9</v>
      </c>
      <c r="E213" s="1" t="s">
        <v>376</v>
      </c>
      <c r="F213" s="249">
        <v>0</v>
      </c>
      <c r="G213" s="250">
        <v>0</v>
      </c>
      <c r="H213" s="1">
        <v>0</v>
      </c>
      <c r="I213" s="1">
        <v>0.2</v>
      </c>
      <c r="J213" s="1">
        <v>0</v>
      </c>
      <c r="K213" s="12">
        <v>4</v>
      </c>
      <c r="L213" s="1">
        <v>53.8</v>
      </c>
      <c r="M213" s="10">
        <v>0.2</v>
      </c>
      <c r="N213" s="1">
        <v>0.1</v>
      </c>
      <c r="O213" s="252">
        <f>(I213*WRRushingYd)+(J213*WRRushingTD)+(K213*WRRec)+(L213*WRRecYd)+(M213*WRRecTD)+(N213*WRFuml)+(H213*WRRushAtt)</f>
        <v>6.3999999999999995</v>
      </c>
      <c r="P213" s="1" t="str">
        <f ca="1">IF(A213&lt;=WRStarters,"Starter",IF(A213&gt;WRStarters+WRBench,"Undrafted","Bench"))</f>
        <v>Undrafted</v>
      </c>
      <c r="Q213" s="47">
        <f ca="1">IFERROR(MAX(O213-LARGE(O$3:O$231,WRStarters),0),0)</f>
        <v>0</v>
      </c>
      <c r="R213" s="47">
        <f ca="1">IFERROR(IF(AllowNegative="Yes",O213-LARGE(O$3:O$231,WRCount),MAX(O213-LARGE(O$3:O$231,WRCount),0)),0)</f>
        <v>-83.22</v>
      </c>
      <c r="S213" s="108">
        <f ca="1">(R213-Q213)*BenchPF+Q213*StarterPF</f>
        <v>-19.930844565581143</v>
      </c>
      <c r="T213" s="108">
        <f ca="1">S213*Auction!$A$2</f>
        <v>-19.930844565581143</v>
      </c>
      <c r="U213" s="25" t="str">
        <f>IF(OR(INDEX(Auction!$H$13:$H$683,MATCH(B213,Auction!$A$13:$A$683,0))&gt;0,IFERROR(INDEX(CheatSheet!$V$5:$V$64,MATCH(B213,CheatSheet!$S$5:$S$64,0)),"")&lt;&gt;""),"Yes","No")</f>
        <v>No</v>
      </c>
      <c r="V213" s="218"/>
      <c r="W213" s="1"/>
      <c r="X213" s="143">
        <f ca="1">IFERROR(SUMIFS($Y$3:$Y441,$Y$3:$Y$231,"&gt;0",$U$3:$U$231,"No")/SUMIF($Y$3:$Y$231,"&gt;0"),0)</f>
        <v>0</v>
      </c>
      <c r="Y213" s="1">
        <f t="shared" ca="1" si="3"/>
        <v>-41.61</v>
      </c>
      <c r="Z213" s="145" t="str">
        <f ca="1">CONCATENATE("WR",ROUND((LARGE($Y$3:$Y$231,1)-$Y213)/(STDEVP($Y$3:$Y$231)/2)+1,0))</f>
        <v>WR10</v>
      </c>
      <c r="AA213" s="1">
        <f ca="1">Y213*LeagueInfo!$H$5</f>
        <v>-19.02995602328204</v>
      </c>
      <c r="AB213" s="1"/>
      <c r="AC213" s="1"/>
    </row>
    <row r="214" spans="1:29" ht="15.75" thickBot="1" x14ac:dyDescent="0.3">
      <c r="A214" s="47">
        <f>RANK(O214,O$3:O$231)</f>
        <v>212</v>
      </c>
      <c r="B214" s="1" t="s">
        <v>700</v>
      </c>
      <c r="C214" s="1" t="s">
        <v>39</v>
      </c>
      <c r="D214" s="1">
        <f>VLOOKUP(E214,BYEs!$A$2:$B$34,2,FALSE)</f>
        <v>8</v>
      </c>
      <c r="E214" s="1" t="s">
        <v>368</v>
      </c>
      <c r="F214" s="249">
        <v>0</v>
      </c>
      <c r="G214" s="250">
        <v>0</v>
      </c>
      <c r="H214" s="1">
        <v>0</v>
      </c>
      <c r="I214" s="1">
        <v>0</v>
      </c>
      <c r="J214" s="1">
        <v>0</v>
      </c>
      <c r="K214" s="12">
        <v>4.3</v>
      </c>
      <c r="L214" s="1">
        <v>56.4</v>
      </c>
      <c r="M214" s="10">
        <v>0.1</v>
      </c>
      <c r="N214" s="1">
        <v>0</v>
      </c>
      <c r="O214" s="252">
        <f>(I214*WRRushingYd)+(J214*WRRushingTD)+(K214*WRRec)+(L214*WRRecYd)+(M214*WRRecTD)+(N214*WRFuml)+(H214*WRRushAtt)</f>
        <v>6.24</v>
      </c>
      <c r="P214" s="1" t="str">
        <f ca="1">IF(A214&lt;=WRStarters,"Starter",IF(A214&gt;WRStarters+WRBench,"Undrafted","Bench"))</f>
        <v>Undrafted</v>
      </c>
      <c r="Q214" s="47">
        <f ca="1">IFERROR(MAX(O214-LARGE(O$3:O$231,WRStarters),0),0)</f>
        <v>0</v>
      </c>
      <c r="R214" s="47">
        <f ca="1">IFERROR(IF(AllowNegative="Yes",O214-LARGE(O$3:O$231,WRCount),MAX(O214-LARGE(O$3:O$231,WRCount),0)),0)</f>
        <v>-83.38000000000001</v>
      </c>
      <c r="S214" s="108">
        <f ca="1">(R214-Q214)*BenchPF+Q214*StarterPF</f>
        <v>-19.969163901443835</v>
      </c>
      <c r="T214" s="108">
        <f ca="1">S214*Auction!$A$2</f>
        <v>-19.969163901443835</v>
      </c>
      <c r="U214" s="25" t="str">
        <f>IF(OR(INDEX(Auction!$H$13:$H$683,MATCH(B214,Auction!$A$13:$A$683,0))&gt;0,IFERROR(INDEX(CheatSheet!$V$5:$V$64,MATCH(B214,CheatSheet!$S$5:$S$64,0)),"")&lt;&gt;""),"Yes","No")</f>
        <v>No</v>
      </c>
      <c r="V214" s="218"/>
      <c r="W214" s="1"/>
      <c r="X214" s="143">
        <f ca="1">IFERROR(SUMIFS($Y$3:$Y442,$Y$3:$Y$231,"&gt;0",$U$3:$U$231,"No")/SUMIF($Y$3:$Y$231,"&gt;0"),0)</f>
        <v>0</v>
      </c>
      <c r="Y214" s="1">
        <f t="shared" ca="1" si="3"/>
        <v>-41.690000000000005</v>
      </c>
      <c r="Z214" s="145" t="str">
        <f ca="1">CONCATENATE("WR",ROUND((LARGE($Y$3:$Y$231,1)-$Y214)/(STDEVP($Y$3:$Y$231)/2)+1,0))</f>
        <v>WR10</v>
      </c>
      <c r="AA214" s="1">
        <f ca="1">Y214*LeagueInfo!$H$5</f>
        <v>-19.066543297539734</v>
      </c>
      <c r="AB214" s="1"/>
      <c r="AC214" s="1"/>
    </row>
    <row r="215" spans="1:29" ht="15.75" thickBot="1" x14ac:dyDescent="0.3">
      <c r="A215" s="47">
        <f>RANK(O215,O$3:O$231)</f>
        <v>213</v>
      </c>
      <c r="B215" s="1" t="s">
        <v>701</v>
      </c>
      <c r="C215" s="1" t="s">
        <v>39</v>
      </c>
      <c r="D215" s="1">
        <f>VLOOKUP(E215,BYEs!$A$2:$B$34,2,FALSE)</f>
        <v>6</v>
      </c>
      <c r="E215" s="1" t="s">
        <v>364</v>
      </c>
      <c r="F215" s="249">
        <v>0</v>
      </c>
      <c r="G215" s="250">
        <v>0</v>
      </c>
      <c r="H215" s="1">
        <v>0</v>
      </c>
      <c r="I215" s="1">
        <v>0</v>
      </c>
      <c r="J215" s="1">
        <v>0</v>
      </c>
      <c r="K215" s="12">
        <v>4</v>
      </c>
      <c r="L215" s="1">
        <v>49</v>
      </c>
      <c r="M215" s="10">
        <v>0.2</v>
      </c>
      <c r="N215" s="1">
        <v>0</v>
      </c>
      <c r="O215" s="252">
        <f>(I215*WRRushingYd)+(J215*WRRushingTD)+(K215*WRRec)+(L215*WRRecYd)+(M215*WRRecTD)+(N215*WRFuml)+(H215*WRRushAtt)</f>
        <v>6.1000000000000005</v>
      </c>
      <c r="P215" s="1" t="str">
        <f ca="1">IF(A215&lt;=WRStarters,"Starter",IF(A215&gt;WRStarters+WRBench,"Undrafted","Bench"))</f>
        <v>Undrafted</v>
      </c>
      <c r="Q215" s="47">
        <f ca="1">IFERROR(MAX(O215-LARGE(O$3:O$231,WRStarters),0),0)</f>
        <v>0</v>
      </c>
      <c r="R215" s="47">
        <f ca="1">IFERROR(IF(AllowNegative="Yes",O215-LARGE(O$3:O$231,WRCount),MAX(O215-LARGE(O$3:O$231,WRCount),0)),0)</f>
        <v>-83.52000000000001</v>
      </c>
      <c r="S215" s="108">
        <f ca="1">(R215-Q215)*BenchPF+Q215*StarterPF</f>
        <v>-20.002693320323687</v>
      </c>
      <c r="T215" s="108">
        <f ca="1">S215*Auction!$A$2</f>
        <v>-20.002693320323687</v>
      </c>
      <c r="U215" s="25" t="str">
        <f>IF(OR(INDEX(Auction!$H$13:$H$683,MATCH(B215,Auction!$A$13:$A$683,0))&gt;0,IFERROR(INDEX(CheatSheet!$V$5:$V$64,MATCH(B215,CheatSheet!$S$5:$S$64,0)),"")&lt;&gt;""),"Yes","No")</f>
        <v>No</v>
      </c>
      <c r="V215" s="218"/>
      <c r="W215" s="1"/>
      <c r="X215" s="143">
        <f ca="1">IFERROR(SUMIFS($Y$3:$Y443,$Y$3:$Y$231,"&gt;0",$U$3:$U$231,"No")/SUMIF($Y$3:$Y$231,"&gt;0"),0)</f>
        <v>0</v>
      </c>
      <c r="Y215" s="1">
        <f t="shared" ca="1" si="3"/>
        <v>-41.760000000000005</v>
      </c>
      <c r="Z215" s="145" t="str">
        <f ca="1">CONCATENATE("WR",ROUND((LARGE($Y$3:$Y$231,1)-$Y215)/(STDEVP($Y$3:$Y$231)/2)+1,0))</f>
        <v>WR10</v>
      </c>
      <c r="AA215" s="1">
        <f ca="1">Y215*LeagueInfo!$H$5</f>
        <v>-19.098557162515217</v>
      </c>
      <c r="AB215" s="1"/>
      <c r="AC215" s="1"/>
    </row>
    <row r="216" spans="1:29" ht="15.75" thickBot="1" x14ac:dyDescent="0.3">
      <c r="A216" s="47">
        <f>RANK(O216,O$3:O$231)</f>
        <v>214</v>
      </c>
      <c r="B216" s="1" t="s">
        <v>622</v>
      </c>
      <c r="C216" s="1" t="s">
        <v>39</v>
      </c>
      <c r="D216" s="1">
        <f>VLOOKUP(E216,BYEs!$A$2:$B$34,2,FALSE)</f>
        <v>8</v>
      </c>
      <c r="E216" s="1" t="s">
        <v>370</v>
      </c>
      <c r="F216" s="249">
        <v>0</v>
      </c>
      <c r="G216" s="250">
        <v>0</v>
      </c>
      <c r="H216" s="1">
        <v>0</v>
      </c>
      <c r="I216" s="1">
        <v>0</v>
      </c>
      <c r="J216" s="1">
        <v>0</v>
      </c>
      <c r="K216" s="12">
        <v>4.3</v>
      </c>
      <c r="L216" s="1">
        <v>44.7</v>
      </c>
      <c r="M216" s="10">
        <v>0.4</v>
      </c>
      <c r="N216" s="1">
        <v>0.4</v>
      </c>
      <c r="O216" s="252">
        <f>(I216*WRRushingYd)+(J216*WRRushingTD)+(K216*WRRec)+(L216*WRRecYd)+(M216*WRRecTD)+(N216*WRFuml)+(H216*WRRushAtt)</f>
        <v>6.0700000000000012</v>
      </c>
      <c r="P216" s="1" t="str">
        <f ca="1">IF(A216&lt;=WRStarters,"Starter",IF(A216&gt;WRStarters+WRBench,"Undrafted","Bench"))</f>
        <v>Undrafted</v>
      </c>
      <c r="Q216" s="47">
        <f ca="1">IFERROR(MAX(O216-LARGE(O$3:O$231,WRStarters),0),0)</f>
        <v>0</v>
      </c>
      <c r="R216" s="47">
        <f ca="1">IFERROR(IF(AllowNegative="Yes",O216-LARGE(O$3:O$231,WRCount),MAX(O216-LARGE(O$3:O$231,WRCount),0)),0)</f>
        <v>-83.55</v>
      </c>
      <c r="S216" s="108">
        <f ca="1">(R216-Q216)*BenchPF+Q216*StarterPF</f>
        <v>-20.009878195797938</v>
      </c>
      <c r="T216" s="108">
        <f ca="1">S216*Auction!$A$2</f>
        <v>-20.009878195797938</v>
      </c>
      <c r="U216" s="25" t="str">
        <f>IF(OR(INDEX(Auction!$H$13:$H$683,MATCH(B216,Auction!$A$13:$A$683,0))&gt;0,IFERROR(INDEX(CheatSheet!$V$5:$V$64,MATCH(B216,CheatSheet!$S$5:$S$64,0)),"")&lt;&gt;""),"Yes","No")</f>
        <v>No</v>
      </c>
      <c r="V216" s="218"/>
      <c r="W216" s="1"/>
      <c r="X216" s="143">
        <f ca="1">IFERROR(SUMIFS($Y$3:$Y444,$Y$3:$Y$231,"&gt;0",$U$3:$U$231,"No")/SUMIF($Y$3:$Y$231,"&gt;0"),0)</f>
        <v>0</v>
      </c>
      <c r="Y216" s="1">
        <f t="shared" ca="1" si="3"/>
        <v>-41.774999999999999</v>
      </c>
      <c r="Z216" s="145" t="str">
        <f ca="1">CONCATENATE("WR",ROUND((LARGE($Y$3:$Y$231,1)-$Y216)/(STDEVP($Y$3:$Y$231)/2)+1,0))</f>
        <v>WR10</v>
      </c>
      <c r="AA216" s="1">
        <f ca="1">Y216*LeagueInfo!$H$5</f>
        <v>-19.10541727643853</v>
      </c>
      <c r="AB216" s="1"/>
      <c r="AC216" s="1"/>
    </row>
    <row r="217" spans="1:29" ht="15.75" thickBot="1" x14ac:dyDescent="0.3">
      <c r="A217" s="47">
        <f>RANK(O217,O$3:O$231)</f>
        <v>215</v>
      </c>
      <c r="B217" s="1" t="s">
        <v>686</v>
      </c>
      <c r="C217" s="1" t="s">
        <v>39</v>
      </c>
      <c r="D217" s="1">
        <f>VLOOKUP(E217,BYEs!$A$2:$B$34,2,FALSE)</f>
        <v>7</v>
      </c>
      <c r="E217" s="1" t="s">
        <v>385</v>
      </c>
      <c r="F217" s="249">
        <v>0</v>
      </c>
      <c r="G217" s="250">
        <v>0</v>
      </c>
      <c r="H217" s="1">
        <v>0</v>
      </c>
      <c r="I217" s="1">
        <v>0</v>
      </c>
      <c r="J217" s="1">
        <v>0</v>
      </c>
      <c r="K217" s="12">
        <v>4.0999999999999996</v>
      </c>
      <c r="L217" s="1">
        <v>52.7</v>
      </c>
      <c r="M217" s="10">
        <v>0.1</v>
      </c>
      <c r="N217" s="1">
        <v>0</v>
      </c>
      <c r="O217" s="252">
        <f>(I217*WRRushingYd)+(J217*WRRushingTD)+(K217*WRRec)+(L217*WRRecYd)+(M217*WRRecTD)+(N217*WRFuml)+(H217*WRRushAtt)</f>
        <v>5.870000000000001</v>
      </c>
      <c r="P217" s="1" t="str">
        <f ca="1">IF(A217&lt;=WRStarters,"Starter",IF(A217&gt;WRStarters+WRBench,"Undrafted","Bench"))</f>
        <v>Undrafted</v>
      </c>
      <c r="Q217" s="47">
        <f ca="1">IFERROR(MAX(O217-LARGE(O$3:O$231,WRStarters),0),0)</f>
        <v>0</v>
      </c>
      <c r="R217" s="47">
        <f ca="1">IFERROR(IF(AllowNegative="Yes",O217-LARGE(O$3:O$231,WRCount),MAX(O217-LARGE(O$3:O$231,WRCount),0)),0)</f>
        <v>-83.75</v>
      </c>
      <c r="S217" s="108">
        <f ca="1">(R217-Q217)*BenchPF+Q217*StarterPF</f>
        <v>-20.057777365626301</v>
      </c>
      <c r="T217" s="108">
        <f ca="1">S217*Auction!$A$2</f>
        <v>-20.057777365626301</v>
      </c>
      <c r="U217" s="25" t="str">
        <f>IF(OR(INDEX(Auction!$H$13:$H$683,MATCH(B217,Auction!$A$13:$A$683,0))&gt;0,IFERROR(INDEX(CheatSheet!$V$5:$V$64,MATCH(B217,CheatSheet!$S$5:$S$64,0)),"")&lt;&gt;""),"Yes","No")</f>
        <v>No</v>
      </c>
      <c r="V217" s="218"/>
      <c r="W217" s="1"/>
      <c r="X217" s="143">
        <f ca="1">IFERROR(SUMIFS($Y$3:$Y445,$Y$3:$Y$231,"&gt;0",$U$3:$U$231,"No")/SUMIF($Y$3:$Y$231,"&gt;0"),0)</f>
        <v>0</v>
      </c>
      <c r="Y217" s="1">
        <f t="shared" ca="1" si="3"/>
        <v>-41.875</v>
      </c>
      <c r="Z217" s="145" t="str">
        <f ca="1">CONCATENATE("WR",ROUND((LARGE($Y$3:$Y$231,1)-$Y217)/(STDEVP($Y$3:$Y$231)/2)+1,0))</f>
        <v>WR10</v>
      </c>
      <c r="AA217" s="1">
        <f ca="1">Y217*LeagueInfo!$H$5</f>
        <v>-19.151151369260646</v>
      </c>
      <c r="AB217" s="1"/>
      <c r="AC217" s="1"/>
    </row>
    <row r="218" spans="1:29" ht="15.75" thickBot="1" x14ac:dyDescent="0.3">
      <c r="A218" s="47">
        <f>RANK(O218,O$3:O$231)</f>
        <v>216</v>
      </c>
      <c r="B218" s="1" t="s">
        <v>659</v>
      </c>
      <c r="C218" s="1" t="s">
        <v>39</v>
      </c>
      <c r="D218" s="1">
        <f>VLOOKUP(E218,BYEs!$A$2:$B$34,2,FALSE)</f>
        <v>9</v>
      </c>
      <c r="E218" s="1" t="s">
        <v>361</v>
      </c>
      <c r="F218" s="249">
        <v>0</v>
      </c>
      <c r="G218" s="250">
        <v>0</v>
      </c>
      <c r="H218" s="1">
        <v>0</v>
      </c>
      <c r="I218" s="1">
        <v>0</v>
      </c>
      <c r="J218" s="1">
        <v>0</v>
      </c>
      <c r="K218" s="12">
        <v>4.3</v>
      </c>
      <c r="L218" s="1">
        <v>52.3</v>
      </c>
      <c r="M218" s="10">
        <v>0.1</v>
      </c>
      <c r="N218" s="1">
        <v>0</v>
      </c>
      <c r="O218" s="252">
        <f>(I218*WRRushingYd)+(J218*WRRushingTD)+(K218*WRRec)+(L218*WRRecYd)+(M218*WRRecTD)+(N218*WRFuml)+(H218*WRRushAtt)</f>
        <v>5.83</v>
      </c>
      <c r="P218" s="1" t="str">
        <f ca="1">IF(A218&lt;=WRStarters,"Starter",IF(A218&gt;WRStarters+WRBench,"Undrafted","Bench"))</f>
        <v>Undrafted</v>
      </c>
      <c r="Q218" s="47">
        <f ca="1">IFERROR(MAX(O218-LARGE(O$3:O$231,WRStarters),0),0)</f>
        <v>0</v>
      </c>
      <c r="R218" s="47">
        <f ca="1">IFERROR(IF(AllowNegative="Yes",O218-LARGE(O$3:O$231,WRCount),MAX(O218-LARGE(O$3:O$231,WRCount),0)),0)</f>
        <v>-83.79</v>
      </c>
      <c r="S218" s="108">
        <f ca="1">(R218-Q218)*BenchPF+Q218*StarterPF</f>
        <v>-20.067357199591974</v>
      </c>
      <c r="T218" s="108">
        <f ca="1">S218*Auction!$A$2</f>
        <v>-20.067357199591974</v>
      </c>
      <c r="U218" s="25" t="str">
        <f>IF(OR(INDEX(Auction!$H$13:$H$683,MATCH(B218,Auction!$A$13:$A$683,0))&gt;0,IFERROR(INDEX(CheatSheet!$V$5:$V$64,MATCH(B218,CheatSheet!$S$5:$S$64,0)),"")&lt;&gt;""),"Yes","No")</f>
        <v>No</v>
      </c>
      <c r="V218" s="218"/>
      <c r="W218" s="1"/>
      <c r="X218" s="143">
        <f ca="1">IFERROR(SUMIFS($Y$3:$Y446,$Y$3:$Y$231,"&gt;0",$U$3:$U$231,"No")/SUMIF($Y$3:$Y$231,"&gt;0"),0)</f>
        <v>0</v>
      </c>
      <c r="Y218" s="1">
        <f t="shared" ca="1" si="3"/>
        <v>-41.895000000000003</v>
      </c>
      <c r="Z218" s="145" t="str">
        <f ca="1">CONCATENATE("WR",ROUND((LARGE($Y$3:$Y$231,1)-$Y218)/(STDEVP($Y$3:$Y$231)/2)+1,0))</f>
        <v>WR10</v>
      </c>
      <c r="AA218" s="1">
        <f ca="1">Y218*LeagueInfo!$H$5</f>
        <v>-19.16029818782507</v>
      </c>
      <c r="AB218" s="1"/>
      <c r="AC218" s="1"/>
    </row>
    <row r="219" spans="1:29" ht="15.75" thickBot="1" x14ac:dyDescent="0.3">
      <c r="A219" s="47">
        <f>RANK(O219,O$3:O$231)</f>
        <v>217</v>
      </c>
      <c r="B219" s="1" t="s">
        <v>702</v>
      </c>
      <c r="C219" s="1" t="s">
        <v>39</v>
      </c>
      <c r="D219" s="1">
        <f>VLOOKUP(E219,BYEs!$A$2:$B$34,2,FALSE)</f>
        <v>8</v>
      </c>
      <c r="E219" s="1" t="s">
        <v>380</v>
      </c>
      <c r="F219" s="249">
        <v>0</v>
      </c>
      <c r="G219" s="250">
        <v>0</v>
      </c>
      <c r="H219" s="1">
        <v>0</v>
      </c>
      <c r="I219" s="1">
        <v>0</v>
      </c>
      <c r="J219" s="1">
        <v>0</v>
      </c>
      <c r="K219" s="12">
        <v>5.4</v>
      </c>
      <c r="L219" s="1">
        <v>51.8</v>
      </c>
      <c r="M219" s="10">
        <v>0.1</v>
      </c>
      <c r="N219" s="1">
        <v>0</v>
      </c>
      <c r="O219" s="252">
        <f>(I219*WRRushingYd)+(J219*WRRushingTD)+(K219*WRRec)+(L219*WRRecYd)+(M219*WRRecTD)+(N219*WRFuml)+(H219*WRRushAtt)</f>
        <v>5.7799999999999994</v>
      </c>
      <c r="P219" s="1" t="str">
        <f ca="1">IF(A219&lt;=WRStarters,"Starter",IF(A219&gt;WRStarters+WRBench,"Undrafted","Bench"))</f>
        <v>Undrafted</v>
      </c>
      <c r="Q219" s="47">
        <f ca="1">IFERROR(MAX(O219-LARGE(O$3:O$231,WRStarters),0),0)</f>
        <v>0</v>
      </c>
      <c r="R219" s="47">
        <f ca="1">IFERROR(IF(AllowNegative="Yes",O219-LARGE(O$3:O$231,WRCount),MAX(O219-LARGE(O$3:O$231,WRCount),0)),0)</f>
        <v>-83.84</v>
      </c>
      <c r="S219" s="108">
        <f ca="1">(R219-Q219)*BenchPF+Q219*StarterPF</f>
        <v>-20.079331992049063</v>
      </c>
      <c r="T219" s="108">
        <f ca="1">S219*Auction!$A$2</f>
        <v>-20.079331992049063</v>
      </c>
      <c r="U219" s="25" t="str">
        <f>IF(OR(INDEX(Auction!$H$13:$H$683,MATCH(B219,Auction!$A$13:$A$683,0))&gt;0,IFERROR(INDEX(CheatSheet!$V$5:$V$64,MATCH(B219,CheatSheet!$S$5:$S$64,0)),"")&lt;&gt;""),"Yes","No")</f>
        <v>No</v>
      </c>
      <c r="V219" s="218"/>
      <c r="W219" s="1"/>
      <c r="X219" s="143">
        <f ca="1">IFERROR(SUMIFS($Y$3:$Y447,$Y$3:$Y$231,"&gt;0",$U$3:$U$231,"No")/SUMIF($Y$3:$Y$231,"&gt;0"),0)</f>
        <v>0</v>
      </c>
      <c r="Y219" s="1">
        <f t="shared" ca="1" si="3"/>
        <v>-41.92</v>
      </c>
      <c r="Z219" s="145" t="str">
        <f ca="1">CONCATENATE("WR",ROUND((LARGE($Y$3:$Y$231,1)-$Y219)/(STDEVP($Y$3:$Y$231)/2)+1,0))</f>
        <v>WR10</v>
      </c>
      <c r="AA219" s="1">
        <f ca="1">Y219*LeagueInfo!$H$5</f>
        <v>-19.171731711030599</v>
      </c>
      <c r="AB219" s="1"/>
      <c r="AC219" s="1"/>
    </row>
    <row r="220" spans="1:29" ht="15.75" thickBot="1" x14ac:dyDescent="0.3">
      <c r="A220" s="47">
        <f>RANK(O220,O$3:O$231)</f>
        <v>218</v>
      </c>
      <c r="B220" s="1" t="s">
        <v>694</v>
      </c>
      <c r="C220" s="1" t="s">
        <v>39</v>
      </c>
      <c r="D220" s="1">
        <f>VLOOKUP(E220,BYEs!$A$2:$B$34,2,FALSE)</f>
        <v>7</v>
      </c>
      <c r="E220" s="1" t="s">
        <v>362</v>
      </c>
      <c r="F220" s="249">
        <v>0</v>
      </c>
      <c r="G220" s="250">
        <v>0</v>
      </c>
      <c r="H220" s="1">
        <v>0</v>
      </c>
      <c r="I220" s="1">
        <v>0</v>
      </c>
      <c r="J220" s="1">
        <v>0</v>
      </c>
      <c r="K220" s="12">
        <v>4.5</v>
      </c>
      <c r="L220" s="1">
        <v>56</v>
      </c>
      <c r="M220" s="10">
        <v>0</v>
      </c>
      <c r="N220" s="1">
        <v>0</v>
      </c>
      <c r="O220" s="252">
        <f>(I220*WRRushingYd)+(J220*WRRushingTD)+(K220*WRRec)+(L220*WRRecYd)+(M220*WRRecTD)+(N220*WRFuml)+(H220*WRRushAtt)</f>
        <v>5.6000000000000005</v>
      </c>
      <c r="P220" s="1" t="str">
        <f ca="1">IF(A220&lt;=WRStarters,"Starter",IF(A220&gt;WRStarters+WRBench,"Undrafted","Bench"))</f>
        <v>Undrafted</v>
      </c>
      <c r="Q220" s="47">
        <f ca="1">IFERROR(MAX(O220-LARGE(O$3:O$231,WRStarters),0),0)</f>
        <v>0</v>
      </c>
      <c r="R220" s="47">
        <f ca="1">IFERROR(IF(AllowNegative="Yes",O220-LARGE(O$3:O$231,WRCount),MAX(O220-LARGE(O$3:O$231,WRCount),0)),0)</f>
        <v>-84.02000000000001</v>
      </c>
      <c r="S220" s="108">
        <f ca="1">(R220-Q220)*BenchPF+Q220*StarterPF</f>
        <v>-20.122441244894592</v>
      </c>
      <c r="T220" s="108">
        <f ca="1">S220*Auction!$A$2</f>
        <v>-20.122441244894592</v>
      </c>
      <c r="U220" s="25" t="str">
        <f>IF(OR(INDEX(Auction!$H$13:$H$683,MATCH(B220,Auction!$A$13:$A$683,0))&gt;0,IFERROR(INDEX(CheatSheet!$V$5:$V$64,MATCH(B220,CheatSheet!$S$5:$S$64,0)),"")&lt;&gt;""),"Yes","No")</f>
        <v>No</v>
      </c>
      <c r="V220" s="218"/>
      <c r="W220" s="1"/>
      <c r="X220" s="143">
        <f ca="1">IFERROR(SUMIFS($Y$3:$Y448,$Y$3:$Y$231,"&gt;0",$U$3:$U$231,"No")/SUMIF($Y$3:$Y$231,"&gt;0"),0)</f>
        <v>0</v>
      </c>
      <c r="Y220" s="1">
        <f t="shared" ca="1" si="3"/>
        <v>-42.010000000000005</v>
      </c>
      <c r="Z220" s="145" t="str">
        <f ca="1">CONCATENATE("WR",ROUND((LARGE($Y$3:$Y$231,1)-$Y220)/(STDEVP($Y$3:$Y$231)/2)+1,0))</f>
        <v>WR10</v>
      </c>
      <c r="AA220" s="1">
        <f ca="1">Y220*LeagueInfo!$H$5</f>
        <v>-19.212892394570503</v>
      </c>
      <c r="AB220" s="1"/>
      <c r="AC220" s="1"/>
    </row>
    <row r="221" spans="1:29" x14ac:dyDescent="0.25">
      <c r="A221" s="47">
        <f>RANK(O221,O$3:O$231)</f>
        <v>219</v>
      </c>
      <c r="B221" s="1" t="s">
        <v>695</v>
      </c>
      <c r="C221" s="1" t="s">
        <v>39</v>
      </c>
      <c r="D221" s="1">
        <f>VLOOKUP(E221,BYEs!$A$2:$B$34,2,FALSE)</f>
        <v>5</v>
      </c>
      <c r="E221" s="1" t="s">
        <v>384</v>
      </c>
      <c r="F221" s="249">
        <v>0</v>
      </c>
      <c r="G221" s="250">
        <v>0</v>
      </c>
      <c r="H221" s="1">
        <v>0</v>
      </c>
      <c r="I221" s="1">
        <v>0</v>
      </c>
      <c r="J221" s="1">
        <v>0</v>
      </c>
      <c r="K221" s="12">
        <v>3</v>
      </c>
      <c r="L221" s="1">
        <v>44.5</v>
      </c>
      <c r="M221" s="10">
        <v>0.2</v>
      </c>
      <c r="N221" s="1">
        <v>0.1</v>
      </c>
      <c r="O221" s="252">
        <f>(I221*WRRushingYd)+(J221*WRRushingTD)+(K221*WRRec)+(L221*WRRecYd)+(M221*WRRecTD)+(N221*WRFuml)+(H221*WRRushAtt)</f>
        <v>5.45</v>
      </c>
      <c r="P221" s="1" t="str">
        <f ca="1">IF(A221&lt;=WRStarters,"Starter",IF(A221&gt;WRStarters+WRBench,"Undrafted","Bench"))</f>
        <v>Undrafted</v>
      </c>
      <c r="Q221" s="47">
        <f ca="1">IFERROR(MAX(O221-LARGE(O$3:O$231,WRStarters),0),0)</f>
        <v>0</v>
      </c>
      <c r="R221" s="47">
        <f ca="1">IFERROR(IF(AllowNegative="Yes",O221-LARGE(O$3:O$231,WRCount),MAX(O221-LARGE(O$3:O$231,WRCount),0)),0)</f>
        <v>-84.17</v>
      </c>
      <c r="S221" s="108">
        <f ca="1">(R221-Q221)*BenchPF+Q221*StarterPF</f>
        <v>-20.158365622265858</v>
      </c>
      <c r="T221" s="108">
        <f ca="1">S221*Auction!$A$2</f>
        <v>-20.158365622265858</v>
      </c>
      <c r="U221" s="25" t="str">
        <f>IF(OR(INDEX(Auction!$H$13:$H$683,MATCH(B221,Auction!$A$13:$A$683,0))&gt;0,IFERROR(INDEX(CheatSheet!$V$5:$V$64,MATCH(B221,CheatSheet!$S$5:$S$64,0)),"")&lt;&gt;""),"Yes","No")</f>
        <v>No</v>
      </c>
      <c r="V221" s="218"/>
      <c r="W221" s="1"/>
      <c r="X221" s="143">
        <f ca="1">IFERROR(SUMIFS($Y$3:$Y449,$Y$3:$Y$231,"&gt;0",$U$3:$U$231,"No")/SUMIF($Y$3:$Y$231,"&gt;0"),0)</f>
        <v>0</v>
      </c>
      <c r="Y221" s="1">
        <f t="shared" ca="1" si="3"/>
        <v>-42.085000000000001</v>
      </c>
      <c r="Z221" s="145" t="str">
        <f ca="1">CONCATENATE("WR",ROUND((LARGE($Y$3:$Y$231,1)-$Y221)/(STDEVP($Y$3:$Y$231)/2)+1,0))</f>
        <v>WR10</v>
      </c>
      <c r="AA221" s="1">
        <f ca="1">Y221*LeagueInfo!$H$5</f>
        <v>-19.247192964187086</v>
      </c>
      <c r="AB221" s="1"/>
      <c r="AC221" s="1"/>
    </row>
    <row r="222" spans="1:29" x14ac:dyDescent="0.25">
      <c r="A222" s="47">
        <f>RANK(O222,O$3:O$231)</f>
        <v>220</v>
      </c>
      <c r="B222" s="1" t="s">
        <v>689</v>
      </c>
      <c r="C222" s="1" t="s">
        <v>39</v>
      </c>
      <c r="D222" s="1">
        <f>VLOOKUP(E222,BYEs!$A$2:$B$34,2,FALSE)</f>
        <v>6</v>
      </c>
      <c r="E222" s="1" t="s">
        <v>366</v>
      </c>
      <c r="F222" s="249">
        <v>0</v>
      </c>
      <c r="G222" s="250">
        <v>0</v>
      </c>
      <c r="H222" s="1">
        <v>0</v>
      </c>
      <c r="I222" s="1">
        <v>0</v>
      </c>
      <c r="J222" s="1">
        <v>0</v>
      </c>
      <c r="K222" s="12">
        <v>3</v>
      </c>
      <c r="L222" s="1">
        <v>40.5</v>
      </c>
      <c r="M222" s="10">
        <v>0.2</v>
      </c>
      <c r="N222" s="1">
        <v>0</v>
      </c>
      <c r="O222" s="252">
        <f>(I222*WRRushingYd)+(J222*WRRushingTD)+(K222*WRRec)+(L222*WRRecYd)+(M222*WRRecTD)+(N222*WRFuml)+(H222*WRRushAtt)</f>
        <v>5.25</v>
      </c>
      <c r="P222" s="1" t="str">
        <f ca="1">IF(A222&lt;=WRStarters,"Starter",IF(A222&gt;WRStarters+WRBench,"Undrafted","Bench"))</f>
        <v>Undrafted</v>
      </c>
      <c r="Q222" s="47">
        <f ca="1">IFERROR(MAX(O222-LARGE(O$3:O$231,WRStarters),0),0)</f>
        <v>0</v>
      </c>
      <c r="R222" s="47">
        <f ca="1">IFERROR(IF(AllowNegative="Yes",O222-LARGE(O$3:O$231,WRCount),MAX(O222-LARGE(O$3:O$231,WRCount),0)),0)</f>
        <v>-84.37</v>
      </c>
      <c r="S222" s="108">
        <f ca="1">(R222-Q222)*BenchPF+Q222*StarterPF</f>
        <v>-20.20626479209422</v>
      </c>
      <c r="T222" s="108">
        <f ca="1">S222*Auction!$A$2</f>
        <v>-20.20626479209422</v>
      </c>
      <c r="U222" s="25" t="str">
        <f>IF(OR(INDEX(Auction!$H$13:$H$683,MATCH(B222,Auction!$A$13:$A$683,0))&gt;0,IFERROR(INDEX(CheatSheet!$V$5:$V$64,MATCH(B222,CheatSheet!$S$5:$S$64,0)),"")&lt;&gt;""),"Yes","No")</f>
        <v>No</v>
      </c>
      <c r="V222" s="218"/>
      <c r="W222" s="1"/>
      <c r="X222" s="143">
        <f ca="1">IFERROR(SUMIFS($Y$3:$Y450,$Y$3:$Y$231,"&gt;0",$U$3:$U$231,"No")/SUMIF($Y$3:$Y$231,"&gt;0"),0)</f>
        <v>0</v>
      </c>
      <c r="Y222" s="1">
        <f t="shared" ca="1" si="3"/>
        <v>-42.185000000000002</v>
      </c>
      <c r="Z222" s="145" t="str">
        <f ca="1">CONCATENATE("WR",ROUND((LARGE($Y$3:$Y$231,1)-$Y222)/(STDEVP($Y$3:$Y$231)/2)+1,0))</f>
        <v>WR10</v>
      </c>
      <c r="AA222" s="1">
        <f ca="1">Y222*LeagueInfo!$H$5</f>
        <v>-19.292927057009202</v>
      </c>
      <c r="AB222" s="1"/>
      <c r="AC222" s="1"/>
    </row>
    <row r="223" spans="1:29" x14ac:dyDescent="0.25">
      <c r="A223" s="47">
        <f>RANK(O223,O$3:O$231)</f>
        <v>221</v>
      </c>
      <c r="B223" s="1" t="s">
        <v>641</v>
      </c>
      <c r="C223" s="1" t="s">
        <v>39</v>
      </c>
      <c r="D223" s="1">
        <f>VLOOKUP(E223,BYEs!$A$2:$B$34,2,FALSE)</f>
        <v>6</v>
      </c>
      <c r="E223" s="1" t="s">
        <v>366</v>
      </c>
      <c r="F223" s="249">
        <v>0</v>
      </c>
      <c r="G223" s="250">
        <v>0</v>
      </c>
      <c r="H223" s="1">
        <v>0</v>
      </c>
      <c r="I223" s="1">
        <v>0</v>
      </c>
      <c r="J223" s="1">
        <v>0</v>
      </c>
      <c r="K223" s="12">
        <v>3.9</v>
      </c>
      <c r="L223" s="1">
        <v>47</v>
      </c>
      <c r="M223" s="10">
        <v>0.1</v>
      </c>
      <c r="N223" s="1">
        <v>0.1</v>
      </c>
      <c r="O223" s="252">
        <f>(I223*WRRushingYd)+(J223*WRRushingTD)+(K223*WRRec)+(L223*WRRecYd)+(M223*WRRecTD)+(N223*WRFuml)+(H223*WRRushAtt)</f>
        <v>5.1000000000000005</v>
      </c>
      <c r="P223" s="1" t="str">
        <f ca="1">IF(A223&lt;=WRStarters,"Starter",IF(A223&gt;WRStarters+WRBench,"Undrafted","Bench"))</f>
        <v>Undrafted</v>
      </c>
      <c r="Q223" s="47">
        <f ca="1">IFERROR(MAX(O223-LARGE(O$3:O$231,WRStarters),0),0)</f>
        <v>0</v>
      </c>
      <c r="R223" s="47">
        <f ca="1">IFERROR(IF(AllowNegative="Yes",O223-LARGE(O$3:O$231,WRCount),MAX(O223-LARGE(O$3:O$231,WRCount),0)),0)</f>
        <v>-84.52000000000001</v>
      </c>
      <c r="S223" s="108">
        <f ca="1">(R223-Q223)*BenchPF+Q223*StarterPF</f>
        <v>-20.242189169465494</v>
      </c>
      <c r="T223" s="108">
        <f ca="1">S223*Auction!$A$2</f>
        <v>-20.242189169465494</v>
      </c>
      <c r="U223" s="25" t="str">
        <f>IF(OR(INDEX(Auction!$H$13:$H$683,MATCH(B223,Auction!$A$13:$A$683,0))&gt;0,IFERROR(INDEX(CheatSheet!$V$5:$V$64,MATCH(B223,CheatSheet!$S$5:$S$64,0)),"")&lt;&gt;""),"Yes","No")</f>
        <v>No</v>
      </c>
      <c r="V223" s="218"/>
      <c r="W223" s="1"/>
      <c r="X223" s="143">
        <f ca="1">IFERROR(SUMIFS($Y$3:$Y451,$Y$3:$Y$231,"&gt;0",$U$3:$U$231,"No")/SUMIF($Y$3:$Y$231,"&gt;0"),0)</f>
        <v>0</v>
      </c>
      <c r="Y223" s="1">
        <f t="shared" ca="1" si="3"/>
        <v>-42.260000000000005</v>
      </c>
      <c r="Z223" s="145" t="str">
        <f ca="1">CONCATENATE("WR",ROUND((LARGE($Y$3:$Y$231,1)-$Y223)/(STDEVP($Y$3:$Y$231)/2)+1,0))</f>
        <v>WR10</v>
      </c>
      <c r="AA223" s="1">
        <f ca="1">Y223*LeagueInfo!$H$5</f>
        <v>-19.327227626625792</v>
      </c>
      <c r="AB223" s="1"/>
      <c r="AC223" s="1"/>
    </row>
    <row r="224" spans="1:29" x14ac:dyDescent="0.25">
      <c r="A224" s="47">
        <f>RANK(O224,O$3:O$231)</f>
        <v>222</v>
      </c>
      <c r="B224" s="1" t="s">
        <v>706</v>
      </c>
      <c r="C224" s="1" t="s">
        <v>39</v>
      </c>
      <c r="D224" s="1">
        <f>VLOOKUP(E224,BYEs!$A$2:$B$34,2,FALSE)</f>
        <v>9</v>
      </c>
      <c r="E224" s="1" t="s">
        <v>361</v>
      </c>
      <c r="F224" s="249">
        <v>0</v>
      </c>
      <c r="G224" s="250">
        <v>0</v>
      </c>
      <c r="H224" s="1">
        <v>0</v>
      </c>
      <c r="I224" s="1">
        <v>0</v>
      </c>
      <c r="J224" s="1">
        <v>0</v>
      </c>
      <c r="K224" s="12">
        <v>5</v>
      </c>
      <c r="L224" s="1">
        <v>44.4</v>
      </c>
      <c r="M224" s="10">
        <v>0.1</v>
      </c>
      <c r="N224" s="1">
        <v>0</v>
      </c>
      <c r="O224" s="252">
        <f>(I224*WRRushingYd)+(J224*WRRushingTD)+(K224*WRRec)+(L224*WRRecYd)+(M224*WRRecTD)+(N224*WRFuml)+(H224*WRRushAtt)</f>
        <v>5.0400000000000009</v>
      </c>
      <c r="P224" s="1" t="str">
        <f ca="1">IF(A224&lt;=WRStarters,"Starter",IF(A224&gt;WRStarters+WRBench,"Undrafted","Bench"))</f>
        <v>Undrafted</v>
      </c>
      <c r="Q224" s="47">
        <f ca="1">IFERROR(MAX(O224-LARGE(O$3:O$231,WRStarters),0),0)</f>
        <v>0</v>
      </c>
      <c r="R224" s="47">
        <f ca="1">IFERROR(IF(AllowNegative="Yes",O224-LARGE(O$3:O$231,WRCount),MAX(O224-LARGE(O$3:O$231,WRCount),0)),0)</f>
        <v>-84.58</v>
      </c>
      <c r="S224" s="108">
        <f ca="1">(R224-Q224)*BenchPF+Q224*StarterPF</f>
        <v>-20.256558920414001</v>
      </c>
      <c r="T224" s="108">
        <f ca="1">S224*Auction!$A$2</f>
        <v>-20.256558920414001</v>
      </c>
      <c r="U224" s="25" t="str">
        <f>IF(OR(INDEX(Auction!$H$13:$H$683,MATCH(B224,Auction!$A$13:$A$683,0))&gt;0,IFERROR(INDEX(CheatSheet!$V$5:$V$64,MATCH(B224,CheatSheet!$S$5:$S$64,0)),"")&lt;&gt;""),"Yes","No")</f>
        <v>No</v>
      </c>
      <c r="V224" s="218"/>
      <c r="W224" s="1"/>
      <c r="X224" s="143">
        <f ca="1">IFERROR(SUMIFS($Y$3:$Y452,$Y$3:$Y$231,"&gt;0",$U$3:$U$231,"No")/SUMIF($Y$3:$Y$231,"&gt;0"),0)</f>
        <v>0</v>
      </c>
      <c r="Y224" s="1">
        <f t="shared" ca="1" si="3"/>
        <v>-42.29</v>
      </c>
      <c r="Z224" s="145" t="str">
        <f ca="1">CONCATENATE("WR",ROUND((LARGE($Y$3:$Y$231,1)-$Y224)/(STDEVP($Y$3:$Y$231)/2)+1,0))</f>
        <v>WR10</v>
      </c>
      <c r="AA224" s="1">
        <f ca="1">Y224*LeagueInfo!$H$5</f>
        <v>-19.340947854472422</v>
      </c>
      <c r="AB224" s="1"/>
      <c r="AC224" s="1"/>
    </row>
    <row r="225" spans="1:29" x14ac:dyDescent="0.25">
      <c r="A225" s="47">
        <f>RANK(O225,O$3:O$231)</f>
        <v>223</v>
      </c>
      <c r="B225" s="1" t="s">
        <v>626</v>
      </c>
      <c r="C225" s="1" t="s">
        <v>39</v>
      </c>
      <c r="D225" s="1">
        <f>VLOOKUP(E225,BYEs!$A$2:$B$34,2,FALSE)</f>
        <v>6</v>
      </c>
      <c r="E225" s="1" t="s">
        <v>354</v>
      </c>
      <c r="F225" s="249">
        <v>0</v>
      </c>
      <c r="G225" s="250">
        <v>0</v>
      </c>
      <c r="H225" s="1">
        <v>0</v>
      </c>
      <c r="I225" s="1">
        <v>0</v>
      </c>
      <c r="J225" s="1">
        <v>0</v>
      </c>
      <c r="K225" s="12">
        <v>3.7</v>
      </c>
      <c r="L225" s="1">
        <v>43.7</v>
      </c>
      <c r="M225" s="10">
        <v>0.1</v>
      </c>
      <c r="N225" s="1">
        <v>0</v>
      </c>
      <c r="O225" s="252">
        <f>(I225*WRRushingYd)+(J225*WRRushingTD)+(K225*WRRec)+(L225*WRRecYd)+(M225*WRRecTD)+(N225*WRFuml)+(H225*WRRushAtt)</f>
        <v>4.9700000000000006</v>
      </c>
      <c r="P225" s="1" t="str">
        <f ca="1">IF(A225&lt;=WRStarters,"Starter",IF(A225&gt;WRStarters+WRBench,"Undrafted","Bench"))</f>
        <v>Undrafted</v>
      </c>
      <c r="Q225" s="47">
        <f ca="1">IFERROR(MAX(O225-LARGE(O$3:O$231,WRStarters),0),0)</f>
        <v>0</v>
      </c>
      <c r="R225" s="47">
        <f ca="1">IFERROR(IF(AllowNegative="Yes",O225-LARGE(O$3:O$231,WRCount),MAX(O225-LARGE(O$3:O$231,WRCount),0)),0)</f>
        <v>-84.65</v>
      </c>
      <c r="S225" s="108">
        <f ca="1">(R225-Q225)*BenchPF+Q225*StarterPF</f>
        <v>-20.273323629853927</v>
      </c>
      <c r="T225" s="108">
        <f ca="1">S225*Auction!$A$2</f>
        <v>-20.273323629853927</v>
      </c>
      <c r="U225" s="25" t="str">
        <f>IF(OR(INDEX(Auction!$H$13:$H$683,MATCH(B225,Auction!$A$13:$A$683,0))&gt;0,IFERROR(INDEX(CheatSheet!$V$5:$V$64,MATCH(B225,CheatSheet!$S$5:$S$64,0)),"")&lt;&gt;""),"Yes","No")</f>
        <v>No</v>
      </c>
      <c r="V225" s="218"/>
      <c r="W225" s="1"/>
      <c r="X225" s="143">
        <f ca="1">IFERROR(SUMIFS($Y$3:$Y453,$Y$3:$Y$231,"&gt;0",$U$3:$U$231,"No")/SUMIF($Y$3:$Y$231,"&gt;0"),0)</f>
        <v>0</v>
      </c>
      <c r="Y225" s="1">
        <f t="shared" ca="1" si="3"/>
        <v>-42.325000000000003</v>
      </c>
      <c r="Z225" s="145" t="str">
        <f ca="1">CONCATENATE("WR",ROUND((LARGE($Y$3:$Y$231,1)-$Y225)/(STDEVP($Y$3:$Y$231)/2)+1,0))</f>
        <v>WR10</v>
      </c>
      <c r="AA225" s="1">
        <f ca="1">Y225*LeagueInfo!$H$5</f>
        <v>-19.356954786960163</v>
      </c>
      <c r="AB225" s="1"/>
      <c r="AC225" s="1"/>
    </row>
    <row r="226" spans="1:29" x14ac:dyDescent="0.25">
      <c r="A226" s="47">
        <f>RANK(O226,O$3:O$231)</f>
        <v>224</v>
      </c>
      <c r="B226" s="1" t="s">
        <v>649</v>
      </c>
      <c r="C226" s="1" t="s">
        <v>39</v>
      </c>
      <c r="D226" s="1">
        <f>VLOOKUP(E226,BYEs!$A$2:$B$34,2,FALSE)</f>
        <v>11</v>
      </c>
      <c r="E226" s="1" t="s">
        <v>374</v>
      </c>
      <c r="F226" s="249">
        <v>0</v>
      </c>
      <c r="G226" s="250">
        <v>0</v>
      </c>
      <c r="H226" s="1">
        <v>0.1</v>
      </c>
      <c r="I226" s="1">
        <v>0.5</v>
      </c>
      <c r="J226" s="1">
        <v>0</v>
      </c>
      <c r="K226" s="12">
        <v>3</v>
      </c>
      <c r="L226" s="1">
        <v>40.1</v>
      </c>
      <c r="M226" s="10">
        <v>0.2</v>
      </c>
      <c r="N226" s="1">
        <v>0.4</v>
      </c>
      <c r="O226" s="252">
        <f>(I226*WRRushingYd)+(J226*WRRushingTD)+(K226*WRRec)+(L226*WRRecYd)+(M226*WRRecTD)+(N226*WRFuml)+(H226*WRRushAtt)</f>
        <v>4.4600000000000009</v>
      </c>
      <c r="P226" s="1" t="str">
        <f ca="1">IF(A226&lt;=WRStarters,"Starter",IF(A226&gt;WRStarters+WRBench,"Undrafted","Bench"))</f>
        <v>Undrafted</v>
      </c>
      <c r="Q226" s="47">
        <f ca="1">IFERROR(MAX(O226-LARGE(O$3:O$231,WRStarters),0),0)</f>
        <v>0</v>
      </c>
      <c r="R226" s="47">
        <f ca="1">IFERROR(IF(AllowNegative="Yes",O226-LARGE(O$3:O$231,WRCount),MAX(O226-LARGE(O$3:O$231,WRCount),0)),0)</f>
        <v>-85.16</v>
      </c>
      <c r="S226" s="108">
        <f ca="1">(R226-Q226)*BenchPF+Q226*StarterPF</f>
        <v>-20.395466512916247</v>
      </c>
      <c r="T226" s="108">
        <f ca="1">S226*Auction!$A$2</f>
        <v>-20.395466512916247</v>
      </c>
      <c r="U226" s="25" t="str">
        <f>IF(OR(INDEX(Auction!$H$13:$H$683,MATCH(B226,Auction!$A$13:$A$683,0))&gt;0,IFERROR(INDEX(CheatSheet!$V$5:$V$64,MATCH(B226,CheatSheet!$S$5:$S$64,0)),"")&lt;&gt;""),"Yes","No")</f>
        <v>No</v>
      </c>
      <c r="V226" s="218"/>
      <c r="W226" s="1"/>
      <c r="X226" s="143">
        <f ca="1">IFERROR(SUMIFS($Y$3:$Y454,$Y$3:$Y$231,"&gt;0",$U$3:$U$231,"No")/SUMIF($Y$3:$Y$231,"&gt;0"),0)</f>
        <v>0</v>
      </c>
      <c r="Y226" s="1">
        <f t="shared" ca="1" si="3"/>
        <v>-42.58</v>
      </c>
      <c r="Z226" s="145" t="str">
        <f ca="1">CONCATENATE("WR",ROUND((LARGE($Y$3:$Y$231,1)-$Y226)/(STDEVP($Y$3:$Y$231)/2)+1,0))</f>
        <v>WR10</v>
      </c>
      <c r="AA226" s="1">
        <f ca="1">Y226*LeagueInfo!$H$5</f>
        <v>-19.473576723656556</v>
      </c>
      <c r="AB226" s="1"/>
      <c r="AC226" s="1"/>
    </row>
    <row r="227" spans="1:29" x14ac:dyDescent="0.25">
      <c r="A227" s="47">
        <f>RANK(O227,O$3:O$231)</f>
        <v>225</v>
      </c>
      <c r="B227" s="1" t="s">
        <v>642</v>
      </c>
      <c r="C227" s="1" t="s">
        <v>39</v>
      </c>
      <c r="D227" s="1">
        <f>VLOOKUP(E227,BYEs!$A$2:$B$34,2,FALSE)</f>
        <v>10</v>
      </c>
      <c r="E227" s="1" t="s">
        <v>365</v>
      </c>
      <c r="F227" s="249">
        <v>0</v>
      </c>
      <c r="G227" s="250">
        <v>0</v>
      </c>
      <c r="H227" s="1">
        <v>0.7</v>
      </c>
      <c r="I227" s="1">
        <v>3.2</v>
      </c>
      <c r="J227" s="1">
        <v>0</v>
      </c>
      <c r="K227" s="12">
        <v>3.2</v>
      </c>
      <c r="L227" s="1">
        <v>41</v>
      </c>
      <c r="M227" s="10">
        <v>0.1</v>
      </c>
      <c r="N227" s="1">
        <v>0.3</v>
      </c>
      <c r="O227" s="252">
        <f>(I227*WRRushingYd)+(J227*WRRushingTD)+(K227*WRRec)+(L227*WRRecYd)+(M227*WRRecTD)+(N227*WRFuml)+(H227*WRRushAtt)</f>
        <v>4.4200000000000017</v>
      </c>
      <c r="P227" s="1" t="str">
        <f ca="1">IF(A227&lt;=WRStarters,"Starter",IF(A227&gt;WRStarters+WRBench,"Undrafted","Bench"))</f>
        <v>Undrafted</v>
      </c>
      <c r="Q227" s="47">
        <f ca="1">IFERROR(MAX(O227-LARGE(O$3:O$231,WRStarters),0),0)</f>
        <v>0</v>
      </c>
      <c r="R227" s="47">
        <f ca="1">IFERROR(IF(AllowNegative="Yes",O227-LARGE(O$3:O$231,WRCount),MAX(O227-LARGE(O$3:O$231,WRCount),0)),0)</f>
        <v>-85.2</v>
      </c>
      <c r="S227" s="108">
        <f ca="1">(R227-Q227)*BenchPF+Q227*StarterPF</f>
        <v>-20.405046346881921</v>
      </c>
      <c r="T227" s="108">
        <f ca="1">S227*Auction!$A$2</f>
        <v>-20.405046346881921</v>
      </c>
      <c r="U227" s="25" t="str">
        <f>IF(OR(INDEX(Auction!$H$13:$H$683,MATCH(B227,Auction!$A$13:$A$683,0))&gt;0,IFERROR(INDEX(CheatSheet!$V$5:$V$64,MATCH(B227,CheatSheet!$S$5:$S$64,0)),"")&lt;&gt;""),"Yes","No")</f>
        <v>No</v>
      </c>
      <c r="V227" s="218"/>
      <c r="W227" s="1"/>
      <c r="X227" s="143">
        <f ca="1">IFERROR(SUMIFS($Y$3:$Y455,$Y$3:$Y$231,"&gt;0",$U$3:$U$231,"No")/SUMIF($Y$3:$Y$231,"&gt;0"),0)</f>
        <v>0</v>
      </c>
      <c r="Y227" s="1">
        <f t="shared" ca="1" si="3"/>
        <v>-42.6</v>
      </c>
      <c r="Z227" s="145" t="str">
        <f ca="1">CONCATENATE("WR",ROUND((LARGE($Y$3:$Y$231,1)-$Y227)/(STDEVP($Y$3:$Y$231)/2)+1,0))</f>
        <v>WR10</v>
      </c>
      <c r="AA227" s="1">
        <f ca="1">Y227*LeagueInfo!$H$5</f>
        <v>-19.482723542220981</v>
      </c>
      <c r="AB227" s="1"/>
      <c r="AC227" s="1"/>
    </row>
    <row r="228" spans="1:29" x14ac:dyDescent="0.25">
      <c r="A228" s="47">
        <f>RANK(O228,O$3:O$231)</f>
        <v>226</v>
      </c>
      <c r="B228" s="1" t="s">
        <v>324</v>
      </c>
      <c r="C228" s="1" t="s">
        <v>39</v>
      </c>
      <c r="D228" s="1">
        <f>VLOOKUP(E228,BYEs!$A$2:$B$34,2,FALSE)</f>
        <v>10</v>
      </c>
      <c r="E228" s="1" t="s">
        <v>372</v>
      </c>
      <c r="F228" s="249">
        <v>0</v>
      </c>
      <c r="G228" s="250">
        <v>0</v>
      </c>
      <c r="H228" s="1">
        <v>0.2</v>
      </c>
      <c r="I228" s="1">
        <v>1</v>
      </c>
      <c r="J228" s="1">
        <v>0</v>
      </c>
      <c r="K228" s="12">
        <v>4</v>
      </c>
      <c r="L228" s="1">
        <v>31.3</v>
      </c>
      <c r="M228" s="10">
        <v>0.1</v>
      </c>
      <c r="N228" s="1">
        <v>0.1</v>
      </c>
      <c r="O228" s="252">
        <f>(I228*WRRushingYd)+(J228*WRRushingTD)+(K228*WRRec)+(L228*WRRecYd)+(M228*WRRecTD)+(N228*WRFuml)+(H228*WRRushAtt)</f>
        <v>3.6300000000000003</v>
      </c>
      <c r="P228" s="1" t="str">
        <f ca="1">IF(A228&lt;=WRStarters,"Starter",IF(A228&gt;WRStarters+WRBench,"Undrafted","Bench"))</f>
        <v>Undrafted</v>
      </c>
      <c r="Q228" s="47">
        <f ca="1">IFERROR(MAX(O228-LARGE(O$3:O$231,WRStarters),0),0)</f>
        <v>0</v>
      </c>
      <c r="R228" s="47">
        <f ca="1">IFERROR(IF(AllowNegative="Yes",O228-LARGE(O$3:O$231,WRCount),MAX(O228-LARGE(O$3:O$231,WRCount),0)),0)</f>
        <v>-85.990000000000009</v>
      </c>
      <c r="S228" s="108">
        <f ca="1">(R228-Q228)*BenchPF+Q228*StarterPF</f>
        <v>-20.594248067703951</v>
      </c>
      <c r="T228" s="108">
        <f ca="1">S228*Auction!$A$2</f>
        <v>-20.594248067703951</v>
      </c>
      <c r="U228" s="25" t="str">
        <f>IF(OR(INDEX(Auction!$H$13:$H$683,MATCH(B228,Auction!$A$13:$A$683,0))&gt;0,IFERROR(INDEX(CheatSheet!$V$5:$V$64,MATCH(B228,CheatSheet!$S$5:$S$64,0)),"")&lt;&gt;""),"Yes","No")</f>
        <v>No</v>
      </c>
      <c r="V228" s="218"/>
      <c r="W228" s="1"/>
      <c r="X228" s="143">
        <f ca="1">IFERROR(SUMIFS($Y$3:$Y456,$Y$3:$Y$231,"&gt;0",$U$3:$U$231,"No")/SUMIF($Y$3:$Y$231,"&gt;0"),0)</f>
        <v>0</v>
      </c>
      <c r="Y228" s="1">
        <f t="shared" ca="1" si="3"/>
        <v>-42.995000000000005</v>
      </c>
      <c r="Z228" s="145" t="str">
        <f ca="1">CONCATENATE("WR",ROUND((LARGE($Y$3:$Y$231,1)-$Y228)/(STDEVP($Y$3:$Y$231)/2)+1,0))</f>
        <v>WR11</v>
      </c>
      <c r="AA228" s="1">
        <f ca="1">Y228*LeagueInfo!$H$5</f>
        <v>-19.663373208868336</v>
      </c>
      <c r="AB228" s="1"/>
      <c r="AC228" s="1"/>
    </row>
    <row r="229" spans="1:29" x14ac:dyDescent="0.25">
      <c r="A229" s="47">
        <f>RANK(O229,O$3:O$231)</f>
        <v>227</v>
      </c>
      <c r="B229" s="1" t="s">
        <v>545</v>
      </c>
      <c r="C229" s="1" t="s">
        <v>39</v>
      </c>
      <c r="D229" s="1">
        <f>VLOOKUP(E229,BYEs!$A$2:$B$34,2,FALSE)</f>
        <v>10</v>
      </c>
      <c r="E229" s="1" t="s">
        <v>369</v>
      </c>
      <c r="F229" s="249">
        <v>0</v>
      </c>
      <c r="G229" s="250">
        <v>0</v>
      </c>
      <c r="H229" s="1">
        <v>0</v>
      </c>
      <c r="I229" s="1">
        <v>0</v>
      </c>
      <c r="J229" s="1">
        <v>0</v>
      </c>
      <c r="K229" s="12">
        <v>2</v>
      </c>
      <c r="L229" s="1">
        <v>13</v>
      </c>
      <c r="M229" s="10">
        <v>0</v>
      </c>
      <c r="N229" s="1">
        <v>0.1</v>
      </c>
      <c r="O229" s="252">
        <f>(I229*WRRushingYd)+(J229*WRRushingTD)+(K229*WRRec)+(L229*WRRecYd)+(M229*WRRecTD)+(N229*WRFuml)+(H229*WRRushAtt)</f>
        <v>1.1000000000000001</v>
      </c>
      <c r="P229" s="1" t="str">
        <f ca="1">IF(A229&lt;=WRStarters,"Starter",IF(A229&gt;WRStarters+WRBench,"Undrafted","Bench"))</f>
        <v>Undrafted</v>
      </c>
      <c r="Q229" s="47">
        <f ca="1">IFERROR(MAX(O229-LARGE(O$3:O$231,WRStarters),0),0)</f>
        <v>0</v>
      </c>
      <c r="R229" s="47">
        <f ca="1">IFERROR(IF(AllowNegative="Yes",O229-LARGE(O$3:O$231,WRCount),MAX(O229-LARGE(O$3:O$231,WRCount),0)),0)</f>
        <v>-88.52000000000001</v>
      </c>
      <c r="S229" s="108">
        <f ca="1">(R229-Q229)*BenchPF+Q229*StarterPF</f>
        <v>-21.20017256603272</v>
      </c>
      <c r="T229" s="108">
        <f ca="1">S229*Auction!$A$2</f>
        <v>-21.20017256603272</v>
      </c>
      <c r="U229" s="25" t="str">
        <f>IF(OR(INDEX(Auction!$H$13:$H$683,MATCH(B229,Auction!$A$13:$A$683,0))&gt;0,IFERROR(INDEX(CheatSheet!$V$5:$V$64,MATCH(B229,CheatSheet!$S$5:$S$64,0)),"")&lt;&gt;""),"Yes","No")</f>
        <v>No</v>
      </c>
      <c r="V229" s="218"/>
      <c r="W229" s="1"/>
      <c r="X229" s="143">
        <f ca="1">IFERROR(SUMIFS($Y$3:$Y457,$Y$3:$Y$231,"&gt;0",$U$3:$U$231,"No")/SUMIF($Y$3:$Y$231,"&gt;0"),0)</f>
        <v>0</v>
      </c>
      <c r="Y229" s="1">
        <f t="shared" ca="1" si="3"/>
        <v>-44.260000000000005</v>
      </c>
      <c r="Z229" s="145" t="str">
        <f ca="1">CONCATENATE("WR",ROUND((LARGE($Y$3:$Y$231,1)-$Y229)/(STDEVP($Y$3:$Y$231)/2)+1,0))</f>
        <v>WR11</v>
      </c>
      <c r="AA229" s="1">
        <f ca="1">Y229*LeagueInfo!$H$5</f>
        <v>-20.241909483068088</v>
      </c>
      <c r="AB229" s="1"/>
      <c r="AC229" s="1"/>
    </row>
    <row r="230" spans="1:29" x14ac:dyDescent="0.25">
      <c r="A230" s="47">
        <f>RANK(O230,O$3:O$231)</f>
        <v>228</v>
      </c>
      <c r="B230" s="1" t="s">
        <v>928</v>
      </c>
      <c r="C230" s="1" t="s">
        <v>39</v>
      </c>
      <c r="D230" s="1">
        <f>VLOOKUP(E230,BYEs!$A$2:$B$34,2,FALSE)</f>
        <v>11</v>
      </c>
      <c r="E230" s="1" t="s">
        <v>374</v>
      </c>
      <c r="F230" s="249">
        <v>0</v>
      </c>
      <c r="G230" s="250">
        <v>0</v>
      </c>
      <c r="H230" s="1">
        <v>0</v>
      </c>
      <c r="I230" s="1">
        <v>0</v>
      </c>
      <c r="J230" s="1">
        <v>0</v>
      </c>
      <c r="K230" s="12">
        <v>1</v>
      </c>
      <c r="L230" s="1">
        <v>9</v>
      </c>
      <c r="M230" s="10">
        <v>0</v>
      </c>
      <c r="N230" s="1">
        <v>0</v>
      </c>
      <c r="O230" s="252">
        <f>(I230*WRRushingYd)+(J230*WRRushingTD)+(K230*WRRec)+(L230*WRRecYd)+(M230*WRRecTD)+(N230*WRFuml)+(H230*WRRushAtt)</f>
        <v>0.9</v>
      </c>
      <c r="P230" s="1" t="str">
        <f ca="1">IF(A230&lt;=WRStarters,"Starter",IF(A230&gt;WRStarters+WRBench,"Undrafted","Bench"))</f>
        <v>Undrafted</v>
      </c>
      <c r="Q230" s="47">
        <f ca="1">IFERROR(MAX(O230-LARGE(O$3:O$231,WRStarters),0),0)</f>
        <v>0</v>
      </c>
      <c r="R230" s="47">
        <f ca="1">IFERROR(IF(AllowNegative="Yes",O230-LARGE(O$3:O$231,WRCount),MAX(O230-LARGE(O$3:O$231,WRCount),0)),0)</f>
        <v>-88.72</v>
      </c>
      <c r="S230" s="108">
        <f ca="1">(R230-Q230)*BenchPF+Q230*StarterPF</f>
        <v>-21.248071735861078</v>
      </c>
      <c r="T230" s="108">
        <f ca="1">S230*Auction!$A$2</f>
        <v>-21.248071735861078</v>
      </c>
      <c r="U230" s="25" t="str">
        <f>IF(OR(INDEX(Auction!$H$13:$H$683,MATCH(B230,Auction!$A$13:$A$683,0))&gt;0,IFERROR(INDEX(CheatSheet!$V$5:$V$64,MATCH(B230,CheatSheet!$S$5:$S$64,0)),"")&lt;&gt;""),"Yes","No")</f>
        <v>No</v>
      </c>
      <c r="V230" s="218"/>
      <c r="W230" s="1"/>
      <c r="X230" s="143">
        <f ca="1">IFERROR(SUMIFS($Y$3:$Y458,$Y$3:$Y$231,"&gt;0",$U$3:$U$231,"No")/SUMIF($Y$3:$Y$231,"&gt;0"),0)</f>
        <v>0</v>
      </c>
      <c r="Y230" s="1">
        <f t="shared" ca="1" si="3"/>
        <v>-44.36</v>
      </c>
      <c r="Z230" s="145" t="str">
        <f ca="1">CONCATENATE("WR",ROUND((LARGE($Y$3:$Y$231,1)-$Y230)/(STDEVP($Y$3:$Y$231)/2)+1,0))</f>
        <v>WR11</v>
      </c>
      <c r="AA230" s="1">
        <f ca="1">Y230*LeagueInfo!$H$5</f>
        <v>-20.287643575890204</v>
      </c>
      <c r="AB230" s="1"/>
      <c r="AC230" s="1"/>
    </row>
    <row r="231" spans="1:29" x14ac:dyDescent="0.25">
      <c r="A231" s="47">
        <f>RANK(O231,O$3:O$231)</f>
        <v>229</v>
      </c>
      <c r="B231" s="1" t="s">
        <v>708</v>
      </c>
      <c r="C231" s="1" t="s">
        <v>39</v>
      </c>
      <c r="D231" s="1">
        <f>VLOOKUP(E231,BYEs!$A$2:$B$34,2,FALSE)</f>
        <v>9</v>
      </c>
      <c r="E231" s="1" t="s">
        <v>351</v>
      </c>
      <c r="F231" s="249">
        <v>0</v>
      </c>
      <c r="G231" s="250">
        <v>0</v>
      </c>
      <c r="H231" s="1">
        <v>0.5</v>
      </c>
      <c r="I231" s="1">
        <v>0.8</v>
      </c>
      <c r="J231" s="1">
        <v>0</v>
      </c>
      <c r="K231" s="12">
        <v>0</v>
      </c>
      <c r="L231" s="1">
        <v>1.3</v>
      </c>
      <c r="M231" s="10">
        <v>0</v>
      </c>
      <c r="N231" s="1">
        <v>0</v>
      </c>
      <c r="O231" s="252">
        <f>(I231*WRRushingYd)+(J231*WRRushingTD)+(K231*WRRec)+(L231*WRRecYd)+(M231*WRRecTD)+(N231*WRFuml)+(H231*WRRushAtt)</f>
        <v>0.21000000000000002</v>
      </c>
      <c r="P231" s="1" t="str">
        <f ca="1">IF(A231&lt;=WRStarters,"Starter",IF(A231&gt;WRStarters+WRBench,"Undrafted","Bench"))</f>
        <v>Undrafted</v>
      </c>
      <c r="Q231" s="47">
        <f ca="1">IFERROR(MAX(O231-LARGE(O$3:O$231,WRStarters),0),0)</f>
        <v>0</v>
      </c>
      <c r="R231" s="47">
        <f ca="1">IFERROR(IF(AllowNegative="Yes",O231-LARGE(O$3:O$231,WRCount),MAX(O231-LARGE(O$3:O$231,WRCount),0)),0)</f>
        <v>-89.410000000000011</v>
      </c>
      <c r="S231" s="108">
        <f ca="1">(R231-Q231)*BenchPF+Q231*StarterPF</f>
        <v>-21.413323871768927</v>
      </c>
      <c r="T231" s="108">
        <f ca="1">S231*Auction!$A$2</f>
        <v>-21.413323871768927</v>
      </c>
      <c r="U231" s="25" t="str">
        <f>IF(OR(INDEX(Auction!$H$13:$H$683,MATCH(B231,Auction!$A$13:$A$683,0))&gt;0,IFERROR(INDEX(CheatSheet!$V$5:$V$64,MATCH(B231,CheatSheet!$S$5:$S$64,0)),"")&lt;&gt;""),"Yes","No")</f>
        <v>No</v>
      </c>
      <c r="V231" s="218"/>
      <c r="W231" s="1"/>
      <c r="X231" s="143">
        <f ca="1">IFERROR(SUMIFS($Y$3:$Y459,$Y$3:$Y$231,"&gt;0",$U$3:$U$231,"No")/SUMIF($Y$3:$Y$231,"&gt;0"),0)</f>
        <v>0</v>
      </c>
      <c r="Y231" s="1">
        <f t="shared" ca="1" si="3"/>
        <v>-44.705000000000005</v>
      </c>
      <c r="Z231" s="145" t="str">
        <f ca="1">CONCATENATE("WR",ROUND((LARGE($Y$3:$Y$231,1)-$Y231)/(STDEVP($Y$3:$Y$231)/2)+1,0))</f>
        <v>WR11</v>
      </c>
      <c r="AA231" s="1">
        <f ca="1">Y231*LeagueInfo!$H$5</f>
        <v>-20.445426196126501</v>
      </c>
      <c r="AB231" s="1"/>
      <c r="AC231" s="1"/>
    </row>
  </sheetData>
  <autoFilter ref="A2:V231"/>
  <sortState ref="A3:V231">
    <sortCondition ref="A2:A303"/>
  </sortState>
  <mergeCells count="3">
    <mergeCell ref="F1:G1"/>
    <mergeCell ref="H1:J1"/>
    <mergeCell ref="K1:M1"/>
  </mergeCells>
  <conditionalFormatting sqref="A3:U231">
    <cfRule type="expression" dxfId="59" priority="18">
      <formula>$U3="Yes"</formula>
    </cfRule>
  </conditionalFormatting>
  <conditionalFormatting sqref="R2:S2 C2:D2 F2:G2 A2">
    <cfRule type="expression" dxfId="58" priority="12">
      <formula>$U163="Yes"</formula>
    </cfRule>
  </conditionalFormatting>
  <conditionalFormatting sqref="N2:Q2">
    <cfRule type="expression" dxfId="57" priority="5">
      <formula>$U163="Yes"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LeagueInfo!$H$97:$H$100</xm:f>
          </x14:formula1>
          <xm:sqref>V3:V231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619"/>
  <sheetViews>
    <sheetView topLeftCell="A511" workbookViewId="0">
      <selection activeCell="A2" sqref="A2:J619"/>
    </sheetView>
  </sheetViews>
  <sheetFormatPr defaultColWidth="8.85546875" defaultRowHeight="15" x14ac:dyDescent="0.25"/>
  <cols>
    <col min="1" max="1" width="8.85546875" style="1"/>
    <col min="2" max="2" width="23.42578125" style="1" bestFit="1" customWidth="1"/>
    <col min="3" max="3" width="4.42578125" style="1" bestFit="1" customWidth="1"/>
    <col min="4" max="8" width="8.85546875" style="1"/>
    <col min="9" max="9" width="12" style="1" customWidth="1"/>
    <col min="10" max="16384" width="8.85546875" style="1"/>
  </cols>
  <sheetData>
    <row r="1" spans="1:10" ht="24" thickBot="1" x14ac:dyDescent="0.3">
      <c r="A1" s="258" t="s">
        <v>328</v>
      </c>
      <c r="B1" s="258" t="s">
        <v>710</v>
      </c>
      <c r="C1" s="258" t="s">
        <v>24</v>
      </c>
      <c r="D1" s="3" t="s">
        <v>338</v>
      </c>
      <c r="E1" s="4" t="s">
        <v>18</v>
      </c>
      <c r="F1" s="4" t="s">
        <v>711</v>
      </c>
      <c r="G1" s="4" t="s">
        <v>712</v>
      </c>
      <c r="H1" s="4" t="s">
        <v>713</v>
      </c>
      <c r="I1" s="4" t="s">
        <v>714</v>
      </c>
      <c r="J1" s="4"/>
    </row>
    <row r="2" spans="1:10" x14ac:dyDescent="0.25">
      <c r="A2" s="1">
        <f ca="1">RANK(E2,E$2:E$619)</f>
        <v>1</v>
      </c>
      <c r="B2" t="s">
        <v>122</v>
      </c>
      <c r="C2" t="s">
        <v>33</v>
      </c>
      <c r="D2" s="1">
        <f ca="1">INDEX(INDIRECT($C2&amp;"!O:O"),MATCH($B2,INDIRECT($C2&amp;"!B:B"),0))</f>
        <v>351.58200000000005</v>
      </c>
      <c r="E2" s="254">
        <f ca="1">D2-LARGE(D$2:D$619,RBCount+WRCount+TECount+QBCount)</f>
        <v>267.71200000000005</v>
      </c>
      <c r="F2" s="1" t="str">
        <f ca="1">IF(H2&lt;=I2,"Starter",IF(G2&gt;=LARGE(G:G,FlexOn*LeagueInfo!$F$2),"Starter","Bench"))</f>
        <v>Starter</v>
      </c>
      <c r="G2" s="1">
        <f ca="1">IF(H2&gt;I2,D2,0)</f>
        <v>0</v>
      </c>
      <c r="H2" s="1">
        <f ca="1">INDEX(INDIRECT(""&amp;C2&amp;"!A2:A489"),MATCH(B2,INDIRECT(""&amp;C2&amp;"!B2:B489"),0))</f>
        <v>1</v>
      </c>
      <c r="I2" s="1">
        <f>IF(C2="RB",LeagueInfo!$D$4*LeagueInfo!$F$2,IF(C2="WR",LeagueInfo!$D$5*LeagueInfo!$F$2,IF(C2="TE",LeagueInfo!$D$6*LeagueInfo!$F$2,LeagueInfo!$D$3*LeagueInfo!$F$2)))</f>
        <v>12</v>
      </c>
    </row>
    <row r="3" spans="1:10" x14ac:dyDescent="0.25">
      <c r="A3" s="1">
        <f ca="1">RANK(E3,E$2:E$619)</f>
        <v>2</v>
      </c>
      <c r="B3" t="s">
        <v>125</v>
      </c>
      <c r="C3" t="s">
        <v>33</v>
      </c>
      <c r="D3" s="1">
        <f ca="1">INDEX(INDIRECT($C3&amp;"!O:O"),MATCH($B3,INDIRECT($C3&amp;"!B:B"),0))</f>
        <v>329.37799999999999</v>
      </c>
      <c r="E3" s="254">
        <f ca="1">D3-LARGE(D$2:D$619,RBCount+WRCount+TECount+QBCount)</f>
        <v>245.50799999999998</v>
      </c>
      <c r="F3" s="1" t="str">
        <f ca="1">IF(H3&lt;=I3,"Starter",IF(G3&gt;=LARGE(G:G,FlexOn*LeagueInfo!$F$2),"Starter","Bench"))</f>
        <v>Starter</v>
      </c>
      <c r="G3" s="1">
        <f ca="1">IF(H3&gt;I3,D3,0)</f>
        <v>0</v>
      </c>
      <c r="H3" s="1">
        <f ca="1">INDEX(INDIRECT(""&amp;C3&amp;"!A2:A489"),MATCH(B3,INDIRECT(""&amp;C3&amp;"!B2:B489"),0))</f>
        <v>2</v>
      </c>
      <c r="I3" s="1">
        <f>IF(C3="RB",LeagueInfo!$D$4*LeagueInfo!$F$2,IF(C3="WR",LeagueInfo!$D$5*LeagueInfo!$F$2,IF(C3="TE",LeagueInfo!$D$6*LeagueInfo!$F$2,LeagueInfo!$D$3*LeagueInfo!$F$2)))</f>
        <v>12</v>
      </c>
    </row>
    <row r="4" spans="1:10" x14ac:dyDescent="0.25">
      <c r="A4" s="1">
        <f ca="1">RANK(E4,E$2:E$619)</f>
        <v>3</v>
      </c>
      <c r="B4" t="s">
        <v>134</v>
      </c>
      <c r="C4" t="s">
        <v>33</v>
      </c>
      <c r="D4" s="1">
        <f ca="1">INDEX(INDIRECT($C4&amp;"!O:O"),MATCH($B4,INDIRECT($C4&amp;"!B:B"),0))</f>
        <v>320.49799999999999</v>
      </c>
      <c r="E4" s="254">
        <f ca="1">D4-LARGE(D$2:D$619,RBCount+WRCount+TECount+QBCount)</f>
        <v>236.62799999999999</v>
      </c>
      <c r="F4" s="1" t="str">
        <f ca="1">IF(H4&lt;=I4,"Starter",IF(G4&gt;=LARGE(G:G,FlexOn*LeagueInfo!$F$2),"Starter","Bench"))</f>
        <v>Starter</v>
      </c>
      <c r="G4" s="1">
        <f ca="1">IF(H4&gt;I4,D4,0)</f>
        <v>0</v>
      </c>
      <c r="H4" s="1">
        <f ca="1">INDEX(INDIRECT(""&amp;C4&amp;"!A2:A489"),MATCH(B4,INDIRECT(""&amp;C4&amp;"!B2:B489"),0))</f>
        <v>3</v>
      </c>
      <c r="I4" s="1">
        <f>IF(C4="RB",LeagueInfo!$D$4*LeagueInfo!$F$2,IF(C4="WR",LeagueInfo!$D$5*LeagueInfo!$F$2,IF(C4="TE",LeagueInfo!$D$6*LeagueInfo!$F$2,LeagueInfo!$D$3*LeagueInfo!$F$2)))</f>
        <v>12</v>
      </c>
    </row>
    <row r="5" spans="1:10" x14ac:dyDescent="0.25">
      <c r="A5" s="1">
        <f ca="1">RANK(E5,E$2:E$619)</f>
        <v>4</v>
      </c>
      <c r="B5" t="s">
        <v>153</v>
      </c>
      <c r="C5" t="s">
        <v>33</v>
      </c>
      <c r="D5" s="1">
        <f ca="1">INDEX(INDIRECT($C5&amp;"!O:O"),MATCH($B5,INDIRECT($C5&amp;"!B:B"),0))</f>
        <v>313.85399999999998</v>
      </c>
      <c r="E5" s="254">
        <f ca="1">D5-LARGE(D$2:D$619,RBCount+WRCount+TECount+QBCount)</f>
        <v>229.98399999999998</v>
      </c>
      <c r="F5" s="1" t="str">
        <f ca="1">IF(H5&lt;=I5,"Starter",IF(G5&gt;=LARGE(G:G,FlexOn*LeagueInfo!$F$2),"Starter","Bench"))</f>
        <v>Starter</v>
      </c>
      <c r="G5" s="1">
        <f ca="1">IF(H5&gt;I5,D5,0)</f>
        <v>0</v>
      </c>
      <c r="H5" s="1">
        <f ca="1">INDEX(INDIRECT(""&amp;C5&amp;"!A2:A489"),MATCH(B5,INDIRECT(""&amp;C5&amp;"!B2:B489"),0))</f>
        <v>4</v>
      </c>
      <c r="I5" s="1">
        <f>IF(C5="RB",LeagueInfo!$D$4*LeagueInfo!$F$2,IF(C5="WR",LeagueInfo!$D$5*LeagueInfo!$F$2,IF(C5="TE",LeagueInfo!$D$6*LeagueInfo!$F$2,LeagueInfo!$D$3*LeagueInfo!$F$2)))</f>
        <v>12</v>
      </c>
    </row>
    <row r="6" spans="1:10" x14ac:dyDescent="0.25">
      <c r="A6" s="1">
        <f ca="1">RANK(E6,E$2:E$619)</f>
        <v>5</v>
      </c>
      <c r="B6" t="s">
        <v>165</v>
      </c>
      <c r="C6" t="s">
        <v>33</v>
      </c>
      <c r="D6" s="1">
        <f ca="1">INDEX(INDIRECT($C6&amp;"!O:O"),MATCH($B6,INDIRECT($C6&amp;"!B:B"),0))</f>
        <v>305.73</v>
      </c>
      <c r="E6" s="254">
        <f ca="1">D6-LARGE(D$2:D$619,RBCount+WRCount+TECount+QBCount)</f>
        <v>221.86</v>
      </c>
      <c r="F6" s="1" t="str">
        <f ca="1">IF(H6&lt;=I6,"Starter",IF(G6&gt;=LARGE(G:G,FlexOn*LeagueInfo!$F$2),"Starter","Bench"))</f>
        <v>Starter</v>
      </c>
      <c r="G6" s="1">
        <f ca="1">IF(H6&gt;I6,D6,0)</f>
        <v>0</v>
      </c>
      <c r="H6" s="1">
        <f ca="1">INDEX(INDIRECT(""&amp;C6&amp;"!A2:A489"),MATCH(B6,INDIRECT(""&amp;C6&amp;"!B2:B489"),0))</f>
        <v>5</v>
      </c>
      <c r="I6" s="1">
        <f>IF(C6="RB",LeagueInfo!$D$4*LeagueInfo!$F$2,IF(C6="WR",LeagueInfo!$D$5*LeagueInfo!$F$2,IF(C6="TE",LeagueInfo!$D$6*LeagueInfo!$F$2,LeagueInfo!$D$3*LeagueInfo!$F$2)))</f>
        <v>12</v>
      </c>
    </row>
    <row r="7" spans="1:10" x14ac:dyDescent="0.25">
      <c r="A7" s="1">
        <f ca="1">RANK(E7,E$2:E$619)</f>
        <v>7</v>
      </c>
      <c r="B7" t="s">
        <v>188</v>
      </c>
      <c r="C7" t="s">
        <v>33</v>
      </c>
      <c r="D7" s="1">
        <f ca="1">INDEX(INDIRECT($C7&amp;"!O:O"),MATCH($B7,INDIRECT($C7&amp;"!B:B"),0))</f>
        <v>295.30200000000002</v>
      </c>
      <c r="E7" s="254">
        <f ca="1">D7-LARGE(D$2:D$619,RBCount+WRCount+TECount+QBCount)</f>
        <v>211.43200000000002</v>
      </c>
      <c r="F7" s="1" t="str">
        <f ca="1">IF(H7&lt;=I7,"Starter",IF(G7&gt;=LARGE(G:G,FlexOn*LeagueInfo!$F$2),"Starter","Bench"))</f>
        <v>Starter</v>
      </c>
      <c r="G7" s="1">
        <f ca="1">IF(H7&gt;I7,D7,0)</f>
        <v>0</v>
      </c>
      <c r="H7" s="1">
        <f ca="1">INDEX(INDIRECT(""&amp;C7&amp;"!A2:A489"),MATCH(B7,INDIRECT(""&amp;C7&amp;"!B2:B489"),0))</f>
        <v>7</v>
      </c>
      <c r="I7" s="1">
        <f>IF(C7="RB",LeagueInfo!$D$4*LeagueInfo!$F$2,IF(C7="WR",LeagueInfo!$D$5*LeagueInfo!$F$2,IF(C7="TE",LeagueInfo!$D$6*LeagueInfo!$F$2,LeagueInfo!$D$3*LeagueInfo!$F$2)))</f>
        <v>12</v>
      </c>
    </row>
    <row r="8" spans="1:10" x14ac:dyDescent="0.25">
      <c r="A8" s="1">
        <f ca="1">RANK(E8,E$2:E$619)</f>
        <v>6</v>
      </c>
      <c r="B8" t="s">
        <v>171</v>
      </c>
      <c r="C8" t="s">
        <v>33</v>
      </c>
      <c r="D8" s="1">
        <f ca="1">INDEX(INDIRECT($C8&amp;"!O:O"),MATCH($B8,INDIRECT($C8&amp;"!B:B"),0))</f>
        <v>296.50599999999997</v>
      </c>
      <c r="E8" s="254">
        <f ca="1">D8-LARGE(D$2:D$619,RBCount+WRCount+TECount+QBCount)</f>
        <v>212.63599999999997</v>
      </c>
      <c r="F8" s="1" t="str">
        <f ca="1">IF(H8&lt;=I8,"Starter",IF(G8&gt;=LARGE(G:G,FlexOn*LeagueInfo!$F$2),"Starter","Bench"))</f>
        <v>Starter</v>
      </c>
      <c r="G8" s="1">
        <f ca="1">IF(H8&gt;I8,D8,0)</f>
        <v>0</v>
      </c>
      <c r="H8" s="1">
        <f ca="1">INDEX(INDIRECT(""&amp;C8&amp;"!A2:A489"),MATCH(B8,INDIRECT(""&amp;C8&amp;"!B2:B489"),0))</f>
        <v>6</v>
      </c>
      <c r="I8" s="1">
        <f>IF(C8="RB",LeagueInfo!$D$4*LeagueInfo!$F$2,IF(C8="WR",LeagueInfo!$D$5*LeagueInfo!$F$2,IF(C8="TE",LeagueInfo!$D$6*LeagueInfo!$F$2,LeagueInfo!$D$3*LeagueInfo!$F$2)))</f>
        <v>12</v>
      </c>
    </row>
    <row r="9" spans="1:10" x14ac:dyDescent="0.25">
      <c r="A9" s="1">
        <f ca="1">RANK(E9,E$2:E$619)</f>
        <v>8</v>
      </c>
      <c r="B9" t="s">
        <v>164</v>
      </c>
      <c r="C9" t="s">
        <v>33</v>
      </c>
      <c r="D9" s="1">
        <f ca="1">INDEX(INDIRECT($C9&amp;"!O:O"),MATCH($B9,INDIRECT($C9&amp;"!B:B"),0))</f>
        <v>284.02000000000004</v>
      </c>
      <c r="E9" s="254">
        <f ca="1">D9-LARGE(D$2:D$619,RBCount+WRCount+TECount+QBCount)</f>
        <v>200.15000000000003</v>
      </c>
      <c r="F9" s="1" t="str">
        <f ca="1">IF(H9&lt;=I9,"Starter",IF(G9&gt;=LARGE(G:G,FlexOn*LeagueInfo!$F$2),"Starter","Bench"))</f>
        <v>Starter</v>
      </c>
      <c r="G9" s="1">
        <f ca="1">IF(H9&gt;I9,D9,0)</f>
        <v>0</v>
      </c>
      <c r="H9" s="1">
        <f ca="1">INDEX(INDIRECT(""&amp;C9&amp;"!A2:A489"),MATCH(B9,INDIRECT(""&amp;C9&amp;"!B2:B489"),0))</f>
        <v>8</v>
      </c>
      <c r="I9" s="1">
        <f>IF(C9="RB",LeagueInfo!$D$4*LeagueInfo!$F$2,IF(C9="WR",LeagueInfo!$D$5*LeagueInfo!$F$2,IF(C9="TE",LeagueInfo!$D$6*LeagueInfo!$F$2,LeagueInfo!$D$3*LeagueInfo!$F$2)))</f>
        <v>12</v>
      </c>
    </row>
    <row r="10" spans="1:10" x14ac:dyDescent="0.25">
      <c r="A10" s="1">
        <f ca="1">RANK(E10,E$2:E$619)</f>
        <v>11</v>
      </c>
      <c r="B10" t="s">
        <v>142</v>
      </c>
      <c r="C10" t="s">
        <v>33</v>
      </c>
      <c r="D10" s="1">
        <f ca="1">INDEX(INDIRECT($C10&amp;"!O:O"),MATCH($B10,INDIRECT($C10&amp;"!B:B"),0))</f>
        <v>281.892</v>
      </c>
      <c r="E10" s="254">
        <f ca="1">D10-LARGE(D$2:D$619,RBCount+WRCount+TECount+QBCount)</f>
        <v>198.02199999999999</v>
      </c>
      <c r="F10" s="1" t="str">
        <f ca="1">IF(H10&lt;=I10,"Starter",IF(G10&gt;=LARGE(G:G,FlexOn*LeagueInfo!$F$2),"Starter","Bench"))</f>
        <v>Starter</v>
      </c>
      <c r="G10" s="1">
        <f ca="1">IF(H10&gt;I10,D10,0)</f>
        <v>0</v>
      </c>
      <c r="H10" s="1">
        <f ca="1">INDEX(INDIRECT(""&amp;C10&amp;"!A2:A489"),MATCH(B10,INDIRECT(""&amp;C10&amp;"!B2:B489"),0))</f>
        <v>10</v>
      </c>
      <c r="I10" s="1">
        <f>IF(C10="RB",LeagueInfo!$D$4*LeagueInfo!$F$2,IF(C10="WR",LeagueInfo!$D$5*LeagueInfo!$F$2,IF(C10="TE",LeagueInfo!$D$6*LeagueInfo!$F$2,LeagueInfo!$D$3*LeagueInfo!$F$2)))</f>
        <v>12</v>
      </c>
    </row>
    <row r="11" spans="1:10" x14ac:dyDescent="0.25">
      <c r="A11" s="1">
        <f ca="1">RANK(E11,E$2:E$619)</f>
        <v>15</v>
      </c>
      <c r="B11" t="s">
        <v>231</v>
      </c>
      <c r="C11" t="s">
        <v>33</v>
      </c>
      <c r="D11" s="1">
        <f ca="1">INDEX(INDIRECT($C11&amp;"!O:O"),MATCH($B11,INDIRECT($C11&amp;"!B:B"),0))</f>
        <v>276.37799999999993</v>
      </c>
      <c r="E11" s="254">
        <f ca="1">D11-LARGE(D$2:D$619,RBCount+WRCount+TECount+QBCount)</f>
        <v>192.50799999999992</v>
      </c>
      <c r="F11" s="1" t="str">
        <f ca="1">IF(H11&lt;=I11,"Starter",IF(G11&gt;=LARGE(G:G,FlexOn*LeagueInfo!$F$2),"Starter","Bench"))</f>
        <v>Starter</v>
      </c>
      <c r="G11" s="1">
        <f ca="1">IF(H11&gt;I11,D11,0)</f>
        <v>276.37799999999993</v>
      </c>
      <c r="H11" s="1">
        <f ca="1">INDEX(INDIRECT(""&amp;C11&amp;"!A2:A489"),MATCH(B11,INDIRECT(""&amp;C11&amp;"!B2:B489"),0))</f>
        <v>14</v>
      </c>
      <c r="I11" s="1">
        <f>IF(C11="RB",LeagueInfo!$D$4*LeagueInfo!$F$2,IF(C11="WR",LeagueInfo!$D$5*LeagueInfo!$F$2,IF(C11="TE",LeagueInfo!$D$6*LeagueInfo!$F$2,LeagueInfo!$D$3*LeagueInfo!$F$2)))</f>
        <v>12</v>
      </c>
    </row>
    <row r="12" spans="1:10" x14ac:dyDescent="0.25">
      <c r="A12" s="1">
        <f ca="1">RANK(E12,E$2:E$619)</f>
        <v>14</v>
      </c>
      <c r="B12" t="s">
        <v>181</v>
      </c>
      <c r="C12" t="s">
        <v>33</v>
      </c>
      <c r="D12" s="1">
        <f ca="1">INDEX(INDIRECT($C12&amp;"!O:O"),MATCH($B12,INDIRECT($C12&amp;"!B:B"),0))</f>
        <v>276.50000000000006</v>
      </c>
      <c r="E12" s="254">
        <f ca="1">D12-LARGE(D$2:D$619,RBCount+WRCount+TECount+QBCount)</f>
        <v>192.63000000000005</v>
      </c>
      <c r="F12" s="1" t="str">
        <f ca="1">IF(H12&lt;=I12,"Starter",IF(G12&gt;=LARGE(G:G,FlexOn*LeagueInfo!$F$2),"Starter","Bench"))</f>
        <v>Starter</v>
      </c>
      <c r="G12" s="1">
        <f ca="1">IF(H12&gt;I12,D12,0)</f>
        <v>276.50000000000006</v>
      </c>
      <c r="H12" s="1">
        <f ca="1">INDEX(INDIRECT(""&amp;C12&amp;"!A2:A489"),MATCH(B12,INDIRECT(""&amp;C12&amp;"!B2:B489"),0))</f>
        <v>13</v>
      </c>
      <c r="I12" s="1">
        <f>IF(C12="RB",LeagueInfo!$D$4*LeagueInfo!$F$2,IF(C12="WR",LeagueInfo!$D$5*LeagueInfo!$F$2,IF(C12="TE",LeagueInfo!$D$6*LeagueInfo!$F$2,LeagueInfo!$D$3*LeagueInfo!$F$2)))</f>
        <v>12</v>
      </c>
    </row>
    <row r="13" spans="1:10" x14ac:dyDescent="0.25">
      <c r="A13" s="1">
        <f ca="1">RANK(E13,E$2:E$619)</f>
        <v>12</v>
      </c>
      <c r="B13" t="s">
        <v>190</v>
      </c>
      <c r="C13" t="s">
        <v>33</v>
      </c>
      <c r="D13" s="1">
        <f ca="1">INDEX(INDIRECT($C13&amp;"!O:O"),MATCH($B13,INDIRECT($C13&amp;"!B:B"),0))</f>
        <v>279.87200000000001</v>
      </c>
      <c r="E13" s="254">
        <f ca="1">D13-LARGE(D$2:D$619,RBCount+WRCount+TECount+QBCount)</f>
        <v>196.00200000000001</v>
      </c>
      <c r="F13" s="1" t="str">
        <f ca="1">IF(H13&lt;=I13,"Starter",IF(G13&gt;=LARGE(G:G,FlexOn*LeagueInfo!$F$2),"Starter","Bench"))</f>
        <v>Starter</v>
      </c>
      <c r="G13" s="1">
        <f ca="1">IF(H13&gt;I13,D13,0)</f>
        <v>0</v>
      </c>
      <c r="H13" s="1">
        <f ca="1">INDEX(INDIRECT(""&amp;C13&amp;"!A2:A489"),MATCH(B13,INDIRECT(""&amp;C13&amp;"!B2:B489"),0))</f>
        <v>11</v>
      </c>
      <c r="I13" s="1">
        <f>IF(C13="RB",LeagueInfo!$D$4*LeagueInfo!$F$2,IF(C13="WR",LeagueInfo!$D$5*LeagueInfo!$F$2,IF(C13="TE",LeagueInfo!$D$6*LeagueInfo!$F$2,LeagueInfo!$D$3*LeagueInfo!$F$2)))</f>
        <v>12</v>
      </c>
    </row>
    <row r="14" spans="1:10" x14ac:dyDescent="0.25">
      <c r="A14" s="1">
        <f ca="1">RANK(E14,E$2:E$619)</f>
        <v>9</v>
      </c>
      <c r="B14" t="s">
        <v>198</v>
      </c>
      <c r="C14" t="s">
        <v>33</v>
      </c>
      <c r="D14" s="1">
        <f ca="1">INDEX(INDIRECT($C14&amp;"!O:O"),MATCH($B14,INDIRECT($C14&amp;"!B:B"),0))</f>
        <v>282.74199999999996</v>
      </c>
      <c r="E14" s="254">
        <f ca="1">D14-LARGE(D$2:D$619,RBCount+WRCount+TECount+QBCount)</f>
        <v>198.87199999999996</v>
      </c>
      <c r="F14" s="1" t="str">
        <f ca="1">IF(H14&lt;=I14,"Starter",IF(G14&gt;=LARGE(G:G,FlexOn*LeagueInfo!$F$2),"Starter","Bench"))</f>
        <v>Starter</v>
      </c>
      <c r="G14" s="1">
        <f ca="1">IF(H14&gt;I14,D14,0)</f>
        <v>0</v>
      </c>
      <c r="H14" s="1">
        <f ca="1">INDEX(INDIRECT(""&amp;C14&amp;"!A2:A489"),MATCH(B14,INDIRECT(""&amp;C14&amp;"!B2:B489"),0))</f>
        <v>9</v>
      </c>
      <c r="I14" s="1">
        <f>IF(C14="RB",LeagueInfo!$D$4*LeagueInfo!$F$2,IF(C14="WR",LeagueInfo!$D$5*LeagueInfo!$F$2,IF(C14="TE",LeagueInfo!$D$6*LeagueInfo!$F$2,LeagueInfo!$D$3*LeagueInfo!$F$2)))</f>
        <v>12</v>
      </c>
    </row>
    <row r="15" spans="1:10" x14ac:dyDescent="0.25">
      <c r="A15" s="1">
        <f ca="1">RANK(E15,E$2:E$619)</f>
        <v>10</v>
      </c>
      <c r="B15" t="s">
        <v>94</v>
      </c>
      <c r="C15" t="s">
        <v>32</v>
      </c>
      <c r="D15" s="1">
        <f ca="1">INDEX(INDIRECT($C15&amp;"!O:O"),MATCH($B15,INDIRECT($C15&amp;"!B:B"),0))</f>
        <v>281.99000000000007</v>
      </c>
      <c r="E15" s="254">
        <f ca="1">D15-LARGE(D$2:D$619,RBCount+WRCount+TECount+QBCount)</f>
        <v>198.12000000000006</v>
      </c>
      <c r="F15" s="1" t="str">
        <f ca="1">IF(H15&lt;=I15,"Starter",IF(G15&gt;=LARGE(G:G,FlexOn*LeagueInfo!$F$2),"Starter","Bench"))</f>
        <v>Starter</v>
      </c>
      <c r="G15" s="1">
        <f ca="1">IF(H15&gt;I15,D15,0)</f>
        <v>0</v>
      </c>
      <c r="H15" s="1">
        <f ca="1">INDEX(INDIRECT(""&amp;C15&amp;"!A2:A489"),MATCH(B15,INDIRECT(""&amp;C15&amp;"!B2:B489"),0))</f>
        <v>1</v>
      </c>
      <c r="I15" s="1">
        <f>IF(C15="RB",LeagueInfo!$D$4*LeagueInfo!$F$2,IF(C15="WR",LeagueInfo!$D$5*LeagueInfo!$F$2,IF(C15="TE",LeagueInfo!$D$6*LeagueInfo!$F$2,LeagueInfo!$D$3*LeagueInfo!$F$2)))</f>
        <v>24</v>
      </c>
    </row>
    <row r="16" spans="1:10" x14ac:dyDescent="0.25">
      <c r="A16" s="1">
        <f ca="1">RANK(E16,E$2:E$619)</f>
        <v>16</v>
      </c>
      <c r="B16" t="s">
        <v>195</v>
      </c>
      <c r="C16" t="s">
        <v>33</v>
      </c>
      <c r="D16" s="1">
        <f ca="1">INDEX(INDIRECT($C16&amp;"!O:O"),MATCH($B16,INDIRECT($C16&amp;"!B:B"),0))</f>
        <v>272.88399999999996</v>
      </c>
      <c r="E16" s="254">
        <f ca="1">D16-LARGE(D$2:D$619,RBCount+WRCount+TECount+QBCount)</f>
        <v>189.01399999999995</v>
      </c>
      <c r="F16" s="1" t="str">
        <f ca="1">IF(H16&lt;=I16,"Starter",IF(G16&gt;=LARGE(G:G,FlexOn*LeagueInfo!$F$2),"Starter","Bench"))</f>
        <v>Starter</v>
      </c>
      <c r="G16" s="1">
        <f ca="1">IF(H16&gt;I16,D16,0)</f>
        <v>272.88399999999996</v>
      </c>
      <c r="H16" s="1">
        <f ca="1">INDEX(INDIRECT(""&amp;C16&amp;"!A2:A489"),MATCH(B16,INDIRECT(""&amp;C16&amp;"!B2:B489"),0))</f>
        <v>15</v>
      </c>
      <c r="I16" s="1">
        <f>IF(C16="RB",LeagueInfo!$D$4*LeagueInfo!$F$2,IF(C16="WR",LeagueInfo!$D$5*LeagueInfo!$F$2,IF(C16="TE",LeagueInfo!$D$6*LeagueInfo!$F$2,LeagueInfo!$D$3*LeagueInfo!$F$2)))</f>
        <v>12</v>
      </c>
    </row>
    <row r="17" spans="1:9" x14ac:dyDescent="0.25">
      <c r="A17" s="1">
        <f ca="1">RANK(E17,E$2:E$619)</f>
        <v>13</v>
      </c>
      <c r="B17" t="s">
        <v>224</v>
      </c>
      <c r="C17" t="s">
        <v>33</v>
      </c>
      <c r="D17" s="1">
        <f ca="1">INDEX(INDIRECT($C17&amp;"!O:O"),MATCH($B17,INDIRECT($C17&amp;"!B:B"),0))</f>
        <v>278.13400000000001</v>
      </c>
      <c r="E17" s="254">
        <f ca="1">D17-LARGE(D$2:D$619,RBCount+WRCount+TECount+QBCount)</f>
        <v>194.26400000000001</v>
      </c>
      <c r="F17" s="1" t="str">
        <f ca="1">IF(H17&lt;=I17,"Starter",IF(G17&gt;=LARGE(G:G,FlexOn*LeagueInfo!$F$2),"Starter","Bench"))</f>
        <v>Starter</v>
      </c>
      <c r="G17" s="1">
        <f ca="1">IF(H17&gt;I17,D17,0)</f>
        <v>0</v>
      </c>
      <c r="H17" s="1">
        <f ca="1">INDEX(INDIRECT(""&amp;C17&amp;"!A2:A489"),MATCH(B17,INDIRECT(""&amp;C17&amp;"!B2:B489"),0))</f>
        <v>12</v>
      </c>
      <c r="I17" s="1">
        <f>IF(C17="RB",LeagueInfo!$D$4*LeagueInfo!$F$2,IF(C17="WR",LeagueInfo!$D$5*LeagueInfo!$F$2,IF(C17="TE",LeagueInfo!$D$6*LeagueInfo!$F$2,LeagueInfo!$D$3*LeagueInfo!$F$2)))</f>
        <v>12</v>
      </c>
    </row>
    <row r="18" spans="1:9" x14ac:dyDescent="0.25">
      <c r="A18" s="1">
        <f ca="1">RANK(E18,E$2:E$619)</f>
        <v>17</v>
      </c>
      <c r="B18" t="s">
        <v>237</v>
      </c>
      <c r="C18" t="s">
        <v>33</v>
      </c>
      <c r="D18" s="1">
        <f ca="1">INDEX(INDIRECT($C18&amp;"!O:O"),MATCH($B18,INDIRECT($C18&amp;"!B:B"),0))</f>
        <v>269.988</v>
      </c>
      <c r="E18" s="254">
        <f ca="1">D18-LARGE(D$2:D$619,RBCount+WRCount+TECount+QBCount)</f>
        <v>186.11799999999999</v>
      </c>
      <c r="F18" s="1" t="str">
        <f ca="1">IF(H18&lt;=I18,"Starter",IF(G18&gt;=LARGE(G:G,FlexOn*LeagueInfo!$F$2),"Starter","Bench"))</f>
        <v>Starter</v>
      </c>
      <c r="G18" s="1">
        <f ca="1">IF(H18&gt;I18,D18,0)</f>
        <v>269.988</v>
      </c>
      <c r="H18" s="1">
        <f ca="1">INDEX(INDIRECT(""&amp;C18&amp;"!A2:A489"),MATCH(B18,INDIRECT(""&amp;C18&amp;"!B2:B489"),0))</f>
        <v>16</v>
      </c>
      <c r="I18" s="1">
        <f>IF(C18="RB",LeagueInfo!$D$4*LeagueInfo!$F$2,IF(C18="WR",LeagueInfo!$D$5*LeagueInfo!$F$2,IF(C18="TE",LeagueInfo!$D$6*LeagueInfo!$F$2,LeagueInfo!$D$3*LeagueInfo!$F$2)))</f>
        <v>12</v>
      </c>
    </row>
    <row r="19" spans="1:9" x14ac:dyDescent="0.25">
      <c r="A19" s="1">
        <f ca="1">RANK(E19,E$2:E$619)</f>
        <v>19</v>
      </c>
      <c r="B19" t="s">
        <v>96</v>
      </c>
      <c r="C19" t="s">
        <v>32</v>
      </c>
      <c r="D19" s="1">
        <f ca="1">INDEX(INDIRECT($C19&amp;"!O:O"),MATCH($B19,INDIRECT($C19&amp;"!B:B"),0))</f>
        <v>261.18</v>
      </c>
      <c r="E19" s="254">
        <f ca="1">D19-LARGE(D$2:D$619,RBCount+WRCount+TECount+QBCount)</f>
        <v>177.31</v>
      </c>
      <c r="F19" s="1" t="str">
        <f ca="1">IF(H19&lt;=I19,"Starter",IF(G19&gt;=LARGE(G:G,FlexOn*LeagueInfo!$F$2),"Starter","Bench"))</f>
        <v>Starter</v>
      </c>
      <c r="G19" s="1">
        <f ca="1">IF(H19&gt;I19,D19,0)</f>
        <v>0</v>
      </c>
      <c r="H19" s="1">
        <f ca="1">INDEX(INDIRECT(""&amp;C19&amp;"!A2:A489"),MATCH(B19,INDIRECT(""&amp;C19&amp;"!B2:B489"),0))</f>
        <v>2</v>
      </c>
      <c r="I19" s="1">
        <f>IF(C19="RB",LeagueInfo!$D$4*LeagueInfo!$F$2,IF(C19="WR",LeagueInfo!$D$5*LeagueInfo!$F$2,IF(C19="TE",LeagueInfo!$D$6*LeagueInfo!$F$2,LeagueInfo!$D$3*LeagueInfo!$F$2)))</f>
        <v>24</v>
      </c>
    </row>
    <row r="20" spans="1:9" x14ac:dyDescent="0.25">
      <c r="A20" s="1">
        <f ca="1">RANK(E20,E$2:E$619)</f>
        <v>20</v>
      </c>
      <c r="B20" t="s">
        <v>239</v>
      </c>
      <c r="C20" t="s">
        <v>33</v>
      </c>
      <c r="D20" s="1">
        <f ca="1">INDEX(INDIRECT($C20&amp;"!O:O"),MATCH($B20,INDIRECT($C20&amp;"!B:B"),0))</f>
        <v>258.27200000000005</v>
      </c>
      <c r="E20" s="254">
        <f ca="1">D20-LARGE(D$2:D$619,RBCount+WRCount+TECount+QBCount)</f>
        <v>174.40200000000004</v>
      </c>
      <c r="F20" s="1" t="str">
        <f ca="1">IF(H20&lt;=I20,"Starter",IF(G20&gt;=LARGE(G:G,FlexOn*LeagueInfo!$F$2),"Starter","Bench"))</f>
        <v>Starter</v>
      </c>
      <c r="G20" s="1">
        <f ca="1">IF(H20&gt;I20,D20,0)</f>
        <v>258.27200000000005</v>
      </c>
      <c r="H20" s="1">
        <f ca="1">INDEX(INDIRECT(""&amp;C20&amp;"!A2:A489"),MATCH(B20,INDIRECT(""&amp;C20&amp;"!B2:B489"),0))</f>
        <v>18</v>
      </c>
      <c r="I20" s="1">
        <f>IF(C20="RB",LeagueInfo!$D$4*LeagueInfo!$F$2,IF(C20="WR",LeagueInfo!$D$5*LeagueInfo!$F$2,IF(C20="TE",LeagueInfo!$D$6*LeagueInfo!$F$2,LeagueInfo!$D$3*LeagueInfo!$F$2)))</f>
        <v>12</v>
      </c>
    </row>
    <row r="21" spans="1:9" x14ac:dyDescent="0.25">
      <c r="A21" s="1">
        <f ca="1">RANK(E21,E$2:E$619)</f>
        <v>18</v>
      </c>
      <c r="B21" t="s">
        <v>238</v>
      </c>
      <c r="C21" t="s">
        <v>33</v>
      </c>
      <c r="D21" s="1">
        <f ca="1">INDEX(INDIRECT($C21&amp;"!O:O"),MATCH($B21,INDIRECT($C21&amp;"!B:B"),0))</f>
        <v>268.072</v>
      </c>
      <c r="E21" s="254">
        <f ca="1">D21-LARGE(D$2:D$619,RBCount+WRCount+TECount+QBCount)</f>
        <v>184.202</v>
      </c>
      <c r="F21" s="1" t="str">
        <f ca="1">IF(H21&lt;=I21,"Starter",IF(G21&gt;=LARGE(G:G,FlexOn*LeagueInfo!$F$2),"Starter","Bench"))</f>
        <v>Starter</v>
      </c>
      <c r="G21" s="1">
        <f ca="1">IF(H21&gt;I21,D21,0)</f>
        <v>268.072</v>
      </c>
      <c r="H21" s="1">
        <f ca="1">INDEX(INDIRECT(""&amp;C21&amp;"!A2:A489"),MATCH(B21,INDIRECT(""&amp;C21&amp;"!B2:B489"),0))</f>
        <v>17</v>
      </c>
      <c r="I21" s="1">
        <f>IF(C21="RB",LeagueInfo!$D$4*LeagueInfo!$F$2,IF(C21="WR",LeagueInfo!$D$5*LeagueInfo!$F$2,IF(C21="TE",LeagueInfo!$D$6*LeagueInfo!$F$2,LeagueInfo!$D$3*LeagueInfo!$F$2)))</f>
        <v>12</v>
      </c>
    </row>
    <row r="22" spans="1:9" x14ac:dyDescent="0.25">
      <c r="A22" s="1">
        <f ca="1">RANK(E22,E$2:E$619)</f>
        <v>22</v>
      </c>
      <c r="B22" t="s">
        <v>253</v>
      </c>
      <c r="C22" t="s">
        <v>33</v>
      </c>
      <c r="D22" s="1">
        <f ca="1">INDEX(INDIRECT($C22&amp;"!O:O"),MATCH($B22,INDIRECT($C22&amp;"!B:B"),0))</f>
        <v>251.40799999999999</v>
      </c>
      <c r="E22" s="254">
        <f ca="1">D22-LARGE(D$2:D$619,RBCount+WRCount+TECount+QBCount)</f>
        <v>167.53799999999998</v>
      </c>
      <c r="F22" s="1" t="str">
        <f ca="1">IF(H22&lt;=I22,"Starter",IF(G22&gt;=LARGE(G:G,FlexOn*LeagueInfo!$F$2),"Starter","Bench"))</f>
        <v>Starter</v>
      </c>
      <c r="G22" s="1">
        <f ca="1">IF(H22&gt;I22,D22,0)</f>
        <v>251.40799999999999</v>
      </c>
      <c r="H22" s="1">
        <f ca="1">INDEX(INDIRECT(""&amp;C22&amp;"!A2:A489"),MATCH(B22,INDIRECT(""&amp;C22&amp;"!B2:B489"),0))</f>
        <v>20</v>
      </c>
      <c r="I22" s="1">
        <f>IF(C22="RB",LeagueInfo!$D$4*LeagueInfo!$F$2,IF(C22="WR",LeagueInfo!$D$5*LeagueInfo!$F$2,IF(C22="TE",LeagueInfo!$D$6*LeagueInfo!$F$2,LeagueInfo!$D$3*LeagueInfo!$F$2)))</f>
        <v>12</v>
      </c>
    </row>
    <row r="23" spans="1:9" x14ac:dyDescent="0.25">
      <c r="A23" s="1">
        <f ca="1">RANK(E23,E$2:E$619)</f>
        <v>21</v>
      </c>
      <c r="B23" t="s">
        <v>251</v>
      </c>
      <c r="C23" t="s">
        <v>33</v>
      </c>
      <c r="D23" s="1">
        <f ca="1">INDEX(INDIRECT($C23&amp;"!O:O"),MATCH($B23,INDIRECT($C23&amp;"!B:B"),0))</f>
        <v>254.018</v>
      </c>
      <c r="E23" s="254">
        <f ca="1">D23-LARGE(D$2:D$619,RBCount+WRCount+TECount+QBCount)</f>
        <v>170.148</v>
      </c>
      <c r="F23" s="1" t="str">
        <f ca="1">IF(H23&lt;=I23,"Starter",IF(G23&gt;=LARGE(G:G,FlexOn*LeagueInfo!$F$2),"Starter","Bench"))</f>
        <v>Starter</v>
      </c>
      <c r="G23" s="1">
        <f ca="1">IF(H23&gt;I23,D23,0)</f>
        <v>254.018</v>
      </c>
      <c r="H23" s="1">
        <f ca="1">INDEX(INDIRECT(""&amp;C23&amp;"!A2:A489"),MATCH(B23,INDIRECT(""&amp;C23&amp;"!B2:B489"),0))</f>
        <v>19</v>
      </c>
      <c r="I23" s="1">
        <f>IF(C23="RB",LeagueInfo!$D$4*LeagueInfo!$F$2,IF(C23="WR",LeagueInfo!$D$5*LeagueInfo!$F$2,IF(C23="TE",LeagueInfo!$D$6*LeagueInfo!$F$2,LeagueInfo!$D$3*LeagueInfo!$F$2)))</f>
        <v>12</v>
      </c>
    </row>
    <row r="24" spans="1:9" x14ac:dyDescent="0.25">
      <c r="A24" s="1">
        <f ca="1">RANK(E24,E$2:E$619)</f>
        <v>23</v>
      </c>
      <c r="B24" t="s">
        <v>229</v>
      </c>
      <c r="C24" t="s">
        <v>33</v>
      </c>
      <c r="D24" s="1">
        <f ca="1">INDEX(INDIRECT($C24&amp;"!O:O"),MATCH($B24,INDIRECT($C24&amp;"!B:B"),0))</f>
        <v>245.46799999999999</v>
      </c>
      <c r="E24" s="254">
        <f ca="1">D24-LARGE(D$2:D$619,RBCount+WRCount+TECount+QBCount)</f>
        <v>161.59799999999998</v>
      </c>
      <c r="F24" s="1" t="str">
        <f ca="1">IF(H24&lt;=I24,"Starter",IF(G24&gt;=LARGE(G:G,FlexOn*LeagueInfo!$F$2),"Starter","Bench"))</f>
        <v>Starter</v>
      </c>
      <c r="G24" s="1">
        <f ca="1">IF(H24&gt;I24,D24,0)</f>
        <v>245.46799999999999</v>
      </c>
      <c r="H24" s="1">
        <f ca="1">INDEX(INDIRECT(""&amp;C24&amp;"!A2:A489"),MATCH(B24,INDIRECT(""&amp;C24&amp;"!B2:B489"),0))</f>
        <v>21</v>
      </c>
      <c r="I24" s="1">
        <f>IF(C24="RB",LeagueInfo!$D$4*LeagueInfo!$F$2,IF(C24="WR",LeagueInfo!$D$5*LeagueInfo!$F$2,IF(C24="TE",LeagueInfo!$D$6*LeagueInfo!$F$2,LeagueInfo!$D$3*LeagueInfo!$F$2)))</f>
        <v>12</v>
      </c>
    </row>
    <row r="25" spans="1:9" x14ac:dyDescent="0.25">
      <c r="A25" s="1">
        <f ca="1">RANK(E25,E$2:E$619)</f>
        <v>24</v>
      </c>
      <c r="B25" t="s">
        <v>245</v>
      </c>
      <c r="C25" t="s">
        <v>33</v>
      </c>
      <c r="D25" s="1">
        <f ca="1">INDEX(INDIRECT($C25&amp;"!O:O"),MATCH($B25,INDIRECT($C25&amp;"!B:B"),0))</f>
        <v>234.39800000000002</v>
      </c>
      <c r="E25" s="254">
        <f ca="1">D25-LARGE(D$2:D$619,RBCount+WRCount+TECount+QBCount)</f>
        <v>150.52800000000002</v>
      </c>
      <c r="F25" s="1" t="str">
        <f ca="1">IF(H25&lt;=I25,"Starter",IF(G25&gt;=LARGE(G:G,FlexOn*LeagueInfo!$F$2),"Starter","Bench"))</f>
        <v>Starter</v>
      </c>
      <c r="G25" s="1">
        <f ca="1">IF(H25&gt;I25,D25,0)</f>
        <v>234.39800000000002</v>
      </c>
      <c r="H25" s="1">
        <f ca="1">INDEX(INDIRECT(""&amp;C25&amp;"!A2:A489"),MATCH(B25,INDIRECT(""&amp;C25&amp;"!B2:B489"),0))</f>
        <v>22</v>
      </c>
      <c r="I25" s="1">
        <f>IF(C25="RB",LeagueInfo!$D$4*LeagueInfo!$F$2,IF(C25="WR",LeagueInfo!$D$5*LeagueInfo!$F$2,IF(C25="TE",LeagueInfo!$D$6*LeagueInfo!$F$2,LeagueInfo!$D$3*LeagueInfo!$F$2)))</f>
        <v>12</v>
      </c>
    </row>
    <row r="26" spans="1:9" x14ac:dyDescent="0.25">
      <c r="A26" s="1">
        <f ca="1">RANK(E26,E$2:E$619)</f>
        <v>25</v>
      </c>
      <c r="B26" t="s">
        <v>260</v>
      </c>
      <c r="C26" t="s">
        <v>33</v>
      </c>
      <c r="D26" s="1">
        <f ca="1">INDEX(INDIRECT($C26&amp;"!O:O"),MATCH($B26,INDIRECT($C26&amp;"!B:B"),0))</f>
        <v>227.71</v>
      </c>
      <c r="E26" s="254">
        <f ca="1">D26-LARGE(D$2:D$619,RBCount+WRCount+TECount+QBCount)</f>
        <v>143.84</v>
      </c>
      <c r="F26" s="1" t="str">
        <f ca="1">IF(H26&lt;=I26,"Starter",IF(G26&gt;=LARGE(G:G,FlexOn*LeagueInfo!$F$2),"Starter","Bench"))</f>
        <v>Starter</v>
      </c>
      <c r="G26" s="1">
        <f ca="1">IF(H26&gt;I26,D26,0)</f>
        <v>227.71</v>
      </c>
      <c r="H26" s="1">
        <f ca="1">INDEX(INDIRECT(""&amp;C26&amp;"!A2:A489"),MATCH(B26,INDIRECT(""&amp;C26&amp;"!B2:B489"),0))</f>
        <v>23</v>
      </c>
      <c r="I26" s="1">
        <f>IF(C26="RB",LeagueInfo!$D$4*LeagueInfo!$F$2,IF(C26="WR",LeagueInfo!$D$5*LeagueInfo!$F$2,IF(C26="TE",LeagueInfo!$D$6*LeagueInfo!$F$2,LeagueInfo!$D$3*LeagueInfo!$F$2)))</f>
        <v>12</v>
      </c>
    </row>
    <row r="27" spans="1:9" x14ac:dyDescent="0.25">
      <c r="A27" s="1">
        <f ca="1">RANK(E27,E$2:E$619)</f>
        <v>32</v>
      </c>
      <c r="B27" t="s">
        <v>100</v>
      </c>
      <c r="C27" t="s">
        <v>39</v>
      </c>
      <c r="D27" s="1">
        <f ca="1">INDEX(INDIRECT($C27&amp;"!O:O"),MATCH($B27,INDIRECT($C27&amp;"!B:B"),0))</f>
        <v>203.86999999999998</v>
      </c>
      <c r="E27" s="254">
        <f ca="1">D27-LARGE(D$2:D$619,RBCount+WRCount+TECount+QBCount)</f>
        <v>119.99999999999997</v>
      </c>
      <c r="F27" s="1" t="str">
        <f ca="1">IF(H27&lt;=I27,"Starter",IF(G27&gt;=LARGE(G:G,FlexOn*LeagueInfo!$F$2),"Starter","Bench"))</f>
        <v>Starter</v>
      </c>
      <c r="G27" s="1">
        <f ca="1">IF(H27&gt;I27,D27,0)</f>
        <v>0</v>
      </c>
      <c r="H27" s="1">
        <f ca="1">INDEX(INDIRECT(""&amp;C27&amp;"!A2:A489"),MATCH(B27,INDIRECT(""&amp;C27&amp;"!B2:B489"),0))</f>
        <v>2</v>
      </c>
      <c r="I27" s="1">
        <f>IF(C27="RB",LeagueInfo!$D$4*LeagueInfo!$F$2,IF(C27="WR",LeagueInfo!$D$5*LeagueInfo!$F$2,IF(C27="TE",LeagueInfo!$D$6*LeagueInfo!$F$2,LeagueInfo!$D$3*LeagueInfo!$F$2)))</f>
        <v>24</v>
      </c>
    </row>
    <row r="28" spans="1:9" x14ac:dyDescent="0.25">
      <c r="A28" s="1">
        <f ca="1">RANK(E28,E$2:E$619)</f>
        <v>29</v>
      </c>
      <c r="B28" t="s">
        <v>102</v>
      </c>
      <c r="C28" t="s">
        <v>39</v>
      </c>
      <c r="D28" s="1">
        <f ca="1">INDEX(INDIRECT($C28&amp;"!O:O"),MATCH($B28,INDIRECT($C28&amp;"!B:B"),0))</f>
        <v>205.82999999999998</v>
      </c>
      <c r="E28" s="254">
        <f ca="1">D28-LARGE(D$2:D$619,RBCount+WRCount+TECount+QBCount)</f>
        <v>121.95999999999998</v>
      </c>
      <c r="F28" s="1" t="str">
        <f ca="1">IF(H28&lt;=I28,"Starter",IF(G28&gt;=LARGE(G:G,FlexOn*LeagueInfo!$F$2),"Starter","Bench"))</f>
        <v>Starter</v>
      </c>
      <c r="G28" s="1">
        <f ca="1">IF(H28&gt;I28,D28,0)</f>
        <v>0</v>
      </c>
      <c r="H28" s="1">
        <f ca="1">INDEX(INDIRECT(""&amp;C28&amp;"!A2:A489"),MATCH(B28,INDIRECT(""&amp;C28&amp;"!B2:B489"),0))</f>
        <v>1</v>
      </c>
      <c r="I28" s="1">
        <f>IF(C28="RB",LeagueInfo!$D$4*LeagueInfo!$F$2,IF(C28="WR",LeagueInfo!$D$5*LeagueInfo!$F$2,IF(C28="TE",LeagueInfo!$D$6*LeagueInfo!$F$2,LeagueInfo!$D$3*LeagueInfo!$F$2)))</f>
        <v>24</v>
      </c>
    </row>
    <row r="29" spans="1:9" x14ac:dyDescent="0.25">
      <c r="A29" s="1">
        <f ca="1">RANK(E29,E$2:E$619)</f>
        <v>26</v>
      </c>
      <c r="B29" t="s">
        <v>896</v>
      </c>
      <c r="C29" t="s">
        <v>33</v>
      </c>
      <c r="D29" s="1">
        <f ca="1">INDEX(INDIRECT($C29&amp;"!O:O"),MATCH($B29,INDIRECT($C29&amp;"!B:B"),0))</f>
        <v>219.762</v>
      </c>
      <c r="E29" s="254">
        <f ca="1">D29-LARGE(D$2:D$619,RBCount+WRCount+TECount+QBCount)</f>
        <v>135.892</v>
      </c>
      <c r="F29" s="1" t="str">
        <f ca="1">IF(H29&lt;=I29,"Starter",IF(G29&gt;=LARGE(G:G,FlexOn*LeagueInfo!$F$2),"Starter","Bench"))</f>
        <v>Starter</v>
      </c>
      <c r="G29" s="1">
        <f ca="1">IF(H29&gt;I29,D29,0)</f>
        <v>219.762</v>
      </c>
      <c r="H29" s="1">
        <f ca="1">INDEX(INDIRECT(""&amp;C29&amp;"!A2:A489"),MATCH(B29,INDIRECT(""&amp;C29&amp;"!B2:B489"),0))</f>
        <v>24</v>
      </c>
      <c r="I29" s="1">
        <f>IF(C29="RB",LeagueInfo!$D$4*LeagueInfo!$F$2,IF(C29="WR",LeagueInfo!$D$5*LeagueInfo!$F$2,IF(C29="TE",LeagueInfo!$D$6*LeagueInfo!$F$2,LeagueInfo!$D$3*LeagueInfo!$F$2)))</f>
        <v>12</v>
      </c>
    </row>
    <row r="30" spans="1:9" x14ac:dyDescent="0.25">
      <c r="A30" s="1">
        <f ca="1">RANK(E30,E$2:E$619)</f>
        <v>27</v>
      </c>
      <c r="B30" t="s">
        <v>104</v>
      </c>
      <c r="C30" t="s">
        <v>32</v>
      </c>
      <c r="D30" s="1">
        <f ca="1">INDEX(INDIRECT($C30&amp;"!O:O"),MATCH($B30,INDIRECT($C30&amp;"!B:B"),0))</f>
        <v>217.33000000000004</v>
      </c>
      <c r="E30" s="254">
        <f ca="1">D30-LARGE(D$2:D$619,RBCount+WRCount+TECount+QBCount)</f>
        <v>133.46000000000004</v>
      </c>
      <c r="F30" s="1" t="str">
        <f ca="1">IF(H30&lt;=I30,"Starter",IF(G30&gt;=LARGE(G:G,FlexOn*LeagueInfo!$F$2),"Starter","Bench"))</f>
        <v>Starter</v>
      </c>
      <c r="G30" s="1">
        <f ca="1">IF(H30&gt;I30,D30,0)</f>
        <v>0</v>
      </c>
      <c r="H30" s="1">
        <f ca="1">INDEX(INDIRECT(""&amp;C30&amp;"!A2:A489"),MATCH(B30,INDIRECT(""&amp;C30&amp;"!B2:B489"),0))</f>
        <v>3</v>
      </c>
      <c r="I30" s="1">
        <f>IF(C30="RB",LeagueInfo!$D$4*LeagueInfo!$F$2,IF(C30="WR",LeagueInfo!$D$5*LeagueInfo!$F$2,IF(C30="TE",LeagueInfo!$D$6*LeagueInfo!$F$2,LeagueInfo!$D$3*LeagueInfo!$F$2)))</f>
        <v>24</v>
      </c>
    </row>
    <row r="31" spans="1:9" x14ac:dyDescent="0.25">
      <c r="A31" s="1">
        <f ca="1">RANK(E31,E$2:E$619)</f>
        <v>37</v>
      </c>
      <c r="B31" t="s">
        <v>101</v>
      </c>
      <c r="C31" t="s">
        <v>39</v>
      </c>
      <c r="D31" s="1">
        <f ca="1">INDEX(INDIRECT($C31&amp;"!O:O"),MATCH($B31,INDIRECT($C31&amp;"!B:B"),0))</f>
        <v>190.75</v>
      </c>
      <c r="E31" s="254">
        <f ca="1">D31-LARGE(D$2:D$619,RBCount+WRCount+TECount+QBCount)</f>
        <v>106.88</v>
      </c>
      <c r="F31" s="1" t="str">
        <f ca="1">IF(H31&lt;=I31,"Starter",IF(G31&gt;=LARGE(G:G,FlexOn*LeagueInfo!$F$2),"Starter","Bench"))</f>
        <v>Starter</v>
      </c>
      <c r="G31" s="1">
        <f ca="1">IF(H31&gt;I31,D31,0)</f>
        <v>0</v>
      </c>
      <c r="H31" s="1">
        <f ca="1">INDEX(INDIRECT(""&amp;C31&amp;"!A2:A489"),MATCH(B31,INDIRECT(""&amp;C31&amp;"!B2:B489"),0))</f>
        <v>3</v>
      </c>
      <c r="I31" s="1">
        <f>IF(C31="RB",LeagueInfo!$D$4*LeagueInfo!$F$2,IF(C31="WR",LeagueInfo!$D$5*LeagueInfo!$F$2,IF(C31="TE",LeagueInfo!$D$6*LeagueInfo!$F$2,LeagueInfo!$D$3*LeagueInfo!$F$2)))</f>
        <v>24</v>
      </c>
    </row>
    <row r="32" spans="1:9" x14ac:dyDescent="0.25">
      <c r="A32" s="1">
        <f ca="1">RANK(E32,E$2:E$619)</f>
        <v>28</v>
      </c>
      <c r="B32" t="s">
        <v>269</v>
      </c>
      <c r="C32" t="s">
        <v>33</v>
      </c>
      <c r="D32" s="1">
        <f ca="1">INDEX(INDIRECT($C32&amp;"!O:O"),MATCH($B32,INDIRECT($C32&amp;"!B:B"),0))</f>
        <v>209.28000000000003</v>
      </c>
      <c r="E32" s="254">
        <f ca="1">D32-LARGE(D$2:D$619,RBCount+WRCount+TECount+QBCount)</f>
        <v>125.41000000000003</v>
      </c>
      <c r="F32" s="1" t="str">
        <f ca="1">IF(H32&lt;=I32,"Starter",IF(G32&gt;=LARGE(G:G,FlexOn*LeagueInfo!$F$2),"Starter","Bench"))</f>
        <v>Bench</v>
      </c>
      <c r="G32" s="1">
        <f ca="1">IF(H32&gt;I32,D32,0)</f>
        <v>209.28000000000003</v>
      </c>
      <c r="H32" s="1">
        <f ca="1">INDEX(INDIRECT(""&amp;C32&amp;"!A2:A489"),MATCH(B32,INDIRECT(""&amp;C32&amp;"!B2:B489"),0))</f>
        <v>25</v>
      </c>
      <c r="I32" s="1">
        <f>IF(C32="RB",LeagueInfo!$D$4*LeagueInfo!$F$2,IF(C32="WR",LeagueInfo!$D$5*LeagueInfo!$F$2,IF(C32="TE",LeagueInfo!$D$6*LeagueInfo!$F$2,LeagueInfo!$D$3*LeagueInfo!$F$2)))</f>
        <v>12</v>
      </c>
    </row>
    <row r="33" spans="1:9" x14ac:dyDescent="0.25">
      <c r="A33" s="1">
        <f ca="1">RANK(E33,E$2:E$619)</f>
        <v>30</v>
      </c>
      <c r="B33" t="s">
        <v>110</v>
      </c>
      <c r="C33" t="s">
        <v>32</v>
      </c>
      <c r="D33" s="1">
        <f ca="1">INDEX(INDIRECT($C33&amp;"!O:O"),MATCH($B33,INDIRECT($C33&amp;"!B:B"),0))</f>
        <v>205.38</v>
      </c>
      <c r="E33" s="254">
        <f ca="1">D33-LARGE(D$2:D$619,RBCount+WRCount+TECount+QBCount)</f>
        <v>121.50999999999999</v>
      </c>
      <c r="F33" s="1" t="str">
        <f ca="1">IF(H33&lt;=I33,"Starter",IF(G33&gt;=LARGE(G:G,FlexOn*LeagueInfo!$F$2),"Starter","Bench"))</f>
        <v>Starter</v>
      </c>
      <c r="G33" s="1">
        <f ca="1">IF(H33&gt;I33,D33,0)</f>
        <v>0</v>
      </c>
      <c r="H33" s="1">
        <f ca="1">INDEX(INDIRECT(""&amp;C33&amp;"!A2:A489"),MATCH(B33,INDIRECT(""&amp;C33&amp;"!B2:B489"),0))</f>
        <v>4</v>
      </c>
      <c r="I33" s="1">
        <f>IF(C33="RB",LeagueInfo!$D$4*LeagueInfo!$F$2,IF(C33="WR",LeagueInfo!$D$5*LeagueInfo!$F$2,IF(C33="TE",LeagueInfo!$D$6*LeagueInfo!$F$2,LeagueInfo!$D$3*LeagueInfo!$F$2)))</f>
        <v>24</v>
      </c>
    </row>
    <row r="34" spans="1:9" x14ac:dyDescent="0.25">
      <c r="A34" s="1">
        <f ca="1">RANK(E34,E$2:E$619)</f>
        <v>41</v>
      </c>
      <c r="B34" t="s">
        <v>103</v>
      </c>
      <c r="C34" t="s">
        <v>39</v>
      </c>
      <c r="D34" s="1">
        <f ca="1">INDEX(INDIRECT($C34&amp;"!O:O"),MATCH($B34,INDIRECT($C34&amp;"!B:B"),0))</f>
        <v>183.65</v>
      </c>
      <c r="E34" s="254">
        <f ca="1">D34-LARGE(D$2:D$619,RBCount+WRCount+TECount+QBCount)</f>
        <v>99.78</v>
      </c>
      <c r="F34" s="1" t="str">
        <f ca="1">IF(H34&lt;=I34,"Starter",IF(G34&gt;=LARGE(G:G,FlexOn*LeagueInfo!$F$2),"Starter","Bench"))</f>
        <v>Starter</v>
      </c>
      <c r="G34" s="1">
        <f ca="1">IF(H34&gt;I34,D34,0)</f>
        <v>0</v>
      </c>
      <c r="H34" s="1">
        <f ca="1">INDEX(INDIRECT(""&amp;C34&amp;"!A2:A489"),MATCH(B34,INDIRECT(""&amp;C34&amp;"!B2:B489"),0))</f>
        <v>4</v>
      </c>
      <c r="I34" s="1">
        <f>IF(C34="RB",LeagueInfo!$D$4*LeagueInfo!$F$2,IF(C34="WR",LeagueInfo!$D$5*LeagueInfo!$F$2,IF(C34="TE",LeagueInfo!$D$6*LeagueInfo!$F$2,LeagueInfo!$D$3*LeagueInfo!$F$2)))</f>
        <v>24</v>
      </c>
    </row>
    <row r="35" spans="1:9" x14ac:dyDescent="0.25">
      <c r="A35" s="1">
        <f ca="1">RANK(E35,E$2:E$619)</f>
        <v>42</v>
      </c>
      <c r="B35" t="s">
        <v>109</v>
      </c>
      <c r="C35" t="s">
        <v>39</v>
      </c>
      <c r="D35" s="1">
        <f ca="1">INDEX(INDIRECT($C35&amp;"!O:O"),MATCH($B35,INDIRECT($C35&amp;"!B:B"),0))</f>
        <v>183.32</v>
      </c>
      <c r="E35" s="254">
        <f ca="1">D35-LARGE(D$2:D$619,RBCount+WRCount+TECount+QBCount)</f>
        <v>99.449999999999989</v>
      </c>
      <c r="F35" s="1" t="str">
        <f ca="1">IF(H35&lt;=I35,"Starter",IF(G35&gt;=LARGE(G:G,FlexOn*LeagueInfo!$F$2),"Starter","Bench"))</f>
        <v>Starter</v>
      </c>
      <c r="G35" s="1">
        <f ca="1">IF(H35&gt;I35,D35,0)</f>
        <v>0</v>
      </c>
      <c r="H35" s="1">
        <f ca="1">INDEX(INDIRECT(""&amp;C35&amp;"!A2:A489"),MATCH(B35,INDIRECT(""&amp;C35&amp;"!B2:B489"),0))</f>
        <v>5</v>
      </c>
      <c r="I35" s="1">
        <f>IF(C35="RB",LeagueInfo!$D$4*LeagueInfo!$F$2,IF(C35="WR",LeagueInfo!$D$5*LeagueInfo!$F$2,IF(C35="TE",LeagueInfo!$D$6*LeagueInfo!$F$2,LeagueInfo!$D$3*LeagueInfo!$F$2)))</f>
        <v>24</v>
      </c>
    </row>
    <row r="36" spans="1:9" x14ac:dyDescent="0.25">
      <c r="A36" s="1">
        <f ca="1">RANK(E36,E$2:E$619)</f>
        <v>33</v>
      </c>
      <c r="B36" t="s">
        <v>105</v>
      </c>
      <c r="C36" t="s">
        <v>32</v>
      </c>
      <c r="D36" s="1">
        <f ca="1">INDEX(INDIRECT($C36&amp;"!O:O"),MATCH($B36,INDIRECT($C36&amp;"!B:B"),0))</f>
        <v>203.7</v>
      </c>
      <c r="E36" s="254">
        <f ca="1">D36-LARGE(D$2:D$619,RBCount+WRCount+TECount+QBCount)</f>
        <v>119.82999999999998</v>
      </c>
      <c r="F36" s="1" t="str">
        <f ca="1">IF(H36&lt;=I36,"Starter",IF(G36&gt;=LARGE(G:G,FlexOn*LeagueInfo!$F$2),"Starter","Bench"))</f>
        <v>Starter</v>
      </c>
      <c r="G36" s="1">
        <f ca="1">IF(H36&gt;I36,D36,0)</f>
        <v>0</v>
      </c>
      <c r="H36" s="1">
        <f ca="1">INDEX(INDIRECT(""&amp;C36&amp;"!A2:A489"),MATCH(B36,INDIRECT(""&amp;C36&amp;"!B2:B489"),0))</f>
        <v>6</v>
      </c>
      <c r="I36" s="1">
        <f>IF(C36="RB",LeagueInfo!$D$4*LeagueInfo!$F$2,IF(C36="WR",LeagueInfo!$D$5*LeagueInfo!$F$2,IF(C36="TE",LeagueInfo!$D$6*LeagueInfo!$F$2,LeagueInfo!$D$3*LeagueInfo!$F$2)))</f>
        <v>24</v>
      </c>
    </row>
    <row r="37" spans="1:9" x14ac:dyDescent="0.25">
      <c r="A37" s="1">
        <f ca="1">RANK(E37,E$2:E$619)</f>
        <v>31</v>
      </c>
      <c r="B37" t="s">
        <v>106</v>
      </c>
      <c r="C37" t="s">
        <v>32</v>
      </c>
      <c r="D37" s="1">
        <f ca="1">INDEX(INDIRECT($C37&amp;"!O:O"),MATCH($B37,INDIRECT($C37&amp;"!B:B"),0))</f>
        <v>204.15</v>
      </c>
      <c r="E37" s="254">
        <f ca="1">D37-LARGE(D$2:D$619,RBCount+WRCount+TECount+QBCount)</f>
        <v>120.28</v>
      </c>
      <c r="F37" s="1" t="str">
        <f ca="1">IF(H37&lt;=I37,"Starter",IF(G37&gt;=LARGE(G:G,FlexOn*LeagueInfo!$F$2),"Starter","Bench"))</f>
        <v>Starter</v>
      </c>
      <c r="G37" s="1">
        <f ca="1">IF(H37&gt;I37,D37,0)</f>
        <v>0</v>
      </c>
      <c r="H37" s="1">
        <f ca="1">INDEX(INDIRECT(""&amp;C37&amp;"!A2:A489"),MATCH(B37,INDIRECT(""&amp;C37&amp;"!B2:B489"),0))</f>
        <v>5</v>
      </c>
      <c r="I37" s="1">
        <f>IF(C37="RB",LeagueInfo!$D$4*LeagueInfo!$F$2,IF(C37="WR",LeagueInfo!$D$5*LeagueInfo!$F$2,IF(C37="TE",LeagueInfo!$D$6*LeagueInfo!$F$2,LeagueInfo!$D$3*LeagueInfo!$F$2)))</f>
        <v>24</v>
      </c>
    </row>
    <row r="38" spans="1:9" x14ac:dyDescent="0.25">
      <c r="A38" s="1">
        <f ca="1">RANK(E38,E$2:E$619)</f>
        <v>34</v>
      </c>
      <c r="B38" t="s">
        <v>108</v>
      </c>
      <c r="C38" t="s">
        <v>32</v>
      </c>
      <c r="D38" s="1">
        <f ca="1">INDEX(INDIRECT($C38&amp;"!O:O"),MATCH($B38,INDIRECT($C38&amp;"!B:B"),0))</f>
        <v>200.57</v>
      </c>
      <c r="E38" s="254">
        <f ca="1">D38-LARGE(D$2:D$619,RBCount+WRCount+TECount+QBCount)</f>
        <v>116.69999999999999</v>
      </c>
      <c r="F38" s="1" t="str">
        <f ca="1">IF(H38&lt;=I38,"Starter",IF(G38&gt;=LARGE(G:G,FlexOn*LeagueInfo!$F$2),"Starter","Bench"))</f>
        <v>Starter</v>
      </c>
      <c r="G38" s="1">
        <f ca="1">IF(H38&gt;I38,D38,0)</f>
        <v>0</v>
      </c>
      <c r="H38" s="1">
        <f ca="1">INDEX(INDIRECT(""&amp;C38&amp;"!A2:A489"),MATCH(B38,INDIRECT(""&amp;C38&amp;"!B2:B489"),0))</f>
        <v>7</v>
      </c>
      <c r="I38" s="1">
        <f>IF(C38="RB",LeagueInfo!$D$4*LeagueInfo!$F$2,IF(C38="WR",LeagueInfo!$D$5*LeagueInfo!$F$2,IF(C38="TE",LeagueInfo!$D$6*LeagueInfo!$F$2,LeagueInfo!$D$3*LeagueInfo!$F$2)))</f>
        <v>24</v>
      </c>
    </row>
    <row r="39" spans="1:9" x14ac:dyDescent="0.25">
      <c r="A39" s="1">
        <f ca="1">RANK(E39,E$2:E$619)</f>
        <v>45</v>
      </c>
      <c r="B39" t="s">
        <v>107</v>
      </c>
      <c r="C39" t="s">
        <v>39</v>
      </c>
      <c r="D39" s="1">
        <f ca="1">INDEX(INDIRECT($C39&amp;"!O:O"),MATCH($B39,INDIRECT($C39&amp;"!B:B"),0))</f>
        <v>173.07000000000002</v>
      </c>
      <c r="E39" s="254">
        <f ca="1">D39-LARGE(D$2:D$619,RBCount+WRCount+TECount+QBCount)</f>
        <v>89.200000000000017</v>
      </c>
      <c r="F39" s="1" t="str">
        <f ca="1">IF(H39&lt;=I39,"Starter",IF(G39&gt;=LARGE(G:G,FlexOn*LeagueInfo!$F$2),"Starter","Bench"))</f>
        <v>Starter</v>
      </c>
      <c r="G39" s="1">
        <f ca="1">IF(H39&gt;I39,D39,0)</f>
        <v>0</v>
      </c>
      <c r="H39" s="1">
        <f ca="1">INDEX(INDIRECT(""&amp;C39&amp;"!A2:A489"),MATCH(B39,INDIRECT(""&amp;C39&amp;"!B2:B489"),0))</f>
        <v>6</v>
      </c>
      <c r="I39" s="1">
        <f>IF(C39="RB",LeagueInfo!$D$4*LeagueInfo!$F$2,IF(C39="WR",LeagueInfo!$D$5*LeagueInfo!$F$2,IF(C39="TE",LeagueInfo!$D$6*LeagueInfo!$F$2,LeagueInfo!$D$3*LeagueInfo!$F$2)))</f>
        <v>24</v>
      </c>
    </row>
    <row r="40" spans="1:9" x14ac:dyDescent="0.25">
      <c r="A40" s="1">
        <f ca="1">RANK(E40,E$2:E$619)</f>
        <v>49</v>
      </c>
      <c r="B40" t="s">
        <v>111</v>
      </c>
      <c r="C40" t="s">
        <v>39</v>
      </c>
      <c r="D40" s="1">
        <f ca="1">INDEX(INDIRECT($C40&amp;"!O:O"),MATCH($B40,INDIRECT($C40&amp;"!B:B"),0))</f>
        <v>168.28</v>
      </c>
      <c r="E40" s="254">
        <f ca="1">D40-LARGE(D$2:D$619,RBCount+WRCount+TECount+QBCount)</f>
        <v>84.41</v>
      </c>
      <c r="F40" s="1" t="str">
        <f ca="1">IF(H40&lt;=I40,"Starter",IF(G40&gt;=LARGE(G:G,FlexOn*LeagueInfo!$F$2),"Starter","Bench"))</f>
        <v>Starter</v>
      </c>
      <c r="G40" s="1">
        <f ca="1">IF(H40&gt;I40,D40,0)</f>
        <v>0</v>
      </c>
      <c r="H40" s="1">
        <f ca="1">INDEX(INDIRECT(""&amp;C40&amp;"!A2:A489"),MATCH(B40,INDIRECT(""&amp;C40&amp;"!B2:B489"),0))</f>
        <v>7</v>
      </c>
      <c r="I40" s="1">
        <f>IF(C40="RB",LeagueInfo!$D$4*LeagueInfo!$F$2,IF(C40="WR",LeagueInfo!$D$5*LeagueInfo!$F$2,IF(C40="TE",LeagueInfo!$D$6*LeagueInfo!$F$2,LeagueInfo!$D$3*LeagueInfo!$F$2)))</f>
        <v>24</v>
      </c>
    </row>
    <row r="41" spans="1:9" x14ac:dyDescent="0.25">
      <c r="A41" s="1">
        <f ca="1">RANK(E41,E$2:E$619)</f>
        <v>36</v>
      </c>
      <c r="B41" t="s">
        <v>383</v>
      </c>
      <c r="C41" t="s">
        <v>33</v>
      </c>
      <c r="D41" s="1">
        <f ca="1">INDEX(INDIRECT($C41&amp;"!O:O"),MATCH($B41,INDIRECT($C41&amp;"!B:B"),0))</f>
        <v>191.11600000000004</v>
      </c>
      <c r="E41" s="254">
        <f ca="1">D41-LARGE(D$2:D$619,RBCount+WRCount+TECount+QBCount)</f>
        <v>107.24600000000004</v>
      </c>
      <c r="F41" s="1" t="str">
        <f ca="1">IF(H41&lt;=I41,"Starter",IF(G41&gt;=LARGE(G:G,FlexOn*LeagueInfo!$F$2),"Starter","Bench"))</f>
        <v>Bench</v>
      </c>
      <c r="G41" s="1">
        <f ca="1">IF(H41&gt;I41,D41,0)</f>
        <v>191.11600000000004</v>
      </c>
      <c r="H41" s="1">
        <f ca="1">INDEX(INDIRECT(""&amp;C41&amp;"!A2:A489"),MATCH(B41,INDIRECT(""&amp;C41&amp;"!B2:B489"),0))</f>
        <v>27</v>
      </c>
      <c r="I41" s="1">
        <f>IF(C41="RB",LeagueInfo!$D$4*LeagueInfo!$F$2,IF(C41="WR",LeagueInfo!$D$5*LeagueInfo!$F$2,IF(C41="TE",LeagueInfo!$D$6*LeagueInfo!$F$2,LeagueInfo!$D$3*LeagueInfo!$F$2)))</f>
        <v>12</v>
      </c>
    </row>
    <row r="42" spans="1:9" x14ac:dyDescent="0.25">
      <c r="A42" s="1">
        <f ca="1">RANK(E42,E$2:E$619)</f>
        <v>35</v>
      </c>
      <c r="B42" t="s">
        <v>379</v>
      </c>
      <c r="C42" t="s">
        <v>33</v>
      </c>
      <c r="D42" s="1">
        <f ca="1">INDEX(INDIRECT($C42&amp;"!O:O"),MATCH($B42,INDIRECT($C42&amp;"!B:B"),0))</f>
        <v>193.94799999999998</v>
      </c>
      <c r="E42" s="254">
        <f ca="1">D42-LARGE(D$2:D$619,RBCount+WRCount+TECount+QBCount)</f>
        <v>110.07799999999997</v>
      </c>
      <c r="F42" s="1" t="str">
        <f ca="1">IF(H42&lt;=I42,"Starter",IF(G42&gt;=LARGE(G:G,FlexOn*LeagueInfo!$F$2),"Starter","Bench"))</f>
        <v>Bench</v>
      </c>
      <c r="G42" s="1">
        <f ca="1">IF(H42&gt;I42,D42,0)</f>
        <v>193.94799999999998</v>
      </c>
      <c r="H42" s="1">
        <f ca="1">INDEX(INDIRECT(""&amp;C42&amp;"!A2:A489"),MATCH(B42,INDIRECT(""&amp;C42&amp;"!B2:B489"),0))</f>
        <v>26</v>
      </c>
      <c r="I42" s="1">
        <f>IF(C42="RB",LeagueInfo!$D$4*LeagueInfo!$F$2,IF(C42="WR",LeagueInfo!$D$5*LeagueInfo!$F$2,IF(C42="TE",LeagueInfo!$D$6*LeagueInfo!$F$2,LeagueInfo!$D$3*LeagueInfo!$F$2)))</f>
        <v>12</v>
      </c>
    </row>
    <row r="43" spans="1:9" x14ac:dyDescent="0.25">
      <c r="A43" s="1">
        <f ca="1">RANK(E43,E$2:E$619)</f>
        <v>38</v>
      </c>
      <c r="B43" t="s">
        <v>113</v>
      </c>
      <c r="C43" t="s">
        <v>32</v>
      </c>
      <c r="D43" s="1">
        <f ca="1">INDEX(INDIRECT($C43&amp;"!O:O"),MATCH($B43,INDIRECT($C43&amp;"!B:B"),0))</f>
        <v>190.04999999999998</v>
      </c>
      <c r="E43" s="254">
        <f ca="1">D43-LARGE(D$2:D$619,RBCount+WRCount+TECount+QBCount)</f>
        <v>106.17999999999998</v>
      </c>
      <c r="F43" s="1" t="str">
        <f ca="1">IF(H43&lt;=I43,"Starter",IF(G43&gt;=LARGE(G:G,FlexOn*LeagueInfo!$F$2),"Starter","Bench"))</f>
        <v>Starter</v>
      </c>
      <c r="G43" s="1">
        <f ca="1">IF(H43&gt;I43,D43,0)</f>
        <v>0</v>
      </c>
      <c r="H43" s="1">
        <f ca="1">INDEX(INDIRECT(""&amp;C43&amp;"!A2:A489"),MATCH(B43,INDIRECT(""&amp;C43&amp;"!B2:B489"),0))</f>
        <v>8</v>
      </c>
      <c r="I43" s="1">
        <f>IF(C43="RB",LeagueInfo!$D$4*LeagueInfo!$F$2,IF(C43="WR",LeagueInfo!$D$5*LeagueInfo!$F$2,IF(C43="TE",LeagueInfo!$D$6*LeagueInfo!$F$2,LeagueInfo!$D$3*LeagueInfo!$F$2)))</f>
        <v>24</v>
      </c>
    </row>
    <row r="44" spans="1:9" x14ac:dyDescent="0.25">
      <c r="A44" s="1">
        <f ca="1">RANK(E44,E$2:E$619)</f>
        <v>39</v>
      </c>
      <c r="B44" t="s">
        <v>377</v>
      </c>
      <c r="C44" t="s">
        <v>33</v>
      </c>
      <c r="D44" s="1">
        <f ca="1">INDEX(INDIRECT($C44&amp;"!O:O"),MATCH($B44,INDIRECT($C44&amp;"!B:B"),0))</f>
        <v>185.65600000000003</v>
      </c>
      <c r="E44" s="254">
        <f ca="1">D44-LARGE(D$2:D$619,RBCount+WRCount+TECount+QBCount)</f>
        <v>101.78600000000003</v>
      </c>
      <c r="F44" s="1" t="str">
        <f ca="1">IF(H44&lt;=I44,"Starter",IF(G44&gt;=LARGE(G:G,FlexOn*LeagueInfo!$F$2),"Starter","Bench"))</f>
        <v>Bench</v>
      </c>
      <c r="G44" s="1">
        <f ca="1">IF(H44&gt;I44,D44,0)</f>
        <v>185.65600000000003</v>
      </c>
      <c r="H44" s="1">
        <f ca="1">INDEX(INDIRECT(""&amp;C44&amp;"!A2:A489"),MATCH(B44,INDIRECT(""&amp;C44&amp;"!B2:B489"),0))</f>
        <v>28</v>
      </c>
      <c r="I44" s="1">
        <f>IF(C44="RB",LeagueInfo!$D$4*LeagueInfo!$F$2,IF(C44="WR",LeagueInfo!$D$5*LeagueInfo!$F$2,IF(C44="TE",LeagueInfo!$D$6*LeagueInfo!$F$2,LeagueInfo!$D$3*LeagueInfo!$F$2)))</f>
        <v>12</v>
      </c>
    </row>
    <row r="45" spans="1:9" x14ac:dyDescent="0.25">
      <c r="A45" s="1">
        <f ca="1">RANK(E45,E$2:E$619)</f>
        <v>50</v>
      </c>
      <c r="B45" t="s">
        <v>114</v>
      </c>
      <c r="C45" t="s">
        <v>39</v>
      </c>
      <c r="D45" s="1">
        <f ca="1">INDEX(INDIRECT($C45&amp;"!O:O"),MATCH($B45,INDIRECT($C45&amp;"!B:B"),0))</f>
        <v>163.15</v>
      </c>
      <c r="E45" s="254">
        <f ca="1">D45-LARGE(D$2:D$619,RBCount+WRCount+TECount+QBCount)</f>
        <v>79.28</v>
      </c>
      <c r="F45" s="1" t="str">
        <f ca="1">IF(H45&lt;=I45,"Starter",IF(G45&gt;=LARGE(G:G,FlexOn*LeagueInfo!$F$2),"Starter","Bench"))</f>
        <v>Starter</v>
      </c>
      <c r="G45" s="1">
        <f ca="1">IF(H45&gt;I45,D45,0)</f>
        <v>0</v>
      </c>
      <c r="H45" s="1">
        <f ca="1">INDEX(INDIRECT(""&amp;C45&amp;"!A2:A489"),MATCH(B45,INDIRECT(""&amp;C45&amp;"!B2:B489"),0))</f>
        <v>8</v>
      </c>
      <c r="I45" s="1">
        <f>IF(C45="RB",LeagueInfo!$D$4*LeagueInfo!$F$2,IF(C45="WR",LeagueInfo!$D$5*LeagueInfo!$F$2,IF(C45="TE",LeagueInfo!$D$6*LeagueInfo!$F$2,LeagueInfo!$D$3*LeagueInfo!$F$2)))</f>
        <v>24</v>
      </c>
    </row>
    <row r="46" spans="1:9" x14ac:dyDescent="0.25">
      <c r="A46" s="1">
        <f ca="1">RANK(E46,E$2:E$619)</f>
        <v>40</v>
      </c>
      <c r="B46" t="s">
        <v>118</v>
      </c>
      <c r="C46" t="s">
        <v>32</v>
      </c>
      <c r="D46" s="1">
        <f ca="1">INDEX(INDIRECT($C46&amp;"!O:O"),MATCH($B46,INDIRECT($C46&amp;"!B:B"),0))</f>
        <v>184.11</v>
      </c>
      <c r="E46" s="254">
        <f ca="1">D46-LARGE(D$2:D$619,RBCount+WRCount+TECount+QBCount)</f>
        <v>100.24000000000001</v>
      </c>
      <c r="F46" s="1" t="str">
        <f ca="1">IF(H46&lt;=I46,"Starter",IF(G46&gt;=LARGE(G:G,FlexOn*LeagueInfo!$F$2),"Starter","Bench"))</f>
        <v>Starter</v>
      </c>
      <c r="G46" s="1">
        <f ca="1">IF(H46&gt;I46,D46,0)</f>
        <v>0</v>
      </c>
      <c r="H46" s="1">
        <f ca="1">INDEX(INDIRECT(""&amp;C46&amp;"!A2:A489"),MATCH(B46,INDIRECT(""&amp;C46&amp;"!B2:B489"),0))</f>
        <v>9</v>
      </c>
      <c r="I46" s="1">
        <f>IF(C46="RB",LeagueInfo!$D$4*LeagueInfo!$F$2,IF(C46="WR",LeagueInfo!$D$5*LeagueInfo!$F$2,IF(C46="TE",LeagueInfo!$D$6*LeagueInfo!$F$2,LeagueInfo!$D$3*LeagueInfo!$F$2)))</f>
        <v>24</v>
      </c>
    </row>
    <row r="47" spans="1:9" x14ac:dyDescent="0.25">
      <c r="A47" s="1">
        <f ca="1">RANK(E47,E$2:E$619)</f>
        <v>56</v>
      </c>
      <c r="B47" t="s">
        <v>116</v>
      </c>
      <c r="C47" t="s">
        <v>39</v>
      </c>
      <c r="D47" s="1">
        <f ca="1">INDEX(INDIRECT($C47&amp;"!O:O"),MATCH($B47,INDIRECT($C47&amp;"!B:B"),0))</f>
        <v>157.4</v>
      </c>
      <c r="E47" s="254">
        <f ca="1">D47-LARGE(D$2:D$619,RBCount+WRCount+TECount+QBCount)</f>
        <v>73.53</v>
      </c>
      <c r="F47" s="1" t="str">
        <f ca="1">IF(H47&lt;=I47,"Starter",IF(G47&gt;=LARGE(G:G,FlexOn*LeagueInfo!$F$2),"Starter","Bench"))</f>
        <v>Starter</v>
      </c>
      <c r="G47" s="1">
        <f ca="1">IF(H47&gt;I47,D47,0)</f>
        <v>0</v>
      </c>
      <c r="H47" s="1">
        <f ca="1">INDEX(INDIRECT(""&amp;C47&amp;"!A2:A489"),MATCH(B47,INDIRECT(""&amp;C47&amp;"!B2:B489"),0))</f>
        <v>10</v>
      </c>
      <c r="I47" s="1">
        <f>IF(C47="RB",LeagueInfo!$D$4*LeagueInfo!$F$2,IF(C47="WR",LeagueInfo!$D$5*LeagueInfo!$F$2,IF(C47="TE",LeagueInfo!$D$6*LeagueInfo!$F$2,LeagueInfo!$D$3*LeagueInfo!$F$2)))</f>
        <v>24</v>
      </c>
    </row>
    <row r="48" spans="1:9" x14ac:dyDescent="0.25">
      <c r="A48" s="1">
        <f ca="1">RANK(E48,E$2:E$619)</f>
        <v>57</v>
      </c>
      <c r="B48" t="s">
        <v>115</v>
      </c>
      <c r="C48" t="s">
        <v>39</v>
      </c>
      <c r="D48" s="1">
        <f ca="1">INDEX(INDIRECT($C48&amp;"!O:O"),MATCH($B48,INDIRECT($C48&amp;"!B:B"),0))</f>
        <v>156.87</v>
      </c>
      <c r="E48" s="254">
        <f ca="1">D48-LARGE(D$2:D$619,RBCount+WRCount+TECount+QBCount)</f>
        <v>73</v>
      </c>
      <c r="F48" s="1" t="str">
        <f ca="1">IF(H48&lt;=I48,"Starter",IF(G48&gt;=LARGE(G:G,FlexOn*LeagueInfo!$F$2),"Starter","Bench"))</f>
        <v>Starter</v>
      </c>
      <c r="G48" s="1">
        <f ca="1">IF(H48&gt;I48,D48,0)</f>
        <v>0</v>
      </c>
      <c r="H48" s="1">
        <f ca="1">INDEX(INDIRECT(""&amp;C48&amp;"!A2:A489"),MATCH(B48,INDIRECT(""&amp;C48&amp;"!B2:B489"),0))</f>
        <v>11</v>
      </c>
      <c r="I48" s="1">
        <f>IF(C48="RB",LeagueInfo!$D$4*LeagueInfo!$F$2,IF(C48="WR",LeagueInfo!$D$5*LeagueInfo!$F$2,IF(C48="TE",LeagueInfo!$D$6*LeagueInfo!$F$2,LeagueInfo!$D$3*LeagueInfo!$F$2)))</f>
        <v>24</v>
      </c>
    </row>
    <row r="49" spans="1:9" x14ac:dyDescent="0.25">
      <c r="A49" s="1">
        <f ca="1">RANK(E49,E$2:E$619)</f>
        <v>51</v>
      </c>
      <c r="B49" t="s">
        <v>117</v>
      </c>
      <c r="C49" t="s">
        <v>47</v>
      </c>
      <c r="D49" s="1">
        <f ca="1">INDEX(INDIRECT($C49&amp;"!O:O"),MATCH($B49,INDIRECT($C49&amp;"!B:B"),0))</f>
        <v>162.16</v>
      </c>
      <c r="E49" s="254">
        <f ca="1">D49-LARGE(D$2:D$619,RBCount+WRCount+TECount+QBCount)</f>
        <v>78.289999999999992</v>
      </c>
      <c r="F49" s="1" t="str">
        <f ca="1">IF(H49&lt;=I49,"Starter",IF(G49&gt;=LARGE(G:G,FlexOn*LeagueInfo!$F$2),"Starter","Bench"))</f>
        <v>Starter</v>
      </c>
      <c r="G49" s="1">
        <f ca="1">IF(H49&gt;I49,D49,0)</f>
        <v>0</v>
      </c>
      <c r="H49" s="1">
        <f ca="1">INDEX(INDIRECT(""&amp;C49&amp;"!A2:A489"),MATCH(B49,INDIRECT(""&amp;C49&amp;"!B2:B489"),0))</f>
        <v>1</v>
      </c>
      <c r="I49" s="1">
        <f>IF(C49="RB",LeagueInfo!$D$4*LeagueInfo!$F$2,IF(C49="WR",LeagueInfo!$D$5*LeagueInfo!$F$2,IF(C49="TE",LeagueInfo!$D$6*LeagueInfo!$F$2,LeagueInfo!$D$3*LeagueInfo!$F$2)))</f>
        <v>12</v>
      </c>
    </row>
    <row r="50" spans="1:9" x14ac:dyDescent="0.25">
      <c r="A50" s="1">
        <f ca="1">RANK(E50,E$2:E$619)</f>
        <v>53</v>
      </c>
      <c r="B50" t="s">
        <v>112</v>
      </c>
      <c r="C50" t="s">
        <v>39</v>
      </c>
      <c r="D50" s="1">
        <f ca="1">INDEX(INDIRECT($C50&amp;"!O:O"),MATCH($B50,INDIRECT($C50&amp;"!B:B"),0))</f>
        <v>158.69000000000003</v>
      </c>
      <c r="E50" s="254">
        <f ca="1">D50-LARGE(D$2:D$619,RBCount+WRCount+TECount+QBCount)</f>
        <v>74.820000000000022</v>
      </c>
      <c r="F50" s="1" t="str">
        <f ca="1">IF(H50&lt;=I50,"Starter",IF(G50&gt;=LARGE(G:G,FlexOn*LeagueInfo!$F$2),"Starter","Bench"))</f>
        <v>Starter</v>
      </c>
      <c r="G50" s="1">
        <f ca="1">IF(H50&gt;I50,D50,0)</f>
        <v>0</v>
      </c>
      <c r="H50" s="1">
        <f ca="1">INDEX(INDIRECT(""&amp;C50&amp;"!A2:A489"),MATCH(B50,INDIRECT(""&amp;C50&amp;"!B2:B489"),0))</f>
        <v>9</v>
      </c>
      <c r="I50" s="1">
        <f>IF(C50="RB",LeagueInfo!$D$4*LeagueInfo!$F$2,IF(C50="WR",LeagueInfo!$D$5*LeagueInfo!$F$2,IF(C50="TE",LeagueInfo!$D$6*LeagueInfo!$F$2,LeagueInfo!$D$3*LeagueInfo!$F$2)))</f>
        <v>24</v>
      </c>
    </row>
    <row r="51" spans="1:9" x14ac:dyDescent="0.25">
      <c r="A51" s="1">
        <f ca="1">RANK(E51,E$2:E$619)</f>
        <v>58</v>
      </c>
      <c r="B51" t="s">
        <v>123</v>
      </c>
      <c r="C51" t="s">
        <v>39</v>
      </c>
      <c r="D51" s="47">
        <f ca="1">INDEX(INDIRECT($C51&amp;"!O:O"),MATCH($B51,INDIRECT($C51&amp;"!B:B"),0))</f>
        <v>154.84</v>
      </c>
      <c r="E51" s="256">
        <f ca="1">D51-LARGE(D$2:D$619,RBCount+WRCount+TECount+QBCount)</f>
        <v>70.97</v>
      </c>
      <c r="F51" s="47" t="str">
        <f ca="1">IF(H51&lt;=I51,"Starter",IF(G51&gt;=LARGE(G:G,FlexOn*LeagueInfo!$F$2),"Starter","Bench"))</f>
        <v>Starter</v>
      </c>
      <c r="G51" s="47">
        <f ca="1">IF(H51&gt;I51,D51,0)</f>
        <v>0</v>
      </c>
      <c r="H51" s="47">
        <f ca="1">INDEX(INDIRECT(""&amp;C51&amp;"!A2:A489"),MATCH(B51,INDIRECT(""&amp;C51&amp;"!B2:B489"),0))</f>
        <v>12</v>
      </c>
      <c r="I51" s="47">
        <f>IF(C51="RB",LeagueInfo!$D$4*LeagueInfo!$F$2,IF(C51="WR",LeagueInfo!$D$5*LeagueInfo!$F$2,IF(C51="TE",LeagueInfo!$D$6*LeagueInfo!$F$2,LeagueInfo!$D$3*LeagueInfo!$F$2)))</f>
        <v>24</v>
      </c>
    </row>
    <row r="52" spans="1:9" x14ac:dyDescent="0.25">
      <c r="A52" s="1">
        <f ca="1">RANK(E52,E$2:E$619)</f>
        <v>44</v>
      </c>
      <c r="B52" t="s">
        <v>375</v>
      </c>
      <c r="C52" t="s">
        <v>33</v>
      </c>
      <c r="D52" s="1">
        <f ca="1">INDEX(INDIRECT($C52&amp;"!O:O"),MATCH($B52,INDIRECT($C52&amp;"!B:B"),0))</f>
        <v>173.87000000000003</v>
      </c>
      <c r="E52" s="254">
        <f ca="1">D52-LARGE(D$2:D$619,RBCount+WRCount+TECount+QBCount)</f>
        <v>90.000000000000028</v>
      </c>
      <c r="F52" s="1" t="str">
        <f ca="1">IF(H52&lt;=I52,"Starter",IF(G52&gt;=LARGE(G:G,FlexOn*LeagueInfo!$F$2),"Starter","Bench"))</f>
        <v>Bench</v>
      </c>
      <c r="G52" s="1">
        <f ca="1">IF(H52&gt;I52,D52,0)</f>
        <v>173.87000000000003</v>
      </c>
      <c r="H52" s="1">
        <f ca="1">INDEX(INDIRECT(""&amp;C52&amp;"!A2:A489"),MATCH(B52,INDIRECT(""&amp;C52&amp;"!B2:B489"),0))</f>
        <v>29</v>
      </c>
      <c r="I52" s="1">
        <f>IF(C52="RB",LeagueInfo!$D$4*LeagueInfo!$F$2,IF(C52="WR",LeagueInfo!$D$5*LeagueInfo!$F$2,IF(C52="TE",LeagueInfo!$D$6*LeagueInfo!$F$2,LeagueInfo!$D$3*LeagueInfo!$F$2)))</f>
        <v>12</v>
      </c>
    </row>
    <row r="53" spans="1:9" x14ac:dyDescent="0.25">
      <c r="A53" s="1">
        <f ca="1">RANK(E53,E$2:E$619)</f>
        <v>43</v>
      </c>
      <c r="B53" t="s">
        <v>120</v>
      </c>
      <c r="C53" t="s">
        <v>32</v>
      </c>
      <c r="D53" s="1">
        <f ca="1">INDEX(INDIRECT($C53&amp;"!O:O"),MATCH($B53,INDIRECT($C53&amp;"!B:B"),0))</f>
        <v>175.31000000000003</v>
      </c>
      <c r="E53" s="254">
        <f ca="1">D53-LARGE(D$2:D$619,RBCount+WRCount+TECount+QBCount)</f>
        <v>91.440000000000026</v>
      </c>
      <c r="F53" s="1" t="str">
        <f ca="1">IF(H53&lt;=I53,"Starter",IF(G53&gt;=LARGE(G:G,FlexOn*LeagueInfo!$F$2),"Starter","Bench"))</f>
        <v>Starter</v>
      </c>
      <c r="G53" s="1">
        <f ca="1">IF(H53&gt;I53,D53,0)</f>
        <v>0</v>
      </c>
      <c r="H53" s="1">
        <f ca="1">INDEX(INDIRECT(""&amp;C53&amp;"!A2:A489"),MATCH(B53,INDIRECT(""&amp;C53&amp;"!B2:B489"),0))</f>
        <v>10</v>
      </c>
      <c r="I53" s="1">
        <f>IF(C53="RB",LeagueInfo!$D$4*LeagueInfo!$F$2,IF(C53="WR",LeagueInfo!$D$5*LeagueInfo!$F$2,IF(C53="TE",LeagueInfo!$D$6*LeagueInfo!$F$2,LeagueInfo!$D$3*LeagueInfo!$F$2)))</f>
        <v>24</v>
      </c>
    </row>
    <row r="54" spans="1:9" x14ac:dyDescent="0.25">
      <c r="A54" s="1">
        <f ca="1">RANK(E54,E$2:E$619)</f>
        <v>46</v>
      </c>
      <c r="B54" t="s">
        <v>121</v>
      </c>
      <c r="C54" t="s">
        <v>32</v>
      </c>
      <c r="D54" s="1">
        <f ca="1">INDEX(INDIRECT($C54&amp;"!O:O"),MATCH($B54,INDIRECT($C54&amp;"!B:B"),0))</f>
        <v>172.23</v>
      </c>
      <c r="E54" s="254">
        <f ca="1">D54-LARGE(D$2:D$619,RBCount+WRCount+TECount+QBCount)</f>
        <v>88.359999999999985</v>
      </c>
      <c r="F54" s="1" t="str">
        <f ca="1">IF(H54&lt;=I54,"Starter",IF(G54&gt;=LARGE(G:G,FlexOn*LeagueInfo!$F$2),"Starter","Bench"))</f>
        <v>Starter</v>
      </c>
      <c r="G54" s="1">
        <f ca="1">IF(H54&gt;I54,D54,0)</f>
        <v>0</v>
      </c>
      <c r="H54" s="1">
        <f ca="1">INDEX(INDIRECT(""&amp;C54&amp;"!A2:A489"),MATCH(B54,INDIRECT(""&amp;C54&amp;"!B2:B489"),0))</f>
        <v>11</v>
      </c>
      <c r="I54" s="1">
        <f>IF(C54="RB",LeagueInfo!$D$4*LeagueInfo!$F$2,IF(C54="WR",LeagueInfo!$D$5*LeagueInfo!$F$2,IF(C54="TE",LeagueInfo!$D$6*LeagueInfo!$F$2,LeagueInfo!$D$3*LeagueInfo!$F$2)))</f>
        <v>24</v>
      </c>
    </row>
    <row r="55" spans="1:9" x14ac:dyDescent="0.25">
      <c r="A55" s="1">
        <f ca="1">RANK(E55,E$2:E$619)</f>
        <v>68</v>
      </c>
      <c r="B55" t="s">
        <v>124</v>
      </c>
      <c r="C55" t="s">
        <v>39</v>
      </c>
      <c r="D55" s="1">
        <f ca="1">INDEX(INDIRECT($C55&amp;"!O:O"),MATCH($B55,INDIRECT($C55&amp;"!B:B"),0))</f>
        <v>143.82</v>
      </c>
      <c r="E55" s="254">
        <f ca="1">D55-LARGE(D$2:D$619,RBCount+WRCount+TECount+QBCount)</f>
        <v>59.949999999999989</v>
      </c>
      <c r="F55" s="1" t="str">
        <f ca="1">IF(H55&lt;=I55,"Starter",IF(G55&gt;=LARGE(G:G,FlexOn*LeagueInfo!$F$2),"Starter","Bench"))</f>
        <v>Starter</v>
      </c>
      <c r="G55" s="1">
        <f ca="1">IF(H55&gt;I55,D55,0)</f>
        <v>0</v>
      </c>
      <c r="H55" s="1">
        <f ca="1">INDEX(INDIRECT(""&amp;C55&amp;"!A2:A489"),MATCH(B55,INDIRECT(""&amp;C55&amp;"!B2:B489"),0))</f>
        <v>14</v>
      </c>
      <c r="I55" s="1">
        <f>IF(C55="RB",LeagueInfo!$D$4*LeagueInfo!$F$2,IF(C55="WR",LeagueInfo!$D$5*LeagueInfo!$F$2,IF(C55="TE",LeagueInfo!$D$6*LeagueInfo!$F$2,LeagueInfo!$D$3*LeagueInfo!$F$2)))</f>
        <v>24</v>
      </c>
    </row>
    <row r="56" spans="1:9" x14ac:dyDescent="0.25">
      <c r="A56" s="1">
        <f ca="1">RANK(E56,E$2:E$619)</f>
        <v>66</v>
      </c>
      <c r="B56" t="s">
        <v>119</v>
      </c>
      <c r="C56" t="s">
        <v>39</v>
      </c>
      <c r="D56" s="1">
        <f ca="1">INDEX(INDIRECT($C56&amp;"!O:O"),MATCH($B56,INDIRECT($C56&amp;"!B:B"),0))</f>
        <v>145.25</v>
      </c>
      <c r="E56" s="254">
        <f ca="1">D56-LARGE(D$2:D$619,RBCount+WRCount+TECount+QBCount)</f>
        <v>61.379999999999995</v>
      </c>
      <c r="F56" s="1" t="str">
        <f ca="1">IF(H56&lt;=I56,"Starter",IF(G56&gt;=LARGE(G:G,FlexOn*LeagueInfo!$F$2),"Starter","Bench"))</f>
        <v>Starter</v>
      </c>
      <c r="G56" s="1">
        <f ca="1">IF(H56&gt;I56,D56,0)</f>
        <v>0</v>
      </c>
      <c r="H56" s="1">
        <f ca="1">INDEX(INDIRECT(""&amp;C56&amp;"!A2:A489"),MATCH(B56,INDIRECT(""&amp;C56&amp;"!B2:B489"),0))</f>
        <v>13</v>
      </c>
      <c r="I56" s="1">
        <f>IF(C56="RB",LeagueInfo!$D$4*LeagueInfo!$F$2,IF(C56="WR",LeagueInfo!$D$5*LeagueInfo!$F$2,IF(C56="TE",LeagueInfo!$D$6*LeagueInfo!$F$2,LeagueInfo!$D$3*LeagueInfo!$F$2)))</f>
        <v>24</v>
      </c>
    </row>
    <row r="57" spans="1:9" x14ac:dyDescent="0.25">
      <c r="A57" s="1">
        <f ca="1">RANK(E57,E$2:E$619)</f>
        <v>47</v>
      </c>
      <c r="B57" t="s">
        <v>388</v>
      </c>
      <c r="C57" t="s">
        <v>33</v>
      </c>
      <c r="D57" s="1">
        <f ca="1">INDEX(INDIRECT($C57&amp;"!O:O"),MATCH($B57,INDIRECT($C57&amp;"!B:B"),0))</f>
        <v>169.41000000000003</v>
      </c>
      <c r="E57" s="254">
        <f ca="1">D57-LARGE(D$2:D$619,RBCount+WRCount+TECount+QBCount)</f>
        <v>85.54000000000002</v>
      </c>
      <c r="F57" s="1" t="str">
        <f ca="1">IF(H57&lt;=I57,"Starter",IF(G57&gt;=LARGE(G:G,FlexOn*LeagueInfo!$F$2),"Starter","Bench"))</f>
        <v>Bench</v>
      </c>
      <c r="G57" s="1">
        <f ca="1">IF(H57&gt;I57,D57,0)</f>
        <v>169.41000000000003</v>
      </c>
      <c r="H57" s="1">
        <f ca="1">INDEX(INDIRECT(""&amp;C57&amp;"!A2:A489"),MATCH(B57,INDIRECT(""&amp;C57&amp;"!B2:B489"),0))</f>
        <v>30</v>
      </c>
      <c r="I57" s="1">
        <f>IF(C57="RB",LeagueInfo!$D$4*LeagueInfo!$F$2,IF(C57="WR",LeagueInfo!$D$5*LeagueInfo!$F$2,IF(C57="TE",LeagueInfo!$D$6*LeagueInfo!$F$2,LeagueInfo!$D$3*LeagueInfo!$F$2)))</f>
        <v>12</v>
      </c>
    </row>
    <row r="58" spans="1:9" x14ac:dyDescent="0.25">
      <c r="A58" s="1">
        <f ca="1">RANK(E58,E$2:E$619)</f>
        <v>69</v>
      </c>
      <c r="B58" t="s">
        <v>127</v>
      </c>
      <c r="C58" t="s">
        <v>39</v>
      </c>
      <c r="D58" s="1">
        <f ca="1">INDEX(INDIRECT($C58&amp;"!O:O"),MATCH($B58,INDIRECT($C58&amp;"!B:B"),0))</f>
        <v>143.66999999999999</v>
      </c>
      <c r="E58" s="254">
        <f ca="1">D58-LARGE(D$2:D$619,RBCount+WRCount+TECount+QBCount)</f>
        <v>59.799999999999983</v>
      </c>
      <c r="F58" s="1" t="str">
        <f ca="1">IF(H58&lt;=I58,"Starter",IF(G58&gt;=LARGE(G:G,FlexOn*LeagueInfo!$F$2),"Starter","Bench"))</f>
        <v>Starter</v>
      </c>
      <c r="G58" s="1">
        <f ca="1">IF(H58&gt;I58,D58,0)</f>
        <v>0</v>
      </c>
      <c r="H58" s="1">
        <f ca="1">INDEX(INDIRECT(""&amp;C58&amp;"!A2:A489"),MATCH(B58,INDIRECT(""&amp;C58&amp;"!B2:B489"),0))</f>
        <v>15</v>
      </c>
      <c r="I58" s="1">
        <f>IF(C58="RB",LeagueInfo!$D$4*LeagueInfo!$F$2,IF(C58="WR",LeagueInfo!$D$5*LeagueInfo!$F$2,IF(C58="TE",LeagueInfo!$D$6*LeagueInfo!$F$2,LeagueInfo!$D$3*LeagueInfo!$F$2)))</f>
        <v>24</v>
      </c>
    </row>
    <row r="59" spans="1:9" x14ac:dyDescent="0.25">
      <c r="A59" s="1">
        <f ca="1">RANK(E59,E$2:E$619)</f>
        <v>70</v>
      </c>
      <c r="B59" t="s">
        <v>148</v>
      </c>
      <c r="C59" t="s">
        <v>39</v>
      </c>
      <c r="D59" s="1">
        <f ca="1">INDEX(INDIRECT($C59&amp;"!O:O"),MATCH($B59,INDIRECT($C59&amp;"!B:B"),0))</f>
        <v>139.88</v>
      </c>
      <c r="E59" s="254">
        <f ca="1">D59-LARGE(D$2:D$619,RBCount+WRCount+TECount+QBCount)</f>
        <v>56.009999999999991</v>
      </c>
      <c r="F59" s="1" t="str">
        <f ca="1">IF(H59&lt;=I59,"Starter",IF(G59&gt;=LARGE(G:G,FlexOn*LeagueInfo!$F$2),"Starter","Bench"))</f>
        <v>Starter</v>
      </c>
      <c r="G59" s="1">
        <f ca="1">IF(H59&gt;I59,D59,0)</f>
        <v>0</v>
      </c>
      <c r="H59" s="1">
        <f ca="1">INDEX(INDIRECT(""&amp;C59&amp;"!A2:A489"),MATCH(B59,INDIRECT(""&amp;C59&amp;"!B2:B489"),0))</f>
        <v>16</v>
      </c>
      <c r="I59" s="1">
        <f>IF(C59="RB",LeagueInfo!$D$4*LeagueInfo!$F$2,IF(C59="WR",LeagueInfo!$D$5*LeagueInfo!$F$2,IF(C59="TE",LeagueInfo!$D$6*LeagueInfo!$F$2,LeagueInfo!$D$3*LeagueInfo!$F$2)))</f>
        <v>24</v>
      </c>
    </row>
    <row r="60" spans="1:9" x14ac:dyDescent="0.25">
      <c r="A60" s="1">
        <f ca="1">RANK(E60,E$2:E$619)</f>
        <v>48</v>
      </c>
      <c r="B60" t="s">
        <v>98</v>
      </c>
      <c r="C60" t="s">
        <v>32</v>
      </c>
      <c r="D60" s="1">
        <f ca="1">INDEX(INDIRECT($C60&amp;"!O:O"),MATCH($B60,INDIRECT($C60&amp;"!B:B"),0))</f>
        <v>168.93</v>
      </c>
      <c r="E60" s="254">
        <f ca="1">D60-LARGE(D$2:D$619,RBCount+WRCount+TECount+QBCount)</f>
        <v>85.06</v>
      </c>
      <c r="F60" s="1" t="str">
        <f ca="1">IF(H60&lt;=I60,"Starter",IF(G60&gt;=LARGE(G:G,FlexOn*LeagueInfo!$F$2),"Starter","Bench"))</f>
        <v>Starter</v>
      </c>
      <c r="G60" s="1">
        <f ca="1">IF(H60&gt;I60,D60,0)</f>
        <v>0</v>
      </c>
      <c r="H60" s="1">
        <f ca="1">INDEX(INDIRECT(""&amp;C60&amp;"!A2:A489"),MATCH(B60,INDIRECT(""&amp;C60&amp;"!B2:B489"),0))</f>
        <v>12</v>
      </c>
      <c r="I60" s="1">
        <f>IF(C60="RB",LeagueInfo!$D$4*LeagueInfo!$F$2,IF(C60="WR",LeagueInfo!$D$5*LeagueInfo!$F$2,IF(C60="TE",LeagueInfo!$D$6*LeagueInfo!$F$2,LeagueInfo!$D$3*LeagueInfo!$F$2)))</f>
        <v>24</v>
      </c>
    </row>
    <row r="61" spans="1:9" x14ac:dyDescent="0.25">
      <c r="A61" s="1">
        <f ca="1">RANK(E61,E$2:E$619)</f>
        <v>52</v>
      </c>
      <c r="B61" t="s">
        <v>130</v>
      </c>
      <c r="C61" t="s">
        <v>32</v>
      </c>
      <c r="D61" s="1">
        <f ca="1">INDEX(INDIRECT($C61&amp;"!O:O"),MATCH($B61,INDIRECT($C61&amp;"!B:B"),0))</f>
        <v>161.6</v>
      </c>
      <c r="E61" s="254">
        <f ca="1">D61-LARGE(D$2:D$619,RBCount+WRCount+TECount+QBCount)</f>
        <v>77.72999999999999</v>
      </c>
      <c r="F61" s="1" t="str">
        <f ca="1">IF(H61&lt;=I61,"Starter",IF(G61&gt;=LARGE(G:G,FlexOn*LeagueInfo!$F$2),"Starter","Bench"))</f>
        <v>Starter</v>
      </c>
      <c r="G61" s="1">
        <f ca="1">IF(H61&gt;I61,D61,0)</f>
        <v>0</v>
      </c>
      <c r="H61" s="1">
        <f ca="1">INDEX(INDIRECT(""&amp;C61&amp;"!A2:A489"),MATCH(B61,INDIRECT(""&amp;C61&amp;"!B2:B489"),0))</f>
        <v>13</v>
      </c>
      <c r="I61" s="1">
        <f>IF(C61="RB",LeagueInfo!$D$4*LeagueInfo!$F$2,IF(C61="WR",LeagueInfo!$D$5*LeagueInfo!$F$2,IF(C61="TE",LeagueInfo!$D$6*LeagueInfo!$F$2,LeagueInfo!$D$3*LeagueInfo!$F$2)))</f>
        <v>24</v>
      </c>
    </row>
    <row r="62" spans="1:9" x14ac:dyDescent="0.25">
      <c r="A62" s="1">
        <f ca="1">RANK(E62,E$2:E$619)</f>
        <v>84</v>
      </c>
      <c r="B62" t="s">
        <v>168</v>
      </c>
      <c r="C62" t="s">
        <v>39</v>
      </c>
      <c r="D62" s="1">
        <f ca="1">INDEX(INDIRECT($C62&amp;"!O:O"),MATCH($B62,INDIRECT($C62&amp;"!B:B"),0))</f>
        <v>131.91</v>
      </c>
      <c r="E62" s="254">
        <f ca="1">D62-LARGE(D$2:D$619,RBCount+WRCount+TECount+QBCount)</f>
        <v>48.039999999999992</v>
      </c>
      <c r="F62" s="1" t="str">
        <f ca="1">IF(H62&lt;=I62,"Starter",IF(G62&gt;=LARGE(G:G,FlexOn*LeagueInfo!$F$2),"Starter","Bench"))</f>
        <v>Starter</v>
      </c>
      <c r="G62" s="1">
        <f ca="1">IF(H62&gt;I62,D62,0)</f>
        <v>0</v>
      </c>
      <c r="H62" s="1">
        <f ca="1">INDEX(INDIRECT(""&amp;C62&amp;"!A2:A489"),MATCH(B62,INDIRECT(""&amp;C62&amp;"!B2:B489"),0))</f>
        <v>24</v>
      </c>
      <c r="I62" s="1">
        <f>IF(C62="RB",LeagueInfo!$D$4*LeagueInfo!$F$2,IF(C62="WR",LeagueInfo!$D$5*LeagueInfo!$F$2,IF(C62="TE",LeagueInfo!$D$6*LeagueInfo!$F$2,LeagueInfo!$D$3*LeagueInfo!$F$2)))</f>
        <v>24</v>
      </c>
    </row>
    <row r="63" spans="1:9" x14ac:dyDescent="0.25">
      <c r="A63" s="1">
        <f ca="1">RANK(E63,E$2:E$619)</f>
        <v>55</v>
      </c>
      <c r="B63" t="s">
        <v>156</v>
      </c>
      <c r="C63" t="s">
        <v>32</v>
      </c>
      <c r="D63" s="1">
        <f ca="1">INDEX(INDIRECT($C63&amp;"!O:O"),MATCH($B63,INDIRECT($C63&amp;"!B:B"),0))</f>
        <v>158.12</v>
      </c>
      <c r="E63" s="254">
        <f ca="1">D63-LARGE(D$2:D$619,RBCount+WRCount+TECount+QBCount)</f>
        <v>74.25</v>
      </c>
      <c r="F63" s="1" t="str">
        <f ca="1">IF(H63&lt;=I63,"Starter",IF(G63&gt;=LARGE(G:G,FlexOn*LeagueInfo!$F$2),"Starter","Bench"))</f>
        <v>Starter</v>
      </c>
      <c r="G63" s="1">
        <f ca="1">IF(H63&gt;I63,D63,0)</f>
        <v>0</v>
      </c>
      <c r="H63" s="1">
        <f ca="1">INDEX(INDIRECT(""&amp;C63&amp;"!A2:A489"),MATCH(B63,INDIRECT(""&amp;C63&amp;"!B2:B489"),0))</f>
        <v>15</v>
      </c>
      <c r="I63" s="1">
        <f>IF(C63="RB",LeagueInfo!$D$4*LeagueInfo!$F$2,IF(C63="WR",LeagueInfo!$D$5*LeagueInfo!$F$2,IF(C63="TE",LeagueInfo!$D$6*LeagueInfo!$F$2,LeagueInfo!$D$3*LeagueInfo!$F$2)))</f>
        <v>24</v>
      </c>
    </row>
    <row r="64" spans="1:9" x14ac:dyDescent="0.25">
      <c r="A64" s="1">
        <f ca="1">RANK(E64,E$2:E$619)</f>
        <v>80</v>
      </c>
      <c r="B64" t="s">
        <v>169</v>
      </c>
      <c r="C64" t="s">
        <v>39</v>
      </c>
      <c r="D64" s="1">
        <f ca="1">INDEX(INDIRECT($C64&amp;"!O:O"),MATCH($B64,INDIRECT($C64&amp;"!B:B"),0))</f>
        <v>132.91</v>
      </c>
      <c r="E64" s="254">
        <f ca="1">D64-LARGE(D$2:D$619,RBCount+WRCount+TECount+QBCount)</f>
        <v>49.039999999999992</v>
      </c>
      <c r="F64" s="1" t="str">
        <f ca="1">IF(H64&lt;=I64,"Starter",IF(G64&gt;=LARGE(G:G,FlexOn*LeagueInfo!$F$2),"Starter","Bench"))</f>
        <v>Starter</v>
      </c>
      <c r="G64" s="1">
        <f ca="1">IF(H64&gt;I64,D64,0)</f>
        <v>0</v>
      </c>
      <c r="H64" s="1">
        <f ca="1">INDEX(INDIRECT(""&amp;C64&amp;"!A2:A489"),MATCH(B64,INDIRECT(""&amp;C64&amp;"!B2:B489"),0))</f>
        <v>21</v>
      </c>
      <c r="I64" s="1">
        <f>IF(C64="RB",LeagueInfo!$D$4*LeagueInfo!$F$2,IF(C64="WR",LeagueInfo!$D$5*LeagueInfo!$F$2,IF(C64="TE",LeagueInfo!$D$6*LeagueInfo!$F$2,LeagueInfo!$D$3*LeagueInfo!$F$2)))</f>
        <v>24</v>
      </c>
    </row>
    <row r="65" spans="1:9" x14ac:dyDescent="0.25">
      <c r="A65" s="1">
        <f ca="1">RANK(E65,E$2:E$619)</f>
        <v>72</v>
      </c>
      <c r="B65" t="s">
        <v>129</v>
      </c>
      <c r="C65" t="s">
        <v>39</v>
      </c>
      <c r="D65" s="1">
        <f ca="1">INDEX(INDIRECT($C65&amp;"!O:O"),MATCH($B65,INDIRECT($C65&amp;"!B:B"),0))</f>
        <v>139.18999999999997</v>
      </c>
      <c r="E65" s="254">
        <f ca="1">D65-LARGE(D$2:D$619,RBCount+WRCount+TECount+QBCount)</f>
        <v>55.319999999999965</v>
      </c>
      <c r="F65" s="1" t="str">
        <f ca="1">IF(H65&lt;=I65,"Starter",IF(G65&gt;=LARGE(G:G,FlexOn*LeagueInfo!$F$2),"Starter","Bench"))</f>
        <v>Starter</v>
      </c>
      <c r="G65" s="1">
        <f ca="1">IF(H65&gt;I65,D65,0)</f>
        <v>0</v>
      </c>
      <c r="H65" s="1">
        <f ca="1">INDEX(INDIRECT(""&amp;C65&amp;"!A2:A489"),MATCH(B65,INDIRECT(""&amp;C65&amp;"!B2:B489"),0))</f>
        <v>17</v>
      </c>
      <c r="I65" s="1">
        <f>IF(C65="RB",LeagueInfo!$D$4*LeagueInfo!$F$2,IF(C65="WR",LeagueInfo!$D$5*LeagueInfo!$F$2,IF(C65="TE",LeagueInfo!$D$6*LeagueInfo!$F$2,LeagueInfo!$D$3*LeagueInfo!$F$2)))</f>
        <v>24</v>
      </c>
    </row>
    <row r="66" spans="1:9" x14ac:dyDescent="0.25">
      <c r="A66" s="1">
        <f ca="1">RANK(E66,E$2:E$619)</f>
        <v>76</v>
      </c>
      <c r="B66" t="s">
        <v>133</v>
      </c>
      <c r="C66" t="s">
        <v>47</v>
      </c>
      <c r="D66" s="1">
        <f ca="1">INDEX(INDIRECT($C66&amp;"!O:O"),MATCH($B66,INDIRECT($C66&amp;"!B:B"),0))</f>
        <v>135.10999999999999</v>
      </c>
      <c r="E66" s="254">
        <f ca="1">D66-LARGE(D$2:D$619,RBCount+WRCount+TECount+QBCount)</f>
        <v>51.239999999999981</v>
      </c>
      <c r="F66" s="1" t="str">
        <f ca="1">IF(H66&lt;=I66,"Starter",IF(G66&gt;=LARGE(G:G,FlexOn*LeagueInfo!$F$2),"Starter","Bench"))</f>
        <v>Starter</v>
      </c>
      <c r="G66" s="1">
        <f ca="1">IF(H66&gt;I66,D66,0)</f>
        <v>0</v>
      </c>
      <c r="H66" s="1">
        <f ca="1">INDEX(INDIRECT(""&amp;C66&amp;"!A2:A489"),MATCH(B66,INDIRECT(""&amp;C66&amp;"!B2:B489"),0))</f>
        <v>2</v>
      </c>
      <c r="I66" s="1">
        <f>IF(C66="RB",LeagueInfo!$D$4*LeagueInfo!$F$2,IF(C66="WR",LeagueInfo!$D$5*LeagueInfo!$F$2,IF(C66="TE",LeagueInfo!$D$6*LeagueInfo!$F$2,LeagueInfo!$D$3*LeagueInfo!$F$2)))</f>
        <v>12</v>
      </c>
    </row>
    <row r="67" spans="1:9" x14ac:dyDescent="0.25">
      <c r="A67" s="1">
        <f ca="1">RANK(E67,E$2:E$619)</f>
        <v>54</v>
      </c>
      <c r="B67" t="s">
        <v>136</v>
      </c>
      <c r="C67" t="s">
        <v>32</v>
      </c>
      <c r="D67" s="1">
        <f ca="1">INDEX(INDIRECT($C67&amp;"!O:O"),MATCH($B67,INDIRECT($C67&amp;"!B:B"),0))</f>
        <v>158.43</v>
      </c>
      <c r="E67" s="254">
        <f ca="1">D67-LARGE(D$2:D$619,RBCount+WRCount+TECount+QBCount)</f>
        <v>74.56</v>
      </c>
      <c r="F67" s="1" t="str">
        <f ca="1">IF(H67&lt;=I67,"Starter",IF(G67&gt;=LARGE(G:G,FlexOn*LeagueInfo!$F$2),"Starter","Bench"))</f>
        <v>Starter</v>
      </c>
      <c r="G67" s="1">
        <f ca="1">IF(H67&gt;I67,D67,0)</f>
        <v>0</v>
      </c>
      <c r="H67" s="1">
        <f ca="1">INDEX(INDIRECT(""&amp;C67&amp;"!A2:A489"),MATCH(B67,INDIRECT(""&amp;C67&amp;"!B2:B489"),0))</f>
        <v>14</v>
      </c>
      <c r="I67" s="1">
        <f>IF(C67="RB",LeagueInfo!$D$4*LeagueInfo!$F$2,IF(C67="WR",LeagueInfo!$D$5*LeagueInfo!$F$2,IF(C67="TE",LeagueInfo!$D$6*LeagueInfo!$F$2,LeagueInfo!$D$3*LeagueInfo!$F$2)))</f>
        <v>24</v>
      </c>
    </row>
    <row r="68" spans="1:9" x14ac:dyDescent="0.25">
      <c r="A68" s="1">
        <f ca="1">RANK(E68,E$2:E$619)</f>
        <v>61</v>
      </c>
      <c r="B68" t="s">
        <v>126</v>
      </c>
      <c r="C68" t="s">
        <v>32</v>
      </c>
      <c r="D68" s="1">
        <f ca="1">INDEX(INDIRECT($C68&amp;"!O:O"),MATCH($B68,INDIRECT($C68&amp;"!B:B"),0))</f>
        <v>149.09</v>
      </c>
      <c r="E68" s="254">
        <f ca="1">D68-LARGE(D$2:D$619,RBCount+WRCount+TECount+QBCount)</f>
        <v>65.22</v>
      </c>
      <c r="F68" s="1" t="str">
        <f ca="1">IF(H68&lt;=I68,"Starter",IF(G68&gt;=LARGE(G:G,FlexOn*LeagueInfo!$F$2),"Starter","Bench"))</f>
        <v>Starter</v>
      </c>
      <c r="G68" s="1">
        <f ca="1">IF(H68&gt;I68,D68,0)</f>
        <v>0</v>
      </c>
      <c r="H68" s="1">
        <f ca="1">INDEX(INDIRECT(""&amp;C68&amp;"!A2:A489"),MATCH(B68,INDIRECT(""&amp;C68&amp;"!B2:B489"),0))</f>
        <v>17</v>
      </c>
      <c r="I68" s="1">
        <f>IF(C68="RB",LeagueInfo!$D$4*LeagueInfo!$F$2,IF(C68="WR",LeagueInfo!$D$5*LeagueInfo!$F$2,IF(C68="TE",LeagueInfo!$D$6*LeagueInfo!$F$2,LeagueInfo!$D$3*LeagueInfo!$F$2)))</f>
        <v>24</v>
      </c>
    </row>
    <row r="69" spans="1:9" x14ac:dyDescent="0.25">
      <c r="A69" s="1">
        <f ca="1">RANK(E69,E$2:E$619)</f>
        <v>60</v>
      </c>
      <c r="B69" t="s">
        <v>149</v>
      </c>
      <c r="C69" t="s">
        <v>32</v>
      </c>
      <c r="D69" s="1">
        <f ca="1">INDEX(INDIRECT($C69&amp;"!O:O"),MATCH($B69,INDIRECT($C69&amp;"!B:B"),0))</f>
        <v>150</v>
      </c>
      <c r="E69" s="254">
        <f ca="1">D69-LARGE(D$2:D$619,RBCount+WRCount+TECount+QBCount)</f>
        <v>66.13</v>
      </c>
      <c r="F69" s="1" t="str">
        <f ca="1">IF(H69&lt;=I69,"Starter",IF(G69&gt;=LARGE(G:G,FlexOn*LeagueInfo!$F$2),"Starter","Bench"))</f>
        <v>Starter</v>
      </c>
      <c r="G69" s="1">
        <f ca="1">IF(H69&gt;I69,D69,0)</f>
        <v>0</v>
      </c>
      <c r="H69" s="1">
        <f ca="1">INDEX(INDIRECT(""&amp;C69&amp;"!A2:A489"),MATCH(B69,INDIRECT(""&amp;C69&amp;"!B2:B489"),0))</f>
        <v>16</v>
      </c>
      <c r="I69" s="1">
        <f>IF(C69="RB",LeagueInfo!$D$4*LeagueInfo!$F$2,IF(C69="WR",LeagueInfo!$D$5*LeagueInfo!$F$2,IF(C69="TE",LeagueInfo!$D$6*LeagueInfo!$F$2,LeagueInfo!$D$3*LeagueInfo!$F$2)))</f>
        <v>24</v>
      </c>
    </row>
    <row r="70" spans="1:9" x14ac:dyDescent="0.25">
      <c r="A70" s="1">
        <f ca="1">RANK(E70,E$2:E$619)</f>
        <v>88</v>
      </c>
      <c r="B70" t="s">
        <v>152</v>
      </c>
      <c r="C70" t="s">
        <v>39</v>
      </c>
      <c r="D70" s="1">
        <f ca="1">INDEX(INDIRECT($C70&amp;"!O:O"),MATCH($B70,INDIRECT($C70&amp;"!B:B"),0))</f>
        <v>127.40000000000002</v>
      </c>
      <c r="E70" s="254">
        <f ca="1">D70-LARGE(D$2:D$619,RBCount+WRCount+TECount+QBCount)</f>
        <v>43.530000000000015</v>
      </c>
      <c r="F70" s="1" t="str">
        <f ca="1">IF(H70&lt;=I70,"Starter",IF(G70&gt;=LARGE(G:G,FlexOn*LeagueInfo!$F$2),"Starter","Bench"))</f>
        <v>Bench</v>
      </c>
      <c r="G70" s="1">
        <f ca="1">IF(H70&gt;I70,D70,0)</f>
        <v>127.40000000000002</v>
      </c>
      <c r="H70" s="1">
        <f ca="1">INDEX(INDIRECT(""&amp;C70&amp;"!A2:A489"),MATCH(B70,INDIRECT(""&amp;C70&amp;"!B2:B489"),0))</f>
        <v>26</v>
      </c>
      <c r="I70" s="1">
        <f>IF(C70="RB",LeagueInfo!$D$4*LeagueInfo!$F$2,IF(C70="WR",LeagueInfo!$D$5*LeagueInfo!$F$2,IF(C70="TE",LeagueInfo!$D$6*LeagueInfo!$F$2,LeagueInfo!$D$3*LeagueInfo!$F$2)))</f>
        <v>24</v>
      </c>
    </row>
    <row r="71" spans="1:9" x14ac:dyDescent="0.25">
      <c r="A71" s="1">
        <f ca="1">RANK(E71,E$2:E$619)</f>
        <v>82</v>
      </c>
      <c r="B71" t="s">
        <v>147</v>
      </c>
      <c r="C71" t="s">
        <v>47</v>
      </c>
      <c r="D71" s="1">
        <f ca="1">INDEX(INDIRECT($C71&amp;"!O:O"),MATCH($B71,INDIRECT($C71&amp;"!B:B"),0))</f>
        <v>132.16999999999999</v>
      </c>
      <c r="E71" s="254">
        <f ca="1">D71-LARGE(D$2:D$619,RBCount+WRCount+TECount+QBCount)</f>
        <v>48.299999999999983</v>
      </c>
      <c r="F71" s="1" t="str">
        <f ca="1">IF(H71&lt;=I71,"Starter",IF(G71&gt;=LARGE(G:G,FlexOn*LeagueInfo!$F$2),"Starter","Bench"))</f>
        <v>Starter</v>
      </c>
      <c r="G71" s="1">
        <f ca="1">IF(H71&gt;I71,D71,0)</f>
        <v>0</v>
      </c>
      <c r="H71" s="1">
        <f ca="1">INDEX(INDIRECT(""&amp;C71&amp;"!A2:A489"),MATCH(B71,INDIRECT(""&amp;C71&amp;"!B2:B489"),0))</f>
        <v>3</v>
      </c>
      <c r="I71" s="1">
        <f>IF(C71="RB",LeagueInfo!$D$4*LeagueInfo!$F$2,IF(C71="WR",LeagueInfo!$D$5*LeagueInfo!$F$2,IF(C71="TE",LeagueInfo!$D$6*LeagueInfo!$F$2,LeagueInfo!$D$3*LeagueInfo!$F$2)))</f>
        <v>12</v>
      </c>
    </row>
    <row r="72" spans="1:9" x14ac:dyDescent="0.25">
      <c r="A72" s="1">
        <f ca="1">RANK(E72,E$2:E$619)</f>
        <v>75</v>
      </c>
      <c r="B72" t="s">
        <v>549</v>
      </c>
      <c r="C72" t="s">
        <v>39</v>
      </c>
      <c r="D72" s="1">
        <f ca="1">INDEX(INDIRECT($C72&amp;"!O:O"),MATCH($B72,INDIRECT($C72&amp;"!B:B"),0))</f>
        <v>135.24</v>
      </c>
      <c r="E72" s="254">
        <f ca="1">D72-LARGE(D$2:D$619,RBCount+WRCount+TECount+QBCount)</f>
        <v>51.370000000000005</v>
      </c>
      <c r="F72" s="1" t="str">
        <f ca="1">IF(H72&lt;=I72,"Starter",IF(G72&gt;=LARGE(G:G,FlexOn*LeagueInfo!$F$2),"Starter","Bench"))</f>
        <v>Starter</v>
      </c>
      <c r="G72" s="1">
        <f ca="1">IF(H72&gt;I72,D72,0)</f>
        <v>0</v>
      </c>
      <c r="H72" s="1">
        <f ca="1">INDEX(INDIRECT(""&amp;C72&amp;"!A2:A489"),MATCH(B72,INDIRECT(""&amp;C72&amp;"!B2:B489"),0))</f>
        <v>18</v>
      </c>
      <c r="I72" s="1">
        <f>IF(C72="RB",LeagueInfo!$D$4*LeagueInfo!$F$2,IF(C72="WR",LeagueInfo!$D$5*LeagueInfo!$F$2,IF(C72="TE",LeagueInfo!$D$6*LeagueInfo!$F$2,LeagueInfo!$D$3*LeagueInfo!$F$2)))</f>
        <v>24</v>
      </c>
    </row>
    <row r="73" spans="1:9" x14ac:dyDescent="0.25">
      <c r="A73" s="1">
        <f ca="1">RANK(E73,E$2:E$619)</f>
        <v>67</v>
      </c>
      <c r="B73" t="s">
        <v>180</v>
      </c>
      <c r="C73" t="s">
        <v>32</v>
      </c>
      <c r="D73" s="1">
        <f ca="1">INDEX(INDIRECT($C73&amp;"!O:O"),MATCH($B73,INDIRECT($C73&amp;"!B:B"),0))</f>
        <v>143.94</v>
      </c>
      <c r="E73" s="254">
        <f ca="1">D73-LARGE(D$2:D$619,RBCount+WRCount+TECount+QBCount)</f>
        <v>60.069999999999993</v>
      </c>
      <c r="F73" s="1" t="str">
        <f ca="1">IF(H73&lt;=I73,"Starter",IF(G73&gt;=LARGE(G:G,FlexOn*LeagueInfo!$F$2),"Starter","Bench"))</f>
        <v>Starter</v>
      </c>
      <c r="G73" s="1">
        <f ca="1">IF(H73&gt;I73,D73,0)</f>
        <v>0</v>
      </c>
      <c r="H73" s="1">
        <f ca="1">INDEX(INDIRECT(""&amp;C73&amp;"!A2:A489"),MATCH(B73,INDIRECT(""&amp;C73&amp;"!B2:B489"),0))</f>
        <v>22</v>
      </c>
      <c r="I73" s="1">
        <f>IF(C73="RB",LeagueInfo!$D$4*LeagueInfo!$F$2,IF(C73="WR",LeagueInfo!$D$5*LeagueInfo!$F$2,IF(C73="TE",LeagueInfo!$D$6*LeagueInfo!$F$2,LeagueInfo!$D$3*LeagueInfo!$F$2)))</f>
        <v>24</v>
      </c>
    </row>
    <row r="74" spans="1:9" x14ac:dyDescent="0.25">
      <c r="A74" s="1">
        <f ca="1">RANK(E74,E$2:E$619)</f>
        <v>62</v>
      </c>
      <c r="B74" t="s">
        <v>141</v>
      </c>
      <c r="C74" t="s">
        <v>32</v>
      </c>
      <c r="D74" s="1">
        <f ca="1">INDEX(INDIRECT($C74&amp;"!O:O"),MATCH($B74,INDIRECT($C74&amp;"!B:B"),0))</f>
        <v>148.84</v>
      </c>
      <c r="E74" s="254">
        <f ca="1">D74-LARGE(D$2:D$619,RBCount+WRCount+TECount+QBCount)</f>
        <v>64.97</v>
      </c>
      <c r="F74" s="1" t="str">
        <f ca="1">IF(H74&lt;=I74,"Starter",IF(G74&gt;=LARGE(G:G,FlexOn*LeagueInfo!$F$2),"Starter","Bench"))</f>
        <v>Starter</v>
      </c>
      <c r="G74" s="1">
        <f ca="1">IF(H74&gt;I74,D74,0)</f>
        <v>0</v>
      </c>
      <c r="H74" s="1">
        <f ca="1">INDEX(INDIRECT(""&amp;C74&amp;"!A2:A489"),MATCH(B74,INDIRECT(""&amp;C74&amp;"!B2:B489"),0))</f>
        <v>18</v>
      </c>
      <c r="I74" s="1">
        <f>IF(C74="RB",LeagueInfo!$D$4*LeagueInfo!$F$2,IF(C74="WR",LeagueInfo!$D$5*LeagueInfo!$F$2,IF(C74="TE",LeagueInfo!$D$6*LeagueInfo!$F$2,LeagueInfo!$D$3*LeagueInfo!$F$2)))</f>
        <v>24</v>
      </c>
    </row>
    <row r="75" spans="1:9" x14ac:dyDescent="0.25">
      <c r="A75" s="1">
        <f ca="1">RANK(E75,E$2:E$619)</f>
        <v>83</v>
      </c>
      <c r="B75" t="s">
        <v>154</v>
      </c>
      <c r="C75" t="s">
        <v>39</v>
      </c>
      <c r="D75" s="1">
        <f ca="1">INDEX(INDIRECT($C75&amp;"!O:O"),MATCH($B75,INDIRECT($C75&amp;"!B:B"),0))</f>
        <v>131.99</v>
      </c>
      <c r="E75" s="254">
        <f ca="1">D75-LARGE(D$2:D$619,RBCount+WRCount+TECount+QBCount)</f>
        <v>48.120000000000005</v>
      </c>
      <c r="F75" s="1" t="str">
        <f ca="1">IF(H75&lt;=I75,"Starter",IF(G75&gt;=LARGE(G:G,FlexOn*LeagueInfo!$F$2),"Starter","Bench"))</f>
        <v>Starter</v>
      </c>
      <c r="G75" s="1">
        <f ca="1">IF(H75&gt;I75,D75,0)</f>
        <v>0</v>
      </c>
      <c r="H75" s="1">
        <f ca="1">INDEX(INDIRECT(""&amp;C75&amp;"!A2:A489"),MATCH(B75,INDIRECT(""&amp;C75&amp;"!B2:B489"),0))</f>
        <v>23</v>
      </c>
      <c r="I75" s="1">
        <f>IF(C75="RB",LeagueInfo!$D$4*LeagueInfo!$F$2,IF(C75="WR",LeagueInfo!$D$5*LeagueInfo!$F$2,IF(C75="TE",LeagueInfo!$D$6*LeagueInfo!$F$2,LeagueInfo!$D$3*LeagueInfo!$F$2)))</f>
        <v>24</v>
      </c>
    </row>
    <row r="76" spans="1:9" x14ac:dyDescent="0.25">
      <c r="A76" s="1">
        <f ca="1">RANK(E76,E$2:E$619)</f>
        <v>78</v>
      </c>
      <c r="B76" t="s">
        <v>146</v>
      </c>
      <c r="C76" t="s">
        <v>39</v>
      </c>
      <c r="D76" s="1">
        <f ca="1">INDEX(INDIRECT($C76&amp;"!O:O"),MATCH($B76,INDIRECT($C76&amp;"!B:B"),0))</f>
        <v>133.38000000000002</v>
      </c>
      <c r="E76" s="254">
        <f ca="1">D76-LARGE(D$2:D$619,RBCount+WRCount+TECount+QBCount)</f>
        <v>49.510000000000019</v>
      </c>
      <c r="F76" s="1" t="str">
        <f ca="1">IF(H76&lt;=I76,"Starter",IF(G76&gt;=LARGE(G:G,FlexOn*LeagueInfo!$F$2),"Starter","Bench"))</f>
        <v>Starter</v>
      </c>
      <c r="G76" s="1">
        <f ca="1">IF(H76&gt;I76,D76,0)</f>
        <v>0</v>
      </c>
      <c r="H76" s="1">
        <f ca="1">INDEX(INDIRECT(""&amp;C76&amp;"!A2:A489"),MATCH(B76,INDIRECT(""&amp;C76&amp;"!B2:B489"),0))</f>
        <v>19</v>
      </c>
      <c r="I76" s="1">
        <f>IF(C76="RB",LeagueInfo!$D$4*LeagueInfo!$F$2,IF(C76="WR",LeagueInfo!$D$5*LeagueInfo!$F$2,IF(C76="TE",LeagueInfo!$D$6*LeagueInfo!$F$2,LeagueInfo!$D$3*LeagueInfo!$F$2)))</f>
        <v>24</v>
      </c>
    </row>
    <row r="77" spans="1:9" x14ac:dyDescent="0.25">
      <c r="A77" s="1">
        <f ca="1">RANK(E77,E$2:E$619)</f>
        <v>79</v>
      </c>
      <c r="B77" t="s">
        <v>138</v>
      </c>
      <c r="C77" t="s">
        <v>39</v>
      </c>
      <c r="D77" s="1">
        <f ca="1">INDEX(INDIRECT($C77&amp;"!O:O"),MATCH($B77,INDIRECT($C77&amp;"!B:B"),0))</f>
        <v>133.19999999999999</v>
      </c>
      <c r="E77" s="254">
        <f ca="1">D77-LARGE(D$2:D$619,RBCount+WRCount+TECount+QBCount)</f>
        <v>49.329999999999984</v>
      </c>
      <c r="F77" s="1" t="str">
        <f ca="1">IF(H77&lt;=I77,"Starter",IF(G77&gt;=LARGE(G:G,FlexOn*LeagueInfo!$F$2),"Starter","Bench"))</f>
        <v>Starter</v>
      </c>
      <c r="G77" s="1">
        <f ca="1">IF(H77&gt;I77,D77,0)</f>
        <v>0</v>
      </c>
      <c r="H77" s="1">
        <f ca="1">INDEX(INDIRECT(""&amp;C77&amp;"!A2:A489"),MATCH(B77,INDIRECT(""&amp;C77&amp;"!B2:B489"),0))</f>
        <v>20</v>
      </c>
      <c r="I77" s="1">
        <f>IF(C77="RB",LeagueInfo!$D$4*LeagueInfo!$F$2,IF(C77="WR",LeagueInfo!$D$5*LeagueInfo!$F$2,IF(C77="TE",LeagueInfo!$D$6*LeagueInfo!$F$2,LeagueInfo!$D$3*LeagueInfo!$F$2)))</f>
        <v>24</v>
      </c>
    </row>
    <row r="78" spans="1:9" x14ac:dyDescent="0.25">
      <c r="A78" s="1">
        <f ca="1">RANK(E78,E$2:E$619)</f>
        <v>91</v>
      </c>
      <c r="B78" t="s">
        <v>200</v>
      </c>
      <c r="C78" t="s">
        <v>39</v>
      </c>
      <c r="D78" s="1">
        <f ca="1">INDEX(INDIRECT($C78&amp;"!O:O"),MATCH($B78,INDIRECT($C78&amp;"!B:B"),0))</f>
        <v>125.42999999999999</v>
      </c>
      <c r="E78" s="254">
        <f ca="1">D78-LARGE(D$2:D$619,RBCount+WRCount+TECount+QBCount)</f>
        <v>41.559999999999988</v>
      </c>
      <c r="F78" s="1" t="str">
        <f ca="1">IF(H78&lt;=I78,"Starter",IF(G78&gt;=LARGE(G:G,FlexOn*LeagueInfo!$F$2),"Starter","Bench"))</f>
        <v>Bench</v>
      </c>
      <c r="G78" s="1">
        <f ca="1">IF(H78&gt;I78,D78,0)</f>
        <v>125.42999999999999</v>
      </c>
      <c r="H78" s="1">
        <f ca="1">INDEX(INDIRECT(""&amp;C78&amp;"!A2:A489"),MATCH(B78,INDIRECT(""&amp;C78&amp;"!B2:B489"),0))</f>
        <v>28</v>
      </c>
      <c r="I78" s="1">
        <f>IF(C78="RB",LeagueInfo!$D$4*LeagueInfo!$F$2,IF(C78="WR",LeagueInfo!$D$5*LeagueInfo!$F$2,IF(C78="TE",LeagueInfo!$D$6*LeagueInfo!$F$2,LeagueInfo!$D$3*LeagueInfo!$F$2)))</f>
        <v>24</v>
      </c>
    </row>
    <row r="79" spans="1:9" x14ac:dyDescent="0.25">
      <c r="A79" s="1">
        <f ca="1">RANK(E79,E$2:E$619)</f>
        <v>89</v>
      </c>
      <c r="B79" t="s">
        <v>143</v>
      </c>
      <c r="C79" t="s">
        <v>39</v>
      </c>
      <c r="D79" s="1">
        <f ca="1">INDEX(INDIRECT($C79&amp;"!O:O"),MATCH($B79,INDIRECT($C79&amp;"!B:B"),0))</f>
        <v>126.83000000000003</v>
      </c>
      <c r="E79" s="254">
        <f ca="1">D79-LARGE(D$2:D$619,RBCount+WRCount+TECount+QBCount)</f>
        <v>42.960000000000022</v>
      </c>
      <c r="F79" s="1" t="str">
        <f ca="1">IF(H79&lt;=I79,"Starter",IF(G79&gt;=LARGE(G:G,FlexOn*LeagueInfo!$F$2),"Starter","Bench"))</f>
        <v>Bench</v>
      </c>
      <c r="G79" s="1">
        <f ca="1">IF(H79&gt;I79,D79,0)</f>
        <v>126.83000000000003</v>
      </c>
      <c r="H79" s="1">
        <f ca="1">INDEX(INDIRECT(""&amp;C79&amp;"!A2:A489"),MATCH(B79,INDIRECT(""&amp;C79&amp;"!B2:B489"),0))</f>
        <v>27</v>
      </c>
      <c r="I79" s="1">
        <f>IF(C79="RB",LeagueInfo!$D$4*LeagueInfo!$F$2,IF(C79="WR",LeagueInfo!$D$5*LeagueInfo!$F$2,IF(C79="TE",LeagueInfo!$D$6*LeagueInfo!$F$2,LeagueInfo!$D$3*LeagueInfo!$F$2)))</f>
        <v>24</v>
      </c>
    </row>
    <row r="80" spans="1:9" x14ac:dyDescent="0.25">
      <c r="A80" s="1">
        <f ca="1">RANK(E80,E$2:E$619)</f>
        <v>59</v>
      </c>
      <c r="B80" t="s">
        <v>381</v>
      </c>
      <c r="C80" t="s">
        <v>33</v>
      </c>
      <c r="D80" s="1">
        <f ca="1">INDEX(INDIRECT($C80&amp;"!O:O"),MATCH($B80,INDIRECT($C80&amp;"!B:B"),0))</f>
        <v>152.89400000000001</v>
      </c>
      <c r="E80" s="254">
        <f ca="1">D80-LARGE(D$2:D$619,RBCount+WRCount+TECount+QBCount)</f>
        <v>69.024000000000001</v>
      </c>
      <c r="F80" s="1" t="str">
        <f ca="1">IF(H80&lt;=I80,"Starter",IF(G80&gt;=LARGE(G:G,FlexOn*LeagueInfo!$F$2),"Starter","Bench"))</f>
        <v>Bench</v>
      </c>
      <c r="G80" s="1">
        <f ca="1">IF(H80&gt;I80,D80,0)</f>
        <v>152.89400000000001</v>
      </c>
      <c r="H80" s="1">
        <f ca="1">INDEX(INDIRECT(""&amp;C80&amp;"!A2:A489"),MATCH(B80,INDIRECT(""&amp;C80&amp;"!B2:B489"),0))</f>
        <v>31</v>
      </c>
      <c r="I80" s="1">
        <f>IF(C80="RB",LeagueInfo!$D$4*LeagueInfo!$F$2,IF(C80="WR",LeagueInfo!$D$5*LeagueInfo!$F$2,IF(C80="TE",LeagueInfo!$D$6*LeagueInfo!$F$2,LeagueInfo!$D$3*LeagueInfo!$F$2)))</f>
        <v>12</v>
      </c>
    </row>
    <row r="81" spans="1:9" x14ac:dyDescent="0.25">
      <c r="A81" s="1">
        <f ca="1">RANK(E81,E$2:E$619)</f>
        <v>81</v>
      </c>
      <c r="B81" t="s">
        <v>167</v>
      </c>
      <c r="C81" t="s">
        <v>39</v>
      </c>
      <c r="D81" s="1">
        <f ca="1">INDEX(INDIRECT($C81&amp;"!O:O"),MATCH($B81,INDIRECT($C81&amp;"!B:B"),0))</f>
        <v>132.67999999999998</v>
      </c>
      <c r="E81" s="254">
        <f ca="1">D81-LARGE(D$2:D$619,RBCount+WRCount+TECount+QBCount)</f>
        <v>48.809999999999974</v>
      </c>
      <c r="F81" s="1" t="str">
        <f ca="1">IF(H81&lt;=I81,"Starter",IF(G81&gt;=LARGE(G:G,FlexOn*LeagueInfo!$F$2),"Starter","Bench"))</f>
        <v>Starter</v>
      </c>
      <c r="G81" s="1">
        <f ca="1">IF(H81&gt;I81,D81,0)</f>
        <v>0</v>
      </c>
      <c r="H81" s="1">
        <f ca="1">INDEX(INDIRECT(""&amp;C81&amp;"!A2:A489"),MATCH(B81,INDIRECT(""&amp;C81&amp;"!B2:B489"),0))</f>
        <v>22</v>
      </c>
      <c r="I81" s="1">
        <f>IF(C81="RB",LeagueInfo!$D$4*LeagueInfo!$F$2,IF(C81="WR",LeagueInfo!$D$5*LeagueInfo!$F$2,IF(C81="TE",LeagueInfo!$D$6*LeagueInfo!$F$2,LeagueInfo!$D$3*LeagueInfo!$F$2)))</f>
        <v>24</v>
      </c>
    </row>
    <row r="82" spans="1:9" x14ac:dyDescent="0.25">
      <c r="A82" s="1">
        <f ca="1">RANK(E82,E$2:E$619)</f>
        <v>63</v>
      </c>
      <c r="B82" t="s">
        <v>187</v>
      </c>
      <c r="C82" t="s">
        <v>32</v>
      </c>
      <c r="D82" s="1">
        <f ca="1">INDEX(INDIRECT($C82&amp;"!O:O"),MATCH($B82,INDIRECT($C82&amp;"!B:B"),0))</f>
        <v>147.16999999999999</v>
      </c>
      <c r="E82" s="254">
        <f ca="1">D82-LARGE(D$2:D$619,RBCount+WRCount+TECount+QBCount)</f>
        <v>63.299999999999983</v>
      </c>
      <c r="F82" s="1" t="str">
        <f ca="1">IF(H82&lt;=I82,"Starter",IF(G82&gt;=LARGE(G:G,FlexOn*LeagueInfo!$F$2),"Starter","Bench"))</f>
        <v>Starter</v>
      </c>
      <c r="G82" s="1">
        <f ca="1">IF(H82&gt;I82,D82,0)</f>
        <v>0</v>
      </c>
      <c r="H82" s="1">
        <f ca="1">INDEX(INDIRECT(""&amp;C82&amp;"!A2:A489"),MATCH(B82,INDIRECT(""&amp;C82&amp;"!B2:B489"),0))</f>
        <v>19</v>
      </c>
      <c r="I82" s="1">
        <f>IF(C82="RB",LeagueInfo!$D$4*LeagueInfo!$F$2,IF(C82="WR",LeagueInfo!$D$5*LeagueInfo!$F$2,IF(C82="TE",LeagueInfo!$D$6*LeagueInfo!$F$2,LeagueInfo!$D$3*LeagueInfo!$F$2)))</f>
        <v>24</v>
      </c>
    </row>
    <row r="83" spans="1:9" x14ac:dyDescent="0.25">
      <c r="A83" s="1">
        <f ca="1">RANK(E83,E$2:E$619)</f>
        <v>65</v>
      </c>
      <c r="B83" t="s">
        <v>128</v>
      </c>
      <c r="C83" t="s">
        <v>32</v>
      </c>
      <c r="D83" s="1">
        <f ca="1">INDEX(INDIRECT($C83&amp;"!O:O"),MATCH($B83,INDIRECT($C83&amp;"!B:B"),0))</f>
        <v>145.53</v>
      </c>
      <c r="E83" s="254">
        <f ca="1">D83-LARGE(D$2:D$619,RBCount+WRCount+TECount+QBCount)</f>
        <v>61.66</v>
      </c>
      <c r="F83" s="1" t="str">
        <f ca="1">IF(H83&lt;=I83,"Starter",IF(G83&gt;=LARGE(G:G,FlexOn*LeagueInfo!$F$2),"Starter","Bench"))</f>
        <v>Starter</v>
      </c>
      <c r="G83" s="1">
        <f ca="1">IF(H83&gt;I83,D83,0)</f>
        <v>0</v>
      </c>
      <c r="H83" s="1">
        <f ca="1">INDEX(INDIRECT(""&amp;C83&amp;"!A2:A489"),MATCH(B83,INDIRECT(""&amp;C83&amp;"!B2:B489"),0))</f>
        <v>21</v>
      </c>
      <c r="I83" s="1">
        <f>IF(C83="RB",LeagueInfo!$D$4*LeagueInfo!$F$2,IF(C83="WR",LeagueInfo!$D$5*LeagueInfo!$F$2,IF(C83="TE",LeagueInfo!$D$6*LeagueInfo!$F$2,LeagueInfo!$D$3*LeagueInfo!$F$2)))</f>
        <v>24</v>
      </c>
    </row>
    <row r="84" spans="1:9" x14ac:dyDescent="0.25">
      <c r="A84" s="1">
        <f ca="1">RANK(E84,E$2:E$619)</f>
        <v>92</v>
      </c>
      <c r="B84" t="s">
        <v>176</v>
      </c>
      <c r="C84" t="s">
        <v>39</v>
      </c>
      <c r="D84" s="1">
        <f ca="1">INDEX(INDIRECT($C84&amp;"!O:O"),MATCH($B84,INDIRECT($C84&amp;"!B:B"),0))</f>
        <v>125.12</v>
      </c>
      <c r="E84" s="254">
        <f ca="1">D84-LARGE(D$2:D$619,RBCount+WRCount+TECount+QBCount)</f>
        <v>41.25</v>
      </c>
      <c r="F84" s="1" t="str">
        <f ca="1">IF(H84&lt;=I84,"Starter",IF(G84&gt;=LARGE(G:G,FlexOn*LeagueInfo!$F$2),"Starter","Bench"))</f>
        <v>Bench</v>
      </c>
      <c r="G84" s="1">
        <f ca="1">IF(H84&gt;I84,D84,0)</f>
        <v>125.12</v>
      </c>
      <c r="H84" s="1">
        <f ca="1">INDEX(INDIRECT(""&amp;C84&amp;"!A2:A489"),MATCH(B84,INDIRECT(""&amp;C84&amp;"!B2:B489"),0))</f>
        <v>29</v>
      </c>
      <c r="I84" s="1">
        <f>IF(C84="RB",LeagueInfo!$D$4*LeagueInfo!$F$2,IF(C84="WR",LeagueInfo!$D$5*LeagueInfo!$F$2,IF(C84="TE",LeagueInfo!$D$6*LeagueInfo!$F$2,LeagueInfo!$D$3*LeagueInfo!$F$2)))</f>
        <v>24</v>
      </c>
    </row>
    <row r="85" spans="1:9" x14ac:dyDescent="0.25">
      <c r="A85" s="1">
        <f ca="1">RANK(E85,E$2:E$619)</f>
        <v>86</v>
      </c>
      <c r="B85" t="s">
        <v>131</v>
      </c>
      <c r="C85" t="s">
        <v>39</v>
      </c>
      <c r="D85" s="1">
        <f ca="1">INDEX(INDIRECT($C85&amp;"!O:O"),MATCH($B85,INDIRECT($C85&amp;"!B:B"),0))</f>
        <v>128.08000000000001</v>
      </c>
      <c r="E85" s="254">
        <f ca="1">D85-LARGE(D$2:D$619,RBCount+WRCount+TECount+QBCount)</f>
        <v>44.210000000000008</v>
      </c>
      <c r="F85" s="1" t="str">
        <f ca="1">IF(H85&lt;=I85,"Starter",IF(G85&gt;=LARGE(G:G,FlexOn*LeagueInfo!$F$2),"Starter","Bench"))</f>
        <v>Bench</v>
      </c>
      <c r="G85" s="1">
        <f ca="1">IF(H85&gt;I85,D85,0)</f>
        <v>128.08000000000001</v>
      </c>
      <c r="H85" s="1">
        <f ca="1">INDEX(INDIRECT(""&amp;C85&amp;"!A2:A489"),MATCH(B85,INDIRECT(""&amp;C85&amp;"!B2:B489"),0))</f>
        <v>25</v>
      </c>
      <c r="I85" s="1">
        <f>IF(C85="RB",LeagueInfo!$D$4*LeagueInfo!$F$2,IF(C85="WR",LeagueInfo!$D$5*LeagueInfo!$F$2,IF(C85="TE",LeagueInfo!$D$6*LeagueInfo!$F$2,LeagueInfo!$D$3*LeagueInfo!$F$2)))</f>
        <v>24</v>
      </c>
    </row>
    <row r="86" spans="1:9" x14ac:dyDescent="0.25">
      <c r="A86" s="1">
        <f ca="1">RANK(E86,E$2:E$619)</f>
        <v>64</v>
      </c>
      <c r="B86" t="s">
        <v>137</v>
      </c>
      <c r="C86" t="s">
        <v>32</v>
      </c>
      <c r="D86" s="1">
        <f ca="1">INDEX(INDIRECT($C86&amp;"!O:O"),MATCH($B86,INDIRECT($C86&amp;"!B:B"),0))</f>
        <v>146.94999999999999</v>
      </c>
      <c r="E86" s="254">
        <f ca="1">D86-LARGE(D$2:D$619,RBCount+WRCount+TECount+QBCount)</f>
        <v>63.079999999999984</v>
      </c>
      <c r="F86" s="1" t="str">
        <f ca="1">IF(H86&lt;=I86,"Starter",IF(G86&gt;=LARGE(G:G,FlexOn*LeagueInfo!$F$2),"Starter","Bench"))</f>
        <v>Starter</v>
      </c>
      <c r="G86" s="1">
        <f ca="1">IF(H86&gt;I86,D86,0)</f>
        <v>0</v>
      </c>
      <c r="H86" s="1">
        <f ca="1">INDEX(INDIRECT(""&amp;C86&amp;"!A2:A489"),MATCH(B86,INDIRECT(""&amp;C86&amp;"!B2:B489"),0))</f>
        <v>20</v>
      </c>
      <c r="I86" s="1">
        <f>IF(C86="RB",LeagueInfo!$D$4*LeagueInfo!$F$2,IF(C86="WR",LeagueInfo!$D$5*LeagueInfo!$F$2,IF(C86="TE",LeagueInfo!$D$6*LeagueInfo!$F$2,LeagueInfo!$D$3*LeagueInfo!$F$2)))</f>
        <v>24</v>
      </c>
    </row>
    <row r="87" spans="1:9" x14ac:dyDescent="0.25">
      <c r="A87" s="1">
        <f ca="1">RANK(E87,E$2:E$619)</f>
        <v>98</v>
      </c>
      <c r="B87" t="s">
        <v>139</v>
      </c>
      <c r="C87" t="s">
        <v>47</v>
      </c>
      <c r="D87" s="1">
        <f ca="1">INDEX(INDIRECT($C87&amp;"!O:O"),MATCH($B87,INDIRECT($C87&amp;"!B:B"),0))</f>
        <v>119.86</v>
      </c>
      <c r="E87" s="254">
        <f ca="1">D87-LARGE(D$2:D$619,RBCount+WRCount+TECount+QBCount)</f>
        <v>35.989999999999995</v>
      </c>
      <c r="F87" s="1" t="str">
        <f ca="1">IF(H87&lt;=I87,"Starter",IF(G87&gt;=LARGE(G:G,FlexOn*LeagueInfo!$F$2),"Starter","Bench"))</f>
        <v>Starter</v>
      </c>
      <c r="G87" s="1">
        <f ca="1">IF(H87&gt;I87,D87,0)</f>
        <v>0</v>
      </c>
      <c r="H87" s="1">
        <f ca="1">INDEX(INDIRECT(""&amp;C87&amp;"!A2:A489"),MATCH(B87,INDIRECT(""&amp;C87&amp;"!B2:B489"),0))</f>
        <v>4</v>
      </c>
      <c r="I87" s="1">
        <f>IF(C87="RB",LeagueInfo!$D$4*LeagueInfo!$F$2,IF(C87="WR",LeagueInfo!$D$5*LeagueInfo!$F$2,IF(C87="TE",LeagueInfo!$D$6*LeagueInfo!$F$2,LeagueInfo!$D$3*LeagueInfo!$F$2)))</f>
        <v>12</v>
      </c>
    </row>
    <row r="88" spans="1:9" x14ac:dyDescent="0.25">
      <c r="A88" s="1">
        <f ca="1">RANK(E88,E$2:E$619)</f>
        <v>97</v>
      </c>
      <c r="B88" t="s">
        <v>172</v>
      </c>
      <c r="C88" t="s">
        <v>39</v>
      </c>
      <c r="D88" s="1">
        <f ca="1">INDEX(INDIRECT($C88&amp;"!O:O"),MATCH($B88,INDIRECT($C88&amp;"!B:B"),0))</f>
        <v>120.64</v>
      </c>
      <c r="E88" s="254">
        <f ca="1">D88-LARGE(D$2:D$619,RBCount+WRCount+TECount+QBCount)</f>
        <v>36.769999999999996</v>
      </c>
      <c r="F88" s="1" t="str">
        <f ca="1">IF(H88&lt;=I88,"Starter",IF(G88&gt;=LARGE(G:G,FlexOn*LeagueInfo!$F$2),"Starter","Bench"))</f>
        <v>Bench</v>
      </c>
      <c r="G88" s="1">
        <f ca="1">IF(H88&gt;I88,D88,0)</f>
        <v>120.64</v>
      </c>
      <c r="H88" s="1">
        <f ca="1">INDEX(INDIRECT(""&amp;C88&amp;"!A2:A489"),MATCH(B88,INDIRECT(""&amp;C88&amp;"!B2:B489"),0))</f>
        <v>31</v>
      </c>
      <c r="I88" s="1">
        <f>IF(C88="RB",LeagueInfo!$D$4*LeagueInfo!$F$2,IF(C88="WR",LeagueInfo!$D$5*LeagueInfo!$F$2,IF(C88="TE",LeagueInfo!$D$6*LeagueInfo!$F$2,LeagueInfo!$D$3*LeagueInfo!$F$2)))</f>
        <v>24</v>
      </c>
    </row>
    <row r="89" spans="1:9" x14ac:dyDescent="0.25">
      <c r="A89" s="1">
        <f ca="1">RANK(E89,E$2:E$619)</f>
        <v>101</v>
      </c>
      <c r="B89" t="s">
        <v>222</v>
      </c>
      <c r="C89" t="s">
        <v>39</v>
      </c>
      <c r="D89" s="1">
        <f ca="1">INDEX(INDIRECT($C89&amp;"!O:O"),MATCH($B89,INDIRECT($C89&amp;"!B:B"),0))</f>
        <v>118.86</v>
      </c>
      <c r="E89" s="254">
        <f ca="1">D89-LARGE(D$2:D$619,RBCount+WRCount+TECount+QBCount)</f>
        <v>34.989999999999995</v>
      </c>
      <c r="F89" s="1" t="str">
        <f ca="1">IF(H89&lt;=I89,"Starter",IF(G89&gt;=LARGE(G:G,FlexOn*LeagueInfo!$F$2),"Starter","Bench"))</f>
        <v>Bench</v>
      </c>
      <c r="G89" s="1">
        <f ca="1">IF(H89&gt;I89,D89,0)</f>
        <v>118.86</v>
      </c>
      <c r="H89" s="1">
        <f ca="1">INDEX(INDIRECT(""&amp;C89&amp;"!A2:A489"),MATCH(B89,INDIRECT(""&amp;C89&amp;"!B2:B489"),0))</f>
        <v>33</v>
      </c>
      <c r="I89" s="1">
        <f>IF(C89="RB",LeagueInfo!$D$4*LeagueInfo!$F$2,IF(C89="WR",LeagueInfo!$D$5*LeagueInfo!$F$2,IF(C89="TE",LeagueInfo!$D$6*LeagueInfo!$F$2,LeagueInfo!$D$3*LeagueInfo!$F$2)))</f>
        <v>24</v>
      </c>
    </row>
    <row r="90" spans="1:9" x14ac:dyDescent="0.25">
      <c r="A90" s="1">
        <f ca="1">RANK(E90,E$2:E$619)</f>
        <v>73</v>
      </c>
      <c r="B90" t="s">
        <v>159</v>
      </c>
      <c r="C90" t="s">
        <v>32</v>
      </c>
      <c r="D90" s="1">
        <f ca="1">INDEX(INDIRECT($C90&amp;"!O:O"),MATCH($B90,INDIRECT($C90&amp;"!B:B"),0))</f>
        <v>136.91</v>
      </c>
      <c r="E90" s="254">
        <f ca="1">D90-LARGE(D$2:D$619,RBCount+WRCount+TECount+QBCount)</f>
        <v>53.039999999999992</v>
      </c>
      <c r="F90" s="1" t="str">
        <f ca="1">IF(H90&lt;=I90,"Starter",IF(G90&gt;=LARGE(G:G,FlexOn*LeagueInfo!$F$2),"Starter","Bench"))</f>
        <v>Starter</v>
      </c>
      <c r="G90" s="1">
        <f ca="1">IF(H90&gt;I90,D90,0)</f>
        <v>0</v>
      </c>
      <c r="H90" s="1">
        <f ca="1">INDEX(INDIRECT(""&amp;C90&amp;"!A2:A489"),MATCH(B90,INDIRECT(""&amp;C90&amp;"!B2:B489"),0))</f>
        <v>23</v>
      </c>
      <c r="I90" s="1">
        <f>IF(C90="RB",LeagueInfo!$D$4*LeagueInfo!$F$2,IF(C90="WR",LeagueInfo!$D$5*LeagueInfo!$F$2,IF(C90="TE",LeagueInfo!$D$6*LeagueInfo!$F$2,LeagueInfo!$D$3*LeagueInfo!$F$2)))</f>
        <v>24</v>
      </c>
    </row>
    <row r="91" spans="1:9" x14ac:dyDescent="0.25">
      <c r="A91" s="1">
        <f ca="1">RANK(E91,E$2:E$619)</f>
        <v>74</v>
      </c>
      <c r="B91" t="s">
        <v>183</v>
      </c>
      <c r="C91" t="s">
        <v>32</v>
      </c>
      <c r="D91" s="1">
        <f ca="1">INDEX(INDIRECT($C91&amp;"!O:O"),MATCH($B91,INDIRECT($C91&amp;"!B:B"),0))</f>
        <v>136.69</v>
      </c>
      <c r="E91" s="254">
        <f ca="1">D91-LARGE(D$2:D$619,RBCount+WRCount+TECount+QBCount)</f>
        <v>52.819999999999993</v>
      </c>
      <c r="F91" s="1" t="str">
        <f ca="1">IF(H91&lt;=I91,"Starter",IF(G91&gt;=LARGE(G:G,FlexOn*LeagueInfo!$F$2),"Starter","Bench"))</f>
        <v>Starter</v>
      </c>
      <c r="G91" s="1">
        <f ca="1">IF(H91&gt;I91,D91,0)</f>
        <v>0</v>
      </c>
      <c r="H91" s="1">
        <f ca="1">INDEX(INDIRECT(""&amp;C91&amp;"!A2:A489"),MATCH(B91,INDIRECT(""&amp;C91&amp;"!B2:B489"),0))</f>
        <v>24</v>
      </c>
      <c r="I91" s="1">
        <f>IF(C91="RB",LeagueInfo!$D$4*LeagueInfo!$F$2,IF(C91="WR",LeagueInfo!$D$5*LeagueInfo!$F$2,IF(C91="TE",LeagueInfo!$D$6*LeagueInfo!$F$2,LeagueInfo!$D$3*LeagueInfo!$F$2)))</f>
        <v>24</v>
      </c>
    </row>
    <row r="92" spans="1:9" x14ac:dyDescent="0.25">
      <c r="A92" s="1">
        <f ca="1">RANK(E92,E$2:E$619)</f>
        <v>94</v>
      </c>
      <c r="B92" t="s">
        <v>151</v>
      </c>
      <c r="C92" t="s">
        <v>39</v>
      </c>
      <c r="D92" s="1">
        <f ca="1">INDEX(INDIRECT($C92&amp;"!O:O"),MATCH($B92,INDIRECT($C92&amp;"!B:B"),0))</f>
        <v>123.56000000000002</v>
      </c>
      <c r="E92" s="254">
        <f ca="1">D92-LARGE(D$2:D$619,RBCount+WRCount+TECount+QBCount)</f>
        <v>39.690000000000012</v>
      </c>
      <c r="F92" s="1" t="str">
        <f ca="1">IF(H92&lt;=I92,"Starter",IF(G92&gt;=LARGE(G:G,FlexOn*LeagueInfo!$F$2),"Starter","Bench"))</f>
        <v>Bench</v>
      </c>
      <c r="G92" s="1">
        <f ca="1">IF(H92&gt;I92,D92,0)</f>
        <v>123.56000000000002</v>
      </c>
      <c r="H92" s="1">
        <f ca="1">INDEX(INDIRECT(""&amp;C92&amp;"!A2:A489"),MATCH(B92,INDIRECT(""&amp;C92&amp;"!B2:B489"),0))</f>
        <v>30</v>
      </c>
      <c r="I92" s="1">
        <f>IF(C92="RB",LeagueInfo!$D$4*LeagueInfo!$F$2,IF(C92="WR",LeagueInfo!$D$5*LeagueInfo!$F$2,IF(C92="TE",LeagueInfo!$D$6*LeagueInfo!$F$2,LeagueInfo!$D$3*LeagueInfo!$F$2)))</f>
        <v>24</v>
      </c>
    </row>
    <row r="93" spans="1:9" x14ac:dyDescent="0.25">
      <c r="A93" s="1">
        <f ca="1">RANK(E93,E$2:E$619)</f>
        <v>71</v>
      </c>
      <c r="B93" t="s">
        <v>261</v>
      </c>
      <c r="C93" t="s">
        <v>33</v>
      </c>
      <c r="D93" s="1">
        <f ca="1">INDEX(INDIRECT($C93&amp;"!O:O"),MATCH($B93,INDIRECT($C93&amp;"!B:B"),0))</f>
        <v>139.24</v>
      </c>
      <c r="E93" s="254">
        <f ca="1">D93-LARGE(D$2:D$619,RBCount+WRCount+TECount+QBCount)</f>
        <v>55.370000000000005</v>
      </c>
      <c r="F93" s="1" t="str">
        <f ca="1">IF(H93&lt;=I93,"Starter",IF(G93&gt;=LARGE(G:G,FlexOn*LeagueInfo!$F$2),"Starter","Bench"))</f>
        <v>Bench</v>
      </c>
      <c r="G93" s="1">
        <f ca="1">IF(H93&gt;I93,D93,0)</f>
        <v>139.24</v>
      </c>
      <c r="H93" s="1">
        <f ca="1">INDEX(INDIRECT(""&amp;C93&amp;"!A2:A489"),MATCH(B93,INDIRECT(""&amp;C93&amp;"!B2:B489"),0))</f>
        <v>32</v>
      </c>
      <c r="I93" s="1">
        <f>IF(C93="RB",LeagueInfo!$D$4*LeagueInfo!$F$2,IF(C93="WR",LeagueInfo!$D$5*LeagueInfo!$F$2,IF(C93="TE",LeagueInfo!$D$6*LeagueInfo!$F$2,LeagueInfo!$D$3*LeagueInfo!$F$2)))</f>
        <v>12</v>
      </c>
    </row>
    <row r="94" spans="1:9" x14ac:dyDescent="0.25">
      <c r="A94" s="1">
        <f ca="1">RANK(E94,E$2:E$619)</f>
        <v>99</v>
      </c>
      <c r="B94" t="s">
        <v>157</v>
      </c>
      <c r="C94" t="s">
        <v>47</v>
      </c>
      <c r="D94" s="1">
        <f ca="1">INDEX(INDIRECT($C94&amp;"!O:O"),MATCH($B94,INDIRECT($C94&amp;"!B:B"),0))</f>
        <v>119.81000000000002</v>
      </c>
      <c r="E94" s="254">
        <f ca="1">D94-LARGE(D$2:D$619,RBCount+WRCount+TECount+QBCount)</f>
        <v>35.940000000000012</v>
      </c>
      <c r="F94" s="1" t="str">
        <f ca="1">IF(H94&lt;=I94,"Starter",IF(G94&gt;=LARGE(G:G,FlexOn*LeagueInfo!$F$2),"Starter","Bench"))</f>
        <v>Starter</v>
      </c>
      <c r="G94" s="1">
        <f ca="1">IF(H94&gt;I94,D94,0)</f>
        <v>0</v>
      </c>
      <c r="H94" s="1">
        <f ca="1">INDEX(INDIRECT(""&amp;C94&amp;"!A2:A489"),MATCH(B94,INDIRECT(""&amp;C94&amp;"!B2:B489"),0))</f>
        <v>5</v>
      </c>
      <c r="I94" s="1">
        <f>IF(C94="RB",LeagueInfo!$D$4*LeagueInfo!$F$2,IF(C94="WR",LeagueInfo!$D$5*LeagueInfo!$F$2,IF(C94="TE",LeagueInfo!$D$6*LeagueInfo!$F$2,LeagueInfo!$D$3*LeagueInfo!$F$2)))</f>
        <v>12</v>
      </c>
    </row>
    <row r="95" spans="1:9" x14ac:dyDescent="0.25">
      <c r="A95" s="1">
        <f ca="1">RANK(E95,E$2:E$619)</f>
        <v>100</v>
      </c>
      <c r="B95" t="s">
        <v>550</v>
      </c>
      <c r="C95" t="s">
        <v>39</v>
      </c>
      <c r="D95" s="1">
        <f ca="1">INDEX(INDIRECT($C95&amp;"!O:O"),MATCH($B95,INDIRECT($C95&amp;"!B:B"),0))</f>
        <v>119.52000000000001</v>
      </c>
      <c r="E95" s="254">
        <f ca="1">D95-LARGE(D$2:D$619,RBCount+WRCount+TECount+QBCount)</f>
        <v>35.650000000000006</v>
      </c>
      <c r="F95" s="1" t="str">
        <f ca="1">IF(H95&lt;=I95,"Starter",IF(G95&gt;=LARGE(G:G,FlexOn*LeagueInfo!$F$2),"Starter","Bench"))</f>
        <v>Bench</v>
      </c>
      <c r="G95" s="1">
        <f ca="1">IF(H95&gt;I95,D95,0)</f>
        <v>119.52000000000001</v>
      </c>
      <c r="H95" s="1">
        <f ca="1">INDEX(INDIRECT(""&amp;C95&amp;"!A2:A489"),MATCH(B95,INDIRECT(""&amp;C95&amp;"!B2:B489"),0))</f>
        <v>32</v>
      </c>
      <c r="I95" s="1">
        <f>IF(C95="RB",LeagueInfo!$D$4*LeagueInfo!$F$2,IF(C95="WR",LeagueInfo!$D$5*LeagueInfo!$F$2,IF(C95="TE",LeagueInfo!$D$6*LeagueInfo!$F$2,LeagueInfo!$D$3*LeagueInfo!$F$2)))</f>
        <v>24</v>
      </c>
    </row>
    <row r="96" spans="1:9" x14ac:dyDescent="0.25">
      <c r="A96" s="1">
        <f ca="1">RANK(E96,E$2:E$619)</f>
        <v>103</v>
      </c>
      <c r="B96" t="s">
        <v>225</v>
      </c>
      <c r="C96" t="s">
        <v>39</v>
      </c>
      <c r="D96" s="1">
        <f ca="1">INDEX(INDIRECT($C96&amp;"!O:O"),MATCH($B96,INDIRECT($C96&amp;"!B:B"),0))</f>
        <v>115.98</v>
      </c>
      <c r="E96" s="254">
        <f ca="1">D96-LARGE(D$2:D$619,RBCount+WRCount+TECount+QBCount)</f>
        <v>32.11</v>
      </c>
      <c r="F96" s="1" t="str">
        <f ca="1">IF(H96&lt;=I96,"Starter",IF(G96&gt;=LARGE(G:G,FlexOn*LeagueInfo!$F$2),"Starter","Bench"))</f>
        <v>Bench</v>
      </c>
      <c r="G96" s="1">
        <f ca="1">IF(H96&gt;I96,D96,0)</f>
        <v>115.98</v>
      </c>
      <c r="H96" s="1">
        <f ca="1">INDEX(INDIRECT(""&amp;C96&amp;"!A2:A489"),MATCH(B96,INDIRECT(""&amp;C96&amp;"!B2:B489"),0))</f>
        <v>35</v>
      </c>
      <c r="I96" s="1">
        <f>IF(C96="RB",LeagueInfo!$D$4*LeagueInfo!$F$2,IF(C96="WR",LeagueInfo!$D$5*LeagueInfo!$F$2,IF(C96="TE",LeagueInfo!$D$6*LeagueInfo!$F$2,LeagueInfo!$D$3*LeagueInfo!$F$2)))</f>
        <v>24</v>
      </c>
    </row>
    <row r="97" spans="1:9" x14ac:dyDescent="0.25">
      <c r="A97" s="1">
        <f ca="1">RANK(E97,E$2:E$619)</f>
        <v>102</v>
      </c>
      <c r="B97" t="s">
        <v>166</v>
      </c>
      <c r="C97" t="s">
        <v>39</v>
      </c>
      <c r="D97" s="1">
        <f ca="1">INDEX(INDIRECT($C97&amp;"!O:O"),MATCH($B97,INDIRECT($C97&amp;"!B:B"),0))</f>
        <v>117.29</v>
      </c>
      <c r="E97" s="254">
        <f ca="1">D97-LARGE(D$2:D$619,RBCount+WRCount+TECount+QBCount)</f>
        <v>33.42</v>
      </c>
      <c r="F97" s="1" t="str">
        <f ca="1">IF(H97&lt;=I97,"Starter",IF(G97&gt;=LARGE(G:G,FlexOn*LeagueInfo!$F$2),"Starter","Bench"))</f>
        <v>Bench</v>
      </c>
      <c r="G97" s="1">
        <f ca="1">IF(H97&gt;I97,D97,0)</f>
        <v>117.29</v>
      </c>
      <c r="H97" s="1">
        <f ca="1">INDEX(INDIRECT(""&amp;C97&amp;"!A2:A489"),MATCH(B97,INDIRECT(""&amp;C97&amp;"!B2:B489"),0))</f>
        <v>34</v>
      </c>
      <c r="I97" s="1">
        <f>IF(C97="RB",LeagueInfo!$D$4*LeagueInfo!$F$2,IF(C97="WR",LeagueInfo!$D$5*LeagueInfo!$F$2,IF(C97="TE",LeagueInfo!$D$6*LeagueInfo!$F$2,LeagueInfo!$D$3*LeagueInfo!$F$2)))</f>
        <v>24</v>
      </c>
    </row>
    <row r="98" spans="1:9" x14ac:dyDescent="0.25">
      <c r="A98" s="1">
        <f ca="1">RANK(E98,E$2:E$619)</f>
        <v>77</v>
      </c>
      <c r="B98" t="s">
        <v>189</v>
      </c>
      <c r="C98" t="s">
        <v>32</v>
      </c>
      <c r="D98" s="1">
        <f ca="1">INDEX(INDIRECT($C98&amp;"!O:O"),MATCH($B98,INDIRECT($C98&amp;"!B:B"),0))</f>
        <v>134.91000000000003</v>
      </c>
      <c r="E98" s="254">
        <f ca="1">D98-LARGE(D$2:D$619,RBCount+WRCount+TECount+QBCount)</f>
        <v>51.04000000000002</v>
      </c>
      <c r="F98" s="1" t="str">
        <f ca="1">IF(H98&lt;=I98,"Starter",IF(G98&gt;=LARGE(G:G,FlexOn*LeagueInfo!$F$2),"Starter","Bench"))</f>
        <v>Bench</v>
      </c>
      <c r="G98" s="1">
        <f ca="1">IF(H98&gt;I98,D98,0)</f>
        <v>134.91000000000003</v>
      </c>
      <c r="H98" s="1">
        <f ca="1">INDEX(INDIRECT(""&amp;C98&amp;"!A2:A489"),MATCH(B98,INDIRECT(""&amp;C98&amp;"!B2:B489"),0))</f>
        <v>25</v>
      </c>
      <c r="I98" s="1">
        <f>IF(C98="RB",LeagueInfo!$D$4*LeagueInfo!$F$2,IF(C98="WR",LeagueInfo!$D$5*LeagueInfo!$F$2,IF(C98="TE",LeagueInfo!$D$6*LeagueInfo!$F$2,LeagueInfo!$D$3*LeagueInfo!$F$2)))</f>
        <v>24</v>
      </c>
    </row>
    <row r="99" spans="1:9" x14ac:dyDescent="0.25">
      <c r="A99" s="1">
        <f ca="1">RANK(E99,E$2:E$619)</f>
        <v>112</v>
      </c>
      <c r="B99" t="s">
        <v>204</v>
      </c>
      <c r="C99" t="s">
        <v>47</v>
      </c>
      <c r="D99" s="1">
        <f ca="1">INDEX(INDIRECT($C99&amp;"!O:O"),MATCH($B99,INDIRECT($C99&amp;"!B:B"),0))</f>
        <v>109.99</v>
      </c>
      <c r="E99" s="254">
        <f ca="1">D99-LARGE(D$2:D$619,RBCount+WRCount+TECount+QBCount)</f>
        <v>26.11999999999999</v>
      </c>
      <c r="F99" s="1" t="str">
        <f ca="1">IF(H99&lt;=I99,"Starter",IF(G99&gt;=LARGE(G:G,FlexOn*LeagueInfo!$F$2),"Starter","Bench"))</f>
        <v>Starter</v>
      </c>
      <c r="G99" s="1">
        <f ca="1">IF(H99&gt;I99,D99,0)</f>
        <v>0</v>
      </c>
      <c r="H99" s="1">
        <f ca="1">INDEX(INDIRECT(""&amp;C99&amp;"!A2:A489"),MATCH(B99,INDIRECT(""&amp;C99&amp;"!B2:B489"),0))</f>
        <v>6</v>
      </c>
      <c r="I99" s="1">
        <f>IF(C99="RB",LeagueInfo!$D$4*LeagueInfo!$F$2,IF(C99="WR",LeagueInfo!$D$5*LeagueInfo!$F$2,IF(C99="TE",LeagueInfo!$D$6*LeagueInfo!$F$2,LeagueInfo!$D$3*LeagueInfo!$F$2)))</f>
        <v>12</v>
      </c>
    </row>
    <row r="100" spans="1:9" x14ac:dyDescent="0.25">
      <c r="A100" s="1">
        <f ca="1">RANK(E100,E$2:E$619)</f>
        <v>106</v>
      </c>
      <c r="B100" t="s">
        <v>265</v>
      </c>
      <c r="C100" t="s">
        <v>39</v>
      </c>
      <c r="D100" s="1">
        <f ca="1">INDEX(INDIRECT($C100&amp;"!O:O"),MATCH($B100,INDIRECT($C100&amp;"!B:B"),0))</f>
        <v>113.85</v>
      </c>
      <c r="E100" s="254">
        <f ca="1">D100-LARGE(D$2:D$619,RBCount+WRCount+TECount+QBCount)</f>
        <v>29.97999999999999</v>
      </c>
      <c r="F100" s="1" t="str">
        <f ca="1">IF(H100&lt;=I100,"Starter",IF(G100&gt;=LARGE(G:G,FlexOn*LeagueInfo!$F$2),"Starter","Bench"))</f>
        <v>Bench</v>
      </c>
      <c r="G100" s="1">
        <f ca="1">IF(H100&gt;I100,D100,0)</f>
        <v>113.85</v>
      </c>
      <c r="H100" s="1">
        <f ca="1">INDEX(INDIRECT(""&amp;C100&amp;"!A2:A489"),MATCH(B100,INDIRECT(""&amp;C100&amp;"!B2:B489"),0))</f>
        <v>37</v>
      </c>
      <c r="I100" s="1">
        <f>IF(C100="RB",LeagueInfo!$D$4*LeagueInfo!$F$2,IF(C100="WR",LeagueInfo!$D$5*LeagueInfo!$F$2,IF(C100="TE",LeagueInfo!$D$6*LeagueInfo!$F$2,LeagueInfo!$D$3*LeagueInfo!$F$2)))</f>
        <v>24</v>
      </c>
    </row>
    <row r="101" spans="1:9" x14ac:dyDescent="0.25">
      <c r="A101" s="1">
        <f ca="1">RANK(E101,E$2:E$619)</f>
        <v>85</v>
      </c>
      <c r="B101" t="s">
        <v>145</v>
      </c>
      <c r="C101" t="s">
        <v>32</v>
      </c>
      <c r="D101" s="1">
        <f ca="1">INDEX(INDIRECT($C101&amp;"!O:O"),MATCH($B101,INDIRECT($C101&amp;"!B:B"),0))</f>
        <v>129.82999999999998</v>
      </c>
      <c r="E101" s="254">
        <f ca="1">D101-LARGE(D$2:D$619,RBCount+WRCount+TECount+QBCount)</f>
        <v>45.95999999999998</v>
      </c>
      <c r="F101" s="1" t="str">
        <f ca="1">IF(H101&lt;=I101,"Starter",IF(G101&gt;=LARGE(G:G,FlexOn*LeagueInfo!$F$2),"Starter","Bench"))</f>
        <v>Bench</v>
      </c>
      <c r="G101" s="1">
        <f ca="1">IF(H101&gt;I101,D101,0)</f>
        <v>129.82999999999998</v>
      </c>
      <c r="H101" s="1">
        <f ca="1">INDEX(INDIRECT(""&amp;C101&amp;"!A2:A489"),MATCH(B101,INDIRECT(""&amp;C101&amp;"!B2:B489"),0))</f>
        <v>26</v>
      </c>
      <c r="I101" s="1">
        <f>IF(C101="RB",LeagueInfo!$D$4*LeagueInfo!$F$2,IF(C101="WR",LeagueInfo!$D$5*LeagueInfo!$F$2,IF(C101="TE",LeagueInfo!$D$6*LeagueInfo!$F$2,LeagueInfo!$D$3*LeagueInfo!$F$2)))</f>
        <v>24</v>
      </c>
    </row>
    <row r="102" spans="1:9" x14ac:dyDescent="0.25">
      <c r="A102" s="1">
        <f ca="1">RANK(E102,E$2:E$619)</f>
        <v>116</v>
      </c>
      <c r="B102" t="s">
        <v>215</v>
      </c>
      <c r="C102" t="s">
        <v>39</v>
      </c>
      <c r="D102" s="1">
        <f ca="1">INDEX(INDIRECT($C102&amp;"!O:O"),MATCH($B102,INDIRECT($C102&amp;"!B:B"),0))</f>
        <v>108.55</v>
      </c>
      <c r="E102" s="254">
        <f ca="1">D102-LARGE(D$2:D$619,RBCount+WRCount+TECount+QBCount)</f>
        <v>24.679999999999993</v>
      </c>
      <c r="F102" s="1" t="str">
        <f ca="1">IF(H102&lt;=I102,"Starter",IF(G102&gt;=LARGE(G:G,FlexOn*LeagueInfo!$F$2),"Starter","Bench"))</f>
        <v>Bench</v>
      </c>
      <c r="G102" s="1">
        <f ca="1">IF(H102&gt;I102,D102,0)</f>
        <v>108.55</v>
      </c>
      <c r="H102" s="1">
        <f ca="1">INDEX(INDIRECT(""&amp;C102&amp;"!A2:A489"),MATCH(B102,INDIRECT(""&amp;C102&amp;"!B2:B489"),0))</f>
        <v>42</v>
      </c>
      <c r="I102" s="1">
        <f>IF(C102="RB",LeagueInfo!$D$4*LeagueInfo!$F$2,IF(C102="WR",LeagueInfo!$D$5*LeagueInfo!$F$2,IF(C102="TE",LeagueInfo!$D$6*LeagueInfo!$F$2,LeagueInfo!$D$3*LeagueInfo!$F$2)))</f>
        <v>24</v>
      </c>
    </row>
    <row r="103" spans="1:9" x14ac:dyDescent="0.25">
      <c r="A103" s="1">
        <f ca="1">RANK(E103,E$2:E$619)</f>
        <v>110</v>
      </c>
      <c r="B103" t="s">
        <v>248</v>
      </c>
      <c r="C103" t="s">
        <v>39</v>
      </c>
      <c r="D103" s="1">
        <f ca="1">INDEX(INDIRECT($C103&amp;"!O:O"),MATCH($B103,INDIRECT($C103&amp;"!B:B"),0))</f>
        <v>111.28999999999999</v>
      </c>
      <c r="E103" s="254">
        <f ca="1">D103-LARGE(D$2:D$619,RBCount+WRCount+TECount+QBCount)</f>
        <v>27.419999999999987</v>
      </c>
      <c r="F103" s="1" t="str">
        <f ca="1">IF(H103&lt;=I103,"Starter",IF(G103&gt;=LARGE(G:G,FlexOn*LeagueInfo!$F$2),"Starter","Bench"))</f>
        <v>Bench</v>
      </c>
      <c r="G103" s="1">
        <f ca="1">IF(H103&gt;I103,D103,0)</f>
        <v>111.28999999999999</v>
      </c>
      <c r="H103" s="1">
        <f ca="1">INDEX(INDIRECT(""&amp;C103&amp;"!A2:A489"),MATCH(B103,INDIRECT(""&amp;C103&amp;"!B2:B489"),0))</f>
        <v>40</v>
      </c>
      <c r="I103" s="1">
        <f>IF(C103="RB",LeagueInfo!$D$4*LeagueInfo!$F$2,IF(C103="WR",LeagueInfo!$D$5*LeagueInfo!$F$2,IF(C103="TE",LeagueInfo!$D$6*LeagueInfo!$F$2,LeagueInfo!$D$3*LeagueInfo!$F$2)))</f>
        <v>24</v>
      </c>
    </row>
    <row r="104" spans="1:9" x14ac:dyDescent="0.25">
      <c r="A104" s="1">
        <f ca="1">RANK(E104,E$2:E$619)</f>
        <v>87</v>
      </c>
      <c r="B104" t="s">
        <v>205</v>
      </c>
      <c r="C104" t="s">
        <v>32</v>
      </c>
      <c r="D104" s="1">
        <f ca="1">INDEX(INDIRECT($C104&amp;"!O:O"),MATCH($B104,INDIRECT($C104&amp;"!B:B"),0))</f>
        <v>127.69</v>
      </c>
      <c r="E104" s="254">
        <f ca="1">D104-LARGE(D$2:D$619,RBCount+WRCount+TECount+QBCount)</f>
        <v>43.819999999999993</v>
      </c>
      <c r="F104" s="1" t="str">
        <f ca="1">IF(H104&lt;=I104,"Starter",IF(G104&gt;=LARGE(G:G,FlexOn*LeagueInfo!$F$2),"Starter","Bench"))</f>
        <v>Bench</v>
      </c>
      <c r="G104" s="1">
        <f ca="1">IF(H104&gt;I104,D104,0)</f>
        <v>127.69</v>
      </c>
      <c r="H104" s="1">
        <f ca="1">INDEX(INDIRECT(""&amp;C104&amp;"!A2:A489"),MATCH(B104,INDIRECT(""&amp;C104&amp;"!B2:B489"),0))</f>
        <v>27</v>
      </c>
      <c r="I104" s="1">
        <f>IF(C104="RB",LeagueInfo!$D$4*LeagueInfo!$F$2,IF(C104="WR",LeagueInfo!$D$5*LeagueInfo!$F$2,IF(C104="TE",LeagueInfo!$D$6*LeagueInfo!$F$2,LeagueInfo!$D$3*LeagueInfo!$F$2)))</f>
        <v>24</v>
      </c>
    </row>
    <row r="105" spans="1:9" x14ac:dyDescent="0.25">
      <c r="A105" s="1">
        <f ca="1">RANK(E105,E$2:E$619)</f>
        <v>107</v>
      </c>
      <c r="B105" t="s">
        <v>199</v>
      </c>
      <c r="C105" t="s">
        <v>39</v>
      </c>
      <c r="D105" s="1">
        <f ca="1">INDEX(INDIRECT($C105&amp;"!O:O"),MATCH($B105,INDIRECT($C105&amp;"!B:B"),0))</f>
        <v>113.36</v>
      </c>
      <c r="E105" s="254">
        <f ca="1">D105-LARGE(D$2:D$619,RBCount+WRCount+TECount+QBCount)</f>
        <v>29.489999999999995</v>
      </c>
      <c r="F105" s="1" t="str">
        <f ca="1">IF(H105&lt;=I105,"Starter",IF(G105&gt;=LARGE(G:G,FlexOn*LeagueInfo!$F$2),"Starter","Bench"))</f>
        <v>Bench</v>
      </c>
      <c r="G105" s="1">
        <f ca="1">IF(H105&gt;I105,D105,0)</f>
        <v>113.36</v>
      </c>
      <c r="H105" s="1">
        <f ca="1">INDEX(INDIRECT(""&amp;C105&amp;"!A2:A489"),MATCH(B105,INDIRECT(""&amp;C105&amp;"!B2:B489"),0))</f>
        <v>38</v>
      </c>
      <c r="I105" s="1">
        <f>IF(C105="RB",LeagueInfo!$D$4*LeagueInfo!$F$2,IF(C105="WR",LeagueInfo!$D$5*LeagueInfo!$F$2,IF(C105="TE",LeagueInfo!$D$6*LeagueInfo!$F$2,LeagueInfo!$D$3*LeagueInfo!$F$2)))</f>
        <v>24</v>
      </c>
    </row>
    <row r="106" spans="1:9" x14ac:dyDescent="0.25">
      <c r="A106" s="1">
        <f ca="1">RANK(E106,E$2:E$619)</f>
        <v>125</v>
      </c>
      <c r="B106" t="s">
        <v>223</v>
      </c>
      <c r="C106" t="s">
        <v>47</v>
      </c>
      <c r="D106" s="1">
        <f ca="1">INDEX(INDIRECT($C106&amp;"!O:O"),MATCH($B106,INDIRECT($C106&amp;"!B:B"),0))</f>
        <v>105.23</v>
      </c>
      <c r="E106" s="254">
        <f ca="1">D106-LARGE(D$2:D$619,RBCount+WRCount+TECount+QBCount)</f>
        <v>21.36</v>
      </c>
      <c r="F106" s="1" t="str">
        <f ca="1">IF(H106&lt;=I106,"Starter",IF(G106&gt;=LARGE(G:G,FlexOn*LeagueInfo!$F$2),"Starter","Bench"))</f>
        <v>Starter</v>
      </c>
      <c r="G106" s="1">
        <f ca="1">IF(H106&gt;I106,D106,0)</f>
        <v>0</v>
      </c>
      <c r="H106" s="1">
        <f ca="1">INDEX(INDIRECT(""&amp;C106&amp;"!A2:A489"),MATCH(B106,INDIRECT(""&amp;C106&amp;"!B2:B489"),0))</f>
        <v>9</v>
      </c>
      <c r="I106" s="1">
        <f>IF(C106="RB",LeagueInfo!$D$4*LeagueInfo!$F$2,IF(C106="WR",LeagueInfo!$D$5*LeagueInfo!$F$2,IF(C106="TE",LeagueInfo!$D$6*LeagueInfo!$F$2,LeagueInfo!$D$3*LeagueInfo!$F$2)))</f>
        <v>12</v>
      </c>
    </row>
    <row r="107" spans="1:9" x14ac:dyDescent="0.25">
      <c r="A107" s="1">
        <f ca="1">RANK(E107,E$2:E$619)</f>
        <v>105</v>
      </c>
      <c r="B107" t="s">
        <v>174</v>
      </c>
      <c r="C107" t="s">
        <v>39</v>
      </c>
      <c r="D107" s="1">
        <f ca="1">INDEX(INDIRECT($C107&amp;"!O:O"),MATCH($B107,INDIRECT($C107&amp;"!B:B"),0))</f>
        <v>115.07000000000001</v>
      </c>
      <c r="E107" s="254">
        <f ca="1">D107-LARGE(D$2:D$619,RBCount+WRCount+TECount+QBCount)</f>
        <v>31.200000000000003</v>
      </c>
      <c r="F107" s="1" t="str">
        <f ca="1">IF(H107&lt;=I107,"Starter",IF(G107&gt;=LARGE(G:G,FlexOn*LeagueInfo!$F$2),"Starter","Bench"))</f>
        <v>Bench</v>
      </c>
      <c r="G107" s="1">
        <f ca="1">IF(H107&gt;I107,D107,0)</f>
        <v>115.07000000000001</v>
      </c>
      <c r="H107" s="1">
        <f ca="1">INDEX(INDIRECT(""&amp;C107&amp;"!A2:A489"),MATCH(B107,INDIRECT(""&amp;C107&amp;"!B2:B489"),0))</f>
        <v>36</v>
      </c>
      <c r="I107" s="1">
        <f>IF(C107="RB",LeagueInfo!$D$4*LeagueInfo!$F$2,IF(C107="WR",LeagueInfo!$D$5*LeagueInfo!$F$2,IF(C107="TE",LeagueInfo!$D$6*LeagueInfo!$F$2,LeagueInfo!$D$3*LeagueInfo!$F$2)))</f>
        <v>24</v>
      </c>
    </row>
    <row r="108" spans="1:9" x14ac:dyDescent="0.25">
      <c r="A108" s="1">
        <f ca="1">RANK(E108,E$2:E$619)</f>
        <v>111</v>
      </c>
      <c r="B108" t="s">
        <v>194</v>
      </c>
      <c r="C108" t="s">
        <v>32</v>
      </c>
      <c r="D108" s="1">
        <f ca="1">INDEX(INDIRECT($C108&amp;"!O:O"),MATCH($B108,INDIRECT($C108&amp;"!B:B"),0))</f>
        <v>110.80000000000001</v>
      </c>
      <c r="E108" s="254">
        <f ca="1">D108-LARGE(D$2:D$619,RBCount+WRCount+TECount+QBCount)</f>
        <v>26.930000000000007</v>
      </c>
      <c r="F108" s="1" t="str">
        <f ca="1">IF(H108&lt;=I108,"Starter",IF(G108&gt;=LARGE(G:G,FlexOn*LeagueInfo!$F$2),"Starter","Bench"))</f>
        <v>Bench</v>
      </c>
      <c r="G108" s="1">
        <f ca="1">IF(H108&gt;I108,D108,0)</f>
        <v>110.80000000000001</v>
      </c>
      <c r="H108" s="1">
        <f ca="1">INDEX(INDIRECT(""&amp;C108&amp;"!A2:A489"),MATCH(B108,INDIRECT(""&amp;C108&amp;"!B2:B489"),0))</f>
        <v>34</v>
      </c>
      <c r="I108" s="1">
        <f>IF(C108="RB",LeagueInfo!$D$4*LeagueInfo!$F$2,IF(C108="WR",LeagueInfo!$D$5*LeagueInfo!$F$2,IF(C108="TE",LeagueInfo!$D$6*LeagueInfo!$F$2,LeagueInfo!$D$3*LeagueInfo!$F$2)))</f>
        <v>24</v>
      </c>
    </row>
    <row r="109" spans="1:9" x14ac:dyDescent="0.25">
      <c r="A109" s="1">
        <f ca="1">RANK(E109,E$2:E$619)</f>
        <v>114</v>
      </c>
      <c r="B109" t="s">
        <v>211</v>
      </c>
      <c r="C109" t="s">
        <v>32</v>
      </c>
      <c r="D109" s="1">
        <f ca="1">INDEX(INDIRECT($C109&amp;"!O:O"),MATCH($B109,INDIRECT($C109&amp;"!B:B"),0))</f>
        <v>109.46000000000001</v>
      </c>
      <c r="E109" s="254">
        <f ca="1">D109-LARGE(D$2:D$619,RBCount+WRCount+TECount+QBCount)</f>
        <v>25.590000000000003</v>
      </c>
      <c r="F109" s="1" t="str">
        <f ca="1">IF(H109&lt;=I109,"Starter",IF(G109&gt;=LARGE(G:G,FlexOn*LeagueInfo!$F$2),"Starter","Bench"))</f>
        <v>Bench</v>
      </c>
      <c r="G109" s="1">
        <f ca="1">IF(H109&gt;I109,D109,0)</f>
        <v>109.46000000000001</v>
      </c>
      <c r="H109" s="1">
        <f ca="1">INDEX(INDIRECT(""&amp;C109&amp;"!A2:A489"),MATCH(B109,INDIRECT(""&amp;C109&amp;"!B2:B489"),0))</f>
        <v>35</v>
      </c>
      <c r="I109" s="1">
        <f>IF(C109="RB",LeagueInfo!$D$4*LeagueInfo!$F$2,IF(C109="WR",LeagueInfo!$D$5*LeagueInfo!$F$2,IF(C109="TE",LeagueInfo!$D$6*LeagueInfo!$F$2,LeagueInfo!$D$3*LeagueInfo!$F$2)))</f>
        <v>24</v>
      </c>
    </row>
    <row r="110" spans="1:9" x14ac:dyDescent="0.25">
      <c r="A110" s="1">
        <f ca="1">RANK(E110,E$2:E$619)</f>
        <v>115</v>
      </c>
      <c r="B110" t="s">
        <v>161</v>
      </c>
      <c r="C110" t="s">
        <v>39</v>
      </c>
      <c r="D110" s="1">
        <f ca="1">INDEX(INDIRECT($C110&amp;"!O:O"),MATCH($B110,INDIRECT($C110&amp;"!B:B"),0))</f>
        <v>108.77</v>
      </c>
      <c r="E110" s="254">
        <f ca="1">D110-LARGE(D$2:D$619,RBCount+WRCount+TECount+QBCount)</f>
        <v>24.899999999999991</v>
      </c>
      <c r="F110" s="1" t="str">
        <f ca="1">IF(H110&lt;=I110,"Starter",IF(G110&gt;=LARGE(G:G,FlexOn*LeagueInfo!$F$2),"Starter","Bench"))</f>
        <v>Bench</v>
      </c>
      <c r="G110" s="1">
        <f ca="1">IF(H110&gt;I110,D110,0)</f>
        <v>108.77</v>
      </c>
      <c r="H110" s="1">
        <f ca="1">INDEX(INDIRECT(""&amp;C110&amp;"!A2:A489"),MATCH(B110,INDIRECT(""&amp;C110&amp;"!B2:B489"),0))</f>
        <v>41</v>
      </c>
      <c r="I110" s="1">
        <f>IF(C110="RB",LeagueInfo!$D$4*LeagueInfo!$F$2,IF(C110="WR",LeagueInfo!$D$5*LeagueInfo!$F$2,IF(C110="TE",LeagueInfo!$D$6*LeagueInfo!$F$2,LeagueInfo!$D$3*LeagueInfo!$F$2)))</f>
        <v>24</v>
      </c>
    </row>
    <row r="111" spans="1:9" x14ac:dyDescent="0.25">
      <c r="A111" s="1">
        <f ca="1">RANK(E111,E$2:E$619)</f>
        <v>109</v>
      </c>
      <c r="B111" t="s">
        <v>209</v>
      </c>
      <c r="C111" t="s">
        <v>39</v>
      </c>
      <c r="D111" s="1">
        <f ca="1">INDEX(INDIRECT($C111&amp;"!O:O"),MATCH($B111,INDIRECT($C111&amp;"!B:B"),0))</f>
        <v>111.69000000000001</v>
      </c>
      <c r="E111" s="254">
        <f ca="1">D111-LARGE(D$2:D$619,RBCount+WRCount+TECount+QBCount)</f>
        <v>27.820000000000007</v>
      </c>
      <c r="F111" s="1" t="str">
        <f ca="1">IF(H111&lt;=I111,"Starter",IF(G111&gt;=LARGE(G:G,FlexOn*LeagueInfo!$F$2),"Starter","Bench"))</f>
        <v>Bench</v>
      </c>
      <c r="G111" s="1">
        <f ca="1">IF(H111&gt;I111,D111,0)</f>
        <v>111.69000000000001</v>
      </c>
      <c r="H111" s="1">
        <f ca="1">INDEX(INDIRECT(""&amp;C111&amp;"!A2:A489"),MATCH(B111,INDIRECT(""&amp;C111&amp;"!B2:B489"),0))</f>
        <v>39</v>
      </c>
      <c r="I111" s="1">
        <f>IF(C111="RB",LeagueInfo!$D$4*LeagueInfo!$F$2,IF(C111="WR",LeagueInfo!$D$5*LeagueInfo!$F$2,IF(C111="TE",LeagueInfo!$D$6*LeagueInfo!$F$2,LeagueInfo!$D$3*LeagueInfo!$F$2)))</f>
        <v>24</v>
      </c>
    </row>
    <row r="112" spans="1:9" x14ac:dyDescent="0.25">
      <c r="A112" s="1">
        <f ca="1">RANK(E112,E$2:E$619)</f>
        <v>121</v>
      </c>
      <c r="B112" t="s">
        <v>266</v>
      </c>
      <c r="C112" t="s">
        <v>39</v>
      </c>
      <c r="D112" s="1">
        <f ca="1">INDEX(INDIRECT($C112&amp;"!O:O"),MATCH($B112,INDIRECT($C112&amp;"!B:B"),0))</f>
        <v>106.65</v>
      </c>
      <c r="E112" s="254">
        <f ca="1">D112-LARGE(D$2:D$619,RBCount+WRCount+TECount+QBCount)</f>
        <v>22.78</v>
      </c>
      <c r="F112" s="1" t="str">
        <f ca="1">IF(H112&lt;=I112,"Starter",IF(G112&gt;=LARGE(G:G,FlexOn*LeagueInfo!$F$2),"Starter","Bench"))</f>
        <v>Bench</v>
      </c>
      <c r="G112" s="1">
        <f ca="1">IF(H112&gt;I112,D112,0)</f>
        <v>106.65</v>
      </c>
      <c r="H112" s="1">
        <f ca="1">INDEX(INDIRECT(""&amp;C112&amp;"!A2:A489"),MATCH(B112,INDIRECT(""&amp;C112&amp;"!B2:B489"),0))</f>
        <v>44</v>
      </c>
      <c r="I112" s="1">
        <f>IF(C112="RB",LeagueInfo!$D$4*LeagueInfo!$F$2,IF(C112="WR",LeagueInfo!$D$5*LeagueInfo!$F$2,IF(C112="TE",LeagueInfo!$D$6*LeagueInfo!$F$2,LeagueInfo!$D$3*LeagueInfo!$F$2)))</f>
        <v>24</v>
      </c>
    </row>
    <row r="113" spans="1:9" x14ac:dyDescent="0.25">
      <c r="A113" s="1">
        <f ca="1">RANK(E113,E$2:E$619)</f>
        <v>113</v>
      </c>
      <c r="B113" t="s">
        <v>178</v>
      </c>
      <c r="C113" t="s">
        <v>47</v>
      </c>
      <c r="D113" s="1">
        <f ca="1">INDEX(INDIRECT($C113&amp;"!O:O"),MATCH($B113,INDIRECT($C113&amp;"!B:B"),0))</f>
        <v>109.92</v>
      </c>
      <c r="E113" s="254">
        <f ca="1">D113-LARGE(D$2:D$619,RBCount+WRCount+TECount+QBCount)</f>
        <v>26.049999999999997</v>
      </c>
      <c r="F113" s="1" t="str">
        <f ca="1">IF(H113&lt;=I113,"Starter",IF(G113&gt;=LARGE(G:G,FlexOn*LeagueInfo!$F$2),"Starter","Bench"))</f>
        <v>Starter</v>
      </c>
      <c r="G113" s="1">
        <f ca="1">IF(H113&gt;I113,D113,0)</f>
        <v>0</v>
      </c>
      <c r="H113" s="1">
        <f ca="1">INDEX(INDIRECT(""&amp;C113&amp;"!A2:A489"),MATCH(B113,INDIRECT(""&amp;C113&amp;"!B2:B489"),0))</f>
        <v>7</v>
      </c>
      <c r="I113" s="1">
        <f>IF(C113="RB",LeagueInfo!$D$4*LeagueInfo!$F$2,IF(C113="WR",LeagueInfo!$D$5*LeagueInfo!$F$2,IF(C113="TE",LeagueInfo!$D$6*LeagueInfo!$F$2,LeagueInfo!$D$3*LeagueInfo!$F$2)))</f>
        <v>12</v>
      </c>
    </row>
    <row r="114" spans="1:9" x14ac:dyDescent="0.25">
      <c r="A114" s="1">
        <f ca="1">RANK(E114,E$2:E$619)</f>
        <v>90</v>
      </c>
      <c r="B114" t="s">
        <v>173</v>
      </c>
      <c r="C114" t="s">
        <v>32</v>
      </c>
      <c r="D114" s="1">
        <f ca="1">INDEX(INDIRECT($C114&amp;"!O:O"),MATCH($B114,INDIRECT($C114&amp;"!B:B"),0))</f>
        <v>125.64000000000001</v>
      </c>
      <c r="E114" s="254">
        <f ca="1">D114-LARGE(D$2:D$619,RBCount+WRCount+TECount+QBCount)</f>
        <v>41.77000000000001</v>
      </c>
      <c r="F114" s="1" t="str">
        <f ca="1">IF(H114&lt;=I114,"Starter",IF(G114&gt;=LARGE(G:G,FlexOn*LeagueInfo!$F$2),"Starter","Bench"))</f>
        <v>Bench</v>
      </c>
      <c r="G114" s="1">
        <f ca="1">IF(H114&gt;I114,D114,0)</f>
        <v>125.64000000000001</v>
      </c>
      <c r="H114" s="1">
        <f ca="1">INDEX(INDIRECT(""&amp;C114&amp;"!A2:A489"),MATCH(B114,INDIRECT(""&amp;C114&amp;"!B2:B489"),0))</f>
        <v>28</v>
      </c>
      <c r="I114" s="1">
        <f>IF(C114="RB",LeagueInfo!$D$4*LeagueInfo!$F$2,IF(C114="WR",LeagueInfo!$D$5*LeagueInfo!$F$2,IF(C114="TE",LeagueInfo!$D$6*LeagueInfo!$F$2,LeagueInfo!$D$3*LeagueInfo!$F$2)))</f>
        <v>24</v>
      </c>
    </row>
    <row r="115" spans="1:9" x14ac:dyDescent="0.25">
      <c r="A115" s="1">
        <f ca="1">RANK(E115,E$2:E$619)</f>
        <v>124</v>
      </c>
      <c r="B115" t="s">
        <v>267</v>
      </c>
      <c r="C115" t="s">
        <v>39</v>
      </c>
      <c r="D115" s="1">
        <f ca="1">INDEX(INDIRECT($C115&amp;"!O:O"),MATCH($B115,INDIRECT($C115&amp;"!B:B"),0))</f>
        <v>105.73</v>
      </c>
      <c r="E115" s="254">
        <f ca="1">D115-LARGE(D$2:D$619,RBCount+WRCount+TECount+QBCount)</f>
        <v>21.86</v>
      </c>
      <c r="F115" s="1" t="str">
        <f ca="1">IF(H115&lt;=I115,"Starter",IF(G115&gt;=LARGE(G:G,FlexOn*LeagueInfo!$F$2),"Starter","Bench"))</f>
        <v>Bench</v>
      </c>
      <c r="G115" s="1">
        <f ca="1">IF(H115&gt;I115,D115,0)</f>
        <v>105.73</v>
      </c>
      <c r="H115" s="1">
        <f ca="1">INDEX(INDIRECT(""&amp;C115&amp;"!A2:A489"),MATCH(B115,INDIRECT(""&amp;C115&amp;"!B2:B489"),0))</f>
        <v>45</v>
      </c>
      <c r="I115" s="1">
        <f>IF(C115="RB",LeagueInfo!$D$4*LeagueInfo!$F$2,IF(C115="WR",LeagueInfo!$D$5*LeagueInfo!$F$2,IF(C115="TE",LeagueInfo!$D$6*LeagueInfo!$F$2,LeagueInfo!$D$3*LeagueInfo!$F$2)))</f>
        <v>24</v>
      </c>
    </row>
    <row r="116" spans="1:9" x14ac:dyDescent="0.25">
      <c r="A116" s="1">
        <f ca="1">RANK(E116,E$2:E$619)</f>
        <v>122</v>
      </c>
      <c r="B116" t="s">
        <v>177</v>
      </c>
      <c r="C116" t="s">
        <v>47</v>
      </c>
      <c r="D116" s="1">
        <f ca="1">INDEX(INDIRECT($C116&amp;"!O:O"),MATCH($B116,INDIRECT($C116&amp;"!B:B"),0))</f>
        <v>106.49</v>
      </c>
      <c r="E116" s="254">
        <f ca="1">D116-LARGE(D$2:D$619,RBCount+WRCount+TECount+QBCount)</f>
        <v>22.61999999999999</v>
      </c>
      <c r="F116" s="1" t="str">
        <f ca="1">IF(H116&lt;=I116,"Starter",IF(G116&gt;=LARGE(G:G,FlexOn*LeagueInfo!$F$2),"Starter","Bench"))</f>
        <v>Starter</v>
      </c>
      <c r="G116" s="1">
        <f ca="1">IF(H116&gt;I116,D116,0)</f>
        <v>0</v>
      </c>
      <c r="H116" s="1">
        <f ca="1">INDEX(INDIRECT(""&amp;C116&amp;"!A2:A489"),MATCH(B116,INDIRECT(""&amp;C116&amp;"!B2:B489"),0))</f>
        <v>8</v>
      </c>
      <c r="I116" s="1">
        <f>IF(C116="RB",LeagueInfo!$D$4*LeagueInfo!$F$2,IF(C116="WR",LeagueInfo!$D$5*LeagueInfo!$F$2,IF(C116="TE",LeagueInfo!$D$6*LeagueInfo!$F$2,LeagueInfo!$D$3*LeagueInfo!$F$2)))</f>
        <v>12</v>
      </c>
    </row>
    <row r="117" spans="1:9" x14ac:dyDescent="0.25">
      <c r="A117" s="1">
        <f ca="1">RANK(E117,E$2:E$619)</f>
        <v>119</v>
      </c>
      <c r="B117" t="s">
        <v>227</v>
      </c>
      <c r="C117" t="s">
        <v>39</v>
      </c>
      <c r="D117" s="1">
        <f ca="1">INDEX(INDIRECT($C117&amp;"!O:O"),MATCH($B117,INDIRECT($C117&amp;"!B:B"),0))</f>
        <v>107.61000000000001</v>
      </c>
      <c r="E117" s="254">
        <f ca="1">D117-LARGE(D$2:D$619,RBCount+WRCount+TECount+QBCount)</f>
        <v>23.740000000000009</v>
      </c>
      <c r="F117" s="1" t="str">
        <f ca="1">IF(H117&lt;=I117,"Starter",IF(G117&gt;=LARGE(G:G,FlexOn*LeagueInfo!$F$2),"Starter","Bench"))</f>
        <v>Bench</v>
      </c>
      <c r="G117" s="1">
        <f ca="1">IF(H117&gt;I117,D117,0)</f>
        <v>107.61000000000001</v>
      </c>
      <c r="H117" s="1">
        <f ca="1">INDEX(INDIRECT(""&amp;C117&amp;"!A2:A489"),MATCH(B117,INDIRECT(""&amp;C117&amp;"!B2:B489"),0))</f>
        <v>43</v>
      </c>
      <c r="I117" s="1">
        <f>IF(C117="RB",LeagueInfo!$D$4*LeagueInfo!$F$2,IF(C117="WR",LeagueInfo!$D$5*LeagueInfo!$F$2,IF(C117="TE",LeagueInfo!$D$6*LeagueInfo!$F$2,LeagueInfo!$D$3*LeagueInfo!$F$2)))</f>
        <v>24</v>
      </c>
    </row>
    <row r="118" spans="1:9" x14ac:dyDescent="0.25">
      <c r="A118" s="1">
        <f ca="1">RANK(E118,E$2:E$619)</f>
        <v>123</v>
      </c>
      <c r="B118" t="s">
        <v>433</v>
      </c>
      <c r="C118" t="s">
        <v>32</v>
      </c>
      <c r="D118" s="1">
        <f ca="1">INDEX(INDIRECT($C118&amp;"!O:O"),MATCH($B118,INDIRECT($C118&amp;"!B:B"),0))</f>
        <v>105.85</v>
      </c>
      <c r="E118" s="254">
        <f ca="1">D118-LARGE(D$2:D$619,RBCount+WRCount+TECount+QBCount)</f>
        <v>21.97999999999999</v>
      </c>
      <c r="F118" s="1" t="str">
        <f ca="1">IF(H118&lt;=I118,"Starter",IF(G118&gt;=LARGE(G:G,FlexOn*LeagueInfo!$F$2),"Starter","Bench"))</f>
        <v>Bench</v>
      </c>
      <c r="G118" s="1">
        <f ca="1">IF(H118&gt;I118,D118,0)</f>
        <v>105.85</v>
      </c>
      <c r="H118" s="1">
        <f ca="1">INDEX(INDIRECT(""&amp;C118&amp;"!A2:A489"),MATCH(B118,INDIRECT(""&amp;C118&amp;"!B2:B489"),0))</f>
        <v>39</v>
      </c>
      <c r="I118" s="1">
        <f>IF(C118="RB",LeagueInfo!$D$4*LeagueInfo!$F$2,IF(C118="WR",LeagueInfo!$D$5*LeagueInfo!$F$2,IF(C118="TE",LeagueInfo!$D$6*LeagueInfo!$F$2,LeagueInfo!$D$3*LeagueInfo!$F$2)))</f>
        <v>24</v>
      </c>
    </row>
    <row r="119" spans="1:9" x14ac:dyDescent="0.25">
      <c r="A119" s="1">
        <f ca="1">RANK(E119,E$2:E$619)</f>
        <v>127</v>
      </c>
      <c r="B119" t="s">
        <v>184</v>
      </c>
      <c r="C119" t="s">
        <v>47</v>
      </c>
      <c r="D119" s="1">
        <f ca="1">INDEX(INDIRECT($C119&amp;"!O:O"),MATCH($B119,INDIRECT($C119&amp;"!B:B"),0))</f>
        <v>103.67</v>
      </c>
      <c r="E119" s="254">
        <f ca="1">D119-LARGE(D$2:D$619,RBCount+WRCount+TECount+QBCount)</f>
        <v>19.799999999999997</v>
      </c>
      <c r="F119" s="1" t="str">
        <f ca="1">IF(H119&lt;=I119,"Starter",IF(G119&gt;=LARGE(G:G,FlexOn*LeagueInfo!$F$2),"Starter","Bench"))</f>
        <v>Starter</v>
      </c>
      <c r="G119" s="1">
        <f ca="1">IF(H119&gt;I119,D119,0)</f>
        <v>0</v>
      </c>
      <c r="H119" s="1">
        <f ca="1">INDEX(INDIRECT(""&amp;C119&amp;"!A2:A489"),MATCH(B119,INDIRECT(""&amp;C119&amp;"!B2:B489"),0))</f>
        <v>10</v>
      </c>
      <c r="I119" s="1">
        <f>IF(C119="RB",LeagueInfo!$D$4*LeagueInfo!$F$2,IF(C119="WR",LeagueInfo!$D$5*LeagueInfo!$F$2,IF(C119="TE",LeagueInfo!$D$6*LeagueInfo!$F$2,LeagueInfo!$D$3*LeagueInfo!$F$2)))</f>
        <v>12</v>
      </c>
    </row>
    <row r="120" spans="1:9" x14ac:dyDescent="0.25">
      <c r="A120" s="1">
        <f ca="1">RANK(E120,E$2:E$619)</f>
        <v>96</v>
      </c>
      <c r="B120" t="s">
        <v>132</v>
      </c>
      <c r="C120" t="s">
        <v>32</v>
      </c>
      <c r="D120" s="1">
        <f ca="1">INDEX(INDIRECT($C120&amp;"!O:O"),MATCH($B120,INDIRECT($C120&amp;"!B:B"),0))</f>
        <v>121.89000000000001</v>
      </c>
      <c r="E120" s="254">
        <f ca="1">D120-LARGE(D$2:D$619,RBCount+WRCount+TECount+QBCount)</f>
        <v>38.02000000000001</v>
      </c>
      <c r="F120" s="1" t="str">
        <f ca="1">IF(H120&lt;=I120,"Starter",IF(G120&gt;=LARGE(G:G,FlexOn*LeagueInfo!$F$2),"Starter","Bench"))</f>
        <v>Bench</v>
      </c>
      <c r="G120" s="1">
        <f ca="1">IF(H120&gt;I120,D120,0)</f>
        <v>121.89000000000001</v>
      </c>
      <c r="H120" s="1">
        <f ca="1">INDEX(INDIRECT(""&amp;C120&amp;"!A2:A489"),MATCH(B120,INDIRECT(""&amp;C120&amp;"!B2:B489"),0))</f>
        <v>31</v>
      </c>
      <c r="I120" s="1">
        <f>IF(C120="RB",LeagueInfo!$D$4*LeagueInfo!$F$2,IF(C120="WR",LeagueInfo!$D$5*LeagueInfo!$F$2,IF(C120="TE",LeagueInfo!$D$6*LeagueInfo!$F$2,LeagueInfo!$D$3*LeagueInfo!$F$2)))</f>
        <v>24</v>
      </c>
    </row>
    <row r="121" spans="1:9" x14ac:dyDescent="0.25">
      <c r="A121" s="1">
        <f ca="1">RANK(E121,E$2:E$619)</f>
        <v>131</v>
      </c>
      <c r="B121" t="s">
        <v>249</v>
      </c>
      <c r="C121" t="s">
        <v>39</v>
      </c>
      <c r="D121" s="1">
        <f ca="1">INDEX(INDIRECT($C121&amp;"!O:O"),MATCH($B121,INDIRECT($C121&amp;"!B:B"),0))</f>
        <v>101.13</v>
      </c>
      <c r="E121" s="254">
        <f ca="1">D121-LARGE(D$2:D$619,RBCount+WRCount+TECount+QBCount)</f>
        <v>17.259999999999991</v>
      </c>
      <c r="F121" s="1" t="str">
        <f ca="1">IF(H121&lt;=I121,"Starter",IF(G121&gt;=LARGE(G:G,FlexOn*LeagueInfo!$F$2),"Starter","Bench"))</f>
        <v>Bench</v>
      </c>
      <c r="G121" s="1">
        <f ca="1">IF(H121&gt;I121,D121,0)</f>
        <v>101.13</v>
      </c>
      <c r="H121" s="1">
        <f ca="1">INDEX(INDIRECT(""&amp;C121&amp;"!A2:A489"),MATCH(B121,INDIRECT(""&amp;C121&amp;"!B2:B489"),0))</f>
        <v>49</v>
      </c>
      <c r="I121" s="1">
        <f>IF(C121="RB",LeagueInfo!$D$4*LeagueInfo!$F$2,IF(C121="WR",LeagueInfo!$D$5*LeagueInfo!$F$2,IF(C121="TE",LeagueInfo!$D$6*LeagueInfo!$F$2,LeagueInfo!$D$3*LeagueInfo!$F$2)))</f>
        <v>24</v>
      </c>
    </row>
    <row r="122" spans="1:9" x14ac:dyDescent="0.25">
      <c r="A122" s="1">
        <f ca="1">RANK(E122,E$2:E$619)</f>
        <v>93</v>
      </c>
      <c r="B122" t="s">
        <v>140</v>
      </c>
      <c r="C122" t="s">
        <v>32</v>
      </c>
      <c r="D122" s="1">
        <f ca="1">INDEX(INDIRECT($C122&amp;"!O:O"),MATCH($B122,INDIRECT($C122&amp;"!B:B"),0))</f>
        <v>124.42999999999999</v>
      </c>
      <c r="E122" s="254">
        <f ca="1">D122-LARGE(D$2:D$619,RBCount+WRCount+TECount+QBCount)</f>
        <v>40.559999999999988</v>
      </c>
      <c r="F122" s="1" t="str">
        <f ca="1">IF(H122&lt;=I122,"Starter",IF(G122&gt;=LARGE(G:G,FlexOn*LeagueInfo!$F$2),"Starter","Bench"))</f>
        <v>Bench</v>
      </c>
      <c r="G122" s="1">
        <f ca="1">IF(H122&gt;I122,D122,0)</f>
        <v>124.42999999999999</v>
      </c>
      <c r="H122" s="1">
        <f ca="1">INDEX(INDIRECT(""&amp;C122&amp;"!A2:A489"),MATCH(B122,INDIRECT(""&amp;C122&amp;"!B2:B489"),0))</f>
        <v>29</v>
      </c>
      <c r="I122" s="1">
        <f>IF(C122="RB",LeagueInfo!$D$4*LeagueInfo!$F$2,IF(C122="WR",LeagueInfo!$D$5*LeagueInfo!$F$2,IF(C122="TE",LeagueInfo!$D$6*LeagueInfo!$F$2,LeagueInfo!$D$3*LeagueInfo!$F$2)))</f>
        <v>24</v>
      </c>
    </row>
    <row r="123" spans="1:9" x14ac:dyDescent="0.25">
      <c r="A123" s="1">
        <f ca="1">RANK(E123,E$2:E$619)</f>
        <v>95</v>
      </c>
      <c r="B123" t="s">
        <v>432</v>
      </c>
      <c r="C123" t="s">
        <v>32</v>
      </c>
      <c r="D123" s="1">
        <f ca="1">INDEX(INDIRECT($C123&amp;"!O:O"),MATCH($B123,INDIRECT($C123&amp;"!B:B"),0))</f>
        <v>122.32</v>
      </c>
      <c r="E123" s="254">
        <f ca="1">D123-LARGE(D$2:D$619,RBCount+WRCount+TECount+QBCount)</f>
        <v>38.449999999999989</v>
      </c>
      <c r="F123" s="1" t="str">
        <f ca="1">IF(H123&lt;=I123,"Starter",IF(G123&gt;=LARGE(G:G,FlexOn*LeagueInfo!$F$2),"Starter","Bench"))</f>
        <v>Bench</v>
      </c>
      <c r="G123" s="1">
        <f ca="1">IF(H123&gt;I123,D123,0)</f>
        <v>122.32</v>
      </c>
      <c r="H123" s="1">
        <f ca="1">INDEX(INDIRECT(""&amp;C123&amp;"!A2:A489"),MATCH(B123,INDIRECT(""&amp;C123&amp;"!B2:B489"),0))</f>
        <v>30</v>
      </c>
      <c r="I123" s="1">
        <f>IF(C123="RB",LeagueInfo!$D$4*LeagueInfo!$F$2,IF(C123="WR",LeagueInfo!$D$5*LeagueInfo!$F$2,IF(C123="TE",LeagueInfo!$D$6*LeagueInfo!$F$2,LeagueInfo!$D$3*LeagueInfo!$F$2)))</f>
        <v>24</v>
      </c>
    </row>
    <row r="124" spans="1:9" x14ac:dyDescent="0.25">
      <c r="A124" s="1">
        <f ca="1">RANK(E124,E$2:E$619)</f>
        <v>130</v>
      </c>
      <c r="B124" t="s">
        <v>555</v>
      </c>
      <c r="C124" t="s">
        <v>39</v>
      </c>
      <c r="D124" s="1">
        <f ca="1">INDEX(INDIRECT($C124&amp;"!O:O"),MATCH($B124,INDIRECT($C124&amp;"!B:B"),0))</f>
        <v>101.36</v>
      </c>
      <c r="E124" s="254">
        <f ca="1">D124-LARGE(D$2:D$619,RBCount+WRCount+TECount+QBCount)</f>
        <v>17.489999999999995</v>
      </c>
      <c r="F124" s="1" t="str">
        <f ca="1">IF(H124&lt;=I124,"Starter",IF(G124&gt;=LARGE(G:G,FlexOn*LeagueInfo!$F$2),"Starter","Bench"))</f>
        <v>Bench</v>
      </c>
      <c r="G124" s="1">
        <f ca="1">IF(H124&gt;I124,D124,0)</f>
        <v>101.36</v>
      </c>
      <c r="H124" s="1">
        <f ca="1">INDEX(INDIRECT(""&amp;C124&amp;"!A2:A489"),MATCH(B124,INDIRECT(""&amp;C124&amp;"!B2:B489"),0))</f>
        <v>48</v>
      </c>
      <c r="I124" s="1">
        <f>IF(C124="RB",LeagueInfo!$D$4*LeagueInfo!$F$2,IF(C124="WR",LeagueInfo!$D$5*LeagueInfo!$F$2,IF(C124="TE",LeagueInfo!$D$6*LeagueInfo!$F$2,LeagueInfo!$D$3*LeagueInfo!$F$2)))</f>
        <v>24</v>
      </c>
    </row>
    <row r="125" spans="1:9" x14ac:dyDescent="0.25">
      <c r="A125" s="1">
        <f ca="1">RANK(E125,E$2:E$619)</f>
        <v>128</v>
      </c>
      <c r="B125" t="s">
        <v>551</v>
      </c>
      <c r="C125" t="s">
        <v>39</v>
      </c>
      <c r="D125" s="1">
        <f ca="1">INDEX(INDIRECT($C125&amp;"!O:O"),MATCH($B125,INDIRECT($C125&amp;"!B:B"),0))</f>
        <v>103.55</v>
      </c>
      <c r="E125" s="254">
        <f ca="1">D125-LARGE(D$2:D$619,RBCount+WRCount+TECount+QBCount)</f>
        <v>19.679999999999993</v>
      </c>
      <c r="F125" s="1" t="str">
        <f ca="1">IF(H125&lt;=I125,"Starter",IF(G125&gt;=LARGE(G:G,FlexOn*LeagueInfo!$F$2),"Starter","Bench"))</f>
        <v>Bench</v>
      </c>
      <c r="G125" s="1">
        <f ca="1">IF(H125&gt;I125,D125,0)</f>
        <v>103.55</v>
      </c>
      <c r="H125" s="1">
        <f ca="1">INDEX(INDIRECT(""&amp;C125&amp;"!A2:A489"),MATCH(B125,INDIRECT(""&amp;C125&amp;"!B2:B489"),0))</f>
        <v>46</v>
      </c>
      <c r="I125" s="1">
        <f>IF(C125="RB",LeagueInfo!$D$4*LeagueInfo!$F$2,IF(C125="WR",LeagueInfo!$D$5*LeagueInfo!$F$2,IF(C125="TE",LeagueInfo!$D$6*LeagueInfo!$F$2,LeagueInfo!$D$3*LeagueInfo!$F$2)))</f>
        <v>24</v>
      </c>
    </row>
    <row r="126" spans="1:9" x14ac:dyDescent="0.25">
      <c r="A126" s="1">
        <f ca="1">RANK(E126,E$2:E$619)</f>
        <v>137</v>
      </c>
      <c r="B126" t="s">
        <v>268</v>
      </c>
      <c r="C126" t="s">
        <v>47</v>
      </c>
      <c r="D126" s="1">
        <f ca="1">INDEX(INDIRECT($C126&amp;"!O:O"),MATCH($B126,INDIRECT($C126&amp;"!B:B"),0))</f>
        <v>95.47</v>
      </c>
      <c r="E126" s="254">
        <f ca="1">D126-LARGE(D$2:D$619,RBCount+WRCount+TECount+QBCount)</f>
        <v>11.599999999999994</v>
      </c>
      <c r="F126" s="1" t="str">
        <f ca="1">IF(H126&lt;=I126,"Starter",IF(G126&gt;=LARGE(G:G,FlexOn*LeagueInfo!$F$2),"Starter","Bench"))</f>
        <v>Starter</v>
      </c>
      <c r="G126" s="1">
        <f ca="1">IF(H126&gt;I126,D126,0)</f>
        <v>0</v>
      </c>
      <c r="H126" s="1">
        <f ca="1">INDEX(INDIRECT(""&amp;C126&amp;"!A2:A489"),MATCH(B126,INDIRECT(""&amp;C126&amp;"!B2:B489"),0))</f>
        <v>12</v>
      </c>
      <c r="I126" s="1">
        <f>IF(C126="RB",LeagueInfo!$D$4*LeagueInfo!$F$2,IF(C126="WR",LeagueInfo!$D$5*LeagueInfo!$F$2,IF(C126="TE",LeagueInfo!$D$6*LeagueInfo!$F$2,LeagueInfo!$D$3*LeagueInfo!$F$2)))</f>
        <v>12</v>
      </c>
    </row>
    <row r="127" spans="1:9" x14ac:dyDescent="0.25">
      <c r="A127" s="1">
        <f ca="1">RANK(E127,E$2:E$619)</f>
        <v>132</v>
      </c>
      <c r="B127" t="s">
        <v>210</v>
      </c>
      <c r="C127" t="s">
        <v>39</v>
      </c>
      <c r="D127" s="1">
        <f ca="1">INDEX(INDIRECT($C127&amp;"!O:O"),MATCH($B127,INDIRECT($C127&amp;"!B:B"),0))</f>
        <v>100.25</v>
      </c>
      <c r="E127" s="254">
        <f ca="1">D127-LARGE(D$2:D$619,RBCount+WRCount+TECount+QBCount)</f>
        <v>16.379999999999995</v>
      </c>
      <c r="F127" s="1" t="str">
        <f ca="1">IF(H127&lt;=I127,"Starter",IF(G127&gt;=LARGE(G:G,FlexOn*LeagueInfo!$F$2),"Starter","Bench"))</f>
        <v>Bench</v>
      </c>
      <c r="G127" s="1">
        <f ca="1">IF(H127&gt;I127,D127,0)</f>
        <v>100.25</v>
      </c>
      <c r="H127" s="1">
        <f ca="1">INDEX(INDIRECT(""&amp;C127&amp;"!A2:A489"),MATCH(B127,INDIRECT(""&amp;C127&amp;"!B2:B489"),0))</f>
        <v>50</v>
      </c>
      <c r="I127" s="1">
        <f>IF(C127="RB",LeagueInfo!$D$4*LeagueInfo!$F$2,IF(C127="WR",LeagueInfo!$D$5*LeagueInfo!$F$2,IF(C127="TE",LeagueInfo!$D$6*LeagueInfo!$F$2,LeagueInfo!$D$3*LeagueInfo!$F$2)))</f>
        <v>24</v>
      </c>
    </row>
    <row r="128" spans="1:9" x14ac:dyDescent="0.25">
      <c r="A128" s="1">
        <f ca="1">RANK(E128,E$2:E$619)</f>
        <v>129</v>
      </c>
      <c r="B128" t="s">
        <v>308</v>
      </c>
      <c r="C128" t="s">
        <v>39</v>
      </c>
      <c r="D128" s="1">
        <f ca="1">INDEX(INDIRECT($C128&amp;"!O:O"),MATCH($B128,INDIRECT($C128&amp;"!B:B"),0))</f>
        <v>101.86</v>
      </c>
      <c r="E128" s="254">
        <f ca="1">D128-LARGE(D$2:D$619,RBCount+WRCount+TECount+QBCount)</f>
        <v>17.989999999999995</v>
      </c>
      <c r="F128" s="1" t="str">
        <f ca="1">IF(H128&lt;=I128,"Starter",IF(G128&gt;=LARGE(G:G,FlexOn*LeagueInfo!$F$2),"Starter","Bench"))</f>
        <v>Bench</v>
      </c>
      <c r="G128" s="1">
        <f ca="1">IF(H128&gt;I128,D128,0)</f>
        <v>101.86</v>
      </c>
      <c r="H128" s="1">
        <f ca="1">INDEX(INDIRECT(""&amp;C128&amp;"!A2:A489"),MATCH(B128,INDIRECT(""&amp;C128&amp;"!B2:B489"),0))</f>
        <v>47</v>
      </c>
      <c r="I128" s="1">
        <f>IF(C128="RB",LeagueInfo!$D$4*LeagueInfo!$F$2,IF(C128="WR",LeagueInfo!$D$5*LeagueInfo!$F$2,IF(C128="TE",LeagueInfo!$D$6*LeagueInfo!$F$2,LeagueInfo!$D$3*LeagueInfo!$F$2)))</f>
        <v>24</v>
      </c>
    </row>
    <row r="129" spans="1:9" x14ac:dyDescent="0.25">
      <c r="A129" s="1">
        <f ca="1">RANK(E129,E$2:E$619)</f>
        <v>138</v>
      </c>
      <c r="B129" t="s">
        <v>280</v>
      </c>
      <c r="C129" t="s">
        <v>39</v>
      </c>
      <c r="D129" s="1">
        <f ca="1">INDEX(INDIRECT($C129&amp;"!O:O"),MATCH($B129,INDIRECT($C129&amp;"!B:B"),0))</f>
        <v>94.030000000000015</v>
      </c>
      <c r="E129" s="254">
        <f ca="1">D129-LARGE(D$2:D$619,RBCount+WRCount+TECount+QBCount)</f>
        <v>10.160000000000011</v>
      </c>
      <c r="F129" s="1" t="str">
        <f ca="1">IF(H129&lt;=I129,"Starter",IF(G129&gt;=LARGE(G:G,FlexOn*LeagueInfo!$F$2),"Starter","Bench"))</f>
        <v>Bench</v>
      </c>
      <c r="G129" s="1">
        <f ca="1">IF(H129&gt;I129,D129,0)</f>
        <v>94.030000000000015</v>
      </c>
      <c r="H129" s="1">
        <f ca="1">INDEX(INDIRECT(""&amp;C129&amp;"!A2:A489"),MATCH(B129,INDIRECT(""&amp;C129&amp;"!B2:B489"),0))</f>
        <v>53</v>
      </c>
      <c r="I129" s="1">
        <f>IF(C129="RB",LeagueInfo!$D$4*LeagueInfo!$F$2,IF(C129="WR",LeagueInfo!$D$5*LeagueInfo!$F$2,IF(C129="TE",LeagueInfo!$D$6*LeagueInfo!$F$2,LeagueInfo!$D$3*LeagueInfo!$F$2)))</f>
        <v>24</v>
      </c>
    </row>
    <row r="130" spans="1:9" x14ac:dyDescent="0.25">
      <c r="A130" s="1">
        <f ca="1">RANK(E130,E$2:E$619)</f>
        <v>104</v>
      </c>
      <c r="B130" t="s">
        <v>158</v>
      </c>
      <c r="C130" t="s">
        <v>32</v>
      </c>
      <c r="D130" s="1">
        <f ca="1">INDEX(INDIRECT($C130&amp;"!O:O"),MATCH($B130,INDIRECT($C130&amp;"!B:B"),0))</f>
        <v>115.21</v>
      </c>
      <c r="E130" s="254">
        <f ca="1">D130-LARGE(D$2:D$619,RBCount+WRCount+TECount+QBCount)</f>
        <v>31.339999999999989</v>
      </c>
      <c r="F130" s="1" t="str">
        <f ca="1">IF(H130&lt;=I130,"Starter",IF(G130&gt;=LARGE(G:G,FlexOn*LeagueInfo!$F$2),"Starter","Bench"))</f>
        <v>Bench</v>
      </c>
      <c r="G130" s="1">
        <f ca="1">IF(H130&gt;I130,D130,0)</f>
        <v>115.21</v>
      </c>
      <c r="H130" s="1">
        <f ca="1">INDEX(INDIRECT(""&amp;C130&amp;"!A2:A489"),MATCH(B130,INDIRECT(""&amp;C130&amp;"!B2:B489"),0))</f>
        <v>32</v>
      </c>
      <c r="I130" s="1">
        <f>IF(C130="RB",LeagueInfo!$D$4*LeagueInfo!$F$2,IF(C130="WR",LeagueInfo!$D$5*LeagueInfo!$F$2,IF(C130="TE",LeagueInfo!$D$6*LeagueInfo!$F$2,LeagueInfo!$D$3*LeagueInfo!$F$2)))</f>
        <v>24</v>
      </c>
    </row>
    <row r="131" spans="1:9" x14ac:dyDescent="0.25">
      <c r="A131" s="1">
        <f ca="1">RANK(E131,E$2:E$619)</f>
        <v>133</v>
      </c>
      <c r="B131" t="s">
        <v>226</v>
      </c>
      <c r="C131" t="s">
        <v>47</v>
      </c>
      <c r="D131" s="1">
        <f ca="1">INDEX(INDIRECT($C131&amp;"!O:O"),MATCH($B131,INDIRECT($C131&amp;"!B:B"),0))</f>
        <v>99.3</v>
      </c>
      <c r="E131" s="254">
        <f ca="1">D131-LARGE(D$2:D$619,RBCount+WRCount+TECount+QBCount)</f>
        <v>15.429999999999993</v>
      </c>
      <c r="F131" s="1" t="str">
        <f ca="1">IF(H131&lt;=I131,"Starter",IF(G131&gt;=LARGE(G:G,FlexOn*LeagueInfo!$F$2),"Starter","Bench"))</f>
        <v>Starter</v>
      </c>
      <c r="G131" s="1">
        <f ca="1">IF(H131&gt;I131,D131,0)</f>
        <v>0</v>
      </c>
      <c r="H131" s="1">
        <f ca="1">INDEX(INDIRECT(""&amp;C131&amp;"!A2:A489"),MATCH(B131,INDIRECT(""&amp;C131&amp;"!B2:B489"),0))</f>
        <v>11</v>
      </c>
      <c r="I131" s="1">
        <f>IF(C131="RB",LeagueInfo!$D$4*LeagueInfo!$F$2,IF(C131="WR",LeagueInfo!$D$5*LeagueInfo!$F$2,IF(C131="TE",LeagueInfo!$D$6*LeagueInfo!$F$2,LeagueInfo!$D$3*LeagueInfo!$F$2)))</f>
        <v>12</v>
      </c>
    </row>
    <row r="132" spans="1:9" x14ac:dyDescent="0.25">
      <c r="A132" s="1">
        <f ca="1">RANK(E132,E$2:E$619)</f>
        <v>134</v>
      </c>
      <c r="B132" t="s">
        <v>553</v>
      </c>
      <c r="C132" t="s">
        <v>39</v>
      </c>
      <c r="D132" s="1">
        <f ca="1">INDEX(INDIRECT($C132&amp;"!O:O"),MATCH($B132,INDIRECT($C132&amp;"!B:B"),0))</f>
        <v>98.84</v>
      </c>
      <c r="E132" s="254">
        <f ca="1">D132-LARGE(D$2:D$619,RBCount+WRCount+TECount+QBCount)</f>
        <v>14.969999999999999</v>
      </c>
      <c r="F132" s="1" t="str">
        <f ca="1">IF(H132&lt;=I132,"Starter",IF(G132&gt;=LARGE(G:G,FlexOn*LeagueInfo!$F$2),"Starter","Bench"))</f>
        <v>Bench</v>
      </c>
      <c r="G132" s="1">
        <f ca="1">IF(H132&gt;I132,D132,0)</f>
        <v>98.84</v>
      </c>
      <c r="H132" s="1">
        <f ca="1">INDEX(INDIRECT(""&amp;C132&amp;"!A2:A489"),MATCH(B132,INDIRECT(""&amp;C132&amp;"!B2:B489"),0))</f>
        <v>51</v>
      </c>
      <c r="I132" s="1">
        <f>IF(C132="RB",LeagueInfo!$D$4*LeagueInfo!$F$2,IF(C132="WR",LeagueInfo!$D$5*LeagueInfo!$F$2,IF(C132="TE",LeagueInfo!$D$6*LeagueInfo!$F$2,LeagueInfo!$D$3*LeagueInfo!$F$2)))</f>
        <v>24</v>
      </c>
    </row>
    <row r="133" spans="1:9" x14ac:dyDescent="0.25">
      <c r="A133" s="1">
        <f ca="1">RANK(E133,E$2:E$619)</f>
        <v>139</v>
      </c>
      <c r="B133" t="s">
        <v>273</v>
      </c>
      <c r="C133" t="s">
        <v>39</v>
      </c>
      <c r="D133" s="1">
        <f ca="1">INDEX(INDIRECT($C133&amp;"!O:O"),MATCH($B133,INDIRECT($C133&amp;"!B:B"),0))</f>
        <v>94.009999999999991</v>
      </c>
      <c r="E133" s="254">
        <f ca="1">D133-LARGE(D$2:D$619,RBCount+WRCount+TECount+QBCount)</f>
        <v>10.139999999999986</v>
      </c>
      <c r="F133" s="1" t="str">
        <f ca="1">IF(H133&lt;=I133,"Starter",IF(G133&gt;=LARGE(G:G,FlexOn*LeagueInfo!$F$2),"Starter","Bench"))</f>
        <v>Bench</v>
      </c>
      <c r="G133" s="1">
        <f ca="1">IF(H133&gt;I133,D133,0)</f>
        <v>94.009999999999991</v>
      </c>
      <c r="H133" s="1">
        <f ca="1">INDEX(INDIRECT(""&amp;C133&amp;"!A2:A489"),MATCH(B133,INDIRECT(""&amp;C133&amp;"!B2:B489"),0))</f>
        <v>54</v>
      </c>
      <c r="I133" s="1">
        <f>IF(C133="RB",LeagueInfo!$D$4*LeagueInfo!$F$2,IF(C133="WR",LeagueInfo!$D$5*LeagueInfo!$F$2,IF(C133="TE",LeagueInfo!$D$6*LeagueInfo!$F$2,LeagueInfo!$D$3*LeagueInfo!$F$2)))</f>
        <v>24</v>
      </c>
    </row>
    <row r="134" spans="1:9" x14ac:dyDescent="0.25">
      <c r="A134" s="1">
        <f ca="1">RANK(E134,E$2:E$619)</f>
        <v>120</v>
      </c>
      <c r="B134" t="s">
        <v>208</v>
      </c>
      <c r="C134" t="s">
        <v>32</v>
      </c>
      <c r="D134" s="1">
        <f ca="1">INDEX(INDIRECT($C134&amp;"!O:O"),MATCH($B134,INDIRECT($C134&amp;"!B:B"),0))</f>
        <v>107.39</v>
      </c>
      <c r="E134" s="254">
        <f ca="1">D134-LARGE(D$2:D$619,RBCount+WRCount+TECount+QBCount)</f>
        <v>23.519999999999996</v>
      </c>
      <c r="F134" s="1" t="str">
        <f ca="1">IF(H134&lt;=I134,"Starter",IF(G134&gt;=LARGE(G:G,FlexOn*LeagueInfo!$F$2),"Starter","Bench"))</f>
        <v>Bench</v>
      </c>
      <c r="G134" s="1">
        <f ca="1">IF(H134&gt;I134,D134,0)</f>
        <v>107.39</v>
      </c>
      <c r="H134" s="1">
        <f ca="1">INDEX(INDIRECT(""&amp;C134&amp;"!A2:A489"),MATCH(B134,INDIRECT(""&amp;C134&amp;"!B2:B489"),0))</f>
        <v>38</v>
      </c>
      <c r="I134" s="1">
        <f>IF(C134="RB",LeagueInfo!$D$4*LeagueInfo!$F$2,IF(C134="WR",LeagueInfo!$D$5*LeagueInfo!$F$2,IF(C134="TE",LeagueInfo!$D$6*LeagueInfo!$F$2,LeagueInfo!$D$3*LeagueInfo!$F$2)))</f>
        <v>24</v>
      </c>
    </row>
    <row r="135" spans="1:9" x14ac:dyDescent="0.25">
      <c r="A135" s="1">
        <f ca="1">RANK(E135,E$2:E$619)</f>
        <v>136</v>
      </c>
      <c r="B135" t="s">
        <v>201</v>
      </c>
      <c r="C135" t="s">
        <v>39</v>
      </c>
      <c r="D135" s="1">
        <f ca="1">INDEX(INDIRECT($C135&amp;"!O:O"),MATCH($B135,INDIRECT($C135&amp;"!B:B"),0))</f>
        <v>95.670000000000016</v>
      </c>
      <c r="E135" s="254">
        <f ca="1">D135-LARGE(D$2:D$619,RBCount+WRCount+TECount+QBCount)</f>
        <v>11.800000000000011</v>
      </c>
      <c r="F135" s="1" t="str">
        <f ca="1">IF(H135&lt;=I135,"Starter",IF(G135&gt;=LARGE(G:G,FlexOn*LeagueInfo!$F$2),"Starter","Bench"))</f>
        <v>Bench</v>
      </c>
      <c r="G135" s="1">
        <f ca="1">IF(H135&gt;I135,D135,0)</f>
        <v>95.670000000000016</v>
      </c>
      <c r="H135" s="1">
        <f ca="1">INDEX(INDIRECT(""&amp;C135&amp;"!A2:A489"),MATCH(B135,INDIRECT(""&amp;C135&amp;"!B2:B489"),0))</f>
        <v>52</v>
      </c>
      <c r="I135" s="1">
        <f>IF(C135="RB",LeagueInfo!$D$4*LeagueInfo!$F$2,IF(C135="WR",LeagueInfo!$D$5*LeagueInfo!$F$2,IF(C135="TE",LeagueInfo!$D$6*LeagueInfo!$F$2,LeagueInfo!$D$3*LeagueInfo!$F$2)))</f>
        <v>24</v>
      </c>
    </row>
    <row r="136" spans="1:9" x14ac:dyDescent="0.25">
      <c r="A136" s="1">
        <f ca="1">RANK(E136,E$2:E$619)</f>
        <v>135</v>
      </c>
      <c r="B136" t="s">
        <v>295</v>
      </c>
      <c r="C136" t="s">
        <v>32</v>
      </c>
      <c r="D136" s="1">
        <f ca="1">INDEX(INDIRECT($C136&amp;"!O:O"),MATCH($B136,INDIRECT($C136&amp;"!B:B"),0))</f>
        <v>96.289999999999992</v>
      </c>
      <c r="E136" s="254">
        <f ca="1">D136-LARGE(D$2:D$619,RBCount+WRCount+TECount+QBCount)</f>
        <v>12.419999999999987</v>
      </c>
      <c r="F136" s="1" t="str">
        <f ca="1">IF(H136&lt;=I136,"Starter",IF(G136&gt;=LARGE(G:G,FlexOn*LeagueInfo!$F$2),"Starter","Bench"))</f>
        <v>Bench</v>
      </c>
      <c r="G136" s="1">
        <f ca="1">IF(H136&gt;I136,D136,0)</f>
        <v>96.289999999999992</v>
      </c>
      <c r="H136" s="1">
        <f ca="1">INDEX(INDIRECT(""&amp;C136&amp;"!A2:A489"),MATCH(B136,INDIRECT(""&amp;C136&amp;"!B2:B489"),0))</f>
        <v>41</v>
      </c>
      <c r="I136" s="1">
        <f>IF(C136="RB",LeagueInfo!$D$4*LeagueInfo!$F$2,IF(C136="WR",LeagueInfo!$D$5*LeagueInfo!$F$2,IF(C136="TE",LeagueInfo!$D$6*LeagueInfo!$F$2,LeagueInfo!$D$3*LeagueInfo!$F$2)))</f>
        <v>24</v>
      </c>
    </row>
    <row r="137" spans="1:9" x14ac:dyDescent="0.25">
      <c r="A137" s="1">
        <f ca="1">RANK(E137,E$2:E$619)</f>
        <v>117</v>
      </c>
      <c r="B137" t="s">
        <v>160</v>
      </c>
      <c r="C137" t="s">
        <v>32</v>
      </c>
      <c r="D137" s="1">
        <f ca="1">INDEX(INDIRECT($C137&amp;"!O:O"),MATCH($B137,INDIRECT($C137&amp;"!B:B"),0))</f>
        <v>108.36000000000001</v>
      </c>
      <c r="E137" s="254">
        <f ca="1">D137-LARGE(D$2:D$619,RBCount+WRCount+TECount+QBCount)</f>
        <v>24.490000000000009</v>
      </c>
      <c r="F137" s="1" t="str">
        <f ca="1">IF(H137&lt;=I137,"Starter",IF(G137&gt;=LARGE(G:G,FlexOn*LeagueInfo!$F$2),"Starter","Bench"))</f>
        <v>Bench</v>
      </c>
      <c r="G137" s="1">
        <f ca="1">IF(H137&gt;I137,D137,0)</f>
        <v>108.36000000000001</v>
      </c>
      <c r="H137" s="1">
        <f ca="1">INDEX(INDIRECT(""&amp;C137&amp;"!A2:A489"),MATCH(B137,INDIRECT(""&amp;C137&amp;"!B2:B489"),0))</f>
        <v>36</v>
      </c>
      <c r="I137" s="1">
        <f>IF(C137="RB",LeagueInfo!$D$4*LeagueInfo!$F$2,IF(C137="WR",LeagueInfo!$D$5*LeagueInfo!$F$2,IF(C137="TE",LeagueInfo!$D$6*LeagueInfo!$F$2,LeagueInfo!$D$3*LeagueInfo!$F$2)))</f>
        <v>24</v>
      </c>
    </row>
    <row r="138" spans="1:9" x14ac:dyDescent="0.25">
      <c r="A138" s="1">
        <f ca="1">RANK(E138,E$2:E$619)</f>
        <v>147</v>
      </c>
      <c r="B138" t="s">
        <v>247</v>
      </c>
      <c r="C138" t="s">
        <v>47</v>
      </c>
      <c r="D138" s="1">
        <f ca="1">INDEX(INDIRECT($C138&amp;"!O:O"),MATCH($B138,INDIRECT($C138&amp;"!B:B"),0))</f>
        <v>88.84</v>
      </c>
      <c r="E138" s="254">
        <f ca="1">D138-LARGE(D$2:D$619,RBCount+WRCount+TECount+QBCount)</f>
        <v>4.9699999999999989</v>
      </c>
      <c r="F138" s="1" t="str">
        <f ca="1">IF(H138&lt;=I138,"Starter",IF(G138&gt;=LARGE(G:G,FlexOn*LeagueInfo!$F$2),"Starter","Bench"))</f>
        <v>Bench</v>
      </c>
      <c r="G138" s="1">
        <f ca="1">IF(H138&gt;I138,D138,0)</f>
        <v>88.84</v>
      </c>
      <c r="H138" s="1">
        <f ca="1">INDEX(INDIRECT(""&amp;C138&amp;"!A2:A489"),MATCH(B138,INDIRECT(""&amp;C138&amp;"!B2:B489"),0))</f>
        <v>14</v>
      </c>
      <c r="I138" s="1">
        <f>IF(C138="RB",LeagueInfo!$D$4*LeagueInfo!$F$2,IF(C138="WR",LeagueInfo!$D$5*LeagueInfo!$F$2,IF(C138="TE",LeagueInfo!$D$6*LeagueInfo!$F$2,LeagueInfo!$D$3*LeagueInfo!$F$2)))</f>
        <v>12</v>
      </c>
    </row>
    <row r="139" spans="1:9" x14ac:dyDescent="0.25">
      <c r="A139" s="1">
        <f ca="1">RANK(E139,E$2:E$619)</f>
        <v>108</v>
      </c>
      <c r="B139" t="s">
        <v>185</v>
      </c>
      <c r="C139" t="s">
        <v>32</v>
      </c>
      <c r="D139" s="1">
        <f ca="1">INDEX(INDIRECT($C139&amp;"!O:O"),MATCH($B139,INDIRECT($C139&amp;"!B:B"),0))</f>
        <v>112.01</v>
      </c>
      <c r="E139" s="254">
        <f ca="1">D139-LARGE(D$2:D$619,RBCount+WRCount+TECount+QBCount)</f>
        <v>28.14</v>
      </c>
      <c r="F139" s="1" t="str">
        <f ca="1">IF(H139&lt;=I139,"Starter",IF(G139&gt;=LARGE(G:G,FlexOn*LeagueInfo!$F$2),"Starter","Bench"))</f>
        <v>Bench</v>
      </c>
      <c r="G139" s="1">
        <f ca="1">IF(H139&gt;I139,D139,0)</f>
        <v>112.01</v>
      </c>
      <c r="H139" s="1">
        <f ca="1">INDEX(INDIRECT(""&amp;C139&amp;"!A2:A489"),MATCH(B139,INDIRECT(""&amp;C139&amp;"!B2:B489"),0))</f>
        <v>33</v>
      </c>
      <c r="I139" s="1">
        <f>IF(C139="RB",LeagueInfo!$D$4*LeagueInfo!$F$2,IF(C139="WR",LeagueInfo!$D$5*LeagueInfo!$F$2,IF(C139="TE",LeagueInfo!$D$6*LeagueInfo!$F$2,LeagueInfo!$D$3*LeagueInfo!$F$2)))</f>
        <v>24</v>
      </c>
    </row>
    <row r="140" spans="1:9" x14ac:dyDescent="0.25">
      <c r="A140" s="1">
        <f ca="1">RANK(E140,E$2:E$619)</f>
        <v>141</v>
      </c>
      <c r="B140" t="s">
        <v>254</v>
      </c>
      <c r="C140" t="s">
        <v>32</v>
      </c>
      <c r="D140" s="1">
        <f ca="1">INDEX(INDIRECT($C140&amp;"!O:O"),MATCH($B140,INDIRECT($C140&amp;"!B:B"),0))</f>
        <v>93.529999999999987</v>
      </c>
      <c r="E140" s="254">
        <f ca="1">D140-LARGE(D$2:D$619,RBCount+WRCount+TECount+QBCount)</f>
        <v>9.6599999999999824</v>
      </c>
      <c r="F140" s="1" t="str">
        <f ca="1">IF(H140&lt;=I140,"Starter",IF(G140&gt;=LARGE(G:G,FlexOn*LeagueInfo!$F$2),"Starter","Bench"))</f>
        <v>Bench</v>
      </c>
      <c r="G140" s="1">
        <f ca="1">IF(H140&gt;I140,D140,0)</f>
        <v>93.529999999999987</v>
      </c>
      <c r="H140" s="1">
        <f ca="1">INDEX(INDIRECT(""&amp;C140&amp;"!A2:A489"),MATCH(B140,INDIRECT(""&amp;C140&amp;"!B2:B489"),0))</f>
        <v>43</v>
      </c>
      <c r="I140" s="1">
        <f>IF(C140="RB",LeagueInfo!$D$4*LeagueInfo!$F$2,IF(C140="WR",LeagueInfo!$D$5*LeagueInfo!$F$2,IF(C140="TE",LeagueInfo!$D$6*LeagueInfo!$F$2,LeagueInfo!$D$3*LeagueInfo!$F$2)))</f>
        <v>24</v>
      </c>
    </row>
    <row r="141" spans="1:9" x14ac:dyDescent="0.25">
      <c r="A141" s="1">
        <f ca="1">RANK(E141,E$2:E$619)</f>
        <v>148</v>
      </c>
      <c r="B141" t="s">
        <v>275</v>
      </c>
      <c r="C141" t="s">
        <v>39</v>
      </c>
      <c r="D141" s="1">
        <f ca="1">INDEX(INDIRECT($C141&amp;"!O:O"),MATCH($B141,INDIRECT($C141&amp;"!B:B"),0))</f>
        <v>88.740000000000009</v>
      </c>
      <c r="E141" s="254">
        <f ca="1">D141-LARGE(D$2:D$619,RBCount+WRCount+TECount+QBCount)</f>
        <v>4.8700000000000045</v>
      </c>
      <c r="F141" s="1" t="str">
        <f ca="1">IF(H141&lt;=I141,"Starter",IF(G141&gt;=LARGE(G:G,FlexOn*LeagueInfo!$F$2),"Starter","Bench"))</f>
        <v>Bench</v>
      </c>
      <c r="G141" s="1">
        <f ca="1">IF(H141&gt;I141,D141,0)</f>
        <v>88.740000000000009</v>
      </c>
      <c r="H141" s="1">
        <f ca="1">INDEX(INDIRECT(""&amp;C141&amp;"!A2:A489"),MATCH(B141,INDIRECT(""&amp;C141&amp;"!B2:B489"),0))</f>
        <v>58</v>
      </c>
      <c r="I141" s="1">
        <f>IF(C141="RB",LeagueInfo!$D$4*LeagueInfo!$F$2,IF(C141="WR",LeagueInfo!$D$5*LeagueInfo!$F$2,IF(C141="TE",LeagueInfo!$D$6*LeagueInfo!$F$2,LeagueInfo!$D$3*LeagueInfo!$F$2)))</f>
        <v>24</v>
      </c>
    </row>
    <row r="142" spans="1:9" x14ac:dyDescent="0.25">
      <c r="A142" s="1">
        <f ca="1">RANK(E142,E$2:E$619)</f>
        <v>149</v>
      </c>
      <c r="B142" t="s">
        <v>310</v>
      </c>
      <c r="C142" t="s">
        <v>39</v>
      </c>
      <c r="D142" s="1">
        <f ca="1">INDEX(INDIRECT($C142&amp;"!O:O"),MATCH($B142,INDIRECT($C142&amp;"!B:B"),0))</f>
        <v>88.649999999999991</v>
      </c>
      <c r="E142" s="254">
        <f ca="1">D142-LARGE(D$2:D$619,RBCount+WRCount+TECount+QBCount)</f>
        <v>4.7799999999999869</v>
      </c>
      <c r="F142" s="1" t="str">
        <f ca="1">IF(H142&lt;=I142,"Starter",IF(G142&gt;=LARGE(G:G,FlexOn*LeagueInfo!$F$2),"Starter","Bench"))</f>
        <v>Bench</v>
      </c>
      <c r="G142" s="1">
        <f ca="1">IF(H142&gt;I142,D142,0)</f>
        <v>88.649999999999991</v>
      </c>
      <c r="H142" s="1">
        <f ca="1">INDEX(INDIRECT(""&amp;C142&amp;"!A2:A489"),MATCH(B142,INDIRECT(""&amp;C142&amp;"!B2:B489"),0))</f>
        <v>59</v>
      </c>
      <c r="I142" s="1">
        <f>IF(C142="RB",LeagueInfo!$D$4*LeagueInfo!$F$2,IF(C142="WR",LeagueInfo!$D$5*LeagueInfo!$F$2,IF(C142="TE",LeagueInfo!$D$6*LeagueInfo!$F$2,LeagueInfo!$D$3*LeagueInfo!$F$2)))</f>
        <v>24</v>
      </c>
    </row>
    <row r="143" spans="1:9" x14ac:dyDescent="0.25">
      <c r="A143" s="1">
        <f ca="1">RANK(E143,E$2:E$619)</f>
        <v>144</v>
      </c>
      <c r="B143" t="s">
        <v>278</v>
      </c>
      <c r="C143" t="s">
        <v>39</v>
      </c>
      <c r="D143" s="1">
        <f ca="1">INDEX(INDIRECT($C143&amp;"!O:O"),MATCH($B143,INDIRECT($C143&amp;"!B:B"),0))</f>
        <v>89.62</v>
      </c>
      <c r="E143" s="254">
        <f ca="1">D143-LARGE(D$2:D$619,RBCount+WRCount+TECount+QBCount)</f>
        <v>5.75</v>
      </c>
      <c r="F143" s="1" t="str">
        <f ca="1">IF(H143&lt;=I143,"Starter",IF(G143&gt;=LARGE(G:G,FlexOn*LeagueInfo!$F$2),"Starter","Bench"))</f>
        <v>Bench</v>
      </c>
      <c r="G143" s="1">
        <f ca="1">IF(H143&gt;I143,D143,0)</f>
        <v>89.62</v>
      </c>
      <c r="H143" s="1">
        <f ca="1">INDEX(INDIRECT(""&amp;C143&amp;"!A2:A489"),MATCH(B143,INDIRECT(""&amp;C143&amp;"!B2:B489"),0))</f>
        <v>56</v>
      </c>
      <c r="I143" s="1">
        <f>IF(C143="RB",LeagueInfo!$D$4*LeagueInfo!$F$2,IF(C143="WR",LeagueInfo!$D$5*LeagueInfo!$F$2,IF(C143="TE",LeagueInfo!$D$6*LeagueInfo!$F$2,LeagueInfo!$D$3*LeagueInfo!$F$2)))</f>
        <v>24</v>
      </c>
    </row>
    <row r="144" spans="1:9" x14ac:dyDescent="0.25">
      <c r="A144" s="1">
        <f ca="1">RANK(E144,E$2:E$619)</f>
        <v>146</v>
      </c>
      <c r="B144" t="s">
        <v>257</v>
      </c>
      <c r="C144" t="s">
        <v>47</v>
      </c>
      <c r="D144" s="1">
        <f ca="1">INDEX(INDIRECT($C144&amp;"!O:O"),MATCH($B144,INDIRECT($C144&amp;"!B:B"),0))</f>
        <v>88.929999999999993</v>
      </c>
      <c r="E144" s="254">
        <f ca="1">D144-LARGE(D$2:D$619,RBCount+WRCount+TECount+QBCount)</f>
        <v>5.0599999999999881</v>
      </c>
      <c r="F144" s="1" t="str">
        <f ca="1">IF(H144&lt;=I144,"Starter",IF(G144&gt;=LARGE(G:G,FlexOn*LeagueInfo!$F$2),"Starter","Bench"))</f>
        <v>Bench</v>
      </c>
      <c r="G144" s="1">
        <f ca="1">IF(H144&gt;I144,D144,0)</f>
        <v>88.929999999999993</v>
      </c>
      <c r="H144" s="1">
        <f ca="1">INDEX(INDIRECT(""&amp;C144&amp;"!A2:A489"),MATCH(B144,INDIRECT(""&amp;C144&amp;"!B2:B489"),0))</f>
        <v>13</v>
      </c>
      <c r="I144" s="1">
        <f>IF(C144="RB",LeagueInfo!$D$4*LeagueInfo!$F$2,IF(C144="WR",LeagueInfo!$D$5*LeagueInfo!$F$2,IF(C144="TE",LeagueInfo!$D$6*LeagueInfo!$F$2,LeagueInfo!$D$3*LeagueInfo!$F$2)))</f>
        <v>12</v>
      </c>
    </row>
    <row r="145" spans="1:9" x14ac:dyDescent="0.25">
      <c r="A145" s="1">
        <f ca="1">RANK(E145,E$2:E$619)</f>
        <v>160</v>
      </c>
      <c r="B145" t="s">
        <v>293</v>
      </c>
      <c r="C145" t="s">
        <v>47</v>
      </c>
      <c r="D145" s="1">
        <f ca="1">INDEX(INDIRECT($C145&amp;"!O:O"),MATCH($B145,INDIRECT($C145&amp;"!B:B"),0))</f>
        <v>82.100000000000009</v>
      </c>
      <c r="E145" s="254">
        <f ca="1">D145-LARGE(D$2:D$619,RBCount+WRCount+TECount+QBCount)</f>
        <v>-1.769999999999996</v>
      </c>
      <c r="F145" s="1" t="str">
        <f ca="1">IF(H145&lt;=I145,"Starter",IF(G145&gt;=LARGE(G:G,FlexOn*LeagueInfo!$F$2),"Starter","Bench"))</f>
        <v>Bench</v>
      </c>
      <c r="G145" s="1">
        <f ca="1">IF(H145&gt;I145,D145,0)</f>
        <v>82.100000000000009</v>
      </c>
      <c r="H145" s="1">
        <f ca="1">INDEX(INDIRECT(""&amp;C145&amp;"!A2:A489"),MATCH(B145,INDIRECT(""&amp;C145&amp;"!B2:B489"),0))</f>
        <v>16</v>
      </c>
      <c r="I145" s="1">
        <f>IF(C145="RB",LeagueInfo!$D$4*LeagueInfo!$F$2,IF(C145="WR",LeagueInfo!$D$5*LeagueInfo!$F$2,IF(C145="TE",LeagueInfo!$D$6*LeagueInfo!$F$2,LeagueInfo!$D$3*LeagueInfo!$F$2)))</f>
        <v>12</v>
      </c>
    </row>
    <row r="146" spans="1:9" x14ac:dyDescent="0.25">
      <c r="A146" s="1">
        <f ca="1">RANK(E146,E$2:E$619)</f>
        <v>143</v>
      </c>
      <c r="B146" t="s">
        <v>270</v>
      </c>
      <c r="C146" t="s">
        <v>39</v>
      </c>
      <c r="D146" s="1">
        <f ca="1">INDEX(INDIRECT($C146&amp;"!O:O"),MATCH($B146,INDIRECT($C146&amp;"!B:B"),0))</f>
        <v>90.199999999999989</v>
      </c>
      <c r="E146" s="254">
        <f ca="1">D146-LARGE(D$2:D$619,RBCount+WRCount+TECount+QBCount)</f>
        <v>6.3299999999999841</v>
      </c>
      <c r="F146" s="1" t="str">
        <f ca="1">IF(H146&lt;=I146,"Starter",IF(G146&gt;=LARGE(G:G,FlexOn*LeagueInfo!$F$2),"Starter","Bench"))</f>
        <v>Bench</v>
      </c>
      <c r="G146" s="1">
        <f ca="1">IF(H146&gt;I146,D146,0)</f>
        <v>90.199999999999989</v>
      </c>
      <c r="H146" s="1">
        <f ca="1">INDEX(INDIRECT(""&amp;C146&amp;"!A2:A489"),MATCH(B146,INDIRECT(""&amp;C146&amp;"!B2:B489"),0))</f>
        <v>55</v>
      </c>
      <c r="I146" s="1">
        <f>IF(C146="RB",LeagueInfo!$D$4*LeagueInfo!$F$2,IF(C146="WR",LeagueInfo!$D$5*LeagueInfo!$F$2,IF(C146="TE",LeagueInfo!$D$6*LeagueInfo!$F$2,LeagueInfo!$D$3*LeagueInfo!$F$2)))</f>
        <v>24</v>
      </c>
    </row>
    <row r="147" spans="1:9" x14ac:dyDescent="0.25">
      <c r="A147" s="1">
        <f ca="1">RANK(E147,E$2:E$619)</f>
        <v>126</v>
      </c>
      <c r="B147" t="s">
        <v>170</v>
      </c>
      <c r="C147" t="s">
        <v>32</v>
      </c>
      <c r="D147" s="1">
        <f ca="1">INDEX(INDIRECT($C147&amp;"!O:O"),MATCH($B147,INDIRECT($C147&amp;"!B:B"),0))</f>
        <v>105.22</v>
      </c>
      <c r="E147" s="254">
        <f ca="1">D147-LARGE(D$2:D$619,RBCount+WRCount+TECount+QBCount)</f>
        <v>21.349999999999994</v>
      </c>
      <c r="F147" s="1" t="str">
        <f ca="1">IF(H147&lt;=I147,"Starter",IF(G147&gt;=LARGE(G:G,FlexOn*LeagueInfo!$F$2),"Starter","Bench"))</f>
        <v>Bench</v>
      </c>
      <c r="G147" s="1">
        <f ca="1">IF(H147&gt;I147,D147,0)</f>
        <v>105.22</v>
      </c>
      <c r="H147" s="1">
        <f ca="1">INDEX(INDIRECT(""&amp;C147&amp;"!A2:A489"),MATCH(B147,INDIRECT(""&amp;C147&amp;"!B2:B489"),0))</f>
        <v>40</v>
      </c>
      <c r="I147" s="1">
        <f>IF(C147="RB",LeagueInfo!$D$4*LeagueInfo!$F$2,IF(C147="WR",LeagueInfo!$D$5*LeagueInfo!$F$2,IF(C147="TE",LeagueInfo!$D$6*LeagueInfo!$F$2,LeagueInfo!$D$3*LeagueInfo!$F$2)))</f>
        <v>24</v>
      </c>
    </row>
    <row r="148" spans="1:9" x14ac:dyDescent="0.25">
      <c r="A148" s="1">
        <f ca="1">RANK(E148,E$2:E$619)</f>
        <v>118</v>
      </c>
      <c r="B148" t="s">
        <v>163</v>
      </c>
      <c r="C148" t="s">
        <v>32</v>
      </c>
      <c r="D148" s="1">
        <f ca="1">INDEX(INDIRECT($C148&amp;"!O:O"),MATCH($B148,INDIRECT($C148&amp;"!B:B"),0))</f>
        <v>108.28</v>
      </c>
      <c r="E148" s="254">
        <f ca="1">D148-LARGE(D$2:D$619,RBCount+WRCount+TECount+QBCount)</f>
        <v>24.409999999999997</v>
      </c>
      <c r="F148" s="1" t="str">
        <f ca="1">IF(H148&lt;=I148,"Starter",IF(G148&gt;=LARGE(G:G,FlexOn*LeagueInfo!$F$2),"Starter","Bench"))</f>
        <v>Bench</v>
      </c>
      <c r="G148" s="1">
        <f ca="1">IF(H148&gt;I148,D148,0)</f>
        <v>108.28</v>
      </c>
      <c r="H148" s="1">
        <f ca="1">INDEX(INDIRECT(""&amp;C148&amp;"!A2:A489"),MATCH(B148,INDIRECT(""&amp;C148&amp;"!B2:B489"),0))</f>
        <v>37</v>
      </c>
      <c r="I148" s="1">
        <f>IF(C148="RB",LeagueInfo!$D$4*LeagueInfo!$F$2,IF(C148="WR",LeagueInfo!$D$5*LeagueInfo!$F$2,IF(C148="TE",LeagueInfo!$D$6*LeagueInfo!$F$2,LeagueInfo!$D$3*LeagueInfo!$F$2)))</f>
        <v>24</v>
      </c>
    </row>
    <row r="149" spans="1:9" x14ac:dyDescent="0.25">
      <c r="A149" s="1">
        <f ca="1">RANK(E149,E$2:E$619)</f>
        <v>154</v>
      </c>
      <c r="B149" t="s">
        <v>279</v>
      </c>
      <c r="C149" t="s">
        <v>39</v>
      </c>
      <c r="D149" s="1">
        <f ca="1">INDEX(INDIRECT($C149&amp;"!O:O"),MATCH($B149,INDIRECT($C149&amp;"!B:B"),0))</f>
        <v>85.080000000000013</v>
      </c>
      <c r="E149" s="254">
        <f ca="1">D149-LARGE(D$2:D$619,RBCount+WRCount+TECount+QBCount)</f>
        <v>1.210000000000008</v>
      </c>
      <c r="F149" s="1" t="str">
        <f ca="1">IF(H149&lt;=I149,"Starter",IF(G149&gt;=LARGE(G:G,FlexOn*LeagueInfo!$F$2),"Starter","Bench"))</f>
        <v>Bench</v>
      </c>
      <c r="G149" s="1">
        <f ca="1">IF(H149&gt;I149,D149,0)</f>
        <v>85.080000000000013</v>
      </c>
      <c r="H149" s="1">
        <f ca="1">INDEX(INDIRECT(""&amp;C149&amp;"!A2:A489"),MATCH(B149,INDIRECT(""&amp;C149&amp;"!B2:B489"),0))</f>
        <v>62</v>
      </c>
      <c r="I149" s="1">
        <f>IF(C149="RB",LeagueInfo!$D$4*LeagueInfo!$F$2,IF(C149="WR",LeagueInfo!$D$5*LeagueInfo!$F$2,IF(C149="TE",LeagueInfo!$D$6*LeagueInfo!$F$2,LeagueInfo!$D$3*LeagueInfo!$F$2)))</f>
        <v>24</v>
      </c>
    </row>
    <row r="150" spans="1:9" x14ac:dyDescent="0.25">
      <c r="A150" s="1">
        <f ca="1">RANK(E150,E$2:E$619)</f>
        <v>145</v>
      </c>
      <c r="B150" t="s">
        <v>554</v>
      </c>
      <c r="C150" t="s">
        <v>39</v>
      </c>
      <c r="D150" s="1">
        <f ca="1">INDEX(INDIRECT($C150&amp;"!O:O"),MATCH($B150,INDIRECT($C150&amp;"!B:B"),0))</f>
        <v>89.35</v>
      </c>
      <c r="E150" s="254">
        <f ca="1">D150-LARGE(D$2:D$619,RBCount+WRCount+TECount+QBCount)</f>
        <v>5.4799999999999898</v>
      </c>
      <c r="F150" s="1" t="str">
        <f ca="1">IF(H150&lt;=I150,"Starter",IF(G150&gt;=LARGE(G:G,FlexOn*LeagueInfo!$F$2),"Starter","Bench"))</f>
        <v>Bench</v>
      </c>
      <c r="G150" s="1">
        <f ca="1">IF(H150&gt;I150,D150,0)</f>
        <v>89.35</v>
      </c>
      <c r="H150" s="1">
        <f ca="1">INDEX(INDIRECT(""&amp;C150&amp;"!A2:A489"),MATCH(B150,INDIRECT(""&amp;C150&amp;"!B2:B489"),0))</f>
        <v>57</v>
      </c>
      <c r="I150" s="1">
        <f>IF(C150="RB",LeagueInfo!$D$4*LeagueInfo!$F$2,IF(C150="WR",LeagueInfo!$D$5*LeagueInfo!$F$2,IF(C150="TE",LeagueInfo!$D$6*LeagueInfo!$F$2,LeagueInfo!$D$3*LeagueInfo!$F$2)))</f>
        <v>24</v>
      </c>
    </row>
    <row r="151" spans="1:9" x14ac:dyDescent="0.25">
      <c r="A151" s="1">
        <f ca="1">RANK(E151,E$2:E$619)</f>
        <v>152</v>
      </c>
      <c r="B151" t="s">
        <v>566</v>
      </c>
      <c r="C151" t="s">
        <v>39</v>
      </c>
      <c r="D151" s="1">
        <f ca="1">INDEX(INDIRECT($C151&amp;"!O:O"),MATCH($B151,INDIRECT($C151&amp;"!B:B"),0))</f>
        <v>85.829999999999984</v>
      </c>
      <c r="E151" s="254">
        <f ca="1">D151-LARGE(D$2:D$619,RBCount+WRCount+TECount+QBCount)</f>
        <v>1.9599999999999795</v>
      </c>
      <c r="F151" s="1" t="str">
        <f ca="1">IF(H151&lt;=I151,"Starter",IF(G151&gt;=LARGE(G:G,FlexOn*LeagueInfo!$F$2),"Starter","Bench"))</f>
        <v>Bench</v>
      </c>
      <c r="G151" s="1">
        <f ca="1">IF(H151&gt;I151,D151,0)</f>
        <v>85.829999999999984</v>
      </c>
      <c r="H151" s="1">
        <f ca="1">INDEX(INDIRECT(""&amp;C151&amp;"!A2:A489"),MATCH(B151,INDIRECT(""&amp;C151&amp;"!B2:B489"),0))</f>
        <v>61</v>
      </c>
      <c r="I151" s="1">
        <f>IF(C151="RB",LeagueInfo!$D$4*LeagueInfo!$F$2,IF(C151="WR",LeagueInfo!$D$5*LeagueInfo!$F$2,IF(C151="TE",LeagueInfo!$D$6*LeagueInfo!$F$2,LeagueInfo!$D$3*LeagueInfo!$F$2)))</f>
        <v>24</v>
      </c>
    </row>
    <row r="152" spans="1:9" x14ac:dyDescent="0.25">
      <c r="A152" s="1">
        <f ca="1">RANK(E152,E$2:E$619)</f>
        <v>155</v>
      </c>
      <c r="B152" t="s">
        <v>252</v>
      </c>
      <c r="C152" t="s">
        <v>39</v>
      </c>
      <c r="D152" s="1">
        <f ca="1">INDEX(INDIRECT($C152&amp;"!O:O"),MATCH($B152,INDIRECT($C152&amp;"!B:B"),0))</f>
        <v>84.820000000000007</v>
      </c>
      <c r="E152" s="254">
        <f ca="1">D152-LARGE(D$2:D$619,RBCount+WRCount+TECount+QBCount)</f>
        <v>0.95000000000000284</v>
      </c>
      <c r="F152" s="1" t="str">
        <f ca="1">IF(H152&lt;=I152,"Starter",IF(G152&gt;=LARGE(G:G,FlexOn*LeagueInfo!$F$2),"Starter","Bench"))</f>
        <v>Bench</v>
      </c>
      <c r="G152" s="1">
        <f ca="1">IF(H152&gt;I152,D152,0)</f>
        <v>84.820000000000007</v>
      </c>
      <c r="H152" s="1">
        <f ca="1">INDEX(INDIRECT(""&amp;C152&amp;"!A2:A489"),MATCH(B152,INDIRECT(""&amp;C152&amp;"!B2:B489"),0))</f>
        <v>63</v>
      </c>
      <c r="I152" s="1">
        <f>IF(C152="RB",LeagueInfo!$D$4*LeagueInfo!$F$2,IF(C152="WR",LeagueInfo!$D$5*LeagueInfo!$F$2,IF(C152="TE",LeagueInfo!$D$6*LeagueInfo!$F$2,LeagueInfo!$D$3*LeagueInfo!$F$2)))</f>
        <v>24</v>
      </c>
    </row>
    <row r="153" spans="1:9" x14ac:dyDescent="0.25">
      <c r="A153" s="1">
        <f ca="1">RANK(E153,E$2:E$619)</f>
        <v>158</v>
      </c>
      <c r="B153" t="s">
        <v>435</v>
      </c>
      <c r="C153" t="s">
        <v>32</v>
      </c>
      <c r="D153" s="1">
        <f ca="1">INDEX(INDIRECT($C153&amp;"!O:O"),MATCH($B153,INDIRECT($C153&amp;"!B:B"),0))</f>
        <v>82.78</v>
      </c>
      <c r="E153" s="254">
        <f ca="1">D153-LARGE(D$2:D$619,RBCount+WRCount+TECount+QBCount)</f>
        <v>-1.0900000000000034</v>
      </c>
      <c r="F153" s="1" t="str">
        <f ca="1">IF(H153&lt;=I153,"Starter",IF(G153&gt;=LARGE(G:G,FlexOn*LeagueInfo!$F$2),"Starter","Bench"))</f>
        <v>Bench</v>
      </c>
      <c r="G153" s="1">
        <f ca="1">IF(H153&gt;I153,D153,0)</f>
        <v>82.78</v>
      </c>
      <c r="H153" s="1">
        <f ca="1">INDEX(INDIRECT(""&amp;C153&amp;"!A2:A489"),MATCH(B153,INDIRECT(""&amp;C153&amp;"!B2:B489"),0))</f>
        <v>46</v>
      </c>
      <c r="I153" s="1">
        <f>IF(C153="RB",LeagueInfo!$D$4*LeagueInfo!$F$2,IF(C153="WR",LeagueInfo!$D$5*LeagueInfo!$F$2,IF(C153="TE",LeagueInfo!$D$6*LeagueInfo!$F$2,LeagueInfo!$D$3*LeagueInfo!$F$2)))</f>
        <v>24</v>
      </c>
    </row>
    <row r="154" spans="1:9" x14ac:dyDescent="0.25">
      <c r="A154" s="1">
        <f ca="1">RANK(E154,E$2:E$619)</f>
        <v>151</v>
      </c>
      <c r="B154" t="s">
        <v>259</v>
      </c>
      <c r="C154" t="s">
        <v>39</v>
      </c>
      <c r="D154" s="1">
        <f ca="1">INDEX(INDIRECT($C154&amp;"!O:O"),MATCH($B154,INDIRECT($C154&amp;"!B:B"),0))</f>
        <v>86.289999999999992</v>
      </c>
      <c r="E154" s="254">
        <f ca="1">D154-LARGE(D$2:D$619,RBCount+WRCount+TECount+QBCount)</f>
        <v>2.4199999999999875</v>
      </c>
      <c r="F154" s="1" t="str">
        <f ca="1">IF(H154&lt;=I154,"Starter",IF(G154&gt;=LARGE(G:G,FlexOn*LeagueInfo!$F$2),"Starter","Bench"))</f>
        <v>Bench</v>
      </c>
      <c r="G154" s="1">
        <f ca="1">IF(H154&gt;I154,D154,0)</f>
        <v>86.289999999999992</v>
      </c>
      <c r="H154" s="1">
        <f ca="1">INDEX(INDIRECT(""&amp;C154&amp;"!A2:A489"),MATCH(B154,INDIRECT(""&amp;C154&amp;"!B2:B489"),0))</f>
        <v>60</v>
      </c>
      <c r="I154" s="1">
        <f>IF(C154="RB",LeagueInfo!$D$4*LeagueInfo!$F$2,IF(C154="WR",LeagueInfo!$D$5*LeagueInfo!$F$2,IF(C154="TE",LeagueInfo!$D$6*LeagueInfo!$F$2,LeagueInfo!$D$3*LeagueInfo!$F$2)))</f>
        <v>24</v>
      </c>
    </row>
    <row r="155" spans="1:9" x14ac:dyDescent="0.25">
      <c r="A155" s="1">
        <f ca="1">RANK(E155,E$2:E$619)</f>
        <v>156</v>
      </c>
      <c r="B155" t="s">
        <v>294</v>
      </c>
      <c r="C155" t="s">
        <v>47</v>
      </c>
      <c r="D155" s="1">
        <f ca="1">INDEX(INDIRECT($C155&amp;"!O:O"),MATCH($B155,INDIRECT($C155&amp;"!B:B"),0))</f>
        <v>83.87</v>
      </c>
      <c r="E155" s="254">
        <f ca="1">D155-LARGE(D$2:D$619,RBCount+WRCount+TECount+QBCount)</f>
        <v>0</v>
      </c>
      <c r="F155" s="1" t="str">
        <f ca="1">IF(H155&lt;=I155,"Starter",IF(G155&gt;=LARGE(G:G,FlexOn*LeagueInfo!$F$2),"Starter","Bench"))</f>
        <v>Bench</v>
      </c>
      <c r="G155" s="1">
        <f ca="1">IF(H155&gt;I155,D155,0)</f>
        <v>83.87</v>
      </c>
      <c r="H155" s="1">
        <f ca="1">INDEX(INDIRECT(""&amp;C155&amp;"!A2:A489"),MATCH(B155,INDIRECT(""&amp;C155&amp;"!B2:B489"),0))</f>
        <v>15</v>
      </c>
      <c r="I155" s="1">
        <f>IF(C155="RB",LeagueInfo!$D$4*LeagueInfo!$F$2,IF(C155="WR",LeagueInfo!$D$5*LeagueInfo!$F$2,IF(C155="TE",LeagueInfo!$D$6*LeagueInfo!$F$2,LeagueInfo!$D$3*LeagueInfo!$F$2)))</f>
        <v>12</v>
      </c>
    </row>
    <row r="156" spans="1:9" x14ac:dyDescent="0.25">
      <c r="A156" s="1">
        <f ca="1">RANK(E156,E$2:E$619)</f>
        <v>150</v>
      </c>
      <c r="B156" t="s">
        <v>434</v>
      </c>
      <c r="C156" t="s">
        <v>32</v>
      </c>
      <c r="D156" s="1">
        <f ca="1">INDEX(INDIRECT($C156&amp;"!O:O"),MATCH($B156,INDIRECT($C156&amp;"!B:B"),0))</f>
        <v>87.960000000000008</v>
      </c>
      <c r="E156" s="254">
        <f ca="1">D156-LARGE(D$2:D$619,RBCount+WRCount+TECount+QBCount)</f>
        <v>4.0900000000000034</v>
      </c>
      <c r="F156" s="1" t="str">
        <f ca="1">IF(H156&lt;=I156,"Starter",IF(G156&gt;=LARGE(G:G,FlexOn*LeagueInfo!$F$2),"Starter","Bench"))</f>
        <v>Bench</v>
      </c>
      <c r="G156" s="1">
        <f ca="1">IF(H156&gt;I156,D156,0)</f>
        <v>87.960000000000008</v>
      </c>
      <c r="H156" s="1">
        <f ca="1">INDEX(INDIRECT(""&amp;C156&amp;"!A2:A489"),MATCH(B156,INDIRECT(""&amp;C156&amp;"!B2:B489"),0))</f>
        <v>44</v>
      </c>
      <c r="I156" s="1">
        <f>IF(C156="RB",LeagueInfo!$D$4*LeagueInfo!$F$2,IF(C156="WR",LeagueInfo!$D$5*LeagueInfo!$F$2,IF(C156="TE",LeagueInfo!$D$6*LeagueInfo!$F$2,LeagueInfo!$D$3*LeagueInfo!$F$2)))</f>
        <v>24</v>
      </c>
    </row>
    <row r="157" spans="1:9" x14ac:dyDescent="0.25">
      <c r="A157" s="1">
        <f ca="1">RANK(E157,E$2:E$619)</f>
        <v>164</v>
      </c>
      <c r="B157" t="s">
        <v>715</v>
      </c>
      <c r="C157" t="s">
        <v>47</v>
      </c>
      <c r="D157" s="1">
        <f ca="1">INDEX(INDIRECT($C157&amp;"!O:O"),MATCH($B157,INDIRECT($C157&amp;"!B:B"),0))</f>
        <v>78.5</v>
      </c>
      <c r="E157" s="254">
        <f ca="1">D157-LARGE(D$2:D$619,RBCount+WRCount+TECount+QBCount)</f>
        <v>-5.3700000000000045</v>
      </c>
      <c r="F157" s="1" t="str">
        <f ca="1">IF(H157&lt;=I157,"Starter",IF(G157&gt;=LARGE(G:G,FlexOn*LeagueInfo!$F$2),"Starter","Bench"))</f>
        <v>Bench</v>
      </c>
      <c r="G157" s="1">
        <f ca="1">IF(H157&gt;I157,D157,0)</f>
        <v>78.5</v>
      </c>
      <c r="H157" s="1">
        <f ca="1">INDEX(INDIRECT(""&amp;C157&amp;"!A2:A489"),MATCH(B157,INDIRECT(""&amp;C157&amp;"!B2:B489"),0))</f>
        <v>18</v>
      </c>
      <c r="I157" s="1">
        <f>IF(C157="RB",LeagueInfo!$D$4*LeagueInfo!$F$2,IF(C157="WR",LeagueInfo!$D$5*LeagueInfo!$F$2,IF(C157="TE",LeagueInfo!$D$6*LeagueInfo!$F$2,LeagueInfo!$D$3*LeagueInfo!$F$2)))</f>
        <v>12</v>
      </c>
    </row>
    <row r="158" spans="1:9" x14ac:dyDescent="0.25">
      <c r="A158" s="1">
        <f ca="1">RANK(E158,E$2:E$619)</f>
        <v>162</v>
      </c>
      <c r="B158" t="s">
        <v>560</v>
      </c>
      <c r="C158" t="s">
        <v>39</v>
      </c>
      <c r="D158" s="1">
        <f ca="1">INDEX(INDIRECT($C158&amp;"!O:O"),MATCH($B158,INDIRECT($C158&amp;"!B:B"),0))</f>
        <v>79.66</v>
      </c>
      <c r="E158" s="254">
        <f ca="1">D158-LARGE(D$2:D$619,RBCount+WRCount+TECount+QBCount)</f>
        <v>-4.210000000000008</v>
      </c>
      <c r="F158" s="1" t="str">
        <f ca="1">IF(H158&lt;=I158,"Starter",IF(G158&gt;=LARGE(G:G,FlexOn*LeagueInfo!$F$2),"Starter","Bench"))</f>
        <v>Bench</v>
      </c>
      <c r="G158" s="1">
        <f ca="1">IF(H158&gt;I158,D158,0)</f>
        <v>79.66</v>
      </c>
      <c r="H158" s="1">
        <f ca="1">INDEX(INDIRECT(""&amp;C158&amp;"!A2:A489"),MATCH(B158,INDIRECT(""&amp;C158&amp;"!B2:B489"),0))</f>
        <v>65</v>
      </c>
      <c r="I158" s="1">
        <f>IF(C158="RB",LeagueInfo!$D$4*LeagueInfo!$F$2,IF(C158="WR",LeagueInfo!$D$5*LeagueInfo!$F$2,IF(C158="TE",LeagueInfo!$D$6*LeagueInfo!$F$2,LeagueInfo!$D$3*LeagueInfo!$F$2)))</f>
        <v>24</v>
      </c>
    </row>
    <row r="159" spans="1:9" x14ac:dyDescent="0.25">
      <c r="A159" s="1">
        <f ca="1">RANK(E159,E$2:E$619)</f>
        <v>140</v>
      </c>
      <c r="B159" t="s">
        <v>203</v>
      </c>
      <c r="C159" t="s">
        <v>32</v>
      </c>
      <c r="D159" s="1">
        <f ca="1">INDEX(INDIRECT($C159&amp;"!O:O"),MATCH($B159,INDIRECT($C159&amp;"!B:B"),0))</f>
        <v>93.789999999999992</v>
      </c>
      <c r="E159" s="254">
        <f ca="1">D159-LARGE(D$2:D$619,RBCount+WRCount+TECount+QBCount)</f>
        <v>9.9199999999999875</v>
      </c>
      <c r="F159" s="1" t="str">
        <f ca="1">IF(H159&lt;=I159,"Starter",IF(G159&gt;=LARGE(G:G,FlexOn*LeagueInfo!$F$2),"Starter","Bench"))</f>
        <v>Bench</v>
      </c>
      <c r="G159" s="1">
        <f ca="1">IF(H159&gt;I159,D159,0)</f>
        <v>93.789999999999992</v>
      </c>
      <c r="H159" s="1">
        <f ca="1">INDEX(INDIRECT(""&amp;C159&amp;"!A2:A489"),MATCH(B159,INDIRECT(""&amp;C159&amp;"!B2:B489"),0))</f>
        <v>42</v>
      </c>
      <c r="I159" s="1">
        <f>IF(C159="RB",LeagueInfo!$D$4*LeagueInfo!$F$2,IF(C159="WR",LeagueInfo!$D$5*LeagueInfo!$F$2,IF(C159="TE",LeagueInfo!$D$6*LeagueInfo!$F$2,LeagueInfo!$D$3*LeagueInfo!$F$2)))</f>
        <v>24</v>
      </c>
    </row>
    <row r="160" spans="1:9" x14ac:dyDescent="0.25">
      <c r="A160" s="1">
        <f ca="1">RANK(E160,E$2:E$619)</f>
        <v>157</v>
      </c>
      <c r="B160" t="s">
        <v>557</v>
      </c>
      <c r="C160" t="s">
        <v>39</v>
      </c>
      <c r="D160" s="1">
        <f ca="1">INDEX(INDIRECT($C160&amp;"!O:O"),MATCH($B160,INDIRECT($C160&amp;"!B:B"),0))</f>
        <v>83.61</v>
      </c>
      <c r="E160" s="254">
        <f ca="1">D160-LARGE(D$2:D$619,RBCount+WRCount+TECount+QBCount)</f>
        <v>-0.26000000000000512</v>
      </c>
      <c r="F160" s="1" t="str">
        <f ca="1">IF(H160&lt;=I160,"Starter",IF(G160&gt;=LARGE(G:G,FlexOn*LeagueInfo!$F$2),"Starter","Bench"))</f>
        <v>Bench</v>
      </c>
      <c r="G160" s="1">
        <f ca="1">IF(H160&gt;I160,D160,0)</f>
        <v>83.61</v>
      </c>
      <c r="H160" s="1">
        <f ca="1">INDEX(INDIRECT(""&amp;C160&amp;"!A2:A489"),MATCH(B160,INDIRECT(""&amp;C160&amp;"!B2:B489"),0))</f>
        <v>64</v>
      </c>
      <c r="I160" s="1">
        <f>IF(C160="RB",LeagueInfo!$D$4*LeagueInfo!$F$2,IF(C160="WR",LeagueInfo!$D$5*LeagueInfo!$F$2,IF(C160="TE",LeagueInfo!$D$6*LeagueInfo!$F$2,LeagueInfo!$D$3*LeagueInfo!$F$2)))</f>
        <v>24</v>
      </c>
    </row>
    <row r="161" spans="1:9" x14ac:dyDescent="0.25">
      <c r="A161" s="1">
        <f ca="1">RANK(E161,E$2:E$619)</f>
        <v>163</v>
      </c>
      <c r="B161" t="s">
        <v>291</v>
      </c>
      <c r="C161" t="s">
        <v>47</v>
      </c>
      <c r="D161" s="1">
        <f ca="1">INDEX(INDIRECT($C161&amp;"!O:O"),MATCH($B161,INDIRECT($C161&amp;"!B:B"),0))</f>
        <v>79.36</v>
      </c>
      <c r="E161" s="254">
        <f ca="1">D161-LARGE(D$2:D$619,RBCount+WRCount+TECount+QBCount)</f>
        <v>-4.5100000000000051</v>
      </c>
      <c r="F161" s="1" t="str">
        <f ca="1">IF(H161&lt;=I161,"Starter",IF(G161&gt;=LARGE(G:G,FlexOn*LeagueInfo!$F$2),"Starter","Bench"))</f>
        <v>Bench</v>
      </c>
      <c r="G161" s="1">
        <f ca="1">IF(H161&gt;I161,D161,0)</f>
        <v>79.36</v>
      </c>
      <c r="H161" s="1">
        <f ca="1">INDEX(INDIRECT(""&amp;C161&amp;"!A2:A489"),MATCH(B161,INDIRECT(""&amp;C161&amp;"!B2:B489"),0))</f>
        <v>17</v>
      </c>
      <c r="I161" s="1">
        <f>IF(C161="RB",LeagueInfo!$D$4*LeagueInfo!$F$2,IF(C161="WR",LeagueInfo!$D$5*LeagueInfo!$F$2,IF(C161="TE",LeagueInfo!$D$6*LeagueInfo!$F$2,LeagueInfo!$D$3*LeagueInfo!$F$2)))</f>
        <v>12</v>
      </c>
    </row>
    <row r="162" spans="1:9" x14ac:dyDescent="0.25">
      <c r="A162" s="1">
        <f ca="1">RANK(E162,E$2:E$619)</f>
        <v>142</v>
      </c>
      <c r="B162" t="s">
        <v>390</v>
      </c>
      <c r="C162" t="s">
        <v>33</v>
      </c>
      <c r="D162" s="1">
        <f ca="1">INDEX(INDIRECT($C162&amp;"!O:O"),MATCH($B162,INDIRECT($C162&amp;"!B:B"),0))</f>
        <v>91.188000000000002</v>
      </c>
      <c r="E162" s="254">
        <f ca="1">D162-LARGE(D$2:D$619,RBCount+WRCount+TECount+QBCount)</f>
        <v>7.3179999999999978</v>
      </c>
      <c r="F162" s="1" t="str">
        <f ca="1">IF(H162&lt;=I162,"Starter",IF(G162&gt;=LARGE(G:G,FlexOn*LeagueInfo!$F$2),"Starter","Bench"))</f>
        <v>Bench</v>
      </c>
      <c r="G162" s="1">
        <f ca="1">IF(H162&gt;I162,D162,0)</f>
        <v>91.188000000000002</v>
      </c>
      <c r="H162" s="1">
        <f ca="1">INDEX(INDIRECT(""&amp;C162&amp;"!A2:A489"),MATCH(B162,INDIRECT(""&amp;C162&amp;"!B2:B489"),0))</f>
        <v>33</v>
      </c>
      <c r="I162" s="1">
        <f>IF(C162="RB",LeagueInfo!$D$4*LeagueInfo!$F$2,IF(C162="WR",LeagueInfo!$D$5*LeagueInfo!$F$2,IF(C162="TE",LeagueInfo!$D$6*LeagueInfo!$F$2,LeagueInfo!$D$3*LeagueInfo!$F$2)))</f>
        <v>12</v>
      </c>
    </row>
    <row r="163" spans="1:9" x14ac:dyDescent="0.25">
      <c r="A163" s="1">
        <f ca="1">RANK(E163,E$2:E$619)</f>
        <v>169</v>
      </c>
      <c r="B163" t="s">
        <v>292</v>
      </c>
      <c r="C163" t="s">
        <v>47</v>
      </c>
      <c r="D163" s="1">
        <f ca="1">INDEX(INDIRECT($C163&amp;"!O:O"),MATCH($B163,INDIRECT($C163&amp;"!B:B"),0))</f>
        <v>75.61</v>
      </c>
      <c r="E163" s="254">
        <f ca="1">D163-LARGE(D$2:D$619,RBCount+WRCount+TECount+QBCount)</f>
        <v>-8.2600000000000051</v>
      </c>
      <c r="F163" s="1" t="str">
        <f ca="1">IF(H163&lt;=I163,"Starter",IF(G163&gt;=LARGE(G:G,FlexOn*LeagueInfo!$F$2),"Starter","Bench"))</f>
        <v>Bench</v>
      </c>
      <c r="G163" s="1">
        <f ca="1">IF(H163&gt;I163,D163,0)</f>
        <v>75.61</v>
      </c>
      <c r="H163" s="1">
        <f ca="1">INDEX(INDIRECT(""&amp;C163&amp;"!A2:A489"),MATCH(B163,INDIRECT(""&amp;C163&amp;"!B2:B489"),0))</f>
        <v>21</v>
      </c>
      <c r="I163" s="1">
        <f>IF(C163="RB",LeagueInfo!$D$4*LeagueInfo!$F$2,IF(C163="WR",LeagueInfo!$D$5*LeagueInfo!$F$2,IF(C163="TE",LeagueInfo!$D$6*LeagueInfo!$F$2,LeagueInfo!$D$3*LeagueInfo!$F$2)))</f>
        <v>12</v>
      </c>
    </row>
    <row r="164" spans="1:9" x14ac:dyDescent="0.25">
      <c r="A164" s="1">
        <f ca="1">RANK(E164,E$2:E$619)</f>
        <v>166</v>
      </c>
      <c r="B164" t="s">
        <v>301</v>
      </c>
      <c r="C164" t="s">
        <v>47</v>
      </c>
      <c r="D164" s="1">
        <f ca="1">INDEX(INDIRECT($C164&amp;"!O:O"),MATCH($B164,INDIRECT($C164&amp;"!B:B"),0))</f>
        <v>76.960000000000008</v>
      </c>
      <c r="E164" s="254">
        <f ca="1">D164-LARGE(D$2:D$619,RBCount+WRCount+TECount+QBCount)</f>
        <v>-6.9099999999999966</v>
      </c>
      <c r="F164" s="1" t="str">
        <f ca="1">IF(H164&lt;=I164,"Starter",IF(G164&gt;=LARGE(G:G,FlexOn*LeagueInfo!$F$2),"Starter","Bench"))</f>
        <v>Bench</v>
      </c>
      <c r="G164" s="1">
        <f ca="1">IF(H164&gt;I164,D164,0)</f>
        <v>76.960000000000008</v>
      </c>
      <c r="H164" s="1">
        <f ca="1">INDEX(INDIRECT(""&amp;C164&amp;"!A2:A489"),MATCH(B164,INDIRECT(""&amp;C164&amp;"!B2:B489"),0))</f>
        <v>19</v>
      </c>
      <c r="I164" s="1">
        <f>IF(C164="RB",LeagueInfo!$D$4*LeagueInfo!$F$2,IF(C164="WR",LeagueInfo!$D$5*LeagueInfo!$F$2,IF(C164="TE",LeagueInfo!$D$6*LeagueInfo!$F$2,LeagueInfo!$D$3*LeagueInfo!$F$2)))</f>
        <v>12</v>
      </c>
    </row>
    <row r="165" spans="1:9" x14ac:dyDescent="0.25">
      <c r="A165" s="1">
        <f ca="1">RANK(E165,E$2:E$619)</f>
        <v>168</v>
      </c>
      <c r="B165" t="s">
        <v>274</v>
      </c>
      <c r="C165" t="s">
        <v>47</v>
      </c>
      <c r="D165" s="1">
        <f ca="1">INDEX(INDIRECT($C165&amp;"!O:O"),MATCH($B165,INDIRECT($C165&amp;"!B:B"),0))</f>
        <v>76.789999999999992</v>
      </c>
      <c r="E165" s="254">
        <f ca="1">D165-LARGE(D$2:D$619,RBCount+WRCount+TECount+QBCount)</f>
        <v>-7.0800000000000125</v>
      </c>
      <c r="F165" s="1" t="str">
        <f ca="1">IF(H165&lt;=I165,"Starter",IF(G165&gt;=LARGE(G:G,FlexOn*LeagueInfo!$F$2),"Starter","Bench"))</f>
        <v>Bench</v>
      </c>
      <c r="G165" s="1">
        <f ca="1">IF(H165&gt;I165,D165,0)</f>
        <v>76.789999999999992</v>
      </c>
      <c r="H165" s="1">
        <f ca="1">INDEX(INDIRECT(""&amp;C165&amp;"!A2:A489"),MATCH(B165,INDIRECT(""&amp;C165&amp;"!B2:B489"),0))</f>
        <v>20</v>
      </c>
      <c r="I165" s="1">
        <f>IF(C165="RB",LeagueInfo!$D$4*LeagueInfo!$F$2,IF(C165="WR",LeagueInfo!$D$5*LeagueInfo!$F$2,IF(C165="TE",LeagueInfo!$D$6*LeagueInfo!$F$2,LeagueInfo!$D$3*LeagueInfo!$F$2)))</f>
        <v>12</v>
      </c>
    </row>
    <row r="166" spans="1:9" x14ac:dyDescent="0.25">
      <c r="A166" s="1">
        <f ca="1">RANK(E166,E$2:E$619)</f>
        <v>153</v>
      </c>
      <c r="B166" t="s">
        <v>206</v>
      </c>
      <c r="C166" t="s">
        <v>32</v>
      </c>
      <c r="D166" s="1">
        <f ca="1">INDEX(INDIRECT($C166&amp;"!O:O"),MATCH($B166,INDIRECT($C166&amp;"!B:B"),0))</f>
        <v>85.170000000000016</v>
      </c>
      <c r="E166" s="254">
        <f ca="1">D166-LARGE(D$2:D$619,RBCount+WRCount+TECount+QBCount)</f>
        <v>1.3000000000000114</v>
      </c>
      <c r="F166" s="1" t="str">
        <f ca="1">IF(H166&lt;=I166,"Starter",IF(G166&gt;=LARGE(G:G,FlexOn*LeagueInfo!$F$2),"Starter","Bench"))</f>
        <v>Bench</v>
      </c>
      <c r="G166" s="1">
        <f ca="1">IF(H166&gt;I166,D166,0)</f>
        <v>85.170000000000016</v>
      </c>
      <c r="H166" s="1">
        <f ca="1">INDEX(INDIRECT(""&amp;C166&amp;"!A2:A489"),MATCH(B166,INDIRECT(""&amp;C166&amp;"!B2:B489"),0))</f>
        <v>45</v>
      </c>
      <c r="I166" s="1">
        <f>IF(C166="RB",LeagueInfo!$D$4*LeagueInfo!$F$2,IF(C166="WR",LeagueInfo!$D$5*LeagueInfo!$F$2,IF(C166="TE",LeagueInfo!$D$6*LeagueInfo!$F$2,LeagueInfo!$D$3*LeagueInfo!$F$2)))</f>
        <v>24</v>
      </c>
    </row>
    <row r="167" spans="1:9" x14ac:dyDescent="0.25">
      <c r="A167" s="1">
        <f ca="1">RANK(E167,E$2:E$619)</f>
        <v>161</v>
      </c>
      <c r="B167" t="s">
        <v>216</v>
      </c>
      <c r="C167" t="s">
        <v>32</v>
      </c>
      <c r="D167" s="1">
        <f ca="1">INDEX(INDIRECT($C167&amp;"!O:O"),MATCH($B167,INDIRECT($C167&amp;"!B:B"),0))</f>
        <v>79.800000000000011</v>
      </c>
      <c r="E167" s="254">
        <f ca="1">D167-LARGE(D$2:D$619,RBCount+WRCount+TECount+QBCount)</f>
        <v>-4.0699999999999932</v>
      </c>
      <c r="F167" s="1" t="str">
        <f ca="1">IF(H167&lt;=I167,"Starter",IF(G167&gt;=LARGE(G:G,FlexOn*LeagueInfo!$F$2),"Starter","Bench"))</f>
        <v>Bench</v>
      </c>
      <c r="G167" s="1">
        <f ca="1">IF(H167&gt;I167,D167,0)</f>
        <v>79.800000000000011</v>
      </c>
      <c r="H167" s="1">
        <f ca="1">INDEX(INDIRECT(""&amp;C167&amp;"!A2:A489"),MATCH(B167,INDIRECT(""&amp;C167&amp;"!B2:B489"),0))</f>
        <v>48</v>
      </c>
      <c r="I167" s="1">
        <f>IF(C167="RB",LeagueInfo!$D$4*LeagueInfo!$F$2,IF(C167="WR",LeagueInfo!$D$5*LeagueInfo!$F$2,IF(C167="TE",LeagueInfo!$D$6*LeagueInfo!$F$2,LeagueInfo!$D$3*LeagueInfo!$F$2)))</f>
        <v>24</v>
      </c>
    </row>
    <row r="168" spans="1:9" x14ac:dyDescent="0.25">
      <c r="A168" s="1">
        <f ca="1">RANK(E168,E$2:E$619)</f>
        <v>171</v>
      </c>
      <c r="B168" t="s">
        <v>575</v>
      </c>
      <c r="C168" t="s">
        <v>39</v>
      </c>
      <c r="D168" s="1">
        <f ca="1">INDEX(INDIRECT($C168&amp;"!O:O"),MATCH($B168,INDIRECT($C168&amp;"!B:B"),0))</f>
        <v>74.949999999999989</v>
      </c>
      <c r="E168" s="254">
        <f ca="1">D168-LARGE(D$2:D$619,RBCount+WRCount+TECount+QBCount)</f>
        <v>-8.9200000000000159</v>
      </c>
      <c r="F168" s="1" t="str">
        <f ca="1">IF(H168&lt;=I168,"Starter",IF(G168&gt;=LARGE(G:G,FlexOn*LeagueInfo!$F$2),"Starter","Bench"))</f>
        <v>Bench</v>
      </c>
      <c r="G168" s="1">
        <f ca="1">IF(H168&gt;I168,D168,0)</f>
        <v>74.949999999999989</v>
      </c>
      <c r="H168" s="1">
        <f ca="1">INDEX(INDIRECT(""&amp;C168&amp;"!A2:A489"),MATCH(B168,INDIRECT(""&amp;C168&amp;"!B2:B489"),0))</f>
        <v>67</v>
      </c>
      <c r="I168" s="1">
        <f>IF(C168="RB",LeagueInfo!$D$4*LeagueInfo!$F$2,IF(C168="WR",LeagueInfo!$D$5*LeagueInfo!$F$2,IF(C168="TE",LeagueInfo!$D$6*LeagueInfo!$F$2,LeagueInfo!$D$3*LeagueInfo!$F$2)))</f>
        <v>24</v>
      </c>
    </row>
    <row r="169" spans="1:9" x14ac:dyDescent="0.25">
      <c r="A169" s="1">
        <f ca="1">RANK(E169,E$2:E$619)</f>
        <v>167</v>
      </c>
      <c r="B169" t="s">
        <v>436</v>
      </c>
      <c r="C169" t="s">
        <v>32</v>
      </c>
      <c r="D169" s="1">
        <f ca="1">INDEX(INDIRECT($C169&amp;"!O:O"),MATCH($B169,INDIRECT($C169&amp;"!B:B"),0))</f>
        <v>76.84</v>
      </c>
      <c r="E169" s="254">
        <f ca="1">D169-LARGE(D$2:D$619,RBCount+WRCount+TECount+QBCount)</f>
        <v>-7.0300000000000011</v>
      </c>
      <c r="F169" s="1" t="str">
        <f ca="1">IF(H169&lt;=I169,"Starter",IF(G169&gt;=LARGE(G:G,FlexOn*LeagueInfo!$F$2),"Starter","Bench"))</f>
        <v>Bench</v>
      </c>
      <c r="G169" s="1">
        <f ca="1">IF(H169&gt;I169,D169,0)</f>
        <v>76.84</v>
      </c>
      <c r="H169" s="1">
        <f ca="1">INDEX(INDIRECT(""&amp;C169&amp;"!A2:A489"),MATCH(B169,INDIRECT(""&amp;C169&amp;"!B2:B489"),0))</f>
        <v>49</v>
      </c>
      <c r="I169" s="1">
        <f>IF(C169="RB",LeagueInfo!$D$4*LeagueInfo!$F$2,IF(C169="WR",LeagueInfo!$D$5*LeagueInfo!$F$2,IF(C169="TE",LeagueInfo!$D$6*LeagueInfo!$F$2,LeagueInfo!$D$3*LeagueInfo!$F$2)))</f>
        <v>24</v>
      </c>
    </row>
    <row r="170" spans="1:9" x14ac:dyDescent="0.25">
      <c r="A170" s="1">
        <f ca="1">RANK(E170,E$2:E$619)</f>
        <v>172</v>
      </c>
      <c r="B170" t="s">
        <v>565</v>
      </c>
      <c r="C170" t="s">
        <v>39</v>
      </c>
      <c r="D170" s="1">
        <f ca="1">INDEX(INDIRECT($C170&amp;"!O:O"),MATCH($B170,INDIRECT($C170&amp;"!B:B"),0))</f>
        <v>74.650000000000006</v>
      </c>
      <c r="E170" s="254">
        <f ca="1">D170-LARGE(D$2:D$619,RBCount+WRCount+TECount+QBCount)</f>
        <v>-9.2199999999999989</v>
      </c>
      <c r="F170" s="1" t="str">
        <f ca="1">IF(H170&lt;=I170,"Starter",IF(G170&gt;=LARGE(G:G,FlexOn*LeagueInfo!$F$2),"Starter","Bench"))</f>
        <v>Bench</v>
      </c>
      <c r="G170" s="1">
        <f ca="1">IF(H170&gt;I170,D170,0)</f>
        <v>74.650000000000006</v>
      </c>
      <c r="H170" s="1">
        <f ca="1">INDEX(INDIRECT(""&amp;C170&amp;"!A2:A489"),MATCH(B170,INDIRECT(""&amp;C170&amp;"!B2:B489"),0))</f>
        <v>68</v>
      </c>
      <c r="I170" s="1">
        <f>IF(C170="RB",LeagueInfo!$D$4*LeagueInfo!$F$2,IF(C170="WR",LeagueInfo!$D$5*LeagueInfo!$F$2,IF(C170="TE",LeagueInfo!$D$6*LeagueInfo!$F$2,LeagueInfo!$D$3*LeagueInfo!$F$2)))</f>
        <v>24</v>
      </c>
    </row>
    <row r="171" spans="1:9" x14ac:dyDescent="0.25">
      <c r="A171" s="1">
        <f ca="1">RANK(E171,E$2:E$619)</f>
        <v>165</v>
      </c>
      <c r="B171" t="s">
        <v>243</v>
      </c>
      <c r="C171" t="s">
        <v>39</v>
      </c>
      <c r="D171" s="1">
        <f ca="1">INDEX(INDIRECT($C171&amp;"!O:O"),MATCH($B171,INDIRECT($C171&amp;"!B:B"),0))</f>
        <v>78.410000000000011</v>
      </c>
      <c r="E171" s="254">
        <f ca="1">D171-LARGE(D$2:D$619,RBCount+WRCount+TECount+QBCount)</f>
        <v>-5.4599999999999937</v>
      </c>
      <c r="F171" s="1" t="str">
        <f ca="1">IF(H171&lt;=I171,"Starter",IF(G171&gt;=LARGE(G:G,FlexOn*LeagueInfo!$F$2),"Starter","Bench"))</f>
        <v>Bench</v>
      </c>
      <c r="G171" s="1">
        <f ca="1">IF(H171&gt;I171,D171,0)</f>
        <v>78.410000000000011</v>
      </c>
      <c r="H171" s="1">
        <f ca="1">INDEX(INDIRECT(""&amp;C171&amp;"!A2:A489"),MATCH(B171,INDIRECT(""&amp;C171&amp;"!B2:B489"),0))</f>
        <v>66</v>
      </c>
      <c r="I171" s="1">
        <f>IF(C171="RB",LeagueInfo!$D$4*LeagueInfo!$F$2,IF(C171="WR",LeagueInfo!$D$5*LeagueInfo!$F$2,IF(C171="TE",LeagueInfo!$D$6*LeagueInfo!$F$2,LeagueInfo!$D$3*LeagueInfo!$F$2)))</f>
        <v>24</v>
      </c>
    </row>
    <row r="172" spans="1:9" x14ac:dyDescent="0.25">
      <c r="A172" s="1">
        <f ca="1">RANK(E172,E$2:E$619)</f>
        <v>176</v>
      </c>
      <c r="B172" t="s">
        <v>290</v>
      </c>
      <c r="C172" t="s">
        <v>47</v>
      </c>
      <c r="D172" s="1">
        <f ca="1">INDEX(INDIRECT($C172&amp;"!O:O"),MATCH($B172,INDIRECT($C172&amp;"!B:B"),0))</f>
        <v>72.430000000000007</v>
      </c>
      <c r="E172" s="254">
        <f ca="1">D172-LARGE(D$2:D$619,RBCount+WRCount+TECount+QBCount)</f>
        <v>-11.439999999999998</v>
      </c>
      <c r="F172" s="1" t="str">
        <f ca="1">IF(H172&lt;=I172,"Starter",IF(G172&gt;=LARGE(G:G,FlexOn*LeagueInfo!$F$2),"Starter","Bench"))</f>
        <v>Bench</v>
      </c>
      <c r="G172" s="1">
        <f ca="1">IF(H172&gt;I172,D172,0)</f>
        <v>72.430000000000007</v>
      </c>
      <c r="H172" s="1">
        <f ca="1">INDEX(INDIRECT(""&amp;C172&amp;"!A2:A489"),MATCH(B172,INDIRECT(""&amp;C172&amp;"!B2:B489"),0))</f>
        <v>22</v>
      </c>
      <c r="I172" s="1">
        <f>IF(C172="RB",LeagueInfo!$D$4*LeagueInfo!$F$2,IF(C172="WR",LeagueInfo!$D$5*LeagueInfo!$F$2,IF(C172="TE",LeagueInfo!$D$6*LeagueInfo!$F$2,LeagueInfo!$D$3*LeagueInfo!$F$2)))</f>
        <v>12</v>
      </c>
    </row>
    <row r="173" spans="1:9" x14ac:dyDescent="0.25">
      <c r="A173" s="1">
        <f ca="1">RANK(E173,E$2:E$619)</f>
        <v>174</v>
      </c>
      <c r="B173" t="s">
        <v>558</v>
      </c>
      <c r="C173" t="s">
        <v>39</v>
      </c>
      <c r="D173" s="1">
        <f ca="1">INDEX(INDIRECT($C173&amp;"!O:O"),MATCH($B173,INDIRECT($C173&amp;"!B:B"),0))</f>
        <v>74.070000000000007</v>
      </c>
      <c r="E173" s="254">
        <f ca="1">D173-LARGE(D$2:D$619,RBCount+WRCount+TECount+QBCount)</f>
        <v>-9.7999999999999972</v>
      </c>
      <c r="F173" s="1" t="str">
        <f ca="1">IF(H173&lt;=I173,"Starter",IF(G173&gt;=LARGE(G:G,FlexOn*LeagueInfo!$F$2),"Starter","Bench"))</f>
        <v>Bench</v>
      </c>
      <c r="G173" s="1">
        <f ca="1">IF(H173&gt;I173,D173,0)</f>
        <v>74.070000000000007</v>
      </c>
      <c r="H173" s="1">
        <f ca="1">INDEX(INDIRECT(""&amp;C173&amp;"!A2:A489"),MATCH(B173,INDIRECT(""&amp;C173&amp;"!B2:B489"),0))</f>
        <v>69</v>
      </c>
      <c r="I173" s="1">
        <f>IF(C173="RB",LeagueInfo!$D$4*LeagueInfo!$F$2,IF(C173="WR",LeagueInfo!$D$5*LeagueInfo!$F$2,IF(C173="TE",LeagueInfo!$D$6*LeagueInfo!$F$2,LeagueInfo!$D$3*LeagueInfo!$F$2)))</f>
        <v>24</v>
      </c>
    </row>
    <row r="174" spans="1:9" x14ac:dyDescent="0.25">
      <c r="A174" s="1">
        <f ca="1">RANK(E174,E$2:E$619)</f>
        <v>182</v>
      </c>
      <c r="B174" t="s">
        <v>559</v>
      </c>
      <c r="C174" t="s">
        <v>39</v>
      </c>
      <c r="D174" s="1">
        <f ca="1">INDEX(INDIRECT($C174&amp;"!O:O"),MATCH($B174,INDIRECT($C174&amp;"!B:B"),0))</f>
        <v>69.789999999999992</v>
      </c>
      <c r="E174" s="254">
        <f ca="1">D174-LARGE(D$2:D$619,RBCount+WRCount+TECount+QBCount)</f>
        <v>-14.080000000000013</v>
      </c>
      <c r="F174" s="1" t="str">
        <f ca="1">IF(H174&lt;=I174,"Starter",IF(G174&gt;=LARGE(G:G,FlexOn*LeagueInfo!$F$2),"Starter","Bench"))</f>
        <v>Bench</v>
      </c>
      <c r="G174" s="1">
        <f ca="1">IF(H174&gt;I174,D174,0)</f>
        <v>69.789999999999992</v>
      </c>
      <c r="H174" s="1">
        <f ca="1">INDEX(INDIRECT(""&amp;C174&amp;"!A2:A489"),MATCH(B174,INDIRECT(""&amp;C174&amp;"!B2:B489"),0))</f>
        <v>72</v>
      </c>
      <c r="I174" s="1">
        <f>IF(C174="RB",LeagueInfo!$D$4*LeagueInfo!$F$2,IF(C174="WR",LeagueInfo!$D$5*LeagueInfo!$F$2,IF(C174="TE",LeagueInfo!$D$6*LeagueInfo!$F$2,LeagueInfo!$D$3*LeagueInfo!$F$2)))</f>
        <v>24</v>
      </c>
    </row>
    <row r="175" spans="1:9" x14ac:dyDescent="0.25">
      <c r="A175" s="1">
        <f ca="1">RANK(E175,E$2:E$619)</f>
        <v>177</v>
      </c>
      <c r="B175" s="1" t="s">
        <v>276</v>
      </c>
      <c r="C175" s="1" t="s">
        <v>39</v>
      </c>
      <c r="D175" s="1">
        <f ca="1">INDEX(INDIRECT($C175&amp;"!O:O"),MATCH($B175,INDIRECT($C175&amp;"!B:B"),0))</f>
        <v>72.110000000000014</v>
      </c>
      <c r="E175" s="254">
        <f ca="1">D175-LARGE(D$2:D$619,RBCount+WRCount+TECount+QBCount)</f>
        <v>-11.759999999999991</v>
      </c>
      <c r="F175" s="1" t="str">
        <f ca="1">IF(H175&lt;=I175,"Starter",IF(G175&gt;=LARGE(G:G,FlexOn*LeagueInfo!$F$2),"Starter","Bench"))</f>
        <v>Bench</v>
      </c>
      <c r="G175" s="1">
        <f ca="1">IF(H175&gt;I175,D175,0)</f>
        <v>72.110000000000014</v>
      </c>
      <c r="H175" s="1">
        <f ca="1">INDEX(INDIRECT(""&amp;C175&amp;"!A2:A489"),MATCH(B175,INDIRECT(""&amp;C175&amp;"!B2:B489"),0))</f>
        <v>70</v>
      </c>
      <c r="I175" s="1">
        <f>IF(C175="RB",LeagueInfo!$D$4*LeagueInfo!$F$2,IF(C175="WR",LeagueInfo!$D$5*LeagueInfo!$F$2,IF(C175="TE",LeagueInfo!$D$6*LeagueInfo!$F$2,LeagueInfo!$D$3*LeagueInfo!$F$2)))</f>
        <v>24</v>
      </c>
    </row>
    <row r="176" spans="1:9" x14ac:dyDescent="0.25">
      <c r="A176" s="1">
        <f ca="1">RANK(E176,E$2:E$619)</f>
        <v>179</v>
      </c>
      <c r="B176" s="1" t="s">
        <v>567</v>
      </c>
      <c r="C176" s="1" t="s">
        <v>39</v>
      </c>
      <c r="D176" s="1">
        <f ca="1">INDEX(INDIRECT($C176&amp;"!O:O"),MATCH($B176,INDIRECT($C176&amp;"!B:B"),0))</f>
        <v>70.78</v>
      </c>
      <c r="E176" s="254">
        <f ca="1">D176-LARGE(D$2:D$619,RBCount+WRCount+TECount+QBCount)</f>
        <v>-13.090000000000003</v>
      </c>
      <c r="F176" s="1" t="str">
        <f ca="1">IF(H176&lt;=I176,"Starter",IF(G176&gt;=LARGE(G:G,FlexOn*LeagueInfo!$F$2),"Starter","Bench"))</f>
        <v>Bench</v>
      </c>
      <c r="G176" s="1">
        <f ca="1">IF(H176&gt;I176,D176,0)</f>
        <v>70.78</v>
      </c>
      <c r="H176" s="1">
        <f ca="1">INDEX(INDIRECT(""&amp;C176&amp;"!A2:A489"),MATCH(B176,INDIRECT(""&amp;C176&amp;"!B2:B489"),0))</f>
        <v>71</v>
      </c>
      <c r="I176" s="1">
        <f>IF(C176="RB",LeagueInfo!$D$4*LeagueInfo!$F$2,IF(C176="WR",LeagueInfo!$D$5*LeagueInfo!$F$2,IF(C176="TE",LeagueInfo!$D$6*LeagueInfo!$F$2,LeagueInfo!$D$3*LeagueInfo!$F$2)))</f>
        <v>24</v>
      </c>
    </row>
    <row r="177" spans="1:9" x14ac:dyDescent="0.25">
      <c r="A177" s="1">
        <f ca="1">RANK(E177,E$2:E$619)</f>
        <v>159</v>
      </c>
      <c r="B177" s="1" t="s">
        <v>242</v>
      </c>
      <c r="C177" s="1" t="s">
        <v>32</v>
      </c>
      <c r="D177" s="1">
        <f ca="1">INDEX(INDIRECT($C177&amp;"!O:O"),MATCH($B177,INDIRECT($C177&amp;"!B:B"),0))</f>
        <v>82.390000000000015</v>
      </c>
      <c r="E177" s="254">
        <f ca="1">D177-LARGE(D$2:D$619,RBCount+WRCount+TECount+QBCount)</f>
        <v>-1.4799999999999898</v>
      </c>
      <c r="F177" s="1" t="str">
        <f ca="1">IF(H177&lt;=I177,"Starter",IF(G177&gt;=LARGE(G:G,FlexOn*LeagueInfo!$F$2),"Starter","Bench"))</f>
        <v>Bench</v>
      </c>
      <c r="G177" s="1">
        <f ca="1">IF(H177&gt;I177,D177,0)</f>
        <v>82.390000000000015</v>
      </c>
      <c r="H177" s="1">
        <f ca="1">INDEX(INDIRECT(""&amp;C177&amp;"!A2:A489"),MATCH(B177,INDIRECT(""&amp;C177&amp;"!B2:B489"),0))</f>
        <v>47</v>
      </c>
      <c r="I177" s="1">
        <f>IF(C177="RB",LeagueInfo!$D$4*LeagueInfo!$F$2,IF(C177="WR",LeagueInfo!$D$5*LeagueInfo!$F$2,IF(C177="TE",LeagueInfo!$D$6*LeagueInfo!$F$2,LeagueInfo!$D$3*LeagueInfo!$F$2)))</f>
        <v>24</v>
      </c>
    </row>
    <row r="178" spans="1:9" x14ac:dyDescent="0.25">
      <c r="A178" s="1">
        <f ca="1">RANK(E178,E$2:E$619)</f>
        <v>184</v>
      </c>
      <c r="B178" s="1" t="s">
        <v>552</v>
      </c>
      <c r="C178" s="1" t="s">
        <v>39</v>
      </c>
      <c r="D178" s="1">
        <f ca="1">INDEX(INDIRECT($C178&amp;"!O:O"),MATCH($B178,INDIRECT($C178&amp;"!B:B"),0))</f>
        <v>68.660000000000011</v>
      </c>
      <c r="E178" s="254">
        <f ca="1">D178-LARGE(D$2:D$619,RBCount+WRCount+TECount+QBCount)</f>
        <v>-15.209999999999994</v>
      </c>
      <c r="F178" s="1" t="str">
        <f ca="1">IF(H178&lt;=I178,"Starter",IF(G178&gt;=LARGE(G:G,FlexOn*LeagueInfo!$F$2),"Starter","Bench"))</f>
        <v>Bench</v>
      </c>
      <c r="G178" s="1">
        <f ca="1">IF(H178&gt;I178,D178,0)</f>
        <v>68.660000000000011</v>
      </c>
      <c r="H178" s="1">
        <f ca="1">INDEX(INDIRECT(""&amp;C178&amp;"!A2:A489"),MATCH(B178,INDIRECT(""&amp;C178&amp;"!B2:B489"),0))</f>
        <v>73</v>
      </c>
      <c r="I178" s="1">
        <f>IF(C178="RB",LeagueInfo!$D$4*LeagueInfo!$F$2,IF(C178="WR",LeagueInfo!$D$5*LeagueInfo!$F$2,IF(C178="TE",LeagueInfo!$D$6*LeagueInfo!$F$2,LeagueInfo!$D$3*LeagueInfo!$F$2)))</f>
        <v>24</v>
      </c>
    </row>
    <row r="179" spans="1:9" x14ac:dyDescent="0.25">
      <c r="A179" s="1">
        <f ca="1">RANK(E179,E$2:E$619)</f>
        <v>190</v>
      </c>
      <c r="B179" s="1" t="s">
        <v>283</v>
      </c>
      <c r="C179" s="1" t="s">
        <v>47</v>
      </c>
      <c r="D179" s="1">
        <f ca="1">INDEX(INDIRECT($C179&amp;"!O:O"),MATCH($B179,INDIRECT($C179&amp;"!B:B"),0))</f>
        <v>66.080000000000013</v>
      </c>
      <c r="E179" s="254">
        <f ca="1">D179-LARGE(D$2:D$619,RBCount+WRCount+TECount+QBCount)</f>
        <v>-17.789999999999992</v>
      </c>
      <c r="F179" s="1" t="str">
        <f ca="1">IF(H179&lt;=I179,"Starter",IF(G179&gt;=LARGE(G:G,FlexOn*LeagueInfo!$F$2),"Starter","Bench"))</f>
        <v>Bench</v>
      </c>
      <c r="G179" s="1">
        <f ca="1">IF(H179&gt;I179,D179,0)</f>
        <v>66.080000000000013</v>
      </c>
      <c r="H179" s="1">
        <f ca="1">INDEX(INDIRECT(""&amp;C179&amp;"!A2:A489"),MATCH(B179,INDIRECT(""&amp;C179&amp;"!B2:B489"),0))</f>
        <v>24</v>
      </c>
      <c r="I179" s="1">
        <f>IF(C179="RB",LeagueInfo!$D$4*LeagueInfo!$F$2,IF(C179="WR",LeagueInfo!$D$5*LeagueInfo!$F$2,IF(C179="TE",LeagueInfo!$D$6*LeagueInfo!$F$2,LeagueInfo!$D$3*LeagueInfo!$F$2)))</f>
        <v>12</v>
      </c>
    </row>
    <row r="180" spans="1:9" x14ac:dyDescent="0.25">
      <c r="A180" s="1">
        <f ca="1">RANK(E180,E$2:E$619)</f>
        <v>188</v>
      </c>
      <c r="B180" s="1" t="s">
        <v>297</v>
      </c>
      <c r="C180" s="1" t="s">
        <v>47</v>
      </c>
      <c r="D180" s="1">
        <f ca="1">INDEX(INDIRECT($C180&amp;"!O:O"),MATCH($B180,INDIRECT($C180&amp;"!B:B"),0))</f>
        <v>66.8</v>
      </c>
      <c r="E180" s="254">
        <f ca="1">D180-LARGE(D$2:D$619,RBCount+WRCount+TECount+QBCount)</f>
        <v>-17.070000000000007</v>
      </c>
      <c r="F180" s="1" t="str">
        <f ca="1">IF(H180&lt;=I180,"Starter",IF(G180&gt;=LARGE(G:G,FlexOn*LeagueInfo!$F$2),"Starter","Bench"))</f>
        <v>Bench</v>
      </c>
      <c r="G180" s="1">
        <f ca="1">IF(H180&gt;I180,D180,0)</f>
        <v>66.8</v>
      </c>
      <c r="H180" s="1">
        <f ca="1">INDEX(INDIRECT(""&amp;C180&amp;"!A2:A489"),MATCH(B180,INDIRECT(""&amp;C180&amp;"!B2:B489"),0))</f>
        <v>23</v>
      </c>
      <c r="I180" s="1">
        <f>IF(C180="RB",LeagueInfo!$D$4*LeagueInfo!$F$2,IF(C180="WR",LeagueInfo!$D$5*LeagueInfo!$F$2,IF(C180="TE",LeagueInfo!$D$6*LeagueInfo!$F$2,LeagueInfo!$D$3*LeagueInfo!$F$2)))</f>
        <v>12</v>
      </c>
    </row>
    <row r="181" spans="1:9" x14ac:dyDescent="0.25">
      <c r="A181" s="1">
        <f ca="1">RANK(E181,E$2:E$619)</f>
        <v>187</v>
      </c>
      <c r="B181" s="1" t="s">
        <v>571</v>
      </c>
      <c r="C181" s="1" t="s">
        <v>39</v>
      </c>
      <c r="D181" s="1">
        <f ca="1">INDEX(INDIRECT($C181&amp;"!O:O"),MATCH($B181,INDIRECT($C181&amp;"!B:B"),0))</f>
        <v>67.790000000000006</v>
      </c>
      <c r="E181" s="254">
        <f ca="1">D181-LARGE(D$2:D$619,RBCount+WRCount+TECount+QBCount)</f>
        <v>-16.079999999999998</v>
      </c>
      <c r="F181" s="1" t="str">
        <f ca="1">IF(H181&lt;=I181,"Starter",IF(G181&gt;=LARGE(G:G,FlexOn*LeagueInfo!$F$2),"Starter","Bench"))</f>
        <v>Bench</v>
      </c>
      <c r="G181" s="1">
        <f ca="1">IF(H181&gt;I181,D181,0)</f>
        <v>67.790000000000006</v>
      </c>
      <c r="H181" s="1">
        <f ca="1">INDEX(INDIRECT(""&amp;C181&amp;"!A2:A489"),MATCH(B181,INDIRECT(""&amp;C181&amp;"!B2:B489"),0))</f>
        <v>74</v>
      </c>
      <c r="I181" s="1">
        <f>IF(C181="RB",LeagueInfo!$D$4*LeagueInfo!$F$2,IF(C181="WR",LeagueInfo!$D$5*LeagueInfo!$F$2,IF(C181="TE",LeagueInfo!$D$6*LeagueInfo!$F$2,LeagueInfo!$D$3*LeagueInfo!$F$2)))</f>
        <v>24</v>
      </c>
    </row>
    <row r="182" spans="1:9" x14ac:dyDescent="0.25">
      <c r="A182" s="1">
        <f ca="1">RANK(E182,E$2:E$619)</f>
        <v>193</v>
      </c>
      <c r="B182" s="1" t="s">
        <v>277</v>
      </c>
      <c r="C182" s="1" t="s">
        <v>47</v>
      </c>
      <c r="D182" s="1">
        <f ca="1">INDEX(INDIRECT($C182&amp;"!O:O"),MATCH($B182,INDIRECT($C182&amp;"!B:B"),0))</f>
        <v>63.77</v>
      </c>
      <c r="E182" s="254">
        <f ca="1">D182-LARGE(D$2:D$619,RBCount+WRCount+TECount+QBCount)</f>
        <v>-20.100000000000001</v>
      </c>
      <c r="F182" s="1" t="str">
        <f ca="1">IF(H182&lt;=I182,"Starter",IF(G182&gt;=LARGE(G:G,FlexOn*LeagueInfo!$F$2),"Starter","Bench"))</f>
        <v>Bench</v>
      </c>
      <c r="G182" s="1">
        <f ca="1">IF(H182&gt;I182,D182,0)</f>
        <v>63.77</v>
      </c>
      <c r="H182" s="1">
        <f ca="1">INDEX(INDIRECT(""&amp;C182&amp;"!A2:A489"),MATCH(B182,INDIRECT(""&amp;C182&amp;"!B2:B489"),0))</f>
        <v>25</v>
      </c>
      <c r="I182" s="1">
        <f>IF(C182="RB",LeagueInfo!$D$4*LeagueInfo!$F$2,IF(C182="WR",LeagueInfo!$D$5*LeagueInfo!$F$2,IF(C182="TE",LeagueInfo!$D$6*LeagueInfo!$F$2,LeagueInfo!$D$3*LeagueInfo!$F$2)))</f>
        <v>12</v>
      </c>
    </row>
    <row r="183" spans="1:9" x14ac:dyDescent="0.25">
      <c r="A183" s="1">
        <f ca="1">RANK(E183,E$2:E$619)</f>
        <v>183</v>
      </c>
      <c r="B183" s="1" t="s">
        <v>437</v>
      </c>
      <c r="C183" s="1" t="s">
        <v>32</v>
      </c>
      <c r="D183" s="1">
        <f ca="1">INDEX(INDIRECT($C183&amp;"!O:O"),MATCH($B183,INDIRECT($C183&amp;"!B:B"),0))</f>
        <v>69.240000000000009</v>
      </c>
      <c r="E183" s="254">
        <f ca="1">D183-LARGE(D$2:D$619,RBCount+WRCount+TECount+QBCount)</f>
        <v>-14.629999999999995</v>
      </c>
      <c r="F183" s="1" t="str">
        <f ca="1">IF(H183&lt;=I183,"Starter",IF(G183&gt;=LARGE(G:G,FlexOn*LeagueInfo!$F$2),"Starter","Bench"))</f>
        <v>Bench</v>
      </c>
      <c r="G183" s="1">
        <f ca="1">IF(H183&gt;I183,D183,0)</f>
        <v>69.240000000000009</v>
      </c>
      <c r="H183" s="1">
        <f ca="1">INDEX(INDIRECT(""&amp;C183&amp;"!A2:A489"),MATCH(B183,INDIRECT(""&amp;C183&amp;"!B2:B489"),0))</f>
        <v>56</v>
      </c>
      <c r="I183" s="1">
        <f>IF(C183="RB",LeagueInfo!$D$4*LeagueInfo!$F$2,IF(C183="WR",LeagueInfo!$D$5*LeagueInfo!$F$2,IF(C183="TE",LeagueInfo!$D$6*LeagueInfo!$F$2,LeagueInfo!$D$3*LeagueInfo!$F$2)))</f>
        <v>24</v>
      </c>
    </row>
    <row r="184" spans="1:9" x14ac:dyDescent="0.25">
      <c r="A184" s="1">
        <f ca="1">RANK(E184,E$2:E$619)</f>
        <v>192</v>
      </c>
      <c r="B184" s="1" t="s">
        <v>228</v>
      </c>
      <c r="C184" s="1" t="s">
        <v>39</v>
      </c>
      <c r="D184" s="1">
        <f ca="1">INDEX(INDIRECT($C184&amp;"!O:O"),MATCH($B184,INDIRECT($C184&amp;"!B:B"),0))</f>
        <v>65.550000000000011</v>
      </c>
      <c r="E184" s="254">
        <f ca="1">D184-LARGE(D$2:D$619,RBCount+WRCount+TECount+QBCount)</f>
        <v>-18.319999999999993</v>
      </c>
      <c r="F184" s="1" t="str">
        <f ca="1">IF(H184&lt;=I184,"Starter",IF(G184&gt;=LARGE(G:G,FlexOn*LeagueInfo!$F$2),"Starter","Bench"))</f>
        <v>Bench</v>
      </c>
      <c r="G184" s="1">
        <f ca="1">IF(H184&gt;I184,D184,0)</f>
        <v>65.550000000000011</v>
      </c>
      <c r="H184" s="1">
        <f ca="1">INDEX(INDIRECT(""&amp;C184&amp;"!A2:A489"),MATCH(B184,INDIRECT(""&amp;C184&amp;"!B2:B489"),0))</f>
        <v>76</v>
      </c>
      <c r="I184" s="1">
        <f>IF(C184="RB",LeagueInfo!$D$4*LeagueInfo!$F$2,IF(C184="WR",LeagueInfo!$D$5*LeagueInfo!$F$2,IF(C184="TE",LeagueInfo!$D$6*LeagueInfo!$F$2,LeagueInfo!$D$3*LeagueInfo!$F$2)))</f>
        <v>24</v>
      </c>
    </row>
    <row r="185" spans="1:9" x14ac:dyDescent="0.25">
      <c r="A185" s="1">
        <f ca="1">RANK(E185,E$2:E$619)</f>
        <v>191</v>
      </c>
      <c r="B185" s="1" t="s">
        <v>563</v>
      </c>
      <c r="C185" s="1" t="s">
        <v>39</v>
      </c>
      <c r="D185" s="1">
        <f ca="1">INDEX(INDIRECT($C185&amp;"!O:O"),MATCH($B185,INDIRECT($C185&amp;"!B:B"),0))</f>
        <v>65.739999999999995</v>
      </c>
      <c r="E185" s="254">
        <f ca="1">D185-LARGE(D$2:D$619,RBCount+WRCount+TECount+QBCount)</f>
        <v>-18.13000000000001</v>
      </c>
      <c r="F185" s="1" t="str">
        <f ca="1">IF(H185&lt;=I185,"Starter",IF(G185&gt;=LARGE(G:G,FlexOn*LeagueInfo!$F$2),"Starter","Bench"))</f>
        <v>Bench</v>
      </c>
      <c r="G185" s="1">
        <f ca="1">IF(H185&gt;I185,D185,0)</f>
        <v>65.739999999999995</v>
      </c>
      <c r="H185" s="1">
        <f ca="1">INDEX(INDIRECT(""&amp;C185&amp;"!A2:A489"),MATCH(B185,INDIRECT(""&amp;C185&amp;"!B2:B489"),0))</f>
        <v>75</v>
      </c>
      <c r="I185" s="1">
        <f>IF(C185="RB",LeagueInfo!$D$4*LeagueInfo!$F$2,IF(C185="WR",LeagueInfo!$D$5*LeagueInfo!$F$2,IF(C185="TE",LeagueInfo!$D$6*LeagueInfo!$F$2,LeagueInfo!$D$3*LeagueInfo!$F$2)))</f>
        <v>24</v>
      </c>
    </row>
    <row r="186" spans="1:9" x14ac:dyDescent="0.25">
      <c r="A186" s="1">
        <f ca="1">RANK(E186,E$2:E$619)</f>
        <v>194</v>
      </c>
      <c r="B186" s="1" t="s">
        <v>556</v>
      </c>
      <c r="C186" s="1" t="s">
        <v>39</v>
      </c>
      <c r="D186" s="1">
        <f ca="1">INDEX(INDIRECT($C186&amp;"!O:O"),MATCH($B186,INDIRECT($C186&amp;"!B:B"),0))</f>
        <v>63.550000000000004</v>
      </c>
      <c r="E186" s="254">
        <f ca="1">D186-LARGE(D$2:D$619,RBCount+WRCount+TECount+QBCount)</f>
        <v>-20.32</v>
      </c>
      <c r="F186" s="1" t="str">
        <f ca="1">IF(H186&lt;=I186,"Starter",IF(G186&gt;=LARGE(G:G,FlexOn*LeagueInfo!$F$2),"Starter","Bench"))</f>
        <v>Bench</v>
      </c>
      <c r="G186" s="1">
        <f ca="1">IF(H186&gt;I186,D186,0)</f>
        <v>63.550000000000004</v>
      </c>
      <c r="H186" s="1">
        <f ca="1">INDEX(INDIRECT(""&amp;C186&amp;"!A2:A489"),MATCH(B186,INDIRECT(""&amp;C186&amp;"!B2:B489"),0))</f>
        <v>77</v>
      </c>
      <c r="I186" s="1">
        <f>IF(C186="RB",LeagueInfo!$D$4*LeagueInfo!$F$2,IF(C186="WR",LeagueInfo!$D$5*LeagueInfo!$F$2,IF(C186="TE",LeagueInfo!$D$6*LeagueInfo!$F$2,LeagueInfo!$D$3*LeagueInfo!$F$2)))</f>
        <v>24</v>
      </c>
    </row>
    <row r="187" spans="1:9" x14ac:dyDescent="0.25">
      <c r="A187" s="1">
        <f ca="1">RANK(E187,E$2:E$619)</f>
        <v>175</v>
      </c>
      <c r="B187" s="1" t="s">
        <v>438</v>
      </c>
      <c r="C187" s="1" t="s">
        <v>32</v>
      </c>
      <c r="D187" s="1">
        <f ca="1">INDEX(INDIRECT($C187&amp;"!O:O"),MATCH($B187,INDIRECT($C187&amp;"!B:B"),0))</f>
        <v>72.750000000000014</v>
      </c>
      <c r="E187" s="254">
        <f ca="1">D187-LARGE(D$2:D$619,RBCount+WRCount+TECount+QBCount)</f>
        <v>-11.11999999999999</v>
      </c>
      <c r="F187" s="1" t="str">
        <f ca="1">IF(H187&lt;=I187,"Starter",IF(G187&gt;=LARGE(G:G,FlexOn*LeagueInfo!$F$2),"Starter","Bench"))</f>
        <v>Bench</v>
      </c>
      <c r="G187" s="1">
        <f ca="1">IF(H187&gt;I187,D187,0)</f>
        <v>72.750000000000014</v>
      </c>
      <c r="H187" s="1">
        <f ca="1">INDEX(INDIRECT(""&amp;C187&amp;"!A2:A489"),MATCH(B187,INDIRECT(""&amp;C187&amp;"!B2:B489"),0))</f>
        <v>52</v>
      </c>
      <c r="I187" s="1">
        <f>IF(C187="RB",LeagueInfo!$D$4*LeagueInfo!$F$2,IF(C187="WR",LeagueInfo!$D$5*LeagueInfo!$F$2,IF(C187="TE",LeagueInfo!$D$6*LeagueInfo!$F$2,LeagueInfo!$D$3*LeagueInfo!$F$2)))</f>
        <v>24</v>
      </c>
    </row>
    <row r="188" spans="1:9" x14ac:dyDescent="0.25">
      <c r="A188" s="1">
        <f ca="1">RANK(E188,E$2:E$619)</f>
        <v>173</v>
      </c>
      <c r="B188" s="1" t="s">
        <v>192</v>
      </c>
      <c r="C188" s="1" t="s">
        <v>32</v>
      </c>
      <c r="D188" s="1">
        <f ca="1">INDEX(INDIRECT($C188&amp;"!O:O"),MATCH($B188,INDIRECT($C188&amp;"!B:B"),0))</f>
        <v>74.460000000000008</v>
      </c>
      <c r="E188" s="254">
        <f ca="1">D188-LARGE(D$2:D$619,RBCount+WRCount+TECount+QBCount)</f>
        <v>-9.4099999999999966</v>
      </c>
      <c r="F188" s="1" t="str">
        <f ca="1">IF(H188&lt;=I188,"Starter",IF(G188&gt;=LARGE(G:G,FlexOn*LeagueInfo!$F$2),"Starter","Bench"))</f>
        <v>Bench</v>
      </c>
      <c r="G188" s="1">
        <f ca="1">IF(H188&gt;I188,D188,0)</f>
        <v>74.460000000000008</v>
      </c>
      <c r="H188" s="1">
        <f ca="1">INDEX(INDIRECT(""&amp;C188&amp;"!A2:A489"),MATCH(B188,INDIRECT(""&amp;C188&amp;"!B2:B489"),0))</f>
        <v>51</v>
      </c>
      <c r="I188" s="1">
        <f>IF(C188="RB",LeagueInfo!$D$4*LeagueInfo!$F$2,IF(C188="WR",LeagueInfo!$D$5*LeagueInfo!$F$2,IF(C188="TE",LeagueInfo!$D$6*LeagueInfo!$F$2,LeagueInfo!$D$3*LeagueInfo!$F$2)))</f>
        <v>24</v>
      </c>
    </row>
    <row r="189" spans="1:9" x14ac:dyDescent="0.25">
      <c r="A189" s="1">
        <f ca="1">RANK(E189,E$2:E$619)</f>
        <v>170</v>
      </c>
      <c r="B189" s="1" t="s">
        <v>220</v>
      </c>
      <c r="C189" s="1" t="s">
        <v>32</v>
      </c>
      <c r="D189" s="1">
        <f ca="1">INDEX(INDIRECT($C189&amp;"!O:O"),MATCH($B189,INDIRECT($C189&amp;"!B:B"),0))</f>
        <v>75.300000000000011</v>
      </c>
      <c r="E189" s="254">
        <f ca="1">D189-LARGE(D$2:D$619,RBCount+WRCount+TECount+QBCount)</f>
        <v>-8.5699999999999932</v>
      </c>
      <c r="F189" s="1" t="str">
        <f ca="1">IF(H189&lt;=I189,"Starter",IF(G189&gt;=LARGE(G:G,FlexOn*LeagueInfo!$F$2),"Starter","Bench"))</f>
        <v>Bench</v>
      </c>
      <c r="G189" s="1">
        <f ca="1">IF(H189&gt;I189,D189,0)</f>
        <v>75.300000000000011</v>
      </c>
      <c r="H189" s="1">
        <f ca="1">INDEX(INDIRECT(""&amp;C189&amp;"!A2:A489"),MATCH(B189,INDIRECT(""&amp;C189&amp;"!B2:B489"),0))</f>
        <v>50</v>
      </c>
      <c r="I189" s="1">
        <f>IF(C189="RB",LeagueInfo!$D$4*LeagueInfo!$F$2,IF(C189="WR",LeagueInfo!$D$5*LeagueInfo!$F$2,IF(C189="TE",LeagueInfo!$D$6*LeagueInfo!$F$2,LeagueInfo!$D$3*LeagueInfo!$F$2)))</f>
        <v>24</v>
      </c>
    </row>
    <row r="190" spans="1:9" x14ac:dyDescent="0.25">
      <c r="A190" s="1">
        <f ca="1">RANK(E190,E$2:E$619)</f>
        <v>185</v>
      </c>
      <c r="B190" s="1" t="s">
        <v>207</v>
      </c>
      <c r="C190" s="1" t="s">
        <v>32</v>
      </c>
      <c r="D190" s="1">
        <f ca="1">INDEX(INDIRECT($C190&amp;"!O:O"),MATCH($B190,INDIRECT($C190&amp;"!B:B"),0))</f>
        <v>68.47</v>
      </c>
      <c r="E190" s="254">
        <f ca="1">D190-LARGE(D$2:D$619,RBCount+WRCount+TECount+QBCount)</f>
        <v>-15.400000000000006</v>
      </c>
      <c r="F190" s="1" t="str">
        <f ca="1">IF(H190&lt;=I190,"Starter",IF(G190&gt;=LARGE(G:G,FlexOn*LeagueInfo!$F$2),"Starter","Bench"))</f>
        <v>Bench</v>
      </c>
      <c r="G190" s="1">
        <f ca="1">IF(H190&gt;I190,D190,0)</f>
        <v>68.47</v>
      </c>
      <c r="H190" s="1">
        <f ca="1">INDEX(INDIRECT(""&amp;C190&amp;"!A2:A489"),MATCH(B190,INDIRECT(""&amp;C190&amp;"!B2:B489"),0))</f>
        <v>57</v>
      </c>
      <c r="I190" s="1">
        <f>IF(C190="RB",LeagueInfo!$D$4*LeagueInfo!$F$2,IF(C190="WR",LeagueInfo!$D$5*LeagueInfo!$F$2,IF(C190="TE",LeagueInfo!$D$6*LeagueInfo!$F$2,LeagueInfo!$D$3*LeagueInfo!$F$2)))</f>
        <v>24</v>
      </c>
    </row>
    <row r="191" spans="1:9" x14ac:dyDescent="0.25">
      <c r="A191" s="1">
        <f ca="1">RANK(E191,E$2:E$619)</f>
        <v>201</v>
      </c>
      <c r="B191" s="1" t="s">
        <v>600</v>
      </c>
      <c r="C191" s="1" t="s">
        <v>39</v>
      </c>
      <c r="D191" s="1">
        <f ca="1">INDEX(INDIRECT($C191&amp;"!O:O"),MATCH($B191,INDIRECT($C191&amp;"!B:B"),0))</f>
        <v>59.779999999999994</v>
      </c>
      <c r="E191" s="254">
        <f ca="1">D191-LARGE(D$2:D$619,RBCount+WRCount+TECount+QBCount)</f>
        <v>-24.090000000000011</v>
      </c>
      <c r="F191" s="1" t="str">
        <f ca="1">IF(H191&lt;=I191,"Starter",IF(G191&gt;=LARGE(G:G,FlexOn*LeagueInfo!$F$2),"Starter","Bench"))</f>
        <v>Bench</v>
      </c>
      <c r="G191" s="1">
        <f ca="1">IF(H191&gt;I191,D191,0)</f>
        <v>59.779999999999994</v>
      </c>
      <c r="H191" s="1">
        <f ca="1">INDEX(INDIRECT(""&amp;C191&amp;"!A2:A489"),MATCH(B191,INDIRECT(""&amp;C191&amp;"!B2:B489"),0))</f>
        <v>80</v>
      </c>
      <c r="I191" s="1">
        <f>IF(C191="RB",LeagueInfo!$D$4*LeagueInfo!$F$2,IF(C191="WR",LeagueInfo!$D$5*LeagueInfo!$F$2,IF(C191="TE",LeagueInfo!$D$6*LeagueInfo!$F$2,LeagueInfo!$D$3*LeagueInfo!$F$2)))</f>
        <v>24</v>
      </c>
    </row>
    <row r="192" spans="1:9" x14ac:dyDescent="0.25">
      <c r="A192" s="1">
        <f ca="1">RANK(E192,E$2:E$619)</f>
        <v>186</v>
      </c>
      <c r="B192" s="1" t="s">
        <v>439</v>
      </c>
      <c r="C192" s="1" t="s">
        <v>32</v>
      </c>
      <c r="D192" s="1">
        <f ca="1">INDEX(INDIRECT($C192&amp;"!O:O"),MATCH($B192,INDIRECT($C192&amp;"!B:B"),0))</f>
        <v>68.19</v>
      </c>
      <c r="E192" s="254">
        <f ca="1">D192-LARGE(D$2:D$619,RBCount+WRCount+TECount+QBCount)</f>
        <v>-15.680000000000007</v>
      </c>
      <c r="F192" s="1" t="str">
        <f ca="1">IF(H192&lt;=I192,"Starter",IF(G192&gt;=LARGE(G:G,FlexOn*LeagueInfo!$F$2),"Starter","Bench"))</f>
        <v>Bench</v>
      </c>
      <c r="G192" s="1">
        <f ca="1">IF(H192&gt;I192,D192,0)</f>
        <v>68.19</v>
      </c>
      <c r="H192" s="1">
        <f ca="1">INDEX(INDIRECT(""&amp;C192&amp;"!A2:A489"),MATCH(B192,INDIRECT(""&amp;C192&amp;"!B2:B489"),0))</f>
        <v>58</v>
      </c>
      <c r="I192" s="1">
        <f>IF(C192="RB",LeagueInfo!$D$4*LeagueInfo!$F$2,IF(C192="WR",LeagueInfo!$D$5*LeagueInfo!$F$2,IF(C192="TE",LeagueInfo!$D$6*LeagueInfo!$F$2,LeagueInfo!$D$3*LeagueInfo!$F$2)))</f>
        <v>24</v>
      </c>
    </row>
    <row r="193" spans="1:9" x14ac:dyDescent="0.25">
      <c r="A193" s="1">
        <f ca="1">RANK(E193,E$2:E$619)</f>
        <v>181</v>
      </c>
      <c r="B193" s="1" t="s">
        <v>441</v>
      </c>
      <c r="C193" s="1" t="s">
        <v>32</v>
      </c>
      <c r="D193" s="1">
        <f ca="1">INDEX(INDIRECT($C193&amp;"!O:O"),MATCH($B193,INDIRECT($C193&amp;"!B:B"),0))</f>
        <v>70.319999999999993</v>
      </c>
      <c r="E193" s="254">
        <f ca="1">D193-LARGE(D$2:D$619,RBCount+WRCount+TECount+QBCount)</f>
        <v>-13.550000000000011</v>
      </c>
      <c r="F193" s="1" t="str">
        <f ca="1">IF(H193&lt;=I193,"Starter",IF(G193&gt;=LARGE(G:G,FlexOn*LeagueInfo!$F$2),"Starter","Bench"))</f>
        <v>Bench</v>
      </c>
      <c r="G193" s="1">
        <f ca="1">IF(H193&gt;I193,D193,0)</f>
        <v>70.319999999999993</v>
      </c>
      <c r="H193" s="1">
        <f ca="1">INDEX(INDIRECT(""&amp;C193&amp;"!A2:A489"),MATCH(B193,INDIRECT(""&amp;C193&amp;"!B2:B489"),0))</f>
        <v>55</v>
      </c>
      <c r="I193" s="1">
        <f>IF(C193="RB",LeagueInfo!$D$4*LeagueInfo!$F$2,IF(C193="WR",LeagueInfo!$D$5*LeagueInfo!$F$2,IF(C193="TE",LeagueInfo!$D$6*LeagueInfo!$F$2,LeagueInfo!$D$3*LeagueInfo!$F$2)))</f>
        <v>24</v>
      </c>
    </row>
    <row r="194" spans="1:9" x14ac:dyDescent="0.25">
      <c r="A194" s="1">
        <f ca="1">RANK(E194,E$2:E$619)</f>
        <v>195</v>
      </c>
      <c r="B194" s="1" t="s">
        <v>564</v>
      </c>
      <c r="C194" s="1" t="s">
        <v>39</v>
      </c>
      <c r="D194" s="1">
        <f ca="1">INDEX(INDIRECT($C194&amp;"!O:O"),MATCH($B194,INDIRECT($C194&amp;"!B:B"),0))</f>
        <v>62.890000000000008</v>
      </c>
      <c r="E194" s="254">
        <f ca="1">D194-LARGE(D$2:D$619,RBCount+WRCount+TECount+QBCount)</f>
        <v>-20.979999999999997</v>
      </c>
      <c r="F194" s="1" t="str">
        <f ca="1">IF(H194&lt;=I194,"Starter",IF(G194&gt;=LARGE(G:G,FlexOn*LeagueInfo!$F$2),"Starter","Bench"))</f>
        <v>Bench</v>
      </c>
      <c r="G194" s="1">
        <f ca="1">IF(H194&gt;I194,D194,0)</f>
        <v>62.890000000000008</v>
      </c>
      <c r="H194" s="1">
        <f ca="1">INDEX(INDIRECT(""&amp;C194&amp;"!A2:A489"),MATCH(B194,INDIRECT(""&amp;C194&amp;"!B2:B489"),0))</f>
        <v>78</v>
      </c>
      <c r="I194" s="1">
        <f>IF(C194="RB",LeagueInfo!$D$4*LeagueInfo!$F$2,IF(C194="WR",LeagueInfo!$D$5*LeagueInfo!$F$2,IF(C194="TE",LeagueInfo!$D$6*LeagueInfo!$F$2,LeagueInfo!$D$3*LeagueInfo!$F$2)))</f>
        <v>24</v>
      </c>
    </row>
    <row r="195" spans="1:9" x14ac:dyDescent="0.25">
      <c r="A195" s="1">
        <f ca="1">RANK(E195,E$2:E$619)</f>
        <v>203</v>
      </c>
      <c r="B195" s="1" t="s">
        <v>317</v>
      </c>
      <c r="C195" s="1" t="s">
        <v>47</v>
      </c>
      <c r="D195" s="1">
        <f ca="1">INDEX(INDIRECT($C195&amp;"!O:O"),MATCH($B195,INDIRECT($C195&amp;"!B:B"),0))</f>
        <v>58.580000000000005</v>
      </c>
      <c r="E195" s="254">
        <f ca="1">D195-LARGE(D$2:D$619,RBCount+WRCount+TECount+QBCount)</f>
        <v>-25.29</v>
      </c>
      <c r="F195" s="1" t="str">
        <f ca="1">IF(H195&lt;=I195,"Starter",IF(G195&gt;=LARGE(G:G,FlexOn*LeagueInfo!$F$2),"Starter","Bench"))</f>
        <v>Bench</v>
      </c>
      <c r="G195" s="1">
        <f ca="1">IF(H195&gt;I195,D195,0)</f>
        <v>58.580000000000005</v>
      </c>
      <c r="H195" s="1">
        <f ca="1">INDEX(INDIRECT(""&amp;C195&amp;"!A2:A489"),MATCH(B195,INDIRECT(""&amp;C195&amp;"!B2:B489"),0))</f>
        <v>28</v>
      </c>
      <c r="I195" s="1">
        <f>IF(C195="RB",LeagueInfo!$D$4*LeagueInfo!$F$2,IF(C195="WR",LeagueInfo!$D$5*LeagueInfo!$F$2,IF(C195="TE",LeagueInfo!$D$6*LeagueInfo!$F$2,LeagueInfo!$D$3*LeagueInfo!$F$2)))</f>
        <v>12</v>
      </c>
    </row>
    <row r="196" spans="1:9" x14ac:dyDescent="0.25">
      <c r="A196" s="1">
        <f ca="1">RANK(E196,E$2:E$619)</f>
        <v>199</v>
      </c>
      <c r="B196" s="1" t="s">
        <v>235</v>
      </c>
      <c r="C196" s="1" t="s">
        <v>47</v>
      </c>
      <c r="D196" s="1">
        <f ca="1">INDEX(INDIRECT($C196&amp;"!O:O"),MATCH($B196,INDIRECT($C196&amp;"!B:B"),0))</f>
        <v>59.98</v>
      </c>
      <c r="E196" s="254">
        <f ca="1">D196-LARGE(D$2:D$619,RBCount+WRCount+TECount+QBCount)</f>
        <v>-23.890000000000008</v>
      </c>
      <c r="F196" s="1" t="str">
        <f ca="1">IF(H196&lt;=I196,"Starter",IF(G196&gt;=LARGE(G:G,FlexOn*LeagueInfo!$F$2),"Starter","Bench"))</f>
        <v>Bench</v>
      </c>
      <c r="G196" s="1">
        <f ca="1">IF(H196&gt;I196,D196,0)</f>
        <v>59.98</v>
      </c>
      <c r="H196" s="1">
        <f ca="1">INDEX(INDIRECT(""&amp;C196&amp;"!A2:A489"),MATCH(B196,INDIRECT(""&amp;C196&amp;"!B2:B489"),0))</f>
        <v>26</v>
      </c>
      <c r="I196" s="1">
        <f>IF(C196="RB",LeagueInfo!$D$4*LeagueInfo!$F$2,IF(C196="WR",LeagueInfo!$D$5*LeagueInfo!$F$2,IF(C196="TE",LeagueInfo!$D$6*LeagueInfo!$F$2,LeagueInfo!$D$3*LeagueInfo!$F$2)))</f>
        <v>12</v>
      </c>
    </row>
    <row r="197" spans="1:9" x14ac:dyDescent="0.25">
      <c r="A197" s="1">
        <f ca="1">RANK(E197,E$2:E$619)</f>
        <v>202</v>
      </c>
      <c r="B197" s="1" t="s">
        <v>716</v>
      </c>
      <c r="C197" s="1" t="s">
        <v>47</v>
      </c>
      <c r="D197" s="1">
        <f ca="1">INDEX(INDIRECT($C197&amp;"!O:O"),MATCH($B197,INDIRECT($C197&amp;"!B:B"),0))</f>
        <v>59.280000000000008</v>
      </c>
      <c r="E197" s="254">
        <f ca="1">D197-LARGE(D$2:D$619,RBCount+WRCount+TECount+QBCount)</f>
        <v>-24.589999999999996</v>
      </c>
      <c r="F197" s="1" t="str">
        <f ca="1">IF(H197&lt;=I197,"Starter",IF(G197&gt;=LARGE(G:G,FlexOn*LeagueInfo!$F$2),"Starter","Bench"))</f>
        <v>Bench</v>
      </c>
      <c r="G197" s="1">
        <f ca="1">IF(H197&gt;I197,D197,0)</f>
        <v>59.280000000000008</v>
      </c>
      <c r="H197" s="1">
        <f ca="1">INDEX(INDIRECT(""&amp;C197&amp;"!A2:A489"),MATCH(B197,INDIRECT(""&amp;C197&amp;"!B2:B489"),0))</f>
        <v>27</v>
      </c>
      <c r="I197" s="1">
        <f>IF(C197="RB",LeagueInfo!$D$4*LeagueInfo!$F$2,IF(C197="WR",LeagueInfo!$D$5*LeagueInfo!$F$2,IF(C197="TE",LeagueInfo!$D$6*LeagueInfo!$F$2,LeagueInfo!$D$3*LeagueInfo!$F$2)))</f>
        <v>12</v>
      </c>
    </row>
    <row r="198" spans="1:9" x14ac:dyDescent="0.25">
      <c r="A198" s="1">
        <f ca="1">RANK(E198,E$2:E$619)</f>
        <v>180</v>
      </c>
      <c r="B198" s="1" t="s">
        <v>155</v>
      </c>
      <c r="C198" s="1" t="s">
        <v>32</v>
      </c>
      <c r="D198" s="1">
        <f ca="1">INDEX(INDIRECT($C198&amp;"!O:O"),MATCH($B198,INDIRECT($C198&amp;"!B:B"),0))</f>
        <v>70.47</v>
      </c>
      <c r="E198" s="254">
        <f ca="1">D198-LARGE(D$2:D$619,RBCount+WRCount+TECount+QBCount)</f>
        <v>-13.400000000000006</v>
      </c>
      <c r="F198" s="1" t="str">
        <f ca="1">IF(H198&lt;=I198,"Starter",IF(G198&gt;=LARGE(G:G,FlexOn*LeagueInfo!$F$2),"Starter","Bench"))</f>
        <v>Bench</v>
      </c>
      <c r="G198" s="1">
        <f ca="1">IF(H198&gt;I198,D198,0)</f>
        <v>70.47</v>
      </c>
      <c r="H198" s="1">
        <f ca="1">INDEX(INDIRECT(""&amp;C198&amp;"!A2:A489"),MATCH(B198,INDIRECT(""&amp;C198&amp;"!B2:B489"),0))</f>
        <v>54</v>
      </c>
      <c r="I198" s="1">
        <f>IF(C198="RB",LeagueInfo!$D$4*LeagueInfo!$F$2,IF(C198="WR",LeagueInfo!$D$5*LeagueInfo!$F$2,IF(C198="TE",LeagueInfo!$D$6*LeagueInfo!$F$2,LeagueInfo!$D$3*LeagueInfo!$F$2)))</f>
        <v>24</v>
      </c>
    </row>
    <row r="199" spans="1:9" x14ac:dyDescent="0.25">
      <c r="A199" s="1">
        <f ca="1">RANK(E199,E$2:E$619)</f>
        <v>178</v>
      </c>
      <c r="B199" s="1" t="s">
        <v>162</v>
      </c>
      <c r="C199" s="1" t="s">
        <v>32</v>
      </c>
      <c r="D199" s="1">
        <f ca="1">INDEX(INDIRECT($C199&amp;"!O:O"),MATCH($B199,INDIRECT($C199&amp;"!B:B"),0))</f>
        <v>71.86999999999999</v>
      </c>
      <c r="E199" s="254">
        <f ca="1">D199-LARGE(D$2:D$619,RBCount+WRCount+TECount+QBCount)</f>
        <v>-12.000000000000014</v>
      </c>
      <c r="F199" s="1" t="str">
        <f ca="1">IF(H199&lt;=I199,"Starter",IF(G199&gt;=LARGE(G:G,FlexOn*LeagueInfo!$F$2),"Starter","Bench"))</f>
        <v>Bench</v>
      </c>
      <c r="G199" s="1">
        <f ca="1">IF(H199&gt;I199,D199,0)</f>
        <v>71.86999999999999</v>
      </c>
      <c r="H199" s="1">
        <f ca="1">INDEX(INDIRECT(""&amp;C199&amp;"!A2:A489"),MATCH(B199,INDIRECT(""&amp;C199&amp;"!B2:B489"),0))</f>
        <v>53</v>
      </c>
      <c r="I199" s="1">
        <f>IF(C199="RB",LeagueInfo!$D$4*LeagueInfo!$F$2,IF(C199="WR",LeagueInfo!$D$5*LeagueInfo!$F$2,IF(C199="TE",LeagueInfo!$D$6*LeagueInfo!$F$2,LeagueInfo!$D$3*LeagueInfo!$F$2)))</f>
        <v>24</v>
      </c>
    </row>
    <row r="200" spans="1:9" x14ac:dyDescent="0.25">
      <c r="A200" s="1">
        <f ca="1">RANK(E200,E$2:E$619)</f>
        <v>208</v>
      </c>
      <c r="B200" s="1" t="s">
        <v>577</v>
      </c>
      <c r="C200" s="1" t="s">
        <v>39</v>
      </c>
      <c r="D200" s="1">
        <f ca="1">INDEX(INDIRECT($C200&amp;"!O:O"),MATCH($B200,INDIRECT($C200&amp;"!B:B"),0))</f>
        <v>56.17</v>
      </c>
      <c r="E200" s="254">
        <f ca="1">D200-LARGE(D$2:D$619,RBCount+WRCount+TECount+QBCount)</f>
        <v>-27.700000000000003</v>
      </c>
      <c r="F200" s="1" t="str">
        <f ca="1">IF(H200&lt;=I200,"Starter",IF(G200&gt;=LARGE(G:G,FlexOn*LeagueInfo!$F$2),"Starter","Bench"))</f>
        <v>Bench</v>
      </c>
      <c r="G200" s="1">
        <f ca="1">IF(H200&gt;I200,D200,0)</f>
        <v>56.17</v>
      </c>
      <c r="H200" s="1">
        <f ca="1">INDEX(INDIRECT(""&amp;C200&amp;"!A2:A489"),MATCH(B200,INDIRECT(""&amp;C200&amp;"!B2:B489"),0))</f>
        <v>82</v>
      </c>
      <c r="I200" s="1">
        <f>IF(C200="RB",LeagueInfo!$D$4*LeagueInfo!$F$2,IF(C200="WR",LeagueInfo!$D$5*LeagueInfo!$F$2,IF(C200="TE",LeagueInfo!$D$6*LeagueInfo!$F$2,LeagueInfo!$D$3*LeagueInfo!$F$2)))</f>
        <v>24</v>
      </c>
    </row>
    <row r="201" spans="1:9" x14ac:dyDescent="0.25">
      <c r="A201" s="1">
        <f ca="1">RANK(E201,E$2:E$619)</f>
        <v>204</v>
      </c>
      <c r="B201" s="1" t="s">
        <v>722</v>
      </c>
      <c r="C201" s="1" t="s">
        <v>47</v>
      </c>
      <c r="D201" s="1">
        <f ca="1">INDEX(INDIRECT($C201&amp;"!O:O"),MATCH($B201,INDIRECT($C201&amp;"!B:B"),0))</f>
        <v>58.210000000000008</v>
      </c>
      <c r="E201" s="254">
        <f ca="1">D201-LARGE(D$2:D$619,RBCount+WRCount+TECount+QBCount)</f>
        <v>-25.659999999999997</v>
      </c>
      <c r="F201" s="1" t="str">
        <f ca="1">IF(H201&lt;=I201,"Starter",IF(G201&gt;=LARGE(G:G,FlexOn*LeagueInfo!$F$2),"Starter","Bench"))</f>
        <v>Bench</v>
      </c>
      <c r="G201" s="1">
        <f ca="1">IF(H201&gt;I201,D201,0)</f>
        <v>58.210000000000008</v>
      </c>
      <c r="H201" s="1">
        <f ca="1">INDEX(INDIRECT(""&amp;C201&amp;"!A2:A489"),MATCH(B201,INDIRECT(""&amp;C201&amp;"!B2:B489"),0))</f>
        <v>29</v>
      </c>
      <c r="I201" s="1">
        <f>IF(C201="RB",LeagueInfo!$D$4*LeagueInfo!$F$2,IF(C201="WR",LeagueInfo!$D$5*LeagueInfo!$F$2,IF(C201="TE",LeagueInfo!$D$6*LeagueInfo!$F$2,LeagueInfo!$D$3*LeagueInfo!$F$2)))</f>
        <v>12</v>
      </c>
    </row>
    <row r="202" spans="1:9" x14ac:dyDescent="0.25">
      <c r="A202" s="1">
        <f ca="1">RANK(E202,E$2:E$619)</f>
        <v>207</v>
      </c>
      <c r="B202" s="1" t="s">
        <v>573</v>
      </c>
      <c r="C202" s="1" t="s">
        <v>39</v>
      </c>
      <c r="D202" s="1">
        <f ca="1">INDEX(INDIRECT($C202&amp;"!O:O"),MATCH($B202,INDIRECT($C202&amp;"!B:B"),0))</f>
        <v>57.269999999999996</v>
      </c>
      <c r="E202" s="254">
        <f ca="1">D202-LARGE(D$2:D$619,RBCount+WRCount+TECount+QBCount)</f>
        <v>-26.600000000000009</v>
      </c>
      <c r="F202" s="1" t="str">
        <f ca="1">IF(H202&lt;=I202,"Starter",IF(G202&gt;=LARGE(G:G,FlexOn*LeagueInfo!$F$2),"Starter","Bench"))</f>
        <v>Bench</v>
      </c>
      <c r="G202" s="1">
        <f ca="1">IF(H202&gt;I202,D202,0)</f>
        <v>57.269999999999996</v>
      </c>
      <c r="H202" s="1">
        <f ca="1">INDEX(INDIRECT(""&amp;C202&amp;"!A2:A489"),MATCH(B202,INDIRECT(""&amp;C202&amp;"!B2:B489"),0))</f>
        <v>81</v>
      </c>
      <c r="I202" s="1">
        <f>IF(C202="RB",LeagueInfo!$D$4*LeagueInfo!$F$2,IF(C202="WR",LeagueInfo!$D$5*LeagueInfo!$F$2,IF(C202="TE",LeagueInfo!$D$6*LeagueInfo!$F$2,LeagueInfo!$D$3*LeagueInfo!$F$2)))</f>
        <v>24</v>
      </c>
    </row>
    <row r="203" spans="1:9" x14ac:dyDescent="0.25">
      <c r="A203" s="1">
        <f ca="1">RANK(E203,E$2:E$619)</f>
        <v>198</v>
      </c>
      <c r="B203" s="1" t="s">
        <v>448</v>
      </c>
      <c r="C203" s="1" t="s">
        <v>32</v>
      </c>
      <c r="D203" s="1">
        <f ca="1">INDEX(INDIRECT($C203&amp;"!O:O"),MATCH($B203,INDIRECT($C203&amp;"!B:B"),0))</f>
        <v>60.38</v>
      </c>
      <c r="E203" s="254">
        <f ca="1">D203-LARGE(D$2:D$619,RBCount+WRCount+TECount+QBCount)</f>
        <v>-23.490000000000002</v>
      </c>
      <c r="F203" s="1" t="str">
        <f ca="1">IF(H203&lt;=I203,"Starter",IF(G203&gt;=LARGE(G:G,FlexOn*LeagueInfo!$F$2),"Starter","Bench"))</f>
        <v>Bench</v>
      </c>
      <c r="G203" s="1">
        <f ca="1">IF(H203&gt;I203,D203,0)</f>
        <v>60.38</v>
      </c>
      <c r="H203" s="1">
        <f ca="1">INDEX(INDIRECT(""&amp;C203&amp;"!A2:A489"),MATCH(B203,INDIRECT(""&amp;C203&amp;"!B2:B489"),0))</f>
        <v>62</v>
      </c>
      <c r="I203" s="1">
        <f>IF(C203="RB",LeagueInfo!$D$4*LeagueInfo!$F$2,IF(C203="WR",LeagueInfo!$D$5*LeagueInfo!$F$2,IF(C203="TE",LeagueInfo!$D$6*LeagueInfo!$F$2,LeagueInfo!$D$3*LeagueInfo!$F$2)))</f>
        <v>24</v>
      </c>
    </row>
    <row r="204" spans="1:9" x14ac:dyDescent="0.25">
      <c r="A204" s="1">
        <f ca="1">RANK(E204,E$2:E$619)</f>
        <v>200</v>
      </c>
      <c r="B204" s="1" t="s">
        <v>562</v>
      </c>
      <c r="C204" s="1" t="s">
        <v>39</v>
      </c>
      <c r="D204" s="1">
        <f ca="1">INDEX(INDIRECT($C204&amp;"!O:O"),MATCH($B204,INDIRECT($C204&amp;"!B:B"),0))</f>
        <v>59.940000000000005</v>
      </c>
      <c r="E204" s="254">
        <f ca="1">D204-LARGE(D$2:D$619,RBCount+WRCount+TECount+QBCount)</f>
        <v>-23.93</v>
      </c>
      <c r="F204" s="1" t="str">
        <f ca="1">IF(H204&lt;=I204,"Starter",IF(G204&gt;=LARGE(G:G,FlexOn*LeagueInfo!$F$2),"Starter","Bench"))</f>
        <v>Bench</v>
      </c>
      <c r="G204" s="1">
        <f ca="1">IF(H204&gt;I204,D204,0)</f>
        <v>59.940000000000005</v>
      </c>
      <c r="H204" s="1">
        <f ca="1">INDEX(INDIRECT(""&amp;C204&amp;"!A2:A489"),MATCH(B204,INDIRECT(""&amp;C204&amp;"!B2:B489"),0))</f>
        <v>79</v>
      </c>
      <c r="I204" s="1">
        <f>IF(C204="RB",LeagueInfo!$D$4*LeagueInfo!$F$2,IF(C204="WR",LeagueInfo!$D$5*LeagueInfo!$F$2,IF(C204="TE",LeagueInfo!$D$6*LeagueInfo!$F$2,LeagueInfo!$D$3*LeagueInfo!$F$2)))</f>
        <v>24</v>
      </c>
    </row>
    <row r="205" spans="1:9" x14ac:dyDescent="0.25">
      <c r="A205" s="1">
        <f ca="1">RANK(E205,E$2:E$619)</f>
        <v>205</v>
      </c>
      <c r="B205" s="1" t="s">
        <v>942</v>
      </c>
      <c r="C205" s="1" t="s">
        <v>32</v>
      </c>
      <c r="D205" s="1">
        <f ca="1">INDEX(INDIRECT($C205&amp;"!O:O"),MATCH($B205,INDIRECT($C205&amp;"!B:B"),0))</f>
        <v>57.489999999999995</v>
      </c>
      <c r="E205" s="254">
        <f ca="1">D205-LARGE(D$2:D$619,RBCount+WRCount+TECount+QBCount)</f>
        <v>-26.38000000000001</v>
      </c>
      <c r="F205" s="1" t="str">
        <f ca="1">IF(H205&lt;=I205,"Starter",IF(G205&gt;=LARGE(G:G,FlexOn*LeagueInfo!$F$2),"Starter","Bench"))</f>
        <v>Bench</v>
      </c>
      <c r="G205" s="1">
        <f ca="1">IF(H205&gt;I205,D205,0)</f>
        <v>57.489999999999995</v>
      </c>
      <c r="H205" s="1">
        <f ca="1">INDEX(INDIRECT(""&amp;C205&amp;"!A2:A489"),MATCH(B205,INDIRECT(""&amp;C205&amp;"!B2:B489"),0))</f>
        <v>63</v>
      </c>
      <c r="I205" s="1">
        <f>IF(C205="RB",LeagueInfo!$D$4*LeagueInfo!$F$2,IF(C205="WR",LeagueInfo!$D$5*LeagueInfo!$F$2,IF(C205="TE",LeagueInfo!$D$6*LeagueInfo!$F$2,LeagueInfo!$D$3*LeagueInfo!$F$2)))</f>
        <v>24</v>
      </c>
    </row>
    <row r="206" spans="1:9" x14ac:dyDescent="0.25">
      <c r="A206" s="1">
        <f ca="1">RANK(E206,E$2:E$619)</f>
        <v>206</v>
      </c>
      <c r="B206" s="1" t="s">
        <v>440</v>
      </c>
      <c r="C206" s="1" t="s">
        <v>32</v>
      </c>
      <c r="D206" s="1">
        <f ca="1">INDEX(INDIRECT($C206&amp;"!O:O"),MATCH($B206,INDIRECT($C206&amp;"!B:B"),0))</f>
        <v>57.44</v>
      </c>
      <c r="E206" s="254">
        <f ca="1">D206-LARGE(D$2:D$619,RBCount+WRCount+TECount+QBCount)</f>
        <v>-26.430000000000007</v>
      </c>
      <c r="F206" s="1" t="str">
        <f ca="1">IF(H206&lt;=I206,"Starter",IF(G206&gt;=LARGE(G:G,FlexOn*LeagueInfo!$F$2),"Starter","Bench"))</f>
        <v>Bench</v>
      </c>
      <c r="G206" s="1">
        <f ca="1">IF(H206&gt;I206,D206,0)</f>
        <v>57.44</v>
      </c>
      <c r="H206" s="1">
        <f ca="1">INDEX(INDIRECT(""&amp;C206&amp;"!A2:A489"),MATCH(B206,INDIRECT(""&amp;C206&amp;"!B2:B489"),0))</f>
        <v>64</v>
      </c>
      <c r="I206" s="1">
        <f>IF(C206="RB",LeagueInfo!$D$4*LeagueInfo!$F$2,IF(C206="WR",LeagueInfo!$D$5*LeagueInfo!$F$2,IF(C206="TE",LeagueInfo!$D$6*LeagueInfo!$F$2,LeagueInfo!$D$3*LeagueInfo!$F$2)))</f>
        <v>24</v>
      </c>
    </row>
    <row r="207" spans="1:9" x14ac:dyDescent="0.25">
      <c r="A207" s="1">
        <f ca="1">RANK(E207,E$2:E$619)</f>
        <v>189</v>
      </c>
      <c r="B207" s="1" t="s">
        <v>234</v>
      </c>
      <c r="C207" s="1" t="s">
        <v>32</v>
      </c>
      <c r="D207" s="1">
        <f ca="1">INDEX(INDIRECT($C207&amp;"!O:O"),MATCH($B207,INDIRECT($C207&amp;"!B:B"),0))</f>
        <v>66.609999999999985</v>
      </c>
      <c r="E207" s="254">
        <f ca="1">D207-LARGE(D$2:D$619,RBCount+WRCount+TECount+QBCount)</f>
        <v>-17.260000000000019</v>
      </c>
      <c r="F207" s="1" t="str">
        <f ca="1">IF(H207&lt;=I207,"Starter",IF(G207&gt;=LARGE(G:G,FlexOn*LeagueInfo!$F$2),"Starter","Bench"))</f>
        <v>Bench</v>
      </c>
      <c r="G207" s="1">
        <f ca="1">IF(H207&gt;I207,D207,0)</f>
        <v>66.609999999999985</v>
      </c>
      <c r="H207" s="1">
        <f ca="1">INDEX(INDIRECT(""&amp;C207&amp;"!A2:A489"),MATCH(B207,INDIRECT(""&amp;C207&amp;"!B2:B489"),0))</f>
        <v>59</v>
      </c>
      <c r="I207" s="1">
        <f>IF(C207="RB",LeagueInfo!$D$4*LeagueInfo!$F$2,IF(C207="WR",LeagueInfo!$D$5*LeagueInfo!$F$2,IF(C207="TE",LeagueInfo!$D$6*LeagueInfo!$F$2,LeagueInfo!$D$3*LeagueInfo!$F$2)))</f>
        <v>24</v>
      </c>
    </row>
    <row r="208" spans="1:9" x14ac:dyDescent="0.25">
      <c r="A208" s="1">
        <f ca="1">RANK(E208,E$2:E$619)</f>
        <v>209</v>
      </c>
      <c r="B208" s="1" t="s">
        <v>576</v>
      </c>
      <c r="C208" s="1" t="s">
        <v>39</v>
      </c>
      <c r="D208" s="1">
        <f ca="1">INDEX(INDIRECT($C208&amp;"!O:O"),MATCH($B208,INDIRECT($C208&amp;"!B:B"),0))</f>
        <v>55.930000000000007</v>
      </c>
      <c r="E208" s="254">
        <f ca="1">D208-LARGE(D$2:D$619,RBCount+WRCount+TECount+QBCount)</f>
        <v>-27.939999999999998</v>
      </c>
      <c r="F208" s="1" t="str">
        <f ca="1">IF(H208&lt;=I208,"Starter",IF(G208&gt;=LARGE(G:G,FlexOn*LeagueInfo!$F$2),"Starter","Bench"))</f>
        <v>Bench</v>
      </c>
      <c r="G208" s="1">
        <f ca="1">IF(H208&gt;I208,D208,0)</f>
        <v>55.930000000000007</v>
      </c>
      <c r="H208" s="1">
        <f ca="1">INDEX(INDIRECT(""&amp;C208&amp;"!A2:A489"),MATCH(B208,INDIRECT(""&amp;C208&amp;"!B2:B489"),0))</f>
        <v>83</v>
      </c>
      <c r="I208" s="1">
        <f>IF(C208="RB",LeagueInfo!$D$4*LeagueInfo!$F$2,IF(C208="WR",LeagueInfo!$D$5*LeagueInfo!$F$2,IF(C208="TE",LeagueInfo!$D$6*LeagueInfo!$F$2,LeagueInfo!$D$3*LeagueInfo!$F$2)))</f>
        <v>24</v>
      </c>
    </row>
    <row r="209" spans="1:9" x14ac:dyDescent="0.25">
      <c r="A209" s="1">
        <f ca="1">RANK(E209,E$2:E$619)</f>
        <v>211</v>
      </c>
      <c r="B209" s="1" t="s">
        <v>568</v>
      </c>
      <c r="C209" s="1" t="s">
        <v>39</v>
      </c>
      <c r="D209" s="1">
        <f ca="1">INDEX(INDIRECT($C209&amp;"!O:O"),MATCH($B209,INDIRECT($C209&amp;"!B:B"),0))</f>
        <v>54.930000000000007</v>
      </c>
      <c r="E209" s="254">
        <f ca="1">D209-LARGE(D$2:D$619,RBCount+WRCount+TECount+QBCount)</f>
        <v>-28.939999999999998</v>
      </c>
      <c r="F209" s="1" t="str">
        <f ca="1">IF(H209&lt;=I209,"Starter",IF(G209&gt;=LARGE(G:G,FlexOn*LeagueInfo!$F$2),"Starter","Bench"))</f>
        <v>Bench</v>
      </c>
      <c r="G209" s="1">
        <f ca="1">IF(H209&gt;I209,D209,0)</f>
        <v>54.930000000000007</v>
      </c>
      <c r="H209" s="1">
        <f ca="1">INDEX(INDIRECT(""&amp;C209&amp;"!A2:A489"),MATCH(B209,INDIRECT(""&amp;C209&amp;"!B2:B489"),0))</f>
        <v>84</v>
      </c>
      <c r="I209" s="1">
        <f>IF(C209="RB",LeagueInfo!$D$4*LeagueInfo!$F$2,IF(C209="WR",LeagueInfo!$D$5*LeagueInfo!$F$2,IF(C209="TE",LeagueInfo!$D$6*LeagueInfo!$F$2,LeagueInfo!$D$3*LeagueInfo!$F$2)))</f>
        <v>24</v>
      </c>
    </row>
    <row r="210" spans="1:9" x14ac:dyDescent="0.25">
      <c r="A210" s="1">
        <f ca="1">RANK(E210,E$2:E$619)</f>
        <v>197</v>
      </c>
      <c r="B210" s="1" t="s">
        <v>442</v>
      </c>
      <c r="C210" s="1" t="s">
        <v>32</v>
      </c>
      <c r="D210" s="1">
        <f ca="1">INDEX(INDIRECT($C210&amp;"!O:O"),MATCH($B210,INDIRECT($C210&amp;"!B:B"),0))</f>
        <v>60.5</v>
      </c>
      <c r="E210" s="254">
        <f ca="1">D210-LARGE(D$2:D$619,RBCount+WRCount+TECount+QBCount)</f>
        <v>-23.370000000000005</v>
      </c>
      <c r="F210" s="1" t="str">
        <f ca="1">IF(H210&lt;=I210,"Starter",IF(G210&gt;=LARGE(G:G,FlexOn*LeagueInfo!$F$2),"Starter","Bench"))</f>
        <v>Bench</v>
      </c>
      <c r="G210" s="1">
        <f ca="1">IF(H210&gt;I210,D210,0)</f>
        <v>60.5</v>
      </c>
      <c r="H210" s="1">
        <f ca="1">INDEX(INDIRECT(""&amp;C210&amp;"!A2:A489"),MATCH(B210,INDIRECT(""&amp;C210&amp;"!B2:B489"),0))</f>
        <v>61</v>
      </c>
      <c r="I210" s="1">
        <f>IF(C210="RB",LeagueInfo!$D$4*LeagueInfo!$F$2,IF(C210="WR",LeagueInfo!$D$5*LeagueInfo!$F$2,IF(C210="TE",LeagueInfo!$D$6*LeagueInfo!$F$2,LeagueInfo!$D$3*LeagueInfo!$F$2)))</f>
        <v>24</v>
      </c>
    </row>
    <row r="211" spans="1:9" x14ac:dyDescent="0.25">
      <c r="A211" s="1">
        <f ca="1">RANK(E211,E$2:E$619)</f>
        <v>212</v>
      </c>
      <c r="B211" s="1" t="s">
        <v>569</v>
      </c>
      <c r="C211" s="1" t="s">
        <v>39</v>
      </c>
      <c r="D211" s="1">
        <f ca="1">INDEX(INDIRECT($C211&amp;"!O:O"),MATCH($B211,INDIRECT($C211&amp;"!B:B"),0))</f>
        <v>54.089999999999996</v>
      </c>
      <c r="E211" s="254">
        <f ca="1">D211-LARGE(D$2:D$619,RBCount+WRCount+TECount+QBCount)</f>
        <v>-29.780000000000008</v>
      </c>
      <c r="F211" s="1" t="str">
        <f ca="1">IF(H211&lt;=I211,"Starter",IF(G211&gt;=LARGE(G:G,FlexOn*LeagueInfo!$F$2),"Starter","Bench"))</f>
        <v>Bench</v>
      </c>
      <c r="G211" s="1">
        <f ca="1">IF(H211&gt;I211,D211,0)</f>
        <v>54.089999999999996</v>
      </c>
      <c r="H211" s="1">
        <f ca="1">INDEX(INDIRECT(""&amp;C211&amp;"!A2:A489"),MATCH(B211,INDIRECT(""&amp;C211&amp;"!B2:B489"),0))</f>
        <v>85</v>
      </c>
      <c r="I211" s="1">
        <f>IF(C211="RB",LeagueInfo!$D$4*LeagueInfo!$F$2,IF(C211="WR",LeagueInfo!$D$5*LeagueInfo!$F$2,IF(C211="TE",LeagueInfo!$D$6*LeagueInfo!$F$2,LeagueInfo!$D$3*LeagueInfo!$F$2)))</f>
        <v>24</v>
      </c>
    </row>
    <row r="212" spans="1:9" x14ac:dyDescent="0.25">
      <c r="A212" s="1">
        <f ca="1">RANK(E212,E$2:E$619)</f>
        <v>218</v>
      </c>
      <c r="B212" s="1" t="s">
        <v>570</v>
      </c>
      <c r="C212" s="1" t="s">
        <v>39</v>
      </c>
      <c r="D212" s="1">
        <f ca="1">INDEX(INDIRECT($C212&amp;"!O:O"),MATCH($B212,INDIRECT($C212&amp;"!B:B"),0))</f>
        <v>53.42</v>
      </c>
      <c r="E212" s="254">
        <f ca="1">D212-LARGE(D$2:D$619,RBCount+WRCount+TECount+QBCount)</f>
        <v>-30.450000000000003</v>
      </c>
      <c r="F212" s="1" t="str">
        <f ca="1">IF(H212&lt;=I212,"Starter",IF(G212&gt;=LARGE(G:G,FlexOn*LeagueInfo!$F$2),"Starter","Bench"))</f>
        <v>Bench</v>
      </c>
      <c r="G212" s="1">
        <f ca="1">IF(H212&gt;I212,D212,0)</f>
        <v>53.42</v>
      </c>
      <c r="H212" s="1">
        <f ca="1">INDEX(INDIRECT(""&amp;C212&amp;"!A2:A489"),MATCH(B212,INDIRECT(""&amp;C212&amp;"!B2:B489"),0))</f>
        <v>86</v>
      </c>
      <c r="I212" s="1">
        <f>IF(C212="RB",LeagueInfo!$D$4*LeagueInfo!$F$2,IF(C212="WR",LeagueInfo!$D$5*LeagueInfo!$F$2,IF(C212="TE",LeagueInfo!$D$6*LeagueInfo!$F$2,LeagueInfo!$D$3*LeagueInfo!$F$2)))</f>
        <v>24</v>
      </c>
    </row>
    <row r="213" spans="1:9" x14ac:dyDescent="0.25">
      <c r="A213" s="1">
        <f ca="1">RANK(E213,E$2:E$619)</f>
        <v>196</v>
      </c>
      <c r="B213" s="1" t="s">
        <v>443</v>
      </c>
      <c r="C213" s="1" t="s">
        <v>32</v>
      </c>
      <c r="D213" s="1">
        <f ca="1">INDEX(INDIRECT($C213&amp;"!O:O"),MATCH($B213,INDIRECT($C213&amp;"!B:B"),0))</f>
        <v>62.870000000000005</v>
      </c>
      <c r="E213" s="254">
        <f ca="1">D213-LARGE(D$2:D$619,RBCount+WRCount+TECount+QBCount)</f>
        <v>-21</v>
      </c>
      <c r="F213" s="1" t="str">
        <f ca="1">IF(H213&lt;=I213,"Starter",IF(G213&gt;=LARGE(G:G,FlexOn*LeagueInfo!$F$2),"Starter","Bench"))</f>
        <v>Bench</v>
      </c>
      <c r="G213" s="1">
        <f ca="1">IF(H213&gt;I213,D213,0)</f>
        <v>62.870000000000005</v>
      </c>
      <c r="H213" s="1">
        <f ca="1">INDEX(INDIRECT(""&amp;C213&amp;"!A2:A489"),MATCH(B213,INDIRECT(""&amp;C213&amp;"!B2:B489"),0))</f>
        <v>60</v>
      </c>
      <c r="I213" s="1">
        <f>IF(C213="RB",LeagueInfo!$D$4*LeagueInfo!$F$2,IF(C213="WR",LeagueInfo!$D$5*LeagueInfo!$F$2,IF(C213="TE",LeagueInfo!$D$6*LeagueInfo!$F$2,LeagueInfo!$D$3*LeagueInfo!$F$2)))</f>
        <v>24</v>
      </c>
    </row>
    <row r="214" spans="1:9" x14ac:dyDescent="0.25">
      <c r="A214" s="1">
        <f ca="1">RANK(E214,E$2:E$619)</f>
        <v>217</v>
      </c>
      <c r="B214" s="1" t="s">
        <v>719</v>
      </c>
      <c r="C214" s="1" t="s">
        <v>47</v>
      </c>
      <c r="D214" s="1">
        <f ca="1">INDEX(INDIRECT($C214&amp;"!O:O"),MATCH($B214,INDIRECT($C214&amp;"!B:B"),0))</f>
        <v>53.610000000000007</v>
      </c>
      <c r="E214" s="254">
        <f ca="1">D214-LARGE(D$2:D$619,RBCount+WRCount+TECount+QBCount)</f>
        <v>-30.259999999999998</v>
      </c>
      <c r="F214" s="1" t="str">
        <f ca="1">IF(H214&lt;=I214,"Starter",IF(G214&gt;=LARGE(G:G,FlexOn*LeagueInfo!$F$2),"Starter","Bench"))</f>
        <v>Bench</v>
      </c>
      <c r="G214" s="1">
        <f ca="1">IF(H214&gt;I214,D214,0)</f>
        <v>53.610000000000007</v>
      </c>
      <c r="H214" s="1">
        <f ca="1">INDEX(INDIRECT(""&amp;C214&amp;"!A2:A489"),MATCH(B214,INDIRECT(""&amp;C214&amp;"!B2:B489"),0))</f>
        <v>30</v>
      </c>
      <c r="I214" s="1">
        <f>IF(C214="RB",LeagueInfo!$D$4*LeagueInfo!$F$2,IF(C214="WR",LeagueInfo!$D$5*LeagueInfo!$F$2,IF(C214="TE",LeagueInfo!$D$6*LeagueInfo!$F$2,LeagueInfo!$D$3*LeagueInfo!$F$2)))</f>
        <v>12</v>
      </c>
    </row>
    <row r="215" spans="1:9" x14ac:dyDescent="0.25">
      <c r="A215" s="1">
        <f ca="1">RANK(E215,E$2:E$619)</f>
        <v>220</v>
      </c>
      <c r="B215" s="1" t="s">
        <v>717</v>
      </c>
      <c r="C215" s="1" t="s">
        <v>47</v>
      </c>
      <c r="D215" s="1">
        <f ca="1">INDEX(INDIRECT($C215&amp;"!O:O"),MATCH($B215,INDIRECT($C215&amp;"!B:B"),0))</f>
        <v>49.67</v>
      </c>
      <c r="E215" s="254">
        <f ca="1">D215-LARGE(D$2:D$619,RBCount+WRCount+TECount+QBCount)</f>
        <v>-34.200000000000003</v>
      </c>
      <c r="F215" s="1" t="str">
        <f ca="1">IF(H215&lt;=I215,"Starter",IF(G215&gt;=LARGE(G:G,FlexOn*LeagueInfo!$F$2),"Starter","Bench"))</f>
        <v>Bench</v>
      </c>
      <c r="G215" s="1">
        <f ca="1">IF(H215&gt;I215,D215,0)</f>
        <v>49.67</v>
      </c>
      <c r="H215" s="1">
        <f ca="1">INDEX(INDIRECT(""&amp;C215&amp;"!A2:A489"),MATCH(B215,INDIRECT(""&amp;C215&amp;"!B2:B489"),0))</f>
        <v>31</v>
      </c>
      <c r="I215" s="1">
        <f>IF(C215="RB",LeagueInfo!$D$4*LeagueInfo!$F$2,IF(C215="WR",LeagueInfo!$D$5*LeagueInfo!$F$2,IF(C215="TE",LeagueInfo!$D$6*LeagueInfo!$F$2,LeagueInfo!$D$3*LeagueInfo!$F$2)))</f>
        <v>12</v>
      </c>
    </row>
    <row r="216" spans="1:9" x14ac:dyDescent="0.25">
      <c r="A216" s="1">
        <f ca="1">RANK(E216,E$2:E$619)</f>
        <v>221</v>
      </c>
      <c r="B216" s="1" t="s">
        <v>580</v>
      </c>
      <c r="C216" s="1" t="s">
        <v>39</v>
      </c>
      <c r="D216" s="1">
        <f ca="1">INDEX(INDIRECT($C216&amp;"!O:O"),MATCH($B216,INDIRECT($C216&amp;"!B:B"),0))</f>
        <v>49.61</v>
      </c>
      <c r="E216" s="254">
        <f ca="1">D216-LARGE(D$2:D$619,RBCount+WRCount+TECount+QBCount)</f>
        <v>-34.260000000000005</v>
      </c>
      <c r="F216" s="1" t="str">
        <f ca="1">IF(H216&lt;=I216,"Starter",IF(G216&gt;=LARGE(G:G,FlexOn*LeagueInfo!$F$2),"Starter","Bench"))</f>
        <v>Bench</v>
      </c>
      <c r="G216" s="1">
        <f ca="1">IF(H216&gt;I216,D216,0)</f>
        <v>49.61</v>
      </c>
      <c r="H216" s="1">
        <f ca="1">INDEX(INDIRECT(""&amp;C216&amp;"!A2:A489"),MATCH(B216,INDIRECT(""&amp;C216&amp;"!B2:B489"),0))</f>
        <v>88</v>
      </c>
      <c r="I216" s="1">
        <f>IF(C216="RB",LeagueInfo!$D$4*LeagueInfo!$F$2,IF(C216="WR",LeagueInfo!$D$5*LeagueInfo!$F$2,IF(C216="TE",LeagueInfo!$D$6*LeagueInfo!$F$2,LeagueInfo!$D$3*LeagueInfo!$F$2)))</f>
        <v>24</v>
      </c>
    </row>
    <row r="217" spans="1:9" x14ac:dyDescent="0.25">
      <c r="A217" s="1">
        <f ca="1">RANK(E217,E$2:E$619)</f>
        <v>227</v>
      </c>
      <c r="B217" s="1" t="s">
        <v>720</v>
      </c>
      <c r="C217" s="1" t="s">
        <v>47</v>
      </c>
      <c r="D217" s="1">
        <f ca="1">INDEX(INDIRECT($C217&amp;"!O:O"),MATCH($B217,INDIRECT($C217&amp;"!B:B"),0))</f>
        <v>48.26</v>
      </c>
      <c r="E217" s="254">
        <f ca="1">D217-LARGE(D$2:D$619,RBCount+WRCount+TECount+QBCount)</f>
        <v>-35.610000000000007</v>
      </c>
      <c r="F217" s="1" t="str">
        <f ca="1">IF(H217&lt;=I217,"Starter",IF(G217&gt;=LARGE(G:G,FlexOn*LeagueInfo!$F$2),"Starter","Bench"))</f>
        <v>Bench</v>
      </c>
      <c r="G217" s="1">
        <f ca="1">IF(H217&gt;I217,D217,0)</f>
        <v>48.26</v>
      </c>
      <c r="H217" s="1">
        <f ca="1">INDEX(INDIRECT(""&amp;C217&amp;"!A2:A489"),MATCH(B217,INDIRECT(""&amp;C217&amp;"!B2:B489"),0))</f>
        <v>33</v>
      </c>
      <c r="I217" s="1">
        <f>IF(C217="RB",LeagueInfo!$D$4*LeagueInfo!$F$2,IF(C217="WR",LeagueInfo!$D$5*LeagueInfo!$F$2,IF(C217="TE",LeagueInfo!$D$6*LeagueInfo!$F$2,LeagueInfo!$D$3*LeagueInfo!$F$2)))</f>
        <v>12</v>
      </c>
    </row>
    <row r="218" spans="1:9" x14ac:dyDescent="0.25">
      <c r="A218" s="1">
        <f ca="1">RANK(E218,E$2:E$619)</f>
        <v>223</v>
      </c>
      <c r="B218" s="1" t="s">
        <v>610</v>
      </c>
      <c r="C218" s="1" t="s">
        <v>39</v>
      </c>
      <c r="D218" s="1">
        <f ca="1">INDEX(INDIRECT($C218&amp;"!O:O"),MATCH($B218,INDIRECT($C218&amp;"!B:B"),0))</f>
        <v>48.79</v>
      </c>
      <c r="E218" s="254">
        <f ca="1">D218-LARGE(D$2:D$619,RBCount+WRCount+TECount+QBCount)</f>
        <v>-35.080000000000005</v>
      </c>
      <c r="F218" s="1" t="str">
        <f ca="1">IF(H218&lt;=I218,"Starter",IF(G218&gt;=LARGE(G:G,FlexOn*LeagueInfo!$F$2),"Starter","Bench"))</f>
        <v>Bench</v>
      </c>
      <c r="G218" s="1">
        <f ca="1">IF(H218&gt;I218,D218,0)</f>
        <v>48.79</v>
      </c>
      <c r="H218" s="1">
        <f ca="1">INDEX(INDIRECT(""&amp;C218&amp;"!A2:A489"),MATCH(B218,INDIRECT(""&amp;C218&amp;"!B2:B489"),0))</f>
        <v>90</v>
      </c>
      <c r="I218" s="1">
        <f>IF(C218="RB",LeagueInfo!$D$4*LeagueInfo!$F$2,IF(C218="WR",LeagueInfo!$D$5*LeagueInfo!$F$2,IF(C218="TE",LeagueInfo!$D$6*LeagueInfo!$F$2,LeagueInfo!$D$3*LeagueInfo!$F$2)))</f>
        <v>24</v>
      </c>
    </row>
    <row r="219" spans="1:9" x14ac:dyDescent="0.25">
      <c r="A219" s="1">
        <f ca="1">RANK(E219,E$2:E$619)</f>
        <v>222</v>
      </c>
      <c r="B219" s="1" t="s">
        <v>323</v>
      </c>
      <c r="C219" s="1" t="s">
        <v>39</v>
      </c>
      <c r="D219" s="1">
        <f ca="1">INDEX(INDIRECT($C219&amp;"!O:O"),MATCH($B219,INDIRECT($C219&amp;"!B:B"),0))</f>
        <v>49.230000000000004</v>
      </c>
      <c r="E219" s="254">
        <f ca="1">D219-LARGE(D$2:D$619,RBCount+WRCount+TECount+QBCount)</f>
        <v>-34.64</v>
      </c>
      <c r="F219" s="1" t="str">
        <f ca="1">IF(H219&lt;=I219,"Starter",IF(G219&gt;=LARGE(G:G,FlexOn*LeagueInfo!$F$2),"Starter","Bench"))</f>
        <v>Bench</v>
      </c>
      <c r="G219" s="1">
        <f ca="1">IF(H219&gt;I219,D219,0)</f>
        <v>49.230000000000004</v>
      </c>
      <c r="H219" s="1">
        <f ca="1">INDEX(INDIRECT(""&amp;C219&amp;"!A2:A489"),MATCH(B219,INDIRECT(""&amp;C219&amp;"!B2:B489"),0))</f>
        <v>89</v>
      </c>
      <c r="I219" s="1">
        <f>IF(C219="RB",LeagueInfo!$D$4*LeagueInfo!$F$2,IF(C219="WR",LeagueInfo!$D$5*LeagueInfo!$F$2,IF(C219="TE",LeagueInfo!$D$6*LeagueInfo!$F$2,LeagueInfo!$D$3*LeagueInfo!$F$2)))</f>
        <v>24</v>
      </c>
    </row>
    <row r="220" spans="1:9" x14ac:dyDescent="0.25">
      <c r="A220" s="1">
        <f ca="1">RANK(E220,E$2:E$619)</f>
        <v>219</v>
      </c>
      <c r="B220" s="1" t="s">
        <v>579</v>
      </c>
      <c r="C220" s="1" t="s">
        <v>39</v>
      </c>
      <c r="D220" s="1">
        <f ca="1">INDEX(INDIRECT($C220&amp;"!O:O"),MATCH($B220,INDIRECT($C220&amp;"!B:B"),0))</f>
        <v>50.2</v>
      </c>
      <c r="E220" s="254">
        <f ca="1">D220-LARGE(D$2:D$619,RBCount+WRCount+TECount+QBCount)</f>
        <v>-33.67</v>
      </c>
      <c r="F220" s="1" t="str">
        <f ca="1">IF(H220&lt;=I220,"Starter",IF(G220&gt;=LARGE(G:G,FlexOn*LeagueInfo!$F$2),"Starter","Bench"))</f>
        <v>Bench</v>
      </c>
      <c r="G220" s="1">
        <f ca="1">IF(H220&gt;I220,D220,0)</f>
        <v>50.2</v>
      </c>
      <c r="H220" s="1">
        <f ca="1">INDEX(INDIRECT(""&amp;C220&amp;"!A2:A489"),MATCH(B220,INDIRECT(""&amp;C220&amp;"!B2:B489"),0))</f>
        <v>87</v>
      </c>
      <c r="I220" s="1">
        <f>IF(C220="RB",LeagueInfo!$D$4*LeagueInfo!$F$2,IF(C220="WR",LeagueInfo!$D$5*LeagueInfo!$F$2,IF(C220="TE",LeagueInfo!$D$6*LeagueInfo!$F$2,LeagueInfo!$D$3*LeagueInfo!$F$2)))</f>
        <v>24</v>
      </c>
    </row>
    <row r="221" spans="1:9" x14ac:dyDescent="0.25">
      <c r="A221" s="1">
        <f ca="1">RANK(E221,E$2:E$619)</f>
        <v>229</v>
      </c>
      <c r="B221" s="1" t="s">
        <v>578</v>
      </c>
      <c r="C221" s="1" t="s">
        <v>39</v>
      </c>
      <c r="D221" s="1">
        <f ca="1">INDEX(INDIRECT($C221&amp;"!O:O"),MATCH($B221,INDIRECT($C221&amp;"!B:B"),0))</f>
        <v>47.54</v>
      </c>
      <c r="E221" s="254">
        <f ca="1">D221-LARGE(D$2:D$619,RBCount+WRCount+TECount+QBCount)</f>
        <v>-36.330000000000005</v>
      </c>
      <c r="F221" s="1" t="str">
        <f ca="1">IF(H221&lt;=I221,"Starter",IF(G221&gt;=LARGE(G:G,FlexOn*LeagueInfo!$F$2),"Starter","Bench"))</f>
        <v>Bench</v>
      </c>
      <c r="G221" s="1">
        <f ca="1">IF(H221&gt;I221,D221,0)</f>
        <v>47.54</v>
      </c>
      <c r="H221" s="1">
        <f ca="1">INDEX(INDIRECT(""&amp;C221&amp;"!A2:A489"),MATCH(B221,INDIRECT(""&amp;C221&amp;"!B2:B489"),0))</f>
        <v>91</v>
      </c>
      <c r="I221" s="1">
        <f>IF(C221="RB",LeagueInfo!$D$4*LeagueInfo!$F$2,IF(C221="WR",LeagueInfo!$D$5*LeagueInfo!$F$2,IF(C221="TE",LeagueInfo!$D$6*LeagueInfo!$F$2,LeagueInfo!$D$3*LeagueInfo!$F$2)))</f>
        <v>24</v>
      </c>
    </row>
    <row r="222" spans="1:9" x14ac:dyDescent="0.25">
      <c r="A222" s="1">
        <f ca="1">RANK(E222,E$2:E$619)</f>
        <v>232</v>
      </c>
      <c r="B222" s="1" t="s">
        <v>584</v>
      </c>
      <c r="C222" s="1" t="s">
        <v>39</v>
      </c>
      <c r="D222" s="1">
        <f ca="1">INDEX(INDIRECT($C222&amp;"!O:O"),MATCH($B222,INDIRECT($C222&amp;"!B:B"),0))</f>
        <v>46.77</v>
      </c>
      <c r="E222" s="254">
        <f ca="1">D222-LARGE(D$2:D$619,RBCount+WRCount+TECount+QBCount)</f>
        <v>-37.1</v>
      </c>
      <c r="F222" s="1" t="str">
        <f ca="1">IF(H222&lt;=I222,"Starter",IF(G222&gt;=LARGE(G:G,FlexOn*LeagueInfo!$F$2),"Starter","Bench"))</f>
        <v>Bench</v>
      </c>
      <c r="G222" s="1">
        <f ca="1">IF(H222&gt;I222,D222,0)</f>
        <v>46.77</v>
      </c>
      <c r="H222" s="1">
        <f ca="1">INDEX(INDIRECT(""&amp;C222&amp;"!A2:A489"),MATCH(B222,INDIRECT(""&amp;C222&amp;"!B2:B489"),0))</f>
        <v>94</v>
      </c>
      <c r="I222" s="1">
        <f>IF(C222="RB",LeagueInfo!$D$4*LeagueInfo!$F$2,IF(C222="WR",LeagueInfo!$D$5*LeagueInfo!$F$2,IF(C222="TE",LeagueInfo!$D$6*LeagueInfo!$F$2,LeagueInfo!$D$3*LeagueInfo!$F$2)))</f>
        <v>24</v>
      </c>
    </row>
    <row r="223" spans="1:9" x14ac:dyDescent="0.25">
      <c r="A223" s="1">
        <f ca="1">RANK(E223,E$2:E$619)</f>
        <v>210</v>
      </c>
      <c r="B223" s="1" t="s">
        <v>392</v>
      </c>
      <c r="C223" s="1" t="s">
        <v>33</v>
      </c>
      <c r="D223" s="1">
        <f ca="1">INDEX(INDIRECT($C223&amp;"!O:O"),MATCH($B223,INDIRECT($C223&amp;"!B:B"),0))</f>
        <v>55.388000000000005</v>
      </c>
      <c r="E223" s="254">
        <f ca="1">D223-LARGE(D$2:D$619,RBCount+WRCount+TECount+QBCount)</f>
        <v>-28.481999999999999</v>
      </c>
      <c r="F223" s="1" t="str">
        <f ca="1">IF(H223&lt;=I223,"Starter",IF(G223&gt;=LARGE(G:G,FlexOn*LeagueInfo!$F$2),"Starter","Bench"))</f>
        <v>Bench</v>
      </c>
      <c r="G223" s="1">
        <f ca="1">IF(H223&gt;I223,D223,0)</f>
        <v>55.388000000000005</v>
      </c>
      <c r="H223" s="1">
        <f ca="1">INDEX(INDIRECT(""&amp;C223&amp;"!A2:A489"),MATCH(B223,INDIRECT(""&amp;C223&amp;"!B2:B489"),0))</f>
        <v>34</v>
      </c>
      <c r="I223" s="1">
        <f>IF(C223="RB",LeagueInfo!$D$4*LeagueInfo!$F$2,IF(C223="WR",LeagueInfo!$D$5*LeagueInfo!$F$2,IF(C223="TE",LeagueInfo!$D$6*LeagueInfo!$F$2,LeagueInfo!$D$3*LeagueInfo!$F$2)))</f>
        <v>12</v>
      </c>
    </row>
    <row r="224" spans="1:9" x14ac:dyDescent="0.25">
      <c r="A224" s="1">
        <f ca="1">RANK(E224,E$2:E$619)</f>
        <v>226</v>
      </c>
      <c r="B224" s="1" t="s">
        <v>718</v>
      </c>
      <c r="C224" s="1" t="s">
        <v>47</v>
      </c>
      <c r="D224" s="1">
        <f ca="1">INDEX(INDIRECT($C224&amp;"!O:O"),MATCH($B224,INDIRECT($C224&amp;"!B:B"),0))</f>
        <v>48.28</v>
      </c>
      <c r="E224" s="254">
        <f ca="1">D224-LARGE(D$2:D$619,RBCount+WRCount+TECount+QBCount)</f>
        <v>-35.590000000000003</v>
      </c>
      <c r="F224" s="1" t="str">
        <f ca="1">IF(H224&lt;=I224,"Starter",IF(G224&gt;=LARGE(G:G,FlexOn*LeagueInfo!$F$2),"Starter","Bench"))</f>
        <v>Bench</v>
      </c>
      <c r="G224" s="1">
        <f ca="1">IF(H224&gt;I224,D224,0)</f>
        <v>48.28</v>
      </c>
      <c r="H224" s="1">
        <f ca="1">INDEX(INDIRECT(""&amp;C224&amp;"!A2:A489"),MATCH(B224,INDIRECT(""&amp;C224&amp;"!B2:B489"),0))</f>
        <v>32</v>
      </c>
      <c r="I224" s="1">
        <f>IF(C224="RB",LeagueInfo!$D$4*LeagueInfo!$F$2,IF(C224="WR",LeagueInfo!$D$5*LeagueInfo!$F$2,IF(C224="TE",LeagueInfo!$D$6*LeagueInfo!$F$2,LeagueInfo!$D$3*LeagueInfo!$F$2)))</f>
        <v>12</v>
      </c>
    </row>
    <row r="225" spans="1:9" x14ac:dyDescent="0.25">
      <c r="A225" s="1">
        <f ca="1">RANK(E225,E$2:E$619)</f>
        <v>230</v>
      </c>
      <c r="B225" s="1" t="s">
        <v>572</v>
      </c>
      <c r="C225" s="1" t="s">
        <v>39</v>
      </c>
      <c r="D225" s="1">
        <f ca="1">INDEX(INDIRECT($C225&amp;"!O:O"),MATCH($B225,INDIRECT($C225&amp;"!B:B"),0))</f>
        <v>46.96</v>
      </c>
      <c r="E225" s="254">
        <f ca="1">D225-LARGE(D$2:D$619,RBCount+WRCount+TECount+QBCount)</f>
        <v>-36.910000000000004</v>
      </c>
      <c r="F225" s="1" t="str">
        <f ca="1">IF(H225&lt;=I225,"Starter",IF(G225&gt;=LARGE(G:G,FlexOn*LeagueInfo!$F$2),"Starter","Bench"))</f>
        <v>Bench</v>
      </c>
      <c r="G225" s="1">
        <f ca="1">IF(H225&gt;I225,D225,0)</f>
        <v>46.96</v>
      </c>
      <c r="H225" s="1">
        <f ca="1">INDEX(INDIRECT(""&amp;C225&amp;"!A2:A489"),MATCH(B225,INDIRECT(""&amp;C225&amp;"!B2:B489"),0))</f>
        <v>92</v>
      </c>
      <c r="I225" s="1">
        <f>IF(C225="RB",LeagueInfo!$D$4*LeagueInfo!$F$2,IF(C225="WR",LeagueInfo!$D$5*LeagueInfo!$F$2,IF(C225="TE",LeagueInfo!$D$6*LeagueInfo!$F$2,LeagueInfo!$D$3*LeagueInfo!$F$2)))</f>
        <v>24</v>
      </c>
    </row>
    <row r="226" spans="1:9" x14ac:dyDescent="0.25">
      <c r="A226" s="1">
        <f ca="1">RANK(E226,E$2:E$619)</f>
        <v>216</v>
      </c>
      <c r="B226" s="1" t="s">
        <v>471</v>
      </c>
      <c r="C226" s="1" t="s">
        <v>32</v>
      </c>
      <c r="D226" s="1">
        <f ca="1">INDEX(INDIRECT($C226&amp;"!O:O"),MATCH($B226,INDIRECT($C226&amp;"!B:B"),0))</f>
        <v>53.650000000000006</v>
      </c>
      <c r="E226" s="254">
        <f ca="1">D226-LARGE(D$2:D$619,RBCount+WRCount+TECount+QBCount)</f>
        <v>-30.22</v>
      </c>
      <c r="F226" s="1" t="str">
        <f ca="1">IF(H226&lt;=I226,"Starter",IF(G226&gt;=LARGE(G:G,FlexOn*LeagueInfo!$F$2),"Starter","Bench"))</f>
        <v>Bench</v>
      </c>
      <c r="G226" s="1">
        <f ca="1">IF(H226&gt;I226,D226,0)</f>
        <v>53.650000000000006</v>
      </c>
      <c r="H226" s="1">
        <f ca="1">INDEX(INDIRECT(""&amp;C226&amp;"!A2:A489"),MATCH(B226,INDIRECT(""&amp;C226&amp;"!B2:B489"),0))</f>
        <v>68</v>
      </c>
      <c r="I226" s="1">
        <f>IF(C226="RB",LeagueInfo!$D$4*LeagueInfo!$F$2,IF(C226="WR",LeagueInfo!$D$5*LeagueInfo!$F$2,IF(C226="TE",LeagueInfo!$D$6*LeagueInfo!$F$2,LeagueInfo!$D$3*LeagueInfo!$F$2)))</f>
        <v>24</v>
      </c>
    </row>
    <row r="227" spans="1:9" x14ac:dyDescent="0.25">
      <c r="A227" s="1">
        <f ca="1">RANK(E227,E$2:E$619)</f>
        <v>230</v>
      </c>
      <c r="B227" s="1" t="s">
        <v>581</v>
      </c>
      <c r="C227" s="1" t="s">
        <v>39</v>
      </c>
      <c r="D227" s="1">
        <f ca="1">INDEX(INDIRECT($C227&amp;"!O:O"),MATCH($B227,INDIRECT($C227&amp;"!B:B"),0))</f>
        <v>46.96</v>
      </c>
      <c r="E227" s="254">
        <f ca="1">D227-LARGE(D$2:D$619,RBCount+WRCount+TECount+QBCount)</f>
        <v>-36.910000000000004</v>
      </c>
      <c r="F227" s="1" t="str">
        <f ca="1">IF(H227&lt;=I227,"Starter",IF(G227&gt;=LARGE(G:G,FlexOn*LeagueInfo!$F$2),"Starter","Bench"))</f>
        <v>Bench</v>
      </c>
      <c r="G227" s="1">
        <f ca="1">IF(H227&gt;I227,D227,0)</f>
        <v>46.96</v>
      </c>
      <c r="H227" s="1">
        <f ca="1">INDEX(INDIRECT(""&amp;C227&amp;"!A2:A489"),MATCH(B227,INDIRECT(""&amp;C227&amp;"!B2:B489"),0))</f>
        <v>92</v>
      </c>
      <c r="I227" s="1">
        <f>IF(C227="RB",LeagueInfo!$D$4*LeagueInfo!$F$2,IF(C227="WR",LeagueInfo!$D$5*LeagueInfo!$F$2,IF(C227="TE",LeagueInfo!$D$6*LeagueInfo!$F$2,LeagueInfo!$D$3*LeagueInfo!$F$2)))</f>
        <v>24</v>
      </c>
    </row>
    <row r="228" spans="1:9" x14ac:dyDescent="0.25">
      <c r="A228" s="1">
        <f ca="1">RANK(E228,E$2:E$619)</f>
        <v>213</v>
      </c>
      <c r="B228" s="1" t="s">
        <v>446</v>
      </c>
      <c r="C228" s="1" t="s">
        <v>32</v>
      </c>
      <c r="D228" s="1">
        <f ca="1">INDEX(INDIRECT($C228&amp;"!O:O"),MATCH($B228,INDIRECT($C228&amp;"!B:B"),0))</f>
        <v>54.04</v>
      </c>
      <c r="E228" s="254">
        <f ca="1">D228-LARGE(D$2:D$619,RBCount+WRCount+TECount+QBCount)</f>
        <v>-29.830000000000005</v>
      </c>
      <c r="F228" s="1" t="str">
        <f ca="1">IF(H228&lt;=I228,"Starter",IF(G228&gt;=LARGE(G:G,FlexOn*LeagueInfo!$F$2),"Starter","Bench"))</f>
        <v>Bench</v>
      </c>
      <c r="G228" s="1">
        <f ca="1">IF(H228&gt;I228,D228,0)</f>
        <v>54.04</v>
      </c>
      <c r="H228" s="1">
        <f ca="1">INDEX(INDIRECT(""&amp;C228&amp;"!A2:A489"),MATCH(B228,INDIRECT(""&amp;C228&amp;"!B2:B489"),0))</f>
        <v>65</v>
      </c>
      <c r="I228" s="1">
        <f>IF(C228="RB",LeagueInfo!$D$4*LeagueInfo!$F$2,IF(C228="WR",LeagueInfo!$D$5*LeagueInfo!$F$2,IF(C228="TE",LeagueInfo!$D$6*LeagueInfo!$F$2,LeagueInfo!$D$3*LeagueInfo!$F$2)))</f>
        <v>24</v>
      </c>
    </row>
    <row r="229" spans="1:9" x14ac:dyDescent="0.25">
      <c r="A229" s="1">
        <f ca="1">RANK(E229,E$2:E$619)</f>
        <v>228</v>
      </c>
      <c r="B229" s="1" t="s">
        <v>287</v>
      </c>
      <c r="C229" s="1" t="s">
        <v>47</v>
      </c>
      <c r="D229" s="1">
        <f ca="1">INDEX(INDIRECT($C229&amp;"!O:O"),MATCH($B229,INDIRECT($C229&amp;"!B:B"),0))</f>
        <v>48.039999999999992</v>
      </c>
      <c r="E229" s="254">
        <f ca="1">D229-LARGE(D$2:D$619,RBCount+WRCount+TECount+QBCount)</f>
        <v>-35.830000000000013</v>
      </c>
      <c r="F229" s="1" t="str">
        <f ca="1">IF(H229&lt;=I229,"Starter",IF(G229&gt;=LARGE(G:G,FlexOn*LeagueInfo!$F$2),"Starter","Bench"))</f>
        <v>Bench</v>
      </c>
      <c r="G229" s="1">
        <f ca="1">IF(H229&gt;I229,D229,0)</f>
        <v>48.039999999999992</v>
      </c>
      <c r="H229" s="1">
        <f ca="1">INDEX(INDIRECT(""&amp;C229&amp;"!A2:A489"),MATCH(B229,INDIRECT(""&amp;C229&amp;"!B2:B489"),0))</f>
        <v>34</v>
      </c>
      <c r="I229" s="1">
        <f>IF(C229="RB",LeagueInfo!$D$4*LeagueInfo!$F$2,IF(C229="WR",LeagueInfo!$D$5*LeagueInfo!$F$2,IF(C229="TE",LeagueInfo!$D$6*LeagueInfo!$F$2,LeagueInfo!$D$3*LeagueInfo!$F$2)))</f>
        <v>12</v>
      </c>
    </row>
    <row r="230" spans="1:9" x14ac:dyDescent="0.25">
      <c r="A230" s="1">
        <f ca="1">RANK(E230,E$2:E$619)</f>
        <v>215</v>
      </c>
      <c r="B230" s="1" t="s">
        <v>447</v>
      </c>
      <c r="C230" s="1" t="s">
        <v>32</v>
      </c>
      <c r="D230" s="1">
        <f ca="1">INDEX(INDIRECT($C230&amp;"!O:O"),MATCH($B230,INDIRECT($C230&amp;"!B:B"),0))</f>
        <v>53.680000000000007</v>
      </c>
      <c r="E230" s="254">
        <f ca="1">D230-LARGE(D$2:D$619,RBCount+WRCount+TECount+QBCount)</f>
        <v>-30.189999999999998</v>
      </c>
      <c r="F230" s="1" t="str">
        <f ca="1">IF(H230&lt;=I230,"Starter",IF(G230&gt;=LARGE(G:G,FlexOn*LeagueInfo!$F$2),"Starter","Bench"))</f>
        <v>Bench</v>
      </c>
      <c r="G230" s="1">
        <f ca="1">IF(H230&gt;I230,D230,0)</f>
        <v>53.680000000000007</v>
      </c>
      <c r="H230" s="1">
        <f ca="1">INDEX(INDIRECT(""&amp;C230&amp;"!A2:A489"),MATCH(B230,INDIRECT(""&amp;C230&amp;"!B2:B489"),0))</f>
        <v>67</v>
      </c>
      <c r="I230" s="1">
        <f>IF(C230="RB",LeagueInfo!$D$4*LeagueInfo!$F$2,IF(C230="WR",LeagueInfo!$D$5*LeagueInfo!$F$2,IF(C230="TE",LeagueInfo!$D$6*LeagueInfo!$F$2,LeagueInfo!$D$3*LeagueInfo!$F$2)))</f>
        <v>24</v>
      </c>
    </row>
    <row r="231" spans="1:9" x14ac:dyDescent="0.25">
      <c r="A231" s="1">
        <f ca="1">RANK(E231,E$2:E$619)</f>
        <v>214</v>
      </c>
      <c r="B231" s="1" t="s">
        <v>451</v>
      </c>
      <c r="C231" s="1" t="s">
        <v>32</v>
      </c>
      <c r="D231" s="1">
        <f ca="1">INDEX(INDIRECT($C231&amp;"!O:O"),MATCH($B231,INDIRECT($C231&amp;"!B:B"),0))</f>
        <v>53.73</v>
      </c>
      <c r="E231" s="254">
        <f ca="1">D231-LARGE(D$2:D$619,RBCount+WRCount+TECount+QBCount)</f>
        <v>-30.140000000000008</v>
      </c>
      <c r="F231" s="1" t="str">
        <f ca="1">IF(H231&lt;=I231,"Starter",IF(G231&gt;=LARGE(G:G,FlexOn*LeagueInfo!$F$2),"Starter","Bench"))</f>
        <v>Bench</v>
      </c>
      <c r="G231" s="1">
        <f ca="1">IF(H231&gt;I231,D231,0)</f>
        <v>53.73</v>
      </c>
      <c r="H231" s="1">
        <f ca="1">INDEX(INDIRECT(""&amp;C231&amp;"!A2:A489"),MATCH(B231,INDIRECT(""&amp;C231&amp;"!B2:B489"),0))</f>
        <v>66</v>
      </c>
      <c r="I231" s="1">
        <f>IF(C231="RB",LeagueInfo!$D$4*LeagueInfo!$F$2,IF(C231="WR",LeagueInfo!$D$5*LeagueInfo!$F$2,IF(C231="TE",LeagueInfo!$D$6*LeagueInfo!$F$2,LeagueInfo!$D$3*LeagueInfo!$F$2)))</f>
        <v>24</v>
      </c>
    </row>
    <row r="232" spans="1:9" x14ac:dyDescent="0.25">
      <c r="A232" s="1">
        <f ca="1">RANK(E232,E$2:E$619)</f>
        <v>238</v>
      </c>
      <c r="B232" s="1" t="s">
        <v>721</v>
      </c>
      <c r="C232" s="1" t="s">
        <v>47</v>
      </c>
      <c r="D232" s="1">
        <f ca="1">INDEX(INDIRECT($C232&amp;"!O:O"),MATCH($B232,INDIRECT($C232&amp;"!B:B"),0))</f>
        <v>45.750000000000007</v>
      </c>
      <c r="E232" s="254">
        <f ca="1">D232-LARGE(D$2:D$619,RBCount+WRCount+TECount+QBCount)</f>
        <v>-38.119999999999997</v>
      </c>
      <c r="F232" s="1" t="str">
        <f ca="1">IF(H232&lt;=I232,"Starter",IF(G232&gt;=LARGE(G:G,FlexOn*LeagueInfo!$F$2),"Starter","Bench"))</f>
        <v>Bench</v>
      </c>
      <c r="G232" s="1">
        <f ca="1">IF(H232&gt;I232,D232,0)</f>
        <v>45.750000000000007</v>
      </c>
      <c r="H232" s="1">
        <f ca="1">INDEX(INDIRECT(""&amp;C232&amp;"!A2:A489"),MATCH(B232,INDIRECT(""&amp;C232&amp;"!B2:B489"),0))</f>
        <v>35</v>
      </c>
      <c r="I232" s="1">
        <f>IF(C232="RB",LeagueInfo!$D$4*LeagueInfo!$F$2,IF(C232="WR",LeagueInfo!$D$5*LeagueInfo!$F$2,IF(C232="TE",LeagueInfo!$D$6*LeagueInfo!$F$2,LeagueInfo!$D$3*LeagueInfo!$F$2)))</f>
        <v>12</v>
      </c>
    </row>
    <row r="233" spans="1:9" x14ac:dyDescent="0.25">
      <c r="A233" s="1">
        <f ca="1">RANK(E233,E$2:E$619)</f>
        <v>236</v>
      </c>
      <c r="B233" s="1" t="s">
        <v>244</v>
      </c>
      <c r="C233" s="1" t="s">
        <v>39</v>
      </c>
      <c r="D233" s="1">
        <f ca="1">INDEX(INDIRECT($C233&amp;"!O:O"),MATCH($B233,INDIRECT($C233&amp;"!B:B"),0))</f>
        <v>45.790000000000006</v>
      </c>
      <c r="E233" s="254">
        <f ca="1">D233-LARGE(D$2:D$619,RBCount+WRCount+TECount+QBCount)</f>
        <v>-38.08</v>
      </c>
      <c r="F233" s="1" t="str">
        <f ca="1">IF(H233&lt;=I233,"Starter",IF(G233&gt;=LARGE(G:G,FlexOn*LeagueInfo!$F$2),"Starter","Bench"))</f>
        <v>Bench</v>
      </c>
      <c r="G233" s="1">
        <f ca="1">IF(H233&gt;I233,D233,0)</f>
        <v>45.790000000000006</v>
      </c>
      <c r="H233" s="1">
        <f ca="1">INDEX(INDIRECT(""&amp;C233&amp;"!A2:A489"),MATCH(B233,INDIRECT(""&amp;C233&amp;"!B2:B489"),0))</f>
        <v>96</v>
      </c>
      <c r="I233" s="1">
        <f>IF(C233="RB",LeagueInfo!$D$4*LeagueInfo!$F$2,IF(C233="WR",LeagueInfo!$D$5*LeagueInfo!$F$2,IF(C233="TE",LeagueInfo!$D$6*LeagueInfo!$F$2,LeagueInfo!$D$3*LeagueInfo!$F$2)))</f>
        <v>24</v>
      </c>
    </row>
    <row r="234" spans="1:9" x14ac:dyDescent="0.25">
      <c r="A234" s="1">
        <f ca="1">RANK(E234,E$2:E$619)</f>
        <v>235</v>
      </c>
      <c r="B234" s="1" t="s">
        <v>574</v>
      </c>
      <c r="C234" s="1" t="s">
        <v>39</v>
      </c>
      <c r="D234" s="1">
        <f ca="1">INDEX(INDIRECT($C234&amp;"!O:O"),MATCH($B234,INDIRECT($C234&amp;"!B:B"),0))</f>
        <v>46.29</v>
      </c>
      <c r="E234" s="254">
        <f ca="1">D234-LARGE(D$2:D$619,RBCount+WRCount+TECount+QBCount)</f>
        <v>-37.580000000000005</v>
      </c>
      <c r="F234" s="1" t="str">
        <f ca="1">IF(H234&lt;=I234,"Starter",IF(G234&gt;=LARGE(G:G,FlexOn*LeagueInfo!$F$2),"Starter","Bench"))</f>
        <v>Bench</v>
      </c>
      <c r="G234" s="1">
        <f ca="1">IF(H234&gt;I234,D234,0)</f>
        <v>46.29</v>
      </c>
      <c r="H234" s="1">
        <f ca="1">INDEX(INDIRECT(""&amp;C234&amp;"!A2:A489"),MATCH(B234,INDIRECT(""&amp;C234&amp;"!B2:B489"),0))</f>
        <v>95</v>
      </c>
      <c r="I234" s="1">
        <f>IF(C234="RB",LeagueInfo!$D$4*LeagueInfo!$F$2,IF(C234="WR",LeagueInfo!$D$5*LeagueInfo!$F$2,IF(C234="TE",LeagueInfo!$D$6*LeagueInfo!$F$2,LeagueInfo!$D$3*LeagueInfo!$F$2)))</f>
        <v>24</v>
      </c>
    </row>
    <row r="235" spans="1:9" x14ac:dyDescent="0.25">
      <c r="A235" s="1">
        <f ca="1">RANK(E235,E$2:E$619)</f>
        <v>237</v>
      </c>
      <c r="B235" s="1" t="s">
        <v>589</v>
      </c>
      <c r="C235" s="1" t="s">
        <v>39</v>
      </c>
      <c r="D235" s="1">
        <f ca="1">INDEX(INDIRECT($C235&amp;"!O:O"),MATCH($B235,INDIRECT($C235&amp;"!B:B"),0))</f>
        <v>45.789999999999992</v>
      </c>
      <c r="E235" s="254">
        <f ca="1">D235-LARGE(D$2:D$619,RBCount+WRCount+TECount+QBCount)</f>
        <v>-38.080000000000013</v>
      </c>
      <c r="F235" s="1" t="str">
        <f ca="1">IF(H235&lt;=I235,"Starter",IF(G235&gt;=LARGE(G:G,FlexOn*LeagueInfo!$F$2),"Starter","Bench"))</f>
        <v>Bench</v>
      </c>
      <c r="G235" s="1">
        <f ca="1">IF(H235&gt;I235,D235,0)</f>
        <v>45.789999999999992</v>
      </c>
      <c r="H235" s="1">
        <f ca="1">INDEX(INDIRECT(""&amp;C235&amp;"!A2:A489"),MATCH(B235,INDIRECT(""&amp;C235&amp;"!B2:B489"),0))</f>
        <v>97</v>
      </c>
      <c r="I235" s="1">
        <f>IF(C235="RB",LeagueInfo!$D$4*LeagueInfo!$F$2,IF(C235="WR",LeagueInfo!$D$5*LeagueInfo!$F$2,IF(C235="TE",LeagueInfo!$D$6*LeagueInfo!$F$2,LeagueInfo!$D$3*LeagueInfo!$F$2)))</f>
        <v>24</v>
      </c>
    </row>
    <row r="236" spans="1:9" x14ac:dyDescent="0.25">
      <c r="A236" s="1">
        <f ca="1">RANK(E236,E$2:E$619)</f>
        <v>241</v>
      </c>
      <c r="B236" s="1" t="s">
        <v>588</v>
      </c>
      <c r="C236" s="1" t="s">
        <v>39</v>
      </c>
      <c r="D236" s="1">
        <f ca="1">INDEX(INDIRECT($C236&amp;"!O:O"),MATCH($B236,INDIRECT($C236&amp;"!B:B"),0))</f>
        <v>44.580000000000013</v>
      </c>
      <c r="E236" s="254">
        <f ca="1">D236-LARGE(D$2:D$619,RBCount+WRCount+TECount+QBCount)</f>
        <v>-39.289999999999992</v>
      </c>
      <c r="F236" s="1" t="str">
        <f ca="1">IF(H236&lt;=I236,"Starter",IF(G236&gt;=LARGE(G:G,FlexOn*LeagueInfo!$F$2),"Starter","Bench"))</f>
        <v>Bench</v>
      </c>
      <c r="G236" s="1">
        <f ca="1">IF(H236&gt;I236,D236,0)</f>
        <v>44.580000000000013</v>
      </c>
      <c r="H236" s="1">
        <f ca="1">INDEX(INDIRECT(""&amp;C236&amp;"!A2:A489"),MATCH(B236,INDIRECT(""&amp;C236&amp;"!B2:B489"),0))</f>
        <v>99</v>
      </c>
      <c r="I236" s="1">
        <f>IF(C236="RB",LeagueInfo!$D$4*LeagueInfo!$F$2,IF(C236="WR",LeagueInfo!$D$5*LeagueInfo!$F$2,IF(C236="TE",LeagueInfo!$D$6*LeagueInfo!$F$2,LeagueInfo!$D$3*LeagueInfo!$F$2)))</f>
        <v>24</v>
      </c>
    </row>
    <row r="237" spans="1:9" x14ac:dyDescent="0.25">
      <c r="A237" s="1">
        <f ca="1">RANK(E237,E$2:E$619)</f>
        <v>240</v>
      </c>
      <c r="B237" s="1" t="s">
        <v>585</v>
      </c>
      <c r="C237" s="1" t="s">
        <v>39</v>
      </c>
      <c r="D237" s="1">
        <f ca="1">INDEX(INDIRECT($C237&amp;"!O:O"),MATCH($B237,INDIRECT($C237&amp;"!B:B"),0))</f>
        <v>44.77</v>
      </c>
      <c r="E237" s="254">
        <f ca="1">D237-LARGE(D$2:D$619,RBCount+WRCount+TECount+QBCount)</f>
        <v>-39.1</v>
      </c>
      <c r="F237" s="1" t="str">
        <f ca="1">IF(H237&lt;=I237,"Starter",IF(G237&gt;=LARGE(G:G,FlexOn*LeagueInfo!$F$2),"Starter","Bench"))</f>
        <v>Bench</v>
      </c>
      <c r="G237" s="1">
        <f ca="1">IF(H237&gt;I237,D237,0)</f>
        <v>44.77</v>
      </c>
      <c r="H237" s="1">
        <f ca="1">INDEX(INDIRECT(""&amp;C237&amp;"!A2:A489"),MATCH(B237,INDIRECT(""&amp;C237&amp;"!B2:B489"),0))</f>
        <v>98</v>
      </c>
      <c r="I237" s="1">
        <f>IF(C237="RB",LeagueInfo!$D$4*LeagueInfo!$F$2,IF(C237="WR",LeagueInfo!$D$5*LeagueInfo!$F$2,IF(C237="TE",LeagueInfo!$D$6*LeagueInfo!$F$2,LeagueInfo!$D$3*LeagueInfo!$F$2)))</f>
        <v>24</v>
      </c>
    </row>
    <row r="238" spans="1:9" x14ac:dyDescent="0.25">
      <c r="A238" s="1">
        <f ca="1">RANK(E238,E$2:E$619)</f>
        <v>224</v>
      </c>
      <c r="B238" s="1" t="s">
        <v>281</v>
      </c>
      <c r="C238" s="1" t="s">
        <v>32</v>
      </c>
      <c r="D238" s="1">
        <f ca="1">INDEX(INDIRECT($C238&amp;"!O:O"),MATCH($B238,INDIRECT($C238&amp;"!B:B"),0))</f>
        <v>48.670000000000009</v>
      </c>
      <c r="E238" s="254">
        <f ca="1">D238-LARGE(D$2:D$619,RBCount+WRCount+TECount+QBCount)</f>
        <v>-35.199999999999996</v>
      </c>
      <c r="F238" s="1" t="str">
        <f ca="1">IF(H238&lt;=I238,"Starter",IF(G238&gt;=LARGE(G:G,FlexOn*LeagueInfo!$F$2),"Starter","Bench"))</f>
        <v>Bench</v>
      </c>
      <c r="G238" s="1">
        <f ca="1">IF(H238&gt;I238,D238,0)</f>
        <v>48.670000000000009</v>
      </c>
      <c r="H238" s="1">
        <f ca="1">INDEX(INDIRECT(""&amp;C238&amp;"!A2:A489"),MATCH(B238,INDIRECT(""&amp;C238&amp;"!B2:B489"),0))</f>
        <v>69</v>
      </c>
      <c r="I238" s="1">
        <f>IF(C238="RB",LeagueInfo!$D$4*LeagueInfo!$F$2,IF(C238="WR",LeagueInfo!$D$5*LeagueInfo!$F$2,IF(C238="TE",LeagueInfo!$D$6*LeagueInfo!$F$2,LeagueInfo!$D$3*LeagueInfo!$F$2)))</f>
        <v>24</v>
      </c>
    </row>
    <row r="239" spans="1:9" x14ac:dyDescent="0.25">
      <c r="A239" s="1">
        <f ca="1">RANK(E239,E$2:E$619)</f>
        <v>239</v>
      </c>
      <c r="B239" s="1" t="s">
        <v>444</v>
      </c>
      <c r="C239" s="1" t="s">
        <v>32</v>
      </c>
      <c r="D239" s="1">
        <f ca="1">INDEX(INDIRECT($C239&amp;"!O:O"),MATCH($B239,INDIRECT($C239&amp;"!B:B"),0))</f>
        <v>45.19</v>
      </c>
      <c r="E239" s="254">
        <f ca="1">D239-LARGE(D$2:D$619,RBCount+WRCount+TECount+QBCount)</f>
        <v>-38.680000000000007</v>
      </c>
      <c r="F239" s="1" t="str">
        <f ca="1">IF(H239&lt;=I239,"Starter",IF(G239&gt;=LARGE(G:G,FlexOn*LeagueInfo!$F$2),"Starter","Bench"))</f>
        <v>Bench</v>
      </c>
      <c r="G239" s="1">
        <f ca="1">IF(H239&gt;I239,D239,0)</f>
        <v>45.19</v>
      </c>
      <c r="H239" s="1">
        <f ca="1">INDEX(INDIRECT(""&amp;C239&amp;"!A2:A489"),MATCH(B239,INDIRECT(""&amp;C239&amp;"!B2:B489"),0))</f>
        <v>72</v>
      </c>
      <c r="I239" s="1">
        <f>IF(C239="RB",LeagueInfo!$D$4*LeagueInfo!$F$2,IF(C239="WR",LeagueInfo!$D$5*LeagueInfo!$F$2,IF(C239="TE",LeagueInfo!$D$6*LeagueInfo!$F$2,LeagueInfo!$D$3*LeagueInfo!$F$2)))</f>
        <v>24</v>
      </c>
    </row>
    <row r="240" spans="1:9" x14ac:dyDescent="0.25">
      <c r="A240" s="1">
        <f ca="1">RANK(E240,E$2:E$619)</f>
        <v>242</v>
      </c>
      <c r="B240" s="1" t="s">
        <v>221</v>
      </c>
      <c r="C240" s="1" t="s">
        <v>39</v>
      </c>
      <c r="D240" s="1">
        <f ca="1">INDEX(INDIRECT($C240&amp;"!O:O"),MATCH($B240,INDIRECT($C240&amp;"!B:B"),0))</f>
        <v>44.56</v>
      </c>
      <c r="E240" s="254">
        <f ca="1">D240-LARGE(D$2:D$619,RBCount+WRCount+TECount+QBCount)</f>
        <v>-39.31</v>
      </c>
      <c r="F240" s="1" t="str">
        <f ca="1">IF(H240&lt;=I240,"Starter",IF(G240&gt;=LARGE(G:G,FlexOn*LeagueInfo!$F$2),"Starter","Bench"))</f>
        <v>Bench</v>
      </c>
      <c r="G240" s="1">
        <f ca="1">IF(H240&gt;I240,D240,0)</f>
        <v>44.56</v>
      </c>
      <c r="H240" s="1">
        <f ca="1">INDEX(INDIRECT(""&amp;C240&amp;"!A2:A489"),MATCH(B240,INDIRECT(""&amp;C240&amp;"!B2:B489"),0))</f>
        <v>100</v>
      </c>
      <c r="I240" s="1">
        <f>IF(C240="RB",LeagueInfo!$D$4*LeagueInfo!$F$2,IF(C240="WR",LeagueInfo!$D$5*LeagueInfo!$F$2,IF(C240="TE",LeagueInfo!$D$6*LeagueInfo!$F$2,LeagueInfo!$D$3*LeagueInfo!$F$2)))</f>
        <v>24</v>
      </c>
    </row>
    <row r="241" spans="1:9" x14ac:dyDescent="0.25">
      <c r="A241" s="1">
        <f ca="1">RANK(E241,E$2:E$619)</f>
        <v>243</v>
      </c>
      <c r="B241" s="1" t="s">
        <v>583</v>
      </c>
      <c r="C241" s="1" t="s">
        <v>39</v>
      </c>
      <c r="D241" s="1">
        <f ca="1">INDEX(INDIRECT($C241&amp;"!O:O"),MATCH($B241,INDIRECT($C241&amp;"!B:B"),0))</f>
        <v>43.46</v>
      </c>
      <c r="E241" s="254">
        <f ca="1">D241-LARGE(D$2:D$619,RBCount+WRCount+TECount+QBCount)</f>
        <v>-40.410000000000004</v>
      </c>
      <c r="F241" s="1" t="str">
        <f ca="1">IF(H241&lt;=I241,"Starter",IF(G241&gt;=LARGE(G:G,FlexOn*LeagueInfo!$F$2),"Starter","Bench"))</f>
        <v>Bench</v>
      </c>
      <c r="G241" s="1">
        <f ca="1">IF(H241&gt;I241,D241,0)</f>
        <v>43.46</v>
      </c>
      <c r="H241" s="1">
        <f ca="1">INDEX(INDIRECT(""&amp;C241&amp;"!A2:A489"),MATCH(B241,INDIRECT(""&amp;C241&amp;"!B2:B489"),0))</f>
        <v>101</v>
      </c>
      <c r="I241" s="1">
        <f>IF(C241="RB",LeagueInfo!$D$4*LeagueInfo!$F$2,IF(C241="WR",LeagueInfo!$D$5*LeagueInfo!$F$2,IF(C241="TE",LeagueInfo!$D$6*LeagueInfo!$F$2,LeagueInfo!$D$3*LeagueInfo!$F$2)))</f>
        <v>24</v>
      </c>
    </row>
    <row r="242" spans="1:9" x14ac:dyDescent="0.25">
      <c r="A242" s="1">
        <f ca="1">RANK(E242,E$2:E$619)</f>
        <v>225</v>
      </c>
      <c r="B242" s="1" t="s">
        <v>449</v>
      </c>
      <c r="C242" s="1" t="s">
        <v>32</v>
      </c>
      <c r="D242" s="1">
        <f ca="1">INDEX(INDIRECT($C242&amp;"!O:O"),MATCH($B242,INDIRECT($C242&amp;"!B:B"),0))</f>
        <v>48.370000000000005</v>
      </c>
      <c r="E242" s="254">
        <f ca="1">D242-LARGE(D$2:D$619,RBCount+WRCount+TECount+QBCount)</f>
        <v>-35.5</v>
      </c>
      <c r="F242" s="1" t="str">
        <f ca="1">IF(H242&lt;=I242,"Starter",IF(G242&gt;=LARGE(G:G,FlexOn*LeagueInfo!$F$2),"Starter","Bench"))</f>
        <v>Bench</v>
      </c>
      <c r="G242" s="1">
        <f ca="1">IF(H242&gt;I242,D242,0)</f>
        <v>48.370000000000005</v>
      </c>
      <c r="H242" s="1">
        <f ca="1">INDEX(INDIRECT(""&amp;C242&amp;"!A2:A489"),MATCH(B242,INDIRECT(""&amp;C242&amp;"!B2:B489"),0))</f>
        <v>70</v>
      </c>
      <c r="I242" s="1">
        <f>IF(C242="RB",LeagueInfo!$D$4*LeagueInfo!$F$2,IF(C242="WR",LeagueInfo!$D$5*LeagueInfo!$F$2,IF(C242="TE",LeagueInfo!$D$6*LeagueInfo!$F$2,LeagueInfo!$D$3*LeagueInfo!$F$2)))</f>
        <v>24</v>
      </c>
    </row>
    <row r="243" spans="1:9" x14ac:dyDescent="0.25">
      <c r="A243" s="1">
        <f ca="1">RANK(E243,E$2:E$619)</f>
        <v>233</v>
      </c>
      <c r="B243" s="1" t="s">
        <v>450</v>
      </c>
      <c r="C243" s="1" t="s">
        <v>32</v>
      </c>
      <c r="D243" s="1">
        <f ca="1">INDEX(INDIRECT($C243&amp;"!O:O"),MATCH($B243,INDIRECT($C243&amp;"!B:B"),0))</f>
        <v>46.65</v>
      </c>
      <c r="E243" s="254">
        <f ca="1">D243-LARGE(D$2:D$619,RBCount+WRCount+TECount+QBCount)</f>
        <v>-37.220000000000006</v>
      </c>
      <c r="F243" s="1" t="str">
        <f ca="1">IF(H243&lt;=I243,"Starter",IF(G243&gt;=LARGE(G:G,FlexOn*LeagueInfo!$F$2),"Starter","Bench"))</f>
        <v>Bench</v>
      </c>
      <c r="G243" s="1">
        <f ca="1">IF(H243&gt;I243,D243,0)</f>
        <v>46.65</v>
      </c>
      <c r="H243" s="1">
        <f ca="1">INDEX(INDIRECT(""&amp;C243&amp;"!A2:A489"),MATCH(B243,INDIRECT(""&amp;C243&amp;"!B2:B489"),0))</f>
        <v>71</v>
      </c>
      <c r="I243" s="1">
        <f>IF(C243="RB",LeagueInfo!$D$4*LeagueInfo!$F$2,IF(C243="WR",LeagueInfo!$D$5*LeagueInfo!$F$2,IF(C243="TE",LeagueInfo!$D$6*LeagueInfo!$F$2,LeagueInfo!$D$3*LeagueInfo!$F$2)))</f>
        <v>24</v>
      </c>
    </row>
    <row r="244" spans="1:9" x14ac:dyDescent="0.25">
      <c r="A244" s="1">
        <f ca="1">RANK(E244,E$2:E$619)</f>
        <v>247</v>
      </c>
      <c r="B244" s="1" t="s">
        <v>732</v>
      </c>
      <c r="C244" s="1" t="s">
        <v>47</v>
      </c>
      <c r="D244" s="1">
        <f ca="1">INDEX(INDIRECT($C244&amp;"!O:O"),MATCH($B244,INDIRECT($C244&amp;"!B:B"),0))</f>
        <v>41.18</v>
      </c>
      <c r="E244" s="254">
        <f ca="1">D244-LARGE(D$2:D$619,RBCount+WRCount+TECount+QBCount)</f>
        <v>-42.690000000000005</v>
      </c>
      <c r="F244" s="1" t="str">
        <f ca="1">IF(H244&lt;=I244,"Starter",IF(G244&gt;=LARGE(G:G,FlexOn*LeagueInfo!$F$2),"Starter","Bench"))</f>
        <v>Bench</v>
      </c>
      <c r="G244" s="1">
        <f ca="1">IF(H244&gt;I244,D244,0)</f>
        <v>41.18</v>
      </c>
      <c r="H244" s="1">
        <f ca="1">INDEX(INDIRECT(""&amp;C244&amp;"!A2:A489"),MATCH(B244,INDIRECT(""&amp;C244&amp;"!B2:B489"),0))</f>
        <v>36</v>
      </c>
      <c r="I244" s="1">
        <f>IF(C244="RB",LeagueInfo!$D$4*LeagueInfo!$F$2,IF(C244="WR",LeagueInfo!$D$5*LeagueInfo!$F$2,IF(C244="TE",LeagueInfo!$D$6*LeagueInfo!$F$2,LeagueInfo!$D$3*LeagueInfo!$F$2)))</f>
        <v>12</v>
      </c>
    </row>
    <row r="245" spans="1:9" x14ac:dyDescent="0.25">
      <c r="A245" s="1">
        <f ca="1">RANK(E245,E$2:E$619)</f>
        <v>244</v>
      </c>
      <c r="B245" s="1" t="s">
        <v>597</v>
      </c>
      <c r="C245" s="1" t="s">
        <v>39</v>
      </c>
      <c r="D245" s="1">
        <f ca="1">INDEX(INDIRECT($C245&amp;"!O:O"),MATCH($B245,INDIRECT($C245&amp;"!B:B"),0))</f>
        <v>42.110000000000007</v>
      </c>
      <c r="E245" s="254">
        <f ca="1">D245-LARGE(D$2:D$619,RBCount+WRCount+TECount+QBCount)</f>
        <v>-41.76</v>
      </c>
      <c r="F245" s="1" t="str">
        <f ca="1">IF(H245&lt;=I245,"Starter",IF(G245&gt;=LARGE(G:G,FlexOn*LeagueInfo!$F$2),"Starter","Bench"))</f>
        <v>Bench</v>
      </c>
      <c r="G245" s="1">
        <f ca="1">IF(H245&gt;I245,D245,0)</f>
        <v>42.110000000000007</v>
      </c>
      <c r="H245" s="1">
        <f ca="1">INDEX(INDIRECT(""&amp;C245&amp;"!A2:A489"),MATCH(B245,INDIRECT(""&amp;C245&amp;"!B2:B489"),0))</f>
        <v>102</v>
      </c>
      <c r="I245" s="1">
        <f>IF(C245="RB",LeagueInfo!$D$4*LeagueInfo!$F$2,IF(C245="WR",LeagueInfo!$D$5*LeagueInfo!$F$2,IF(C245="TE",LeagueInfo!$D$6*LeagueInfo!$F$2,LeagueInfo!$D$3*LeagueInfo!$F$2)))</f>
        <v>24</v>
      </c>
    </row>
    <row r="246" spans="1:9" x14ac:dyDescent="0.25">
      <c r="A246" s="1">
        <f ca="1">RANK(E246,E$2:E$619)</f>
        <v>252</v>
      </c>
      <c r="B246" s="1" t="s">
        <v>423</v>
      </c>
      <c r="C246" s="1" t="s">
        <v>47</v>
      </c>
      <c r="D246" s="1">
        <f ca="1">INDEX(INDIRECT($C246&amp;"!O:O"),MATCH($B246,INDIRECT($C246&amp;"!B:B"),0))</f>
        <v>38.89</v>
      </c>
      <c r="E246" s="254">
        <f ca="1">D246-LARGE(D$2:D$619,RBCount+WRCount+TECount+QBCount)</f>
        <v>-44.980000000000004</v>
      </c>
      <c r="F246" s="1" t="str">
        <f ca="1">IF(H246&lt;=I246,"Starter",IF(G246&gt;=LARGE(G:G,FlexOn*LeagueInfo!$F$2),"Starter","Bench"))</f>
        <v>Bench</v>
      </c>
      <c r="G246" s="1">
        <f ca="1">IF(H246&gt;I246,D246,0)</f>
        <v>38.89</v>
      </c>
      <c r="H246" s="1">
        <f ca="1">INDEX(INDIRECT(""&amp;C246&amp;"!A2:A489"),MATCH(B246,INDIRECT(""&amp;C246&amp;"!B2:B489"),0))</f>
        <v>37</v>
      </c>
      <c r="I246" s="1">
        <f>IF(C246="RB",LeagueInfo!$D$4*LeagueInfo!$F$2,IF(C246="WR",LeagueInfo!$D$5*LeagueInfo!$F$2,IF(C246="TE",LeagueInfo!$D$6*LeagueInfo!$F$2,LeagueInfo!$D$3*LeagueInfo!$F$2)))</f>
        <v>12</v>
      </c>
    </row>
    <row r="247" spans="1:9" x14ac:dyDescent="0.25">
      <c r="A247" s="1">
        <f ca="1">RANK(E247,E$2:E$619)</f>
        <v>253</v>
      </c>
      <c r="B247" s="1" t="s">
        <v>582</v>
      </c>
      <c r="C247" s="1" t="s">
        <v>39</v>
      </c>
      <c r="D247" s="1">
        <f ca="1">INDEX(INDIRECT($C247&amp;"!O:O"),MATCH($B247,INDIRECT($C247&amp;"!B:B"),0))</f>
        <v>38.85</v>
      </c>
      <c r="E247" s="254">
        <f ca="1">D247-LARGE(D$2:D$619,RBCount+WRCount+TECount+QBCount)</f>
        <v>-45.02</v>
      </c>
      <c r="F247" s="1" t="str">
        <f ca="1">IF(H247&lt;=I247,"Starter",IF(G247&gt;=LARGE(G:G,FlexOn*LeagueInfo!$F$2),"Starter","Bench"))</f>
        <v>Bench</v>
      </c>
      <c r="G247" s="1">
        <f ca="1">IF(H247&gt;I247,D247,0)</f>
        <v>38.85</v>
      </c>
      <c r="H247" s="1">
        <f ca="1">INDEX(INDIRECT(""&amp;C247&amp;"!A2:A489"),MATCH(B247,INDIRECT(""&amp;C247&amp;"!B2:B489"),0))</f>
        <v>104</v>
      </c>
      <c r="I247" s="1">
        <f>IF(C247="RB",LeagueInfo!$D$4*LeagueInfo!$F$2,IF(C247="WR",LeagueInfo!$D$5*LeagueInfo!$F$2,IF(C247="TE",LeagueInfo!$D$6*LeagueInfo!$F$2,LeagueInfo!$D$3*LeagueInfo!$F$2)))</f>
        <v>24</v>
      </c>
    </row>
    <row r="248" spans="1:9" x14ac:dyDescent="0.25">
      <c r="A248" s="1">
        <f ca="1">RANK(E248,E$2:E$619)</f>
        <v>234</v>
      </c>
      <c r="B248" s="1" t="s">
        <v>408</v>
      </c>
      <c r="C248" s="1" t="s">
        <v>33</v>
      </c>
      <c r="D248" s="1">
        <f ca="1">INDEX(INDIRECT($C248&amp;"!O:O"),MATCH($B248,INDIRECT($C248&amp;"!B:B"),0))</f>
        <v>46.53</v>
      </c>
      <c r="E248" s="254">
        <f ca="1">D248-LARGE(D$2:D$619,RBCount+WRCount+TECount+QBCount)</f>
        <v>-37.340000000000003</v>
      </c>
      <c r="F248" s="1" t="str">
        <f ca="1">IF(H248&lt;=I248,"Starter",IF(G248&gt;=LARGE(G:G,FlexOn*LeagueInfo!$F$2),"Starter","Bench"))</f>
        <v>Bench</v>
      </c>
      <c r="G248" s="1">
        <f ca="1">IF(H248&gt;I248,D248,0)</f>
        <v>46.53</v>
      </c>
      <c r="H248" s="1">
        <f ca="1">INDEX(INDIRECT(""&amp;C248&amp;"!A2:A489"),MATCH(B248,INDIRECT(""&amp;C248&amp;"!B2:B489"),0))</f>
        <v>35</v>
      </c>
      <c r="I248" s="1">
        <f>IF(C248="RB",LeagueInfo!$D$4*LeagueInfo!$F$2,IF(C248="WR",LeagueInfo!$D$5*LeagueInfo!$F$2,IF(C248="TE",LeagueInfo!$D$6*LeagueInfo!$F$2,LeagueInfo!$D$3*LeagueInfo!$F$2)))</f>
        <v>12</v>
      </c>
    </row>
    <row r="249" spans="1:9" x14ac:dyDescent="0.25">
      <c r="A249" s="1">
        <f ca="1">RANK(E249,E$2:E$619)</f>
        <v>256</v>
      </c>
      <c r="B249" s="1" t="s">
        <v>457</v>
      </c>
      <c r="C249" s="1" t="s">
        <v>32</v>
      </c>
      <c r="D249" s="1">
        <f ca="1">INDEX(INDIRECT($C249&amp;"!O:O"),MATCH($B249,INDIRECT($C249&amp;"!B:B"),0))</f>
        <v>37.6</v>
      </c>
      <c r="E249" s="254">
        <f ca="1">D249-LARGE(D$2:D$619,RBCount+WRCount+TECount+QBCount)</f>
        <v>-46.27</v>
      </c>
      <c r="F249" s="1" t="str">
        <f ca="1">IF(H249&lt;=I249,"Starter",IF(G249&gt;=LARGE(G:G,FlexOn*LeagueInfo!$F$2),"Starter","Bench"))</f>
        <v>Bench</v>
      </c>
      <c r="G249" s="1">
        <f ca="1">IF(H249&gt;I249,D249,0)</f>
        <v>37.6</v>
      </c>
      <c r="H249" s="1">
        <f ca="1">INDEX(INDIRECT(""&amp;C249&amp;"!A2:A489"),MATCH(B249,INDIRECT(""&amp;C249&amp;"!B2:B489"),0))</f>
        <v>77</v>
      </c>
      <c r="I249" s="1">
        <f>IF(C249="RB",LeagueInfo!$D$4*LeagueInfo!$F$2,IF(C249="WR",LeagueInfo!$D$5*LeagueInfo!$F$2,IF(C249="TE",LeagueInfo!$D$6*LeagueInfo!$F$2,LeagueInfo!$D$3*LeagueInfo!$F$2)))</f>
        <v>24</v>
      </c>
    </row>
    <row r="250" spans="1:9" x14ac:dyDescent="0.25">
      <c r="A250" s="1">
        <f ca="1">RANK(E250,E$2:E$619)</f>
        <v>254</v>
      </c>
      <c r="B250" s="1" t="s">
        <v>591</v>
      </c>
      <c r="C250" s="1" t="s">
        <v>39</v>
      </c>
      <c r="D250" s="1">
        <f ca="1">INDEX(INDIRECT($C250&amp;"!O:O"),MATCH($B250,INDIRECT($C250&amp;"!B:B"),0))</f>
        <v>38.39</v>
      </c>
      <c r="E250" s="254">
        <f ca="1">D250-LARGE(D$2:D$619,RBCount+WRCount+TECount+QBCount)</f>
        <v>-45.480000000000004</v>
      </c>
      <c r="F250" s="1" t="str">
        <f ca="1">IF(H250&lt;=I250,"Starter",IF(G250&gt;=LARGE(G:G,FlexOn*LeagueInfo!$F$2),"Starter","Bench"))</f>
        <v>Bench</v>
      </c>
      <c r="G250" s="1">
        <f ca="1">IF(H250&gt;I250,D250,0)</f>
        <v>38.39</v>
      </c>
      <c r="H250" s="1">
        <f ca="1">INDEX(INDIRECT(""&amp;C250&amp;"!A2:A489"),MATCH(B250,INDIRECT(""&amp;C250&amp;"!B2:B489"),0))</f>
        <v>105</v>
      </c>
      <c r="I250" s="1">
        <f>IF(C250="RB",LeagueInfo!$D$4*LeagueInfo!$F$2,IF(C250="WR",LeagueInfo!$D$5*LeagueInfo!$F$2,IF(C250="TE",LeagueInfo!$D$6*LeagueInfo!$F$2,LeagueInfo!$D$3*LeagueInfo!$F$2)))</f>
        <v>24</v>
      </c>
    </row>
    <row r="251" spans="1:9" x14ac:dyDescent="0.25">
      <c r="A251" s="1">
        <f ca="1">RANK(E251,E$2:E$619)</f>
        <v>251</v>
      </c>
      <c r="B251" s="1" t="s">
        <v>586</v>
      </c>
      <c r="C251" s="1" t="s">
        <v>39</v>
      </c>
      <c r="D251" s="1">
        <f ca="1">INDEX(INDIRECT($C251&amp;"!O:O"),MATCH($B251,INDIRECT($C251&amp;"!B:B"),0))</f>
        <v>38.940000000000005</v>
      </c>
      <c r="E251" s="254">
        <f ca="1">D251-LARGE(D$2:D$619,RBCount+WRCount+TECount+QBCount)</f>
        <v>-44.93</v>
      </c>
      <c r="F251" s="1" t="str">
        <f ca="1">IF(H251&lt;=I251,"Starter",IF(G251&gt;=LARGE(G:G,FlexOn*LeagueInfo!$F$2),"Starter","Bench"))</f>
        <v>Bench</v>
      </c>
      <c r="G251" s="1">
        <f ca="1">IF(H251&gt;I251,D251,0)</f>
        <v>38.940000000000005</v>
      </c>
      <c r="H251" s="1">
        <f ca="1">INDEX(INDIRECT(""&amp;C251&amp;"!A2:A489"),MATCH(B251,INDIRECT(""&amp;C251&amp;"!B2:B489"),0))</f>
        <v>103</v>
      </c>
      <c r="I251" s="1">
        <f>IF(C251="RB",LeagueInfo!$D$4*LeagueInfo!$F$2,IF(C251="WR",LeagueInfo!$D$5*LeagueInfo!$F$2,IF(C251="TE",LeagueInfo!$D$6*LeagueInfo!$F$2,LeagueInfo!$D$3*LeagueInfo!$F$2)))</f>
        <v>24</v>
      </c>
    </row>
    <row r="252" spans="1:9" x14ac:dyDescent="0.25">
      <c r="A252" s="1">
        <f ca="1">RANK(E252,E$2:E$619)</f>
        <v>260</v>
      </c>
      <c r="B252" s="1" t="s">
        <v>724</v>
      </c>
      <c r="C252" s="1" t="s">
        <v>47</v>
      </c>
      <c r="D252" s="1">
        <f ca="1">INDEX(INDIRECT($C252&amp;"!O:O"),MATCH($B252,INDIRECT($C252&amp;"!B:B"),0))</f>
        <v>36.07</v>
      </c>
      <c r="E252" s="254">
        <f ca="1">D252-LARGE(D$2:D$619,RBCount+WRCount+TECount+QBCount)</f>
        <v>-47.800000000000004</v>
      </c>
      <c r="F252" s="1" t="str">
        <f ca="1">IF(H252&lt;=I252,"Starter",IF(G252&gt;=LARGE(G:G,FlexOn*LeagueInfo!$F$2),"Starter","Bench"))</f>
        <v>Bench</v>
      </c>
      <c r="G252" s="1">
        <f ca="1">IF(H252&gt;I252,D252,0)</f>
        <v>36.07</v>
      </c>
      <c r="H252" s="1">
        <f ca="1">INDEX(INDIRECT(""&amp;C252&amp;"!A2:A489"),MATCH(B252,INDIRECT(""&amp;C252&amp;"!B2:B489"),0))</f>
        <v>38</v>
      </c>
      <c r="I252" s="1">
        <f>IF(C252="RB",LeagueInfo!$D$4*LeagueInfo!$F$2,IF(C252="WR",LeagueInfo!$D$5*LeagueInfo!$F$2,IF(C252="TE",LeagueInfo!$D$6*LeagueInfo!$F$2,LeagueInfo!$D$3*LeagueInfo!$F$2)))</f>
        <v>12</v>
      </c>
    </row>
    <row r="253" spans="1:9" x14ac:dyDescent="0.25">
      <c r="A253" s="1">
        <f ca="1">RANK(E253,E$2:E$619)</f>
        <v>259</v>
      </c>
      <c r="B253" s="1" t="s">
        <v>598</v>
      </c>
      <c r="C253" s="1" t="s">
        <v>39</v>
      </c>
      <c r="D253" s="1">
        <f ca="1">INDEX(INDIRECT($C253&amp;"!O:O"),MATCH($B253,INDIRECT($C253&amp;"!B:B"),0))</f>
        <v>36.6</v>
      </c>
      <c r="E253" s="254">
        <f ca="1">D253-LARGE(D$2:D$619,RBCount+WRCount+TECount+QBCount)</f>
        <v>-47.27</v>
      </c>
      <c r="F253" s="1" t="str">
        <f ca="1">IF(H253&lt;=I253,"Starter",IF(G253&gt;=LARGE(G:G,FlexOn*LeagueInfo!$F$2),"Starter","Bench"))</f>
        <v>Bench</v>
      </c>
      <c r="G253" s="1">
        <f ca="1">IF(H253&gt;I253,D253,0)</f>
        <v>36.6</v>
      </c>
      <c r="H253" s="1">
        <f ca="1">INDEX(INDIRECT(""&amp;C253&amp;"!A2:A489"),MATCH(B253,INDIRECT(""&amp;C253&amp;"!B2:B489"),0))</f>
        <v>106</v>
      </c>
      <c r="I253" s="1">
        <f>IF(C253="RB",LeagueInfo!$D$4*LeagueInfo!$F$2,IF(C253="WR",LeagueInfo!$D$5*LeagueInfo!$F$2,IF(C253="TE",LeagueInfo!$D$6*LeagueInfo!$F$2,LeagueInfo!$D$3*LeagueInfo!$F$2)))</f>
        <v>24</v>
      </c>
    </row>
    <row r="254" spans="1:9" x14ac:dyDescent="0.25">
      <c r="A254" s="1">
        <f ca="1">RANK(E254,E$2:E$619)</f>
        <v>267</v>
      </c>
      <c r="B254" s="1" t="s">
        <v>460</v>
      </c>
      <c r="C254" s="1" t="s">
        <v>32</v>
      </c>
      <c r="D254" s="1">
        <f ca="1">INDEX(INDIRECT($C254&amp;"!O:O"),MATCH($B254,INDIRECT($C254&amp;"!B:B"),0))</f>
        <v>33.400000000000006</v>
      </c>
      <c r="E254" s="254">
        <f ca="1">D254-LARGE(D$2:D$619,RBCount+WRCount+TECount+QBCount)</f>
        <v>-50.47</v>
      </c>
      <c r="F254" s="1" t="str">
        <f ca="1">IF(H254&lt;=I254,"Starter",IF(G254&gt;=LARGE(G:G,FlexOn*LeagueInfo!$F$2),"Starter","Bench"))</f>
        <v>Bench</v>
      </c>
      <c r="G254" s="1">
        <f ca="1">IF(H254&gt;I254,D254,0)</f>
        <v>33.400000000000006</v>
      </c>
      <c r="H254" s="1">
        <f ca="1">INDEX(INDIRECT(""&amp;C254&amp;"!A2:A489"),MATCH(B254,INDIRECT(""&amp;C254&amp;"!B2:B489"),0))</f>
        <v>80</v>
      </c>
      <c r="I254" s="1">
        <f>IF(C254="RB",LeagueInfo!$D$4*LeagueInfo!$F$2,IF(C254="WR",LeagueInfo!$D$5*LeagueInfo!$F$2,IF(C254="TE",LeagueInfo!$D$6*LeagueInfo!$F$2,LeagueInfo!$D$3*LeagueInfo!$F$2)))</f>
        <v>24</v>
      </c>
    </row>
    <row r="255" spans="1:9" x14ac:dyDescent="0.25">
      <c r="A255" s="1">
        <f ca="1">RANK(E255,E$2:E$619)</f>
        <v>246</v>
      </c>
      <c r="B255" s="1" t="s">
        <v>454</v>
      </c>
      <c r="C255" s="1" t="s">
        <v>32</v>
      </c>
      <c r="D255" s="1">
        <f ca="1">INDEX(INDIRECT($C255&amp;"!O:O"),MATCH($B255,INDIRECT($C255&amp;"!B:B"),0))</f>
        <v>42.010000000000005</v>
      </c>
      <c r="E255" s="254">
        <f ca="1">D255-LARGE(D$2:D$619,RBCount+WRCount+TECount+QBCount)</f>
        <v>-41.86</v>
      </c>
      <c r="F255" s="1" t="str">
        <f ca="1">IF(H255&lt;=I255,"Starter",IF(G255&gt;=LARGE(G:G,FlexOn*LeagueInfo!$F$2),"Starter","Bench"))</f>
        <v>Bench</v>
      </c>
      <c r="G255" s="1">
        <f ca="1">IF(H255&gt;I255,D255,0)</f>
        <v>42.010000000000005</v>
      </c>
      <c r="H255" s="1">
        <f ca="1">INDEX(INDIRECT(""&amp;C255&amp;"!A2:A489"),MATCH(B255,INDIRECT(""&amp;C255&amp;"!B2:B489"),0))</f>
        <v>73</v>
      </c>
      <c r="I255" s="1">
        <f>IF(C255="RB",LeagueInfo!$D$4*LeagueInfo!$F$2,IF(C255="WR",LeagueInfo!$D$5*LeagueInfo!$F$2,IF(C255="TE",LeagueInfo!$D$6*LeagueInfo!$F$2,LeagueInfo!$D$3*LeagueInfo!$F$2)))</f>
        <v>24</v>
      </c>
    </row>
    <row r="256" spans="1:9" x14ac:dyDescent="0.25">
      <c r="A256" s="1">
        <f ca="1">RANK(E256,E$2:E$619)</f>
        <v>245</v>
      </c>
      <c r="B256" s="1" t="s">
        <v>389</v>
      </c>
      <c r="C256" s="1" t="s">
        <v>33</v>
      </c>
      <c r="D256" s="1">
        <f ca="1">INDEX(INDIRECT($C256&amp;"!O:O"),MATCH($B256,INDIRECT($C256&amp;"!B:B"),0))</f>
        <v>42.09</v>
      </c>
      <c r="E256" s="254">
        <f ca="1">D256-LARGE(D$2:D$619,RBCount+WRCount+TECount+QBCount)</f>
        <v>-41.78</v>
      </c>
      <c r="F256" s="1" t="str">
        <f ca="1">IF(H256&lt;=I256,"Starter",IF(G256&gt;=LARGE(G:G,FlexOn*LeagueInfo!$F$2),"Starter","Bench"))</f>
        <v>Bench</v>
      </c>
      <c r="G256" s="1">
        <f ca="1">IF(H256&gt;I256,D256,0)</f>
        <v>42.09</v>
      </c>
      <c r="H256" s="1">
        <f ca="1">INDEX(INDIRECT(""&amp;C256&amp;"!A2:A489"),MATCH(B256,INDIRECT(""&amp;C256&amp;"!B2:B489"),0))</f>
        <v>36</v>
      </c>
      <c r="I256" s="1">
        <f>IF(C256="RB",LeagueInfo!$D$4*LeagueInfo!$F$2,IF(C256="WR",LeagueInfo!$D$5*LeagueInfo!$F$2,IF(C256="TE",LeagueInfo!$D$6*LeagueInfo!$F$2,LeagueInfo!$D$3*LeagueInfo!$F$2)))</f>
        <v>12</v>
      </c>
    </row>
    <row r="257" spans="1:9" x14ac:dyDescent="0.25">
      <c r="A257" s="1">
        <f ca="1">RANK(E257,E$2:E$619)</f>
        <v>263</v>
      </c>
      <c r="B257" s="1" t="s">
        <v>592</v>
      </c>
      <c r="C257" s="1" t="s">
        <v>39</v>
      </c>
      <c r="D257" s="1">
        <f ca="1">INDEX(INDIRECT($C257&amp;"!O:O"),MATCH($B257,INDIRECT($C257&amp;"!B:B"),0))</f>
        <v>35.050000000000004</v>
      </c>
      <c r="E257" s="254">
        <f ca="1">D257-LARGE(D$2:D$619,RBCount+WRCount+TECount+QBCount)</f>
        <v>-48.82</v>
      </c>
      <c r="F257" s="1" t="str">
        <f ca="1">IF(H257&lt;=I257,"Starter",IF(G257&gt;=LARGE(G:G,FlexOn*LeagueInfo!$F$2),"Starter","Bench"))</f>
        <v>Bench</v>
      </c>
      <c r="G257" s="1">
        <f ca="1">IF(H257&gt;I257,D257,0)</f>
        <v>35.050000000000004</v>
      </c>
      <c r="H257" s="1">
        <f ca="1">INDEX(INDIRECT(""&amp;C257&amp;"!A2:A489"),MATCH(B257,INDIRECT(""&amp;C257&amp;"!B2:B489"),0))</f>
        <v>108</v>
      </c>
      <c r="I257" s="1">
        <f>IF(C257="RB",LeagueInfo!$D$4*LeagueInfo!$F$2,IF(C257="WR",LeagueInfo!$D$5*LeagueInfo!$F$2,IF(C257="TE",LeagueInfo!$D$6*LeagueInfo!$F$2,LeagueInfo!$D$3*LeagueInfo!$F$2)))</f>
        <v>24</v>
      </c>
    </row>
    <row r="258" spans="1:9" x14ac:dyDescent="0.25">
      <c r="A258" s="1">
        <f ca="1">RANK(E258,E$2:E$619)</f>
        <v>264</v>
      </c>
      <c r="B258" s="1" t="s">
        <v>599</v>
      </c>
      <c r="C258" s="1" t="s">
        <v>39</v>
      </c>
      <c r="D258" s="1">
        <f ca="1">INDEX(INDIRECT($C258&amp;"!O:O"),MATCH($B258,INDIRECT($C258&amp;"!B:B"),0))</f>
        <v>34.78</v>
      </c>
      <c r="E258" s="254">
        <f ca="1">D258-LARGE(D$2:D$619,RBCount+WRCount+TECount+QBCount)</f>
        <v>-49.09</v>
      </c>
      <c r="F258" s="1" t="str">
        <f ca="1">IF(H258&lt;=I258,"Starter",IF(G258&gt;=LARGE(G:G,FlexOn*LeagueInfo!$F$2),"Starter","Bench"))</f>
        <v>Bench</v>
      </c>
      <c r="G258" s="1">
        <f ca="1">IF(H258&gt;I258,D258,0)</f>
        <v>34.78</v>
      </c>
      <c r="H258" s="1">
        <f ca="1">INDEX(INDIRECT(""&amp;C258&amp;"!A2:A489"),MATCH(B258,INDIRECT(""&amp;C258&amp;"!B2:B489"),0))</f>
        <v>109</v>
      </c>
      <c r="I258" s="1">
        <f>IF(C258="RB",LeagueInfo!$D$4*LeagueInfo!$F$2,IF(C258="WR",LeagueInfo!$D$5*LeagueInfo!$F$2,IF(C258="TE",LeagueInfo!$D$6*LeagueInfo!$F$2,LeagueInfo!$D$3*LeagueInfo!$F$2)))</f>
        <v>24</v>
      </c>
    </row>
    <row r="259" spans="1:9" x14ac:dyDescent="0.25">
      <c r="A259" s="1">
        <f ca="1">RANK(E259,E$2:E$619)</f>
        <v>262</v>
      </c>
      <c r="B259" s="1" t="s">
        <v>602</v>
      </c>
      <c r="C259" s="1" t="s">
        <v>39</v>
      </c>
      <c r="D259" s="1">
        <f ca="1">INDEX(INDIRECT($C259&amp;"!O:O"),MATCH($B259,INDIRECT($C259&amp;"!B:B"),0))</f>
        <v>35.479999999999997</v>
      </c>
      <c r="E259" s="254">
        <f ca="1">D259-LARGE(D$2:D$619,RBCount+WRCount+TECount+QBCount)</f>
        <v>-48.390000000000008</v>
      </c>
      <c r="F259" s="1" t="str">
        <f ca="1">IF(H259&lt;=I259,"Starter",IF(G259&gt;=LARGE(G:G,FlexOn*LeagueInfo!$F$2),"Starter","Bench"))</f>
        <v>Bench</v>
      </c>
      <c r="G259" s="1">
        <f ca="1">IF(H259&gt;I259,D259,0)</f>
        <v>35.479999999999997</v>
      </c>
      <c r="H259" s="1">
        <f ca="1">INDEX(INDIRECT(""&amp;C259&amp;"!A2:A489"),MATCH(B259,INDIRECT(""&amp;C259&amp;"!B2:B489"),0))</f>
        <v>107</v>
      </c>
      <c r="I259" s="1">
        <f>IF(C259="RB",LeagueInfo!$D$4*LeagueInfo!$F$2,IF(C259="WR",LeagueInfo!$D$5*LeagueInfo!$F$2,IF(C259="TE",LeagueInfo!$D$6*LeagueInfo!$F$2,LeagueInfo!$D$3*LeagueInfo!$F$2)))</f>
        <v>24</v>
      </c>
    </row>
    <row r="260" spans="1:9" x14ac:dyDescent="0.25">
      <c r="A260" s="1">
        <f ca="1">RANK(E260,E$2:E$619)</f>
        <v>248</v>
      </c>
      <c r="B260" s="1" t="s">
        <v>386</v>
      </c>
      <c r="C260" s="1" t="s">
        <v>33</v>
      </c>
      <c r="D260" s="1">
        <f ca="1">INDEX(INDIRECT($C260&amp;"!O:O"),MATCH($B260,INDIRECT($C260&amp;"!B:B"),0))</f>
        <v>40.974000000000004</v>
      </c>
      <c r="E260" s="254">
        <f ca="1">D260-LARGE(D$2:D$619,RBCount+WRCount+TECount+QBCount)</f>
        <v>-42.896000000000001</v>
      </c>
      <c r="F260" s="1" t="str">
        <f ca="1">IF(H260&lt;=I260,"Starter",IF(G260&gt;=LARGE(G:G,FlexOn*LeagueInfo!$F$2),"Starter","Bench"))</f>
        <v>Bench</v>
      </c>
      <c r="G260" s="1">
        <f ca="1">IF(H260&gt;I260,D260,0)</f>
        <v>40.974000000000004</v>
      </c>
      <c r="H260" s="1">
        <f ca="1">INDEX(INDIRECT(""&amp;C260&amp;"!A2:A489"),MATCH(B260,INDIRECT(""&amp;C260&amp;"!B2:B489"),0))</f>
        <v>37</v>
      </c>
      <c r="I260" s="1">
        <f>IF(C260="RB",LeagueInfo!$D$4*LeagueInfo!$F$2,IF(C260="WR",LeagueInfo!$D$5*LeagueInfo!$F$2,IF(C260="TE",LeagueInfo!$D$6*LeagueInfo!$F$2,LeagueInfo!$D$3*LeagueInfo!$F$2)))</f>
        <v>12</v>
      </c>
    </row>
    <row r="261" spans="1:9" x14ac:dyDescent="0.25">
      <c r="A261" s="1">
        <f ca="1">RANK(E261,E$2:E$619)</f>
        <v>277</v>
      </c>
      <c r="B261" s="1" t="s">
        <v>461</v>
      </c>
      <c r="C261" s="1" t="s">
        <v>39</v>
      </c>
      <c r="D261" s="1">
        <f ca="1">INDEX(INDIRECT($C261&amp;"!O:O"),MATCH($B261,INDIRECT($C261&amp;"!B:B"),0))</f>
        <v>32.25</v>
      </c>
      <c r="E261" s="254">
        <f ca="1">D261-LARGE(D$2:D$619,RBCount+WRCount+TECount+QBCount)</f>
        <v>-51.620000000000005</v>
      </c>
      <c r="F261" s="1" t="str">
        <f ca="1">IF(H261&lt;=I261,"Starter",IF(G261&gt;=LARGE(G:G,FlexOn*LeagueInfo!$F$2),"Starter","Bench"))</f>
        <v>Bench</v>
      </c>
      <c r="G261" s="1">
        <f ca="1">IF(H261&gt;I261,D261,0)</f>
        <v>32.25</v>
      </c>
      <c r="H261" s="1">
        <f ca="1">INDEX(INDIRECT(""&amp;C261&amp;"!A2:A489"),MATCH(B261,INDIRECT(""&amp;C261&amp;"!B2:B489"),0))</f>
        <v>113</v>
      </c>
      <c r="I261" s="1">
        <f>IF(C261="RB",LeagueInfo!$D$4*LeagueInfo!$F$2,IF(C261="WR",LeagueInfo!$D$5*LeagueInfo!$F$2,IF(C261="TE",LeagueInfo!$D$6*LeagueInfo!$F$2,LeagueInfo!$D$3*LeagueInfo!$F$2)))</f>
        <v>24</v>
      </c>
    </row>
    <row r="262" spans="1:9" x14ac:dyDescent="0.25">
      <c r="A262" s="1">
        <f ca="1">RANK(E262,E$2:E$619)</f>
        <v>255</v>
      </c>
      <c r="B262" s="1" t="s">
        <v>456</v>
      </c>
      <c r="C262" s="1" t="s">
        <v>32</v>
      </c>
      <c r="D262" s="1">
        <f ca="1">INDEX(INDIRECT($C262&amp;"!O:O"),MATCH($B262,INDIRECT($C262&amp;"!B:B"),0))</f>
        <v>37.840000000000003</v>
      </c>
      <c r="E262" s="254">
        <f ca="1">D262-LARGE(D$2:D$619,RBCount+WRCount+TECount+QBCount)</f>
        <v>-46.03</v>
      </c>
      <c r="F262" s="1" t="str">
        <f ca="1">IF(H262&lt;=I262,"Starter",IF(G262&gt;=LARGE(G:G,FlexOn*LeagueInfo!$F$2),"Starter","Bench"))</f>
        <v>Bench</v>
      </c>
      <c r="G262" s="1">
        <f ca="1">IF(H262&gt;I262,D262,0)</f>
        <v>37.840000000000003</v>
      </c>
      <c r="H262" s="1">
        <f ca="1">INDEX(INDIRECT(""&amp;C262&amp;"!A2:A489"),MATCH(B262,INDIRECT(""&amp;C262&amp;"!B2:B489"),0))</f>
        <v>76</v>
      </c>
      <c r="I262" s="1">
        <f>IF(C262="RB",LeagueInfo!$D$4*LeagueInfo!$F$2,IF(C262="WR",LeagueInfo!$D$5*LeagueInfo!$F$2,IF(C262="TE",LeagueInfo!$D$6*LeagueInfo!$F$2,LeagueInfo!$D$3*LeagueInfo!$F$2)))</f>
        <v>24</v>
      </c>
    </row>
    <row r="263" spans="1:9" x14ac:dyDescent="0.25">
      <c r="A263" s="1">
        <f ca="1">RANK(E263,E$2:E$619)</f>
        <v>272</v>
      </c>
      <c r="B263" s="1" t="s">
        <v>723</v>
      </c>
      <c r="C263" s="1" t="s">
        <v>47</v>
      </c>
      <c r="D263" s="1">
        <f ca="1">INDEX(INDIRECT($C263&amp;"!O:O"),MATCH($B263,INDIRECT($C263&amp;"!B:B"),0))</f>
        <v>32.92</v>
      </c>
      <c r="E263" s="254">
        <f ca="1">D263-LARGE(D$2:D$619,RBCount+WRCount+TECount+QBCount)</f>
        <v>-50.95</v>
      </c>
      <c r="F263" s="1" t="str">
        <f ca="1">IF(H263&lt;=I263,"Starter",IF(G263&gt;=LARGE(G:G,FlexOn*LeagueInfo!$F$2),"Starter","Bench"))</f>
        <v>Bench</v>
      </c>
      <c r="G263" s="1">
        <f ca="1">IF(H263&gt;I263,D263,0)</f>
        <v>32.92</v>
      </c>
      <c r="H263" s="1">
        <f ca="1">INDEX(INDIRECT(""&amp;C263&amp;"!A2:A489"),MATCH(B263,INDIRECT(""&amp;C263&amp;"!B2:B489"),0))</f>
        <v>41</v>
      </c>
      <c r="I263" s="1">
        <f>IF(C263="RB",LeagueInfo!$D$4*LeagueInfo!$F$2,IF(C263="WR",LeagueInfo!$D$5*LeagueInfo!$F$2,IF(C263="TE",LeagueInfo!$D$6*LeagueInfo!$F$2,LeagueInfo!$D$3*LeagueInfo!$F$2)))</f>
        <v>12</v>
      </c>
    </row>
    <row r="264" spans="1:9" x14ac:dyDescent="0.25">
      <c r="A264" s="1">
        <f ca="1">RANK(E264,E$2:E$619)</f>
        <v>278</v>
      </c>
      <c r="B264" s="1" t="s">
        <v>740</v>
      </c>
      <c r="C264" s="1" t="s">
        <v>47</v>
      </c>
      <c r="D264" s="1">
        <f ca="1">INDEX(INDIRECT($C264&amp;"!O:O"),MATCH($B264,INDIRECT($C264&amp;"!B:B"),0))</f>
        <v>32.1</v>
      </c>
      <c r="E264" s="254">
        <f ca="1">D264-LARGE(D$2:D$619,RBCount+WRCount+TECount+QBCount)</f>
        <v>-51.77</v>
      </c>
      <c r="F264" s="1" t="str">
        <f ca="1">IF(H264&lt;=I264,"Starter",IF(G264&gt;=LARGE(G:G,FlexOn*LeagueInfo!$F$2),"Starter","Bench"))</f>
        <v>Bench</v>
      </c>
      <c r="G264" s="1">
        <f ca="1">IF(H264&gt;I264,D264,0)</f>
        <v>32.1</v>
      </c>
      <c r="H264" s="1">
        <f ca="1">INDEX(INDIRECT(""&amp;C264&amp;"!A2:A489"),MATCH(B264,INDIRECT(""&amp;C264&amp;"!B2:B489"),0))</f>
        <v>43</v>
      </c>
      <c r="I264" s="1">
        <f>IF(C264="RB",LeagueInfo!$D$4*LeagueInfo!$F$2,IF(C264="WR",LeagueInfo!$D$5*LeagueInfo!$F$2,IF(C264="TE",LeagueInfo!$D$6*LeagueInfo!$F$2,LeagueInfo!$D$3*LeagueInfo!$F$2)))</f>
        <v>12</v>
      </c>
    </row>
    <row r="265" spans="1:9" x14ac:dyDescent="0.25">
      <c r="A265" s="1">
        <f ca="1">RANK(E265,E$2:E$619)</f>
        <v>268</v>
      </c>
      <c r="B265" s="1" t="s">
        <v>729</v>
      </c>
      <c r="C265" s="1" t="s">
        <v>47</v>
      </c>
      <c r="D265" s="1">
        <f ca="1">INDEX(INDIRECT($C265&amp;"!O:O"),MATCH($B265,INDIRECT($C265&amp;"!B:B"),0))</f>
        <v>33.22</v>
      </c>
      <c r="E265" s="254">
        <f ca="1">D265-LARGE(D$2:D$619,RBCount+WRCount+TECount+QBCount)</f>
        <v>-50.650000000000006</v>
      </c>
      <c r="F265" s="1" t="str">
        <f ca="1">IF(H265&lt;=I265,"Starter",IF(G265&gt;=LARGE(G:G,FlexOn*LeagueInfo!$F$2),"Starter","Bench"))</f>
        <v>Bench</v>
      </c>
      <c r="G265" s="1">
        <f ca="1">IF(H265&gt;I265,D265,0)</f>
        <v>33.22</v>
      </c>
      <c r="H265" s="1">
        <f ca="1">INDEX(INDIRECT(""&amp;C265&amp;"!A2:A489"),MATCH(B265,INDIRECT(""&amp;C265&amp;"!B2:B489"),0))</f>
        <v>39</v>
      </c>
      <c r="I265" s="1">
        <f>IF(C265="RB",LeagueInfo!$D$4*LeagueInfo!$F$2,IF(C265="WR",LeagueInfo!$D$5*LeagueInfo!$F$2,IF(C265="TE",LeagueInfo!$D$6*LeagueInfo!$F$2,LeagueInfo!$D$3*LeagueInfo!$F$2)))</f>
        <v>12</v>
      </c>
    </row>
    <row r="266" spans="1:9" x14ac:dyDescent="0.25">
      <c r="A266" s="1">
        <f ca="1">RANK(E266,E$2:E$619)</f>
        <v>250</v>
      </c>
      <c r="B266" s="1" t="s">
        <v>191</v>
      </c>
      <c r="C266" s="1" t="s">
        <v>32</v>
      </c>
      <c r="D266" s="1">
        <f ca="1">INDEX(INDIRECT($C266&amp;"!O:O"),MATCH($B266,INDIRECT($C266&amp;"!B:B"),0))</f>
        <v>39.15</v>
      </c>
      <c r="E266" s="254">
        <f ca="1">D266-LARGE(D$2:D$619,RBCount+WRCount+TECount+QBCount)</f>
        <v>-44.720000000000006</v>
      </c>
      <c r="F266" s="1" t="str">
        <f ca="1">IF(H266&lt;=I266,"Starter",IF(G266&gt;=LARGE(G:G,FlexOn*LeagueInfo!$F$2),"Starter","Bench"))</f>
        <v>Bench</v>
      </c>
      <c r="G266" s="1">
        <f ca="1">IF(H266&gt;I266,D266,0)</f>
        <v>39.15</v>
      </c>
      <c r="H266" s="1">
        <f ca="1">INDEX(INDIRECT(""&amp;C266&amp;"!A2:A489"),MATCH(B266,INDIRECT(""&amp;C266&amp;"!B2:B489"),0))</f>
        <v>75</v>
      </c>
      <c r="I266" s="1">
        <f>IF(C266="RB",LeagueInfo!$D$4*LeagueInfo!$F$2,IF(C266="WR",LeagueInfo!$D$5*LeagueInfo!$F$2,IF(C266="TE",LeagueInfo!$D$6*LeagueInfo!$F$2,LeagueInfo!$D$3*LeagueInfo!$F$2)))</f>
        <v>24</v>
      </c>
    </row>
    <row r="267" spans="1:9" x14ac:dyDescent="0.25">
      <c r="A267" s="1">
        <f ca="1">RANK(E267,E$2:E$619)</f>
        <v>279</v>
      </c>
      <c r="B267" s="1" t="s">
        <v>735</v>
      </c>
      <c r="C267" s="1" t="s">
        <v>47</v>
      </c>
      <c r="D267" s="1">
        <f ca="1">INDEX(INDIRECT($C267&amp;"!O:O"),MATCH($B267,INDIRECT($C267&amp;"!B:B"),0))</f>
        <v>32.020000000000003</v>
      </c>
      <c r="E267" s="254">
        <f ca="1">D267-LARGE(D$2:D$619,RBCount+WRCount+TECount+QBCount)</f>
        <v>-51.85</v>
      </c>
      <c r="F267" s="1" t="str">
        <f ca="1">IF(H267&lt;=I267,"Starter",IF(G267&gt;=LARGE(G:G,FlexOn*LeagueInfo!$F$2),"Starter","Bench"))</f>
        <v>Bench</v>
      </c>
      <c r="G267" s="1">
        <f ca="1">IF(H267&gt;I267,D267,0)</f>
        <v>32.020000000000003</v>
      </c>
      <c r="H267" s="1">
        <f ca="1">INDEX(INDIRECT(""&amp;C267&amp;"!A2:A489"),MATCH(B267,INDIRECT(""&amp;C267&amp;"!B2:B489"),0))</f>
        <v>44</v>
      </c>
      <c r="I267" s="1">
        <f>IF(C267="RB",LeagueInfo!$D$4*LeagueInfo!$F$2,IF(C267="WR",LeagueInfo!$D$5*LeagueInfo!$F$2,IF(C267="TE",LeagueInfo!$D$6*LeagueInfo!$F$2,LeagueInfo!$D$3*LeagueInfo!$F$2)))</f>
        <v>12</v>
      </c>
    </row>
    <row r="268" spans="1:9" x14ac:dyDescent="0.25">
      <c r="A268" s="1">
        <f ca="1">RANK(E268,E$2:E$619)</f>
        <v>270</v>
      </c>
      <c r="B268" s="1" t="s">
        <v>730</v>
      </c>
      <c r="C268" s="1" t="s">
        <v>47</v>
      </c>
      <c r="D268" s="1">
        <f ca="1">INDEX(INDIRECT($C268&amp;"!O:O"),MATCH($B268,INDIRECT($C268&amp;"!B:B"),0))</f>
        <v>33</v>
      </c>
      <c r="E268" s="254">
        <f ca="1">D268-LARGE(D$2:D$619,RBCount+WRCount+TECount+QBCount)</f>
        <v>-50.870000000000005</v>
      </c>
      <c r="F268" s="1" t="str">
        <f ca="1">IF(H268&lt;=I268,"Starter",IF(G268&gt;=LARGE(G:G,FlexOn*LeagueInfo!$F$2),"Starter","Bench"))</f>
        <v>Bench</v>
      </c>
      <c r="G268" s="1">
        <f ca="1">IF(H268&gt;I268,D268,0)</f>
        <v>33</v>
      </c>
      <c r="H268" s="1">
        <f ca="1">INDEX(INDIRECT(""&amp;C268&amp;"!A2:A489"),MATCH(B268,INDIRECT(""&amp;C268&amp;"!B2:B489"),0))</f>
        <v>40</v>
      </c>
      <c r="I268" s="1">
        <f>IF(C268="RB",LeagueInfo!$D$4*LeagueInfo!$F$2,IF(C268="WR",LeagueInfo!$D$5*LeagueInfo!$F$2,IF(C268="TE",LeagueInfo!$D$6*LeagueInfo!$F$2,LeagueInfo!$D$3*LeagueInfo!$F$2)))</f>
        <v>12</v>
      </c>
    </row>
    <row r="269" spans="1:9" x14ac:dyDescent="0.25">
      <c r="A269" s="1">
        <f ca="1">RANK(E269,E$2:E$619)</f>
        <v>273</v>
      </c>
      <c r="B269" s="1" t="s">
        <v>727</v>
      </c>
      <c r="C269" s="1" t="s">
        <v>47</v>
      </c>
      <c r="D269" s="1">
        <f ca="1">INDEX(INDIRECT($C269&amp;"!O:O"),MATCH($B269,INDIRECT($C269&amp;"!B:B"),0))</f>
        <v>32.81</v>
      </c>
      <c r="E269" s="254">
        <f ca="1">D269-LARGE(D$2:D$619,RBCount+WRCount+TECount+QBCount)</f>
        <v>-51.06</v>
      </c>
      <c r="F269" s="1" t="str">
        <f ca="1">IF(H269&lt;=I269,"Starter",IF(G269&gt;=LARGE(G:G,FlexOn*LeagueInfo!$F$2),"Starter","Bench"))</f>
        <v>Bench</v>
      </c>
      <c r="G269" s="1">
        <f ca="1">IF(H269&gt;I269,D269,0)</f>
        <v>32.81</v>
      </c>
      <c r="H269" s="1">
        <f ca="1">INDEX(INDIRECT(""&amp;C269&amp;"!A2:A489"),MATCH(B269,INDIRECT(""&amp;C269&amp;"!B2:B489"),0))</f>
        <v>42</v>
      </c>
      <c r="I269" s="1">
        <f>IF(C269="RB",LeagueInfo!$D$4*LeagueInfo!$F$2,IF(C269="WR",LeagueInfo!$D$5*LeagueInfo!$F$2,IF(C269="TE",LeagueInfo!$D$6*LeagueInfo!$F$2,LeagueInfo!$D$3*LeagueInfo!$F$2)))</f>
        <v>12</v>
      </c>
    </row>
    <row r="270" spans="1:9" x14ac:dyDescent="0.25">
      <c r="A270" s="1">
        <f ca="1">RANK(E270,E$2:E$619)</f>
        <v>257</v>
      </c>
      <c r="B270" s="1" t="s">
        <v>453</v>
      </c>
      <c r="C270" s="1" t="s">
        <v>32</v>
      </c>
      <c r="D270" s="1">
        <f ca="1">INDEX(INDIRECT($C270&amp;"!O:O"),MATCH($B270,INDIRECT($C270&amp;"!B:B"),0))</f>
        <v>37.28</v>
      </c>
      <c r="E270" s="254">
        <f ca="1">D270-LARGE(D$2:D$619,RBCount+WRCount+TECount+QBCount)</f>
        <v>-46.59</v>
      </c>
      <c r="F270" s="1" t="str">
        <f ca="1">IF(H270&lt;=I270,"Starter",IF(G270&gt;=LARGE(G:G,FlexOn*LeagueInfo!$F$2),"Starter","Bench"))</f>
        <v>Bench</v>
      </c>
      <c r="G270" s="1">
        <f ca="1">IF(H270&gt;I270,D270,0)</f>
        <v>37.28</v>
      </c>
      <c r="H270" s="1">
        <f ca="1">INDEX(INDIRECT(""&amp;C270&amp;"!A2:A489"),MATCH(B270,INDIRECT(""&amp;C270&amp;"!B2:B489"),0))</f>
        <v>78</v>
      </c>
      <c r="I270" s="1">
        <f>IF(C270="RB",LeagueInfo!$D$4*LeagueInfo!$F$2,IF(C270="WR",LeagueInfo!$D$5*LeagueInfo!$F$2,IF(C270="TE",LeagueInfo!$D$6*LeagueInfo!$F$2,LeagueInfo!$D$3*LeagueInfo!$F$2)))</f>
        <v>24</v>
      </c>
    </row>
    <row r="271" spans="1:9" x14ac:dyDescent="0.25">
      <c r="A271" s="1">
        <f ca="1">RANK(E271,E$2:E$619)</f>
        <v>265</v>
      </c>
      <c r="B271" s="1" t="s">
        <v>587</v>
      </c>
      <c r="C271" s="1" t="s">
        <v>39</v>
      </c>
      <c r="D271" s="1">
        <f ca="1">INDEX(INDIRECT($C271&amp;"!O:O"),MATCH($B271,INDIRECT($C271&amp;"!B:B"),0))</f>
        <v>34.550000000000004</v>
      </c>
      <c r="E271" s="254">
        <f ca="1">D271-LARGE(D$2:D$619,RBCount+WRCount+TECount+QBCount)</f>
        <v>-49.32</v>
      </c>
      <c r="F271" s="1" t="str">
        <f ca="1">IF(H271&lt;=I271,"Starter",IF(G271&gt;=LARGE(G:G,FlexOn*LeagueInfo!$F$2),"Starter","Bench"))</f>
        <v>Bench</v>
      </c>
      <c r="G271" s="1">
        <f ca="1">IF(H271&gt;I271,D271,0)</f>
        <v>34.550000000000004</v>
      </c>
      <c r="H271" s="1">
        <f ca="1">INDEX(INDIRECT(""&amp;C271&amp;"!A2:A489"),MATCH(B271,INDIRECT(""&amp;C271&amp;"!B2:B489"),0))</f>
        <v>110</v>
      </c>
      <c r="I271" s="1">
        <f>IF(C271="RB",LeagueInfo!$D$4*LeagueInfo!$F$2,IF(C271="WR",LeagueInfo!$D$5*LeagueInfo!$F$2,IF(C271="TE",LeagueInfo!$D$6*LeagueInfo!$F$2,LeagueInfo!$D$3*LeagueInfo!$F$2)))</f>
        <v>24</v>
      </c>
    </row>
    <row r="272" spans="1:9" x14ac:dyDescent="0.25">
      <c r="A272" s="1">
        <f ca="1">RANK(E272,E$2:E$619)</f>
        <v>282</v>
      </c>
      <c r="B272" s="1" t="s">
        <v>725</v>
      </c>
      <c r="C272" s="1" t="s">
        <v>47</v>
      </c>
      <c r="D272" s="1">
        <f ca="1">INDEX(INDIRECT($C272&amp;"!O:O"),MATCH($B272,INDIRECT($C272&amp;"!B:B"),0))</f>
        <v>31.32</v>
      </c>
      <c r="E272" s="254">
        <f ca="1">D272-LARGE(D$2:D$619,RBCount+WRCount+TECount+QBCount)</f>
        <v>-52.550000000000004</v>
      </c>
      <c r="F272" s="1" t="str">
        <f ca="1">IF(H272&lt;=I272,"Starter",IF(G272&gt;=LARGE(G:G,FlexOn*LeagueInfo!$F$2),"Starter","Bench"))</f>
        <v>Bench</v>
      </c>
      <c r="G272" s="1">
        <f ca="1">IF(H272&gt;I272,D272,0)</f>
        <v>31.32</v>
      </c>
      <c r="H272" s="1">
        <f ca="1">INDEX(INDIRECT(""&amp;C272&amp;"!A2:A489"),MATCH(B272,INDIRECT(""&amp;C272&amp;"!B2:B489"),0))</f>
        <v>45</v>
      </c>
      <c r="I272" s="1">
        <f>IF(C272="RB",LeagueInfo!$D$4*LeagueInfo!$F$2,IF(C272="WR",LeagueInfo!$D$5*LeagueInfo!$F$2,IF(C272="TE",LeagueInfo!$D$6*LeagueInfo!$F$2,LeagueInfo!$D$3*LeagueInfo!$F$2)))</f>
        <v>12</v>
      </c>
    </row>
    <row r="273" spans="1:9" x14ac:dyDescent="0.25">
      <c r="A273" s="1">
        <f ca="1">RANK(E273,E$2:E$619)</f>
        <v>266</v>
      </c>
      <c r="B273" s="1" t="s">
        <v>590</v>
      </c>
      <c r="C273" s="1" t="s">
        <v>39</v>
      </c>
      <c r="D273" s="1">
        <f ca="1">INDEX(INDIRECT($C273&amp;"!O:O"),MATCH($B273,INDIRECT($C273&amp;"!B:B"),0))</f>
        <v>34</v>
      </c>
      <c r="E273" s="254">
        <f ca="1">D273-LARGE(D$2:D$619,RBCount+WRCount+TECount+QBCount)</f>
        <v>-49.870000000000005</v>
      </c>
      <c r="F273" s="1" t="str">
        <f ca="1">IF(H273&lt;=I273,"Starter",IF(G273&gt;=LARGE(G:G,FlexOn*LeagueInfo!$F$2),"Starter","Bench"))</f>
        <v>Bench</v>
      </c>
      <c r="G273" s="1">
        <f ca="1">IF(H273&gt;I273,D273,0)</f>
        <v>34</v>
      </c>
      <c r="H273" s="1">
        <f ca="1">INDEX(INDIRECT(""&amp;C273&amp;"!A2:A489"),MATCH(B273,INDIRECT(""&amp;C273&amp;"!B2:B489"),0))</f>
        <v>111</v>
      </c>
      <c r="I273" s="1">
        <f>IF(C273="RB",LeagueInfo!$D$4*LeagueInfo!$F$2,IF(C273="WR",LeagueInfo!$D$5*LeagueInfo!$F$2,IF(C273="TE",LeagueInfo!$D$6*LeagueInfo!$F$2,LeagueInfo!$D$3*LeagueInfo!$F$2)))</f>
        <v>24</v>
      </c>
    </row>
    <row r="274" spans="1:9" x14ac:dyDescent="0.25">
      <c r="A274" s="1">
        <f ca="1">RANK(E274,E$2:E$619)</f>
        <v>249</v>
      </c>
      <c r="B274" s="1" t="s">
        <v>475</v>
      </c>
      <c r="C274" s="1" t="s">
        <v>32</v>
      </c>
      <c r="D274" s="1">
        <f ca="1">INDEX(INDIRECT($C274&amp;"!O:O"),MATCH($B274,INDIRECT($C274&amp;"!B:B"),0))</f>
        <v>39.39</v>
      </c>
      <c r="E274" s="254">
        <f ca="1">D274-LARGE(D$2:D$619,RBCount+WRCount+TECount+QBCount)</f>
        <v>-44.480000000000004</v>
      </c>
      <c r="F274" s="1" t="str">
        <f ca="1">IF(H274&lt;=I274,"Starter",IF(G274&gt;=LARGE(G:G,FlexOn*LeagueInfo!$F$2),"Starter","Bench"))</f>
        <v>Bench</v>
      </c>
      <c r="G274" s="1">
        <f ca="1">IF(H274&gt;I274,D274,0)</f>
        <v>39.39</v>
      </c>
      <c r="H274" s="1">
        <f ca="1">INDEX(INDIRECT(""&amp;C274&amp;"!A2:A489"),MATCH(B274,INDIRECT(""&amp;C274&amp;"!B2:B489"),0))</f>
        <v>74</v>
      </c>
      <c r="I274" s="1">
        <f>IF(C274="RB",LeagueInfo!$D$4*LeagueInfo!$F$2,IF(C274="WR",LeagueInfo!$D$5*LeagueInfo!$F$2,IF(C274="TE",LeagueInfo!$D$6*LeagueInfo!$F$2,LeagueInfo!$D$3*LeagueInfo!$F$2)))</f>
        <v>24</v>
      </c>
    </row>
    <row r="275" spans="1:9" x14ac:dyDescent="0.25">
      <c r="A275" s="1">
        <f ca="1">RANK(E275,E$2:E$619)</f>
        <v>261</v>
      </c>
      <c r="B275" s="1" t="s">
        <v>462</v>
      </c>
      <c r="C275" s="1" t="s">
        <v>32</v>
      </c>
      <c r="D275" s="1">
        <f ca="1">INDEX(INDIRECT($C275&amp;"!O:O"),MATCH($B275,INDIRECT($C275&amp;"!B:B"),0))</f>
        <v>35.51</v>
      </c>
      <c r="E275" s="254">
        <f ca="1">D275-LARGE(D$2:D$619,RBCount+WRCount+TECount+QBCount)</f>
        <v>-48.360000000000007</v>
      </c>
      <c r="F275" s="1" t="str">
        <f ca="1">IF(H275&lt;=I275,"Starter",IF(G275&gt;=LARGE(G:G,FlexOn*LeagueInfo!$F$2),"Starter","Bench"))</f>
        <v>Bench</v>
      </c>
      <c r="G275" s="1">
        <f ca="1">IF(H275&gt;I275,D275,0)</f>
        <v>35.51</v>
      </c>
      <c r="H275" s="1">
        <f ca="1">INDEX(INDIRECT(""&amp;C275&amp;"!A2:A489"),MATCH(B275,INDIRECT(""&amp;C275&amp;"!B2:B489"),0))</f>
        <v>79</v>
      </c>
      <c r="I275" s="1">
        <f>IF(C275="RB",LeagueInfo!$D$4*LeagueInfo!$F$2,IF(C275="WR",LeagueInfo!$D$5*LeagueInfo!$F$2,IF(C275="TE",LeagueInfo!$D$6*LeagueInfo!$F$2,LeagueInfo!$D$3*LeagueInfo!$F$2)))</f>
        <v>24</v>
      </c>
    </row>
    <row r="276" spans="1:9" x14ac:dyDescent="0.25">
      <c r="A276" s="1">
        <f ca="1">RANK(E276,E$2:E$619)</f>
        <v>274</v>
      </c>
      <c r="B276" s="1" t="s">
        <v>593</v>
      </c>
      <c r="C276" s="1" t="s">
        <v>39</v>
      </c>
      <c r="D276" s="1">
        <f ca="1">INDEX(INDIRECT($C276&amp;"!O:O"),MATCH($B276,INDIRECT($C276&amp;"!B:B"),0))</f>
        <v>32.700000000000003</v>
      </c>
      <c r="E276" s="254">
        <f ca="1">D276-LARGE(D$2:D$619,RBCount+WRCount+TECount+QBCount)</f>
        <v>-51.17</v>
      </c>
      <c r="F276" s="1" t="str">
        <f ca="1">IF(H276&lt;=I276,"Starter",IF(G276&gt;=LARGE(G:G,FlexOn*LeagueInfo!$F$2),"Starter","Bench"))</f>
        <v>Bench</v>
      </c>
      <c r="G276" s="1">
        <f ca="1">IF(H276&gt;I276,D276,0)</f>
        <v>32.700000000000003</v>
      </c>
      <c r="H276" s="1">
        <f ca="1">INDEX(INDIRECT(""&amp;C276&amp;"!A2:A489"),MATCH(B276,INDIRECT(""&amp;C276&amp;"!B2:B489"),0))</f>
        <v>112</v>
      </c>
      <c r="I276" s="1">
        <f>IF(C276="RB",LeagueInfo!$D$4*LeagueInfo!$F$2,IF(C276="WR",LeagueInfo!$D$5*LeagueInfo!$F$2,IF(C276="TE",LeagueInfo!$D$6*LeagueInfo!$F$2,LeagueInfo!$D$3*LeagueInfo!$F$2)))</f>
        <v>24</v>
      </c>
    </row>
    <row r="277" spans="1:9" x14ac:dyDescent="0.25">
      <c r="A277" s="1">
        <f ca="1">RANK(E277,E$2:E$619)</f>
        <v>290</v>
      </c>
      <c r="B277" s="1" t="s">
        <v>734</v>
      </c>
      <c r="C277" s="1" t="s">
        <v>47</v>
      </c>
      <c r="D277" s="1">
        <f ca="1">INDEX(INDIRECT($C277&amp;"!O:O"),MATCH($B277,INDIRECT($C277&amp;"!B:B"),0))</f>
        <v>29.720000000000002</v>
      </c>
      <c r="E277" s="254">
        <f ca="1">D277-LARGE(D$2:D$619,RBCount+WRCount+TECount+QBCount)</f>
        <v>-54.150000000000006</v>
      </c>
      <c r="F277" s="1" t="str">
        <f ca="1">IF(H277&lt;=I277,"Starter",IF(G277&gt;=LARGE(G:G,FlexOn*LeagueInfo!$F$2),"Starter","Bench"))</f>
        <v>Bench</v>
      </c>
      <c r="G277" s="1">
        <f ca="1">IF(H277&gt;I277,D277,0)</f>
        <v>29.720000000000002</v>
      </c>
      <c r="H277" s="1">
        <f ca="1">INDEX(INDIRECT(""&amp;C277&amp;"!A2:A489"),MATCH(B277,INDIRECT(""&amp;C277&amp;"!B2:B489"),0))</f>
        <v>48</v>
      </c>
      <c r="I277" s="1">
        <f>IF(C277="RB",LeagueInfo!$D$4*LeagueInfo!$F$2,IF(C277="WR",LeagueInfo!$D$5*LeagueInfo!$F$2,IF(C277="TE",LeagueInfo!$D$6*LeagueInfo!$F$2,LeagueInfo!$D$3*LeagueInfo!$F$2)))</f>
        <v>12</v>
      </c>
    </row>
    <row r="278" spans="1:9" x14ac:dyDescent="0.25">
      <c r="A278" s="1">
        <f ca="1">RANK(E278,E$2:E$619)</f>
        <v>284</v>
      </c>
      <c r="B278" s="1" t="s">
        <v>736</v>
      </c>
      <c r="C278" s="1" t="s">
        <v>47</v>
      </c>
      <c r="D278" s="1">
        <f ca="1">INDEX(INDIRECT($C278&amp;"!O:O"),MATCH($B278,INDIRECT($C278&amp;"!B:B"),0))</f>
        <v>31.069999999999997</v>
      </c>
      <c r="E278" s="254">
        <f ca="1">D278-LARGE(D$2:D$619,RBCount+WRCount+TECount+QBCount)</f>
        <v>-52.800000000000011</v>
      </c>
      <c r="F278" s="1" t="str">
        <f ca="1">IF(H278&lt;=I278,"Starter",IF(G278&gt;=LARGE(G:G,FlexOn*LeagueInfo!$F$2),"Starter","Bench"))</f>
        <v>Bench</v>
      </c>
      <c r="G278" s="1">
        <f ca="1">IF(H278&gt;I278,D278,0)</f>
        <v>31.069999999999997</v>
      </c>
      <c r="H278" s="1">
        <f ca="1">INDEX(INDIRECT(""&amp;C278&amp;"!A2:A489"),MATCH(B278,INDIRECT(""&amp;C278&amp;"!B2:B489"),0))</f>
        <v>46</v>
      </c>
      <c r="I278" s="1">
        <f>IF(C278="RB",LeagueInfo!$D$4*LeagueInfo!$F$2,IF(C278="WR",LeagueInfo!$D$5*LeagueInfo!$F$2,IF(C278="TE",LeagueInfo!$D$6*LeagueInfo!$F$2,LeagueInfo!$D$3*LeagueInfo!$F$2)))</f>
        <v>12</v>
      </c>
    </row>
    <row r="279" spans="1:9" x14ac:dyDescent="0.25">
      <c r="A279" s="1">
        <f ca="1">RANK(E279,E$2:E$619)</f>
        <v>287</v>
      </c>
      <c r="B279" s="1" t="s">
        <v>603</v>
      </c>
      <c r="C279" s="1" t="s">
        <v>39</v>
      </c>
      <c r="D279" s="1">
        <f ca="1">INDEX(INDIRECT($C279&amp;"!O:O"),MATCH($B279,INDIRECT($C279&amp;"!B:B"),0))</f>
        <v>29.990000000000002</v>
      </c>
      <c r="E279" s="254">
        <f ca="1">D279-LARGE(D$2:D$619,RBCount+WRCount+TECount+QBCount)</f>
        <v>-53.88</v>
      </c>
      <c r="F279" s="1" t="str">
        <f ca="1">IF(H279&lt;=I279,"Starter",IF(G279&gt;=LARGE(G:G,FlexOn*LeagueInfo!$F$2),"Starter","Bench"))</f>
        <v>Bench</v>
      </c>
      <c r="G279" s="1">
        <f ca="1">IF(H279&gt;I279,D279,0)</f>
        <v>29.990000000000002</v>
      </c>
      <c r="H279" s="1">
        <f ca="1">INDEX(INDIRECT(""&amp;C279&amp;"!A2:A489"),MATCH(B279,INDIRECT(""&amp;C279&amp;"!B2:B489"),0))</f>
        <v>117</v>
      </c>
      <c r="I279" s="1">
        <f>IF(C279="RB",LeagueInfo!$D$4*LeagueInfo!$F$2,IF(C279="WR",LeagueInfo!$D$5*LeagueInfo!$F$2,IF(C279="TE",LeagueInfo!$D$6*LeagueInfo!$F$2,LeagueInfo!$D$3*LeagueInfo!$F$2)))</f>
        <v>24</v>
      </c>
    </row>
    <row r="280" spans="1:9" x14ac:dyDescent="0.25">
      <c r="A280" s="1">
        <f ca="1">RANK(E280,E$2:E$619)</f>
        <v>285</v>
      </c>
      <c r="B280" s="1" t="s">
        <v>604</v>
      </c>
      <c r="C280" s="1" t="s">
        <v>39</v>
      </c>
      <c r="D280" s="1">
        <f ca="1">INDEX(INDIRECT($C280&amp;"!O:O"),MATCH($B280,INDIRECT($C280&amp;"!B:B"),0))</f>
        <v>30.990000000000002</v>
      </c>
      <c r="E280" s="254">
        <f ca="1">D280-LARGE(D$2:D$619,RBCount+WRCount+TECount+QBCount)</f>
        <v>-52.88</v>
      </c>
      <c r="F280" s="1" t="str">
        <f ca="1">IF(H280&lt;=I280,"Starter",IF(G280&gt;=LARGE(G:G,FlexOn*LeagueInfo!$F$2),"Starter","Bench"))</f>
        <v>Bench</v>
      </c>
      <c r="G280" s="1">
        <f ca="1">IF(H280&gt;I280,D280,0)</f>
        <v>30.990000000000002</v>
      </c>
      <c r="H280" s="1">
        <f ca="1">INDEX(INDIRECT(""&amp;C280&amp;"!A2:A489"),MATCH(B280,INDIRECT(""&amp;C280&amp;"!B2:B489"),0))</f>
        <v>115</v>
      </c>
      <c r="I280" s="1">
        <f>IF(C280="RB",LeagueInfo!$D$4*LeagueInfo!$F$2,IF(C280="WR",LeagueInfo!$D$5*LeagueInfo!$F$2,IF(C280="TE",LeagueInfo!$D$6*LeagueInfo!$F$2,LeagueInfo!$D$3*LeagueInfo!$F$2)))</f>
        <v>24</v>
      </c>
    </row>
    <row r="281" spans="1:9" x14ac:dyDescent="0.25">
      <c r="A281" s="1">
        <f ca="1">RANK(E281,E$2:E$619)</f>
        <v>289</v>
      </c>
      <c r="B281" s="1" t="s">
        <v>726</v>
      </c>
      <c r="C281" s="1" t="s">
        <v>47</v>
      </c>
      <c r="D281" s="1">
        <f ca="1">INDEX(INDIRECT($C281&amp;"!O:O"),MATCH($B281,INDIRECT($C281&amp;"!B:B"),0))</f>
        <v>29.860000000000003</v>
      </c>
      <c r="E281" s="254">
        <f ca="1">D281-LARGE(D$2:D$619,RBCount+WRCount+TECount+QBCount)</f>
        <v>-54.010000000000005</v>
      </c>
      <c r="F281" s="1" t="str">
        <f ca="1">IF(H281&lt;=I281,"Starter",IF(G281&gt;=LARGE(G:G,FlexOn*LeagueInfo!$F$2),"Starter","Bench"))</f>
        <v>Bench</v>
      </c>
      <c r="G281" s="1">
        <f ca="1">IF(H281&gt;I281,D281,0)</f>
        <v>29.860000000000003</v>
      </c>
      <c r="H281" s="1">
        <f ca="1">INDEX(INDIRECT(""&amp;C281&amp;"!A2:A489"),MATCH(B281,INDIRECT(""&amp;C281&amp;"!B2:B489"),0))</f>
        <v>47</v>
      </c>
      <c r="I281" s="1">
        <f>IF(C281="RB",LeagueInfo!$D$4*LeagueInfo!$F$2,IF(C281="WR",LeagueInfo!$D$5*LeagueInfo!$F$2,IF(C281="TE",LeagueInfo!$D$6*LeagueInfo!$F$2,LeagueInfo!$D$3*LeagueInfo!$F$2)))</f>
        <v>12</v>
      </c>
    </row>
    <row r="282" spans="1:9" x14ac:dyDescent="0.25">
      <c r="A282" s="1">
        <f ca="1">RANK(E282,E$2:E$619)</f>
        <v>294</v>
      </c>
      <c r="B282" s="1" t="s">
        <v>738</v>
      </c>
      <c r="C282" s="1" t="s">
        <v>47</v>
      </c>
      <c r="D282" s="1">
        <f ca="1">INDEX(INDIRECT($C282&amp;"!O:O"),MATCH($B282,INDIRECT($C282&amp;"!B:B"),0))</f>
        <v>29.190000000000005</v>
      </c>
      <c r="E282" s="254">
        <f ca="1">D282-LARGE(D$2:D$619,RBCount+WRCount+TECount+QBCount)</f>
        <v>-54.68</v>
      </c>
      <c r="F282" s="1" t="str">
        <f ca="1">IF(H282&lt;=I282,"Starter",IF(G282&gt;=LARGE(G:G,FlexOn*LeagueInfo!$F$2),"Starter","Bench"))</f>
        <v>Bench</v>
      </c>
      <c r="G282" s="1">
        <f ca="1">IF(H282&gt;I282,D282,0)</f>
        <v>29.190000000000005</v>
      </c>
      <c r="H282" s="1">
        <f ca="1">INDEX(INDIRECT(""&amp;C282&amp;"!A2:A489"),MATCH(B282,INDIRECT(""&amp;C282&amp;"!B2:B489"),0))</f>
        <v>49</v>
      </c>
      <c r="I282" s="1">
        <f>IF(C282="RB",LeagueInfo!$D$4*LeagueInfo!$F$2,IF(C282="WR",LeagueInfo!$D$5*LeagueInfo!$F$2,IF(C282="TE",LeagueInfo!$D$6*LeagueInfo!$F$2,LeagueInfo!$D$3*LeagueInfo!$F$2)))</f>
        <v>12</v>
      </c>
    </row>
    <row r="283" spans="1:9" x14ac:dyDescent="0.25">
      <c r="A283" s="1">
        <f ca="1">RANK(E283,E$2:E$619)</f>
        <v>281</v>
      </c>
      <c r="B283" s="1" t="s">
        <v>605</v>
      </c>
      <c r="C283" s="1" t="s">
        <v>39</v>
      </c>
      <c r="D283" s="1">
        <f ca="1">INDEX(INDIRECT($C283&amp;"!O:O"),MATCH($B283,INDIRECT($C283&amp;"!B:B"),0))</f>
        <v>31.51</v>
      </c>
      <c r="E283" s="254">
        <f ca="1">D283-LARGE(D$2:D$619,RBCount+WRCount+TECount+QBCount)</f>
        <v>-52.36</v>
      </c>
      <c r="F283" s="1" t="str">
        <f ca="1">IF(H283&lt;=I283,"Starter",IF(G283&gt;=LARGE(G:G,FlexOn*LeagueInfo!$F$2),"Starter","Bench"))</f>
        <v>Bench</v>
      </c>
      <c r="G283" s="1">
        <f ca="1">IF(H283&gt;I283,D283,0)</f>
        <v>31.51</v>
      </c>
      <c r="H283" s="1">
        <f ca="1">INDEX(INDIRECT(""&amp;C283&amp;"!A2:A489"),MATCH(B283,INDIRECT(""&amp;C283&amp;"!B2:B489"),0))</f>
        <v>114</v>
      </c>
      <c r="I283" s="1">
        <f>IF(C283="RB",LeagueInfo!$D$4*LeagueInfo!$F$2,IF(C283="WR",LeagueInfo!$D$5*LeagueInfo!$F$2,IF(C283="TE",LeagueInfo!$D$6*LeagueInfo!$F$2,LeagueInfo!$D$3*LeagueInfo!$F$2)))</f>
        <v>24</v>
      </c>
    </row>
    <row r="284" spans="1:9" x14ac:dyDescent="0.25">
      <c r="A284" s="1">
        <f ca="1">RANK(E284,E$2:E$619)</f>
        <v>286</v>
      </c>
      <c r="B284" s="1" t="s">
        <v>594</v>
      </c>
      <c r="C284" s="1" t="s">
        <v>39</v>
      </c>
      <c r="D284" s="1">
        <f ca="1">INDEX(INDIRECT($C284&amp;"!O:O"),MATCH($B284,INDIRECT($C284&amp;"!B:B"),0))</f>
        <v>30.459999999999997</v>
      </c>
      <c r="E284" s="254">
        <f ca="1">D284-LARGE(D$2:D$619,RBCount+WRCount+TECount+QBCount)</f>
        <v>-53.410000000000011</v>
      </c>
      <c r="F284" s="1" t="str">
        <f ca="1">IF(H284&lt;=I284,"Starter",IF(G284&gt;=LARGE(G:G,FlexOn*LeagueInfo!$F$2),"Starter","Bench"))</f>
        <v>Bench</v>
      </c>
      <c r="G284" s="1">
        <f ca="1">IF(H284&gt;I284,D284,0)</f>
        <v>30.459999999999997</v>
      </c>
      <c r="H284" s="1">
        <f ca="1">INDEX(INDIRECT(""&amp;C284&amp;"!A2:A489"),MATCH(B284,INDIRECT(""&amp;C284&amp;"!B2:B489"),0))</f>
        <v>116</v>
      </c>
      <c r="I284" s="1">
        <f>IF(C284="RB",LeagueInfo!$D$4*LeagueInfo!$F$2,IF(C284="WR",LeagueInfo!$D$5*LeagueInfo!$F$2,IF(C284="TE",LeagueInfo!$D$6*LeagueInfo!$F$2,LeagueInfo!$D$3*LeagueInfo!$F$2)))</f>
        <v>24</v>
      </c>
    </row>
    <row r="285" spans="1:9" x14ac:dyDescent="0.25">
      <c r="A285" s="1">
        <f ca="1">RANK(E285,E$2:E$619)</f>
        <v>258</v>
      </c>
      <c r="B285" s="1" t="s">
        <v>394</v>
      </c>
      <c r="C285" s="1" t="s">
        <v>33</v>
      </c>
      <c r="D285" s="1">
        <f ca="1">INDEX(INDIRECT($C285&amp;"!O:O"),MATCH($B285,INDIRECT($C285&amp;"!B:B"),0))</f>
        <v>37.131999999999998</v>
      </c>
      <c r="E285" s="254">
        <f ca="1">D285-LARGE(D$2:D$619,RBCount+WRCount+TECount+QBCount)</f>
        <v>-46.738000000000007</v>
      </c>
      <c r="F285" s="1" t="str">
        <f ca="1">IF(H285&lt;=I285,"Starter",IF(G285&gt;=LARGE(G:G,FlexOn*LeagueInfo!$F$2),"Starter","Bench"))</f>
        <v>Bench</v>
      </c>
      <c r="G285" s="1">
        <f ca="1">IF(H285&gt;I285,D285,0)</f>
        <v>37.131999999999998</v>
      </c>
      <c r="H285" s="1">
        <f ca="1">INDEX(INDIRECT(""&amp;C285&amp;"!A2:A489"),MATCH(B285,INDIRECT(""&amp;C285&amp;"!B2:B489"),0))</f>
        <v>38</v>
      </c>
      <c r="I285" s="1">
        <f>IF(C285="RB",LeagueInfo!$D$4*LeagueInfo!$F$2,IF(C285="WR",LeagueInfo!$D$5*LeagueInfo!$F$2,IF(C285="TE",LeagueInfo!$D$6*LeagueInfo!$F$2,LeagueInfo!$D$3*LeagueInfo!$F$2)))</f>
        <v>12</v>
      </c>
    </row>
    <row r="286" spans="1:9" x14ac:dyDescent="0.25">
      <c r="A286" s="1">
        <f ca="1">RANK(E286,E$2:E$619)</f>
        <v>275</v>
      </c>
      <c r="B286" s="1" t="s">
        <v>482</v>
      </c>
      <c r="C286" s="1" t="s">
        <v>32</v>
      </c>
      <c r="D286" s="1">
        <f ca="1">INDEX(INDIRECT($C286&amp;"!O:O"),MATCH($B286,INDIRECT($C286&amp;"!B:B"),0))</f>
        <v>32.620000000000005</v>
      </c>
      <c r="E286" s="254">
        <f ca="1">D286-LARGE(D$2:D$619,RBCount+WRCount+TECount+QBCount)</f>
        <v>-51.25</v>
      </c>
      <c r="F286" s="1" t="str">
        <f ca="1">IF(H286&lt;=I286,"Starter",IF(G286&gt;=LARGE(G:G,FlexOn*LeagueInfo!$F$2),"Starter","Bench"))</f>
        <v>Bench</v>
      </c>
      <c r="G286" s="1">
        <f ca="1">IF(H286&gt;I286,D286,0)</f>
        <v>32.620000000000005</v>
      </c>
      <c r="H286" s="1">
        <f ca="1">INDEX(INDIRECT(""&amp;C286&amp;"!A2:A489"),MATCH(B286,INDIRECT(""&amp;C286&amp;"!B2:B489"),0))</f>
        <v>83</v>
      </c>
      <c r="I286" s="1">
        <f>IF(C286="RB",LeagueInfo!$D$4*LeagueInfo!$F$2,IF(C286="WR",LeagueInfo!$D$5*LeagueInfo!$F$2,IF(C286="TE",LeagueInfo!$D$6*LeagueInfo!$F$2,LeagueInfo!$D$3*LeagueInfo!$F$2)))</f>
        <v>24</v>
      </c>
    </row>
    <row r="287" spans="1:9" x14ac:dyDescent="0.25">
      <c r="A287" s="1">
        <f ca="1">RANK(E287,E$2:E$619)</f>
        <v>298</v>
      </c>
      <c r="B287" s="1" t="s">
        <v>704</v>
      </c>
      <c r="C287" s="1" t="s">
        <v>39</v>
      </c>
      <c r="D287" s="1">
        <f ca="1">INDEX(INDIRECT($C287&amp;"!O:O"),MATCH($B287,INDIRECT($C287&amp;"!B:B"),0))</f>
        <v>28.900000000000002</v>
      </c>
      <c r="E287" s="254">
        <f ca="1">D287-LARGE(D$2:D$619,RBCount+WRCount+TECount+QBCount)</f>
        <v>-54.97</v>
      </c>
      <c r="F287" s="1" t="str">
        <f ca="1">IF(H287&lt;=I287,"Starter",IF(G287&gt;=LARGE(G:G,FlexOn*LeagueInfo!$F$2),"Starter","Bench"))</f>
        <v>Bench</v>
      </c>
      <c r="G287" s="1">
        <f ca="1">IF(H287&gt;I287,D287,0)</f>
        <v>28.900000000000002</v>
      </c>
      <c r="H287" s="1">
        <f ca="1">INDEX(INDIRECT(""&amp;C287&amp;"!A2:A489"),MATCH(B287,INDIRECT(""&amp;C287&amp;"!B2:B489"),0))</f>
        <v>119</v>
      </c>
      <c r="I287" s="1">
        <f>IF(C287="RB",LeagueInfo!$D$4*LeagueInfo!$F$2,IF(C287="WR",LeagueInfo!$D$5*LeagueInfo!$F$2,IF(C287="TE",LeagueInfo!$D$6*LeagueInfo!$F$2,LeagueInfo!$D$3*LeagueInfo!$F$2)))</f>
        <v>24</v>
      </c>
    </row>
    <row r="288" spans="1:9" x14ac:dyDescent="0.25">
      <c r="A288" s="1">
        <f ca="1">RANK(E288,E$2:E$619)</f>
        <v>300</v>
      </c>
      <c r="B288" s="1" t="s">
        <v>616</v>
      </c>
      <c r="C288" s="1" t="s">
        <v>39</v>
      </c>
      <c r="D288" s="1">
        <f ca="1">INDEX(INDIRECT($C288&amp;"!O:O"),MATCH($B288,INDIRECT($C288&amp;"!B:B"),0))</f>
        <v>28.29</v>
      </c>
      <c r="E288" s="254">
        <f ca="1">D288-LARGE(D$2:D$619,RBCount+WRCount+TECount+QBCount)</f>
        <v>-55.580000000000005</v>
      </c>
      <c r="F288" s="1" t="str">
        <f ca="1">IF(H288&lt;=I288,"Starter",IF(G288&gt;=LARGE(G:G,FlexOn*LeagueInfo!$F$2),"Starter","Bench"))</f>
        <v>Bench</v>
      </c>
      <c r="G288" s="1">
        <f ca="1">IF(H288&gt;I288,D288,0)</f>
        <v>28.29</v>
      </c>
      <c r="H288" s="1">
        <f ca="1">INDEX(INDIRECT(""&amp;C288&amp;"!A2:A489"),MATCH(B288,INDIRECT(""&amp;C288&amp;"!B2:B489"),0))</f>
        <v>121</v>
      </c>
      <c r="I288" s="1">
        <f>IF(C288="RB",LeagueInfo!$D$4*LeagueInfo!$F$2,IF(C288="WR",LeagueInfo!$D$5*LeagueInfo!$F$2,IF(C288="TE",LeagueInfo!$D$6*LeagueInfo!$F$2,LeagueInfo!$D$3*LeagueInfo!$F$2)))</f>
        <v>24</v>
      </c>
    </row>
    <row r="289" spans="1:9" x14ac:dyDescent="0.25">
      <c r="A289" s="1">
        <f ca="1">RANK(E289,E$2:E$619)</f>
        <v>280</v>
      </c>
      <c r="B289" s="1" t="s">
        <v>452</v>
      </c>
      <c r="C289" s="1" t="s">
        <v>32</v>
      </c>
      <c r="D289" s="1">
        <f ca="1">INDEX(INDIRECT($C289&amp;"!O:O"),MATCH($B289,INDIRECT($C289&amp;"!B:B"),0))</f>
        <v>31.939999999999998</v>
      </c>
      <c r="E289" s="254">
        <f ca="1">D289-LARGE(D$2:D$619,RBCount+WRCount+TECount+QBCount)</f>
        <v>-51.930000000000007</v>
      </c>
      <c r="F289" s="1" t="str">
        <f ca="1">IF(H289&lt;=I289,"Starter",IF(G289&gt;=LARGE(G:G,FlexOn*LeagueInfo!$F$2),"Starter","Bench"))</f>
        <v>Bench</v>
      </c>
      <c r="G289" s="1">
        <f ca="1">IF(H289&gt;I289,D289,0)</f>
        <v>31.939999999999998</v>
      </c>
      <c r="H289" s="1">
        <f ca="1">INDEX(INDIRECT(""&amp;C289&amp;"!A2:A489"),MATCH(B289,INDIRECT(""&amp;C289&amp;"!B2:B489"),0))</f>
        <v>85</v>
      </c>
      <c r="I289" s="1">
        <f>IF(C289="RB",LeagueInfo!$D$4*LeagueInfo!$F$2,IF(C289="WR",LeagueInfo!$D$5*LeagueInfo!$F$2,IF(C289="TE",LeagueInfo!$D$6*LeagueInfo!$F$2,LeagueInfo!$D$3*LeagueInfo!$F$2)))</f>
        <v>24</v>
      </c>
    </row>
    <row r="290" spans="1:9" x14ac:dyDescent="0.25">
      <c r="A290" s="1">
        <f ca="1">RANK(E290,E$2:E$619)</f>
        <v>271</v>
      </c>
      <c r="B290" s="1" t="s">
        <v>459</v>
      </c>
      <c r="C290" s="1" t="s">
        <v>32</v>
      </c>
      <c r="D290" s="1">
        <f ca="1">INDEX(INDIRECT($C290&amp;"!O:O"),MATCH($B290,INDIRECT($C290&amp;"!B:B"),0))</f>
        <v>32.940000000000005</v>
      </c>
      <c r="E290" s="254">
        <f ca="1">D290-LARGE(D$2:D$619,RBCount+WRCount+TECount+QBCount)</f>
        <v>-50.93</v>
      </c>
      <c r="F290" s="1" t="str">
        <f ca="1">IF(H290&lt;=I290,"Starter",IF(G290&gt;=LARGE(G:G,FlexOn*LeagueInfo!$F$2),"Starter","Bench"))</f>
        <v>Bench</v>
      </c>
      <c r="G290" s="1">
        <f ca="1">IF(H290&gt;I290,D290,0)</f>
        <v>32.940000000000005</v>
      </c>
      <c r="H290" s="1">
        <f ca="1">INDEX(INDIRECT(""&amp;C290&amp;"!A2:A489"),MATCH(B290,INDIRECT(""&amp;C290&amp;"!B2:B489"),0))</f>
        <v>82</v>
      </c>
      <c r="I290" s="1">
        <f>IF(C290="RB",LeagueInfo!$D$4*LeagueInfo!$F$2,IF(C290="WR",LeagueInfo!$D$5*LeagueInfo!$F$2,IF(C290="TE",LeagueInfo!$D$6*LeagueInfo!$F$2,LeagueInfo!$D$3*LeagueInfo!$F$2)))</f>
        <v>24</v>
      </c>
    </row>
    <row r="291" spans="1:9" x14ac:dyDescent="0.25">
      <c r="A291" s="1">
        <f ca="1">RANK(E291,E$2:E$619)</f>
        <v>295</v>
      </c>
      <c r="B291" s="1" t="s">
        <v>630</v>
      </c>
      <c r="C291" s="1" t="s">
        <v>39</v>
      </c>
      <c r="D291" s="1">
        <f ca="1">INDEX(INDIRECT($C291&amp;"!O:O"),MATCH($B291,INDIRECT($C291&amp;"!B:B"),0))</f>
        <v>29.140000000000004</v>
      </c>
      <c r="E291" s="254">
        <f ca="1">D291-LARGE(D$2:D$619,RBCount+WRCount+TECount+QBCount)</f>
        <v>-54.730000000000004</v>
      </c>
      <c r="F291" s="1" t="str">
        <f ca="1">IF(H291&lt;=I291,"Starter",IF(G291&gt;=LARGE(G:G,FlexOn*LeagueInfo!$F$2),"Starter","Bench"))</f>
        <v>Bench</v>
      </c>
      <c r="G291" s="1">
        <f ca="1">IF(H291&gt;I291,D291,0)</f>
        <v>29.140000000000004</v>
      </c>
      <c r="H291" s="1">
        <f ca="1">INDEX(INDIRECT(""&amp;C291&amp;"!A2:A489"),MATCH(B291,INDIRECT(""&amp;C291&amp;"!B2:B489"),0))</f>
        <v>118</v>
      </c>
      <c r="I291" s="1">
        <f>IF(C291="RB",LeagueInfo!$D$4*LeagueInfo!$F$2,IF(C291="WR",LeagueInfo!$D$5*LeagueInfo!$F$2,IF(C291="TE",LeagueInfo!$D$6*LeagueInfo!$F$2,LeagueInfo!$D$3*LeagueInfo!$F$2)))</f>
        <v>24</v>
      </c>
    </row>
    <row r="292" spans="1:9" x14ac:dyDescent="0.25">
      <c r="A292" s="1">
        <f ca="1">RANK(E292,E$2:E$619)</f>
        <v>276</v>
      </c>
      <c r="B292" s="1" t="s">
        <v>498</v>
      </c>
      <c r="C292" s="1" t="s">
        <v>32</v>
      </c>
      <c r="D292" s="1">
        <f ca="1">INDEX(INDIRECT($C292&amp;"!O:O"),MATCH($B292,INDIRECT($C292&amp;"!B:B"),0))</f>
        <v>32.57</v>
      </c>
      <c r="E292" s="254">
        <f ca="1">D292-LARGE(D$2:D$619,RBCount+WRCount+TECount+QBCount)</f>
        <v>-51.300000000000004</v>
      </c>
      <c r="F292" s="1" t="str">
        <f ca="1">IF(H292&lt;=I292,"Starter",IF(G292&gt;=LARGE(G:G,FlexOn*LeagueInfo!$F$2),"Starter","Bench"))</f>
        <v>Bench</v>
      </c>
      <c r="G292" s="1">
        <f ca="1">IF(H292&gt;I292,D292,0)</f>
        <v>32.57</v>
      </c>
      <c r="H292" s="1">
        <f ca="1">INDEX(INDIRECT(""&amp;C292&amp;"!A2:A489"),MATCH(B292,INDIRECT(""&amp;C292&amp;"!B2:B489"),0))</f>
        <v>84</v>
      </c>
      <c r="I292" s="1">
        <f>IF(C292="RB",LeagueInfo!$D$4*LeagueInfo!$F$2,IF(C292="WR",LeagueInfo!$D$5*LeagueInfo!$F$2,IF(C292="TE",LeagueInfo!$D$6*LeagueInfo!$F$2,LeagueInfo!$D$3*LeagueInfo!$F$2)))</f>
        <v>24</v>
      </c>
    </row>
    <row r="293" spans="1:9" x14ac:dyDescent="0.25">
      <c r="A293" s="1">
        <f ca="1">RANK(E293,E$2:E$619)</f>
        <v>309</v>
      </c>
      <c r="B293" s="1" t="s">
        <v>926</v>
      </c>
      <c r="C293" s="1" t="s">
        <v>39</v>
      </c>
      <c r="D293" s="1">
        <f ca="1">INDEX(INDIRECT($C293&amp;"!O:O"),MATCH($B293,INDIRECT($C293&amp;"!B:B"),0))</f>
        <v>26.6</v>
      </c>
      <c r="E293" s="254">
        <f ca="1">D293-LARGE(D$2:D$619,RBCount+WRCount+TECount+QBCount)</f>
        <v>-57.27</v>
      </c>
      <c r="F293" s="1" t="str">
        <f ca="1">IF(H293&lt;=I293,"Starter",IF(G293&gt;=LARGE(G:G,FlexOn*LeagueInfo!$F$2),"Starter","Bench"))</f>
        <v>Bench</v>
      </c>
      <c r="G293" s="1">
        <f ca="1">IF(H293&gt;I293,D293,0)</f>
        <v>26.6</v>
      </c>
      <c r="H293" s="1">
        <f ca="1">INDEX(INDIRECT(""&amp;C293&amp;"!A2:A489"),MATCH(B293,INDIRECT(""&amp;C293&amp;"!B2:B489"),0))</f>
        <v>126</v>
      </c>
      <c r="I293" s="1">
        <f>IF(C293="RB",LeagueInfo!$D$4*LeagueInfo!$F$2,IF(C293="WR",LeagueInfo!$D$5*LeagueInfo!$F$2,IF(C293="TE",LeagueInfo!$D$6*LeagueInfo!$F$2,LeagueInfo!$D$3*LeagueInfo!$F$2)))</f>
        <v>24</v>
      </c>
    </row>
    <row r="294" spans="1:9" x14ac:dyDescent="0.25">
      <c r="A294" s="1">
        <f ca="1">RANK(E294,E$2:E$619)</f>
        <v>299</v>
      </c>
      <c r="B294" s="1" t="s">
        <v>607</v>
      </c>
      <c r="C294" s="1" t="s">
        <v>39</v>
      </c>
      <c r="D294" s="1">
        <f ca="1">INDEX(INDIRECT($C294&amp;"!O:O"),MATCH($B294,INDIRECT($C294&amp;"!B:B"),0))</f>
        <v>28.51</v>
      </c>
      <c r="E294" s="254">
        <f ca="1">D294-LARGE(D$2:D$619,RBCount+WRCount+TECount+QBCount)</f>
        <v>-55.36</v>
      </c>
      <c r="F294" s="1" t="str">
        <f ca="1">IF(H294&lt;=I294,"Starter",IF(G294&gt;=LARGE(G:G,FlexOn*LeagueInfo!$F$2),"Starter","Bench"))</f>
        <v>Bench</v>
      </c>
      <c r="G294" s="1">
        <f ca="1">IF(H294&gt;I294,D294,0)</f>
        <v>28.51</v>
      </c>
      <c r="H294" s="1">
        <f ca="1">INDEX(INDIRECT(""&amp;C294&amp;"!A2:A489"),MATCH(B294,INDIRECT(""&amp;C294&amp;"!B2:B489"),0))</f>
        <v>120</v>
      </c>
      <c r="I294" s="1">
        <f>IF(C294="RB",LeagueInfo!$D$4*LeagueInfo!$F$2,IF(C294="WR",LeagueInfo!$D$5*LeagueInfo!$F$2,IF(C294="TE",LeagueInfo!$D$6*LeagueInfo!$F$2,LeagueInfo!$D$3*LeagueInfo!$F$2)))</f>
        <v>24</v>
      </c>
    </row>
    <row r="295" spans="1:9" x14ac:dyDescent="0.25">
      <c r="A295" s="1">
        <f ca="1">RANK(E295,E$2:E$619)</f>
        <v>297</v>
      </c>
      <c r="B295" s="1" t="s">
        <v>461</v>
      </c>
      <c r="C295" s="1" t="s">
        <v>32</v>
      </c>
      <c r="D295" s="1">
        <f ca="1">INDEX(INDIRECT($C295&amp;"!O:O"),MATCH($B295,INDIRECT($C295&amp;"!B:B"),0))</f>
        <v>28.930000000000003</v>
      </c>
      <c r="E295" s="254">
        <f ca="1">D295-LARGE(D$2:D$619,RBCount+WRCount+TECount+QBCount)</f>
        <v>-54.94</v>
      </c>
      <c r="F295" s="1" t="str">
        <f ca="1">IF(H295&lt;=I295,"Starter",IF(G295&gt;=LARGE(G:G,FlexOn*LeagueInfo!$F$2),"Starter","Bench"))</f>
        <v>Bench</v>
      </c>
      <c r="G295" s="1">
        <f ca="1">IF(H295&gt;I295,D295,0)</f>
        <v>28.930000000000003</v>
      </c>
      <c r="H295" s="1">
        <f ca="1">INDEX(INDIRECT(""&amp;C295&amp;"!A2:A489"),MATCH(B295,INDIRECT(""&amp;C295&amp;"!B2:B489"),0))</f>
        <v>92</v>
      </c>
      <c r="I295" s="1">
        <f>IF(C295="RB",LeagueInfo!$D$4*LeagueInfo!$F$2,IF(C295="WR",LeagueInfo!$D$5*LeagueInfo!$F$2,IF(C295="TE",LeagueInfo!$D$6*LeagueInfo!$F$2,LeagueInfo!$D$3*LeagueInfo!$F$2)))</f>
        <v>24</v>
      </c>
    </row>
    <row r="296" spans="1:9" x14ac:dyDescent="0.25">
      <c r="A296" s="1">
        <f ca="1">RANK(E296,E$2:E$619)</f>
        <v>310</v>
      </c>
      <c r="B296" s="1" t="s">
        <v>614</v>
      </c>
      <c r="C296" s="1" t="s">
        <v>39</v>
      </c>
      <c r="D296" s="1">
        <f ca="1">INDEX(INDIRECT($C296&amp;"!O:O"),MATCH($B296,INDIRECT($C296&amp;"!B:B"),0))</f>
        <v>26.230000000000004</v>
      </c>
      <c r="E296" s="254">
        <f ca="1">D296-LARGE(D$2:D$619,RBCount+WRCount+TECount+QBCount)</f>
        <v>-57.64</v>
      </c>
      <c r="F296" s="1" t="str">
        <f ca="1">IF(H296&lt;=I296,"Starter",IF(G296&gt;=LARGE(G:G,FlexOn*LeagueInfo!$F$2),"Starter","Bench"))</f>
        <v>Bench</v>
      </c>
      <c r="G296" s="1">
        <f ca="1">IF(H296&gt;I296,D296,0)</f>
        <v>26.230000000000004</v>
      </c>
      <c r="H296" s="1">
        <f ca="1">INDEX(INDIRECT(""&amp;C296&amp;"!A2:A489"),MATCH(B296,INDIRECT(""&amp;C296&amp;"!B2:B489"),0))</f>
        <v>127</v>
      </c>
      <c r="I296" s="1">
        <f>IF(C296="RB",LeagueInfo!$D$4*LeagueInfo!$F$2,IF(C296="WR",LeagueInfo!$D$5*LeagueInfo!$F$2,IF(C296="TE",LeagueInfo!$D$6*LeagueInfo!$F$2,LeagueInfo!$D$3*LeagueInfo!$F$2)))</f>
        <v>24</v>
      </c>
    </row>
    <row r="297" spans="1:9" x14ac:dyDescent="0.25">
      <c r="A297" s="1">
        <f ca="1">RANK(E297,E$2:E$619)</f>
        <v>283</v>
      </c>
      <c r="B297" s="1" t="s">
        <v>463</v>
      </c>
      <c r="C297" s="1" t="s">
        <v>32</v>
      </c>
      <c r="D297" s="1">
        <f ca="1">INDEX(INDIRECT($C297&amp;"!O:O"),MATCH($B297,INDIRECT($C297&amp;"!B:B"),0))</f>
        <v>31.12</v>
      </c>
      <c r="E297" s="254">
        <f ca="1">D297-LARGE(D$2:D$619,RBCount+WRCount+TECount+QBCount)</f>
        <v>-52.75</v>
      </c>
      <c r="F297" s="1" t="str">
        <f ca="1">IF(H297&lt;=I297,"Starter",IF(G297&gt;=LARGE(G:G,FlexOn*LeagueInfo!$F$2),"Starter","Bench"))</f>
        <v>Bench</v>
      </c>
      <c r="G297" s="1">
        <f ca="1">IF(H297&gt;I297,D297,0)</f>
        <v>31.12</v>
      </c>
      <c r="H297" s="1">
        <f ca="1">INDEX(INDIRECT(""&amp;C297&amp;"!A2:A489"),MATCH(B297,INDIRECT(""&amp;C297&amp;"!B2:B489"),0))</f>
        <v>86</v>
      </c>
      <c r="I297" s="1">
        <f>IF(C297="RB",LeagueInfo!$D$4*LeagueInfo!$F$2,IF(C297="WR",LeagueInfo!$D$5*LeagueInfo!$F$2,IF(C297="TE",LeagueInfo!$D$6*LeagueInfo!$F$2,LeagueInfo!$D$3*LeagueInfo!$F$2)))</f>
        <v>24</v>
      </c>
    </row>
    <row r="298" spans="1:9" x14ac:dyDescent="0.25">
      <c r="A298" s="1">
        <f ca="1">RANK(E298,E$2:E$619)</f>
        <v>301</v>
      </c>
      <c r="B298" s="1" t="s">
        <v>611</v>
      </c>
      <c r="C298" s="1" t="s">
        <v>39</v>
      </c>
      <c r="D298" s="1">
        <f ca="1">INDEX(INDIRECT($C298&amp;"!O:O"),MATCH($B298,INDIRECT($C298&amp;"!B:B"),0))</f>
        <v>28.03</v>
      </c>
      <c r="E298" s="254">
        <f ca="1">D298-LARGE(D$2:D$619,RBCount+WRCount+TECount+QBCount)</f>
        <v>-55.84</v>
      </c>
      <c r="F298" s="1" t="str">
        <f ca="1">IF(H298&lt;=I298,"Starter",IF(G298&gt;=LARGE(G:G,FlexOn*LeagueInfo!$F$2),"Starter","Bench"))</f>
        <v>Bench</v>
      </c>
      <c r="G298" s="1">
        <f ca="1">IF(H298&gt;I298,D298,0)</f>
        <v>28.03</v>
      </c>
      <c r="H298" s="1">
        <f ca="1">INDEX(INDIRECT(""&amp;C298&amp;"!A2:A489"),MATCH(B298,INDIRECT(""&amp;C298&amp;"!B2:B489"),0))</f>
        <v>122</v>
      </c>
      <c r="I298" s="1">
        <f>IF(C298="RB",LeagueInfo!$D$4*LeagueInfo!$F$2,IF(C298="WR",LeagueInfo!$D$5*LeagueInfo!$F$2,IF(C298="TE",LeagueInfo!$D$6*LeagueInfo!$F$2,LeagueInfo!$D$3*LeagueInfo!$F$2)))</f>
        <v>24</v>
      </c>
    </row>
    <row r="299" spans="1:9" x14ac:dyDescent="0.25">
      <c r="A299" s="1">
        <f ca="1">RANK(E299,E$2:E$619)</f>
        <v>293</v>
      </c>
      <c r="B299" s="1" t="s">
        <v>509</v>
      </c>
      <c r="C299" s="1" t="s">
        <v>32</v>
      </c>
      <c r="D299" s="1">
        <f ca="1">INDEX(INDIRECT($C299&amp;"!O:O"),MATCH($B299,INDIRECT($C299&amp;"!B:B"),0))</f>
        <v>29.2</v>
      </c>
      <c r="E299" s="254">
        <f ca="1">D299-LARGE(D$2:D$619,RBCount+WRCount+TECount+QBCount)</f>
        <v>-54.67</v>
      </c>
      <c r="F299" s="1" t="str">
        <f ca="1">IF(H299&lt;=I299,"Starter",IF(G299&gt;=LARGE(G:G,FlexOn*LeagueInfo!$F$2),"Starter","Bench"))</f>
        <v>Bench</v>
      </c>
      <c r="G299" s="1">
        <f ca="1">IF(H299&gt;I299,D299,0)</f>
        <v>29.2</v>
      </c>
      <c r="H299" s="1">
        <f ca="1">INDEX(INDIRECT(""&amp;C299&amp;"!A2:A489"),MATCH(B299,INDIRECT(""&amp;C299&amp;"!B2:B489"),0))</f>
        <v>90</v>
      </c>
      <c r="I299" s="1">
        <f>IF(C299="RB",LeagueInfo!$D$4*LeagueInfo!$F$2,IF(C299="WR",LeagueInfo!$D$5*LeagueInfo!$F$2,IF(C299="TE",LeagueInfo!$D$6*LeagueInfo!$F$2,LeagueInfo!$D$3*LeagueInfo!$F$2)))</f>
        <v>24</v>
      </c>
    </row>
    <row r="300" spans="1:9" x14ac:dyDescent="0.25">
      <c r="A300" s="1">
        <f ca="1">RANK(E300,E$2:E$619)</f>
        <v>305</v>
      </c>
      <c r="B300" s="1" t="s">
        <v>615</v>
      </c>
      <c r="C300" s="1" t="s">
        <v>39</v>
      </c>
      <c r="D300" s="1">
        <f ca="1">INDEX(INDIRECT($C300&amp;"!O:O"),MATCH($B300,INDIRECT($C300&amp;"!B:B"),0))</f>
        <v>27.1</v>
      </c>
      <c r="E300" s="254">
        <f ca="1">D300-LARGE(D$2:D$619,RBCount+WRCount+TECount+QBCount)</f>
        <v>-56.77</v>
      </c>
      <c r="F300" s="1" t="str">
        <f ca="1">IF(H300&lt;=I300,"Starter",IF(G300&gt;=LARGE(G:G,FlexOn*LeagueInfo!$F$2),"Starter","Bench"))</f>
        <v>Bench</v>
      </c>
      <c r="G300" s="1">
        <f ca="1">IF(H300&gt;I300,D300,0)</f>
        <v>27.1</v>
      </c>
      <c r="H300" s="1">
        <f ca="1">INDEX(INDIRECT(""&amp;C300&amp;"!A2:A489"),MATCH(B300,INDIRECT(""&amp;C300&amp;"!B2:B489"),0))</f>
        <v>125</v>
      </c>
      <c r="I300" s="1">
        <f>IF(C300="RB",LeagueInfo!$D$4*LeagueInfo!$F$2,IF(C300="WR",LeagueInfo!$D$5*LeagueInfo!$F$2,IF(C300="TE",LeagueInfo!$D$6*LeagueInfo!$F$2,LeagueInfo!$D$3*LeagueInfo!$F$2)))</f>
        <v>24</v>
      </c>
    </row>
    <row r="301" spans="1:9" x14ac:dyDescent="0.25">
      <c r="A301" s="1">
        <f ca="1">RANK(E301,E$2:E$619)</f>
        <v>296</v>
      </c>
      <c r="B301" s="1" t="s">
        <v>507</v>
      </c>
      <c r="C301" s="1" t="s">
        <v>32</v>
      </c>
      <c r="D301" s="1">
        <f ca="1">INDEX(INDIRECT($C301&amp;"!O:O"),MATCH($B301,INDIRECT($C301&amp;"!B:B"),0))</f>
        <v>28.99</v>
      </c>
      <c r="E301" s="254">
        <f ca="1">D301-LARGE(D$2:D$619,RBCount+WRCount+TECount+QBCount)</f>
        <v>-54.88000000000001</v>
      </c>
      <c r="F301" s="1" t="str">
        <f ca="1">IF(H301&lt;=I301,"Starter",IF(G301&gt;=LARGE(G:G,FlexOn*LeagueInfo!$F$2),"Starter","Bench"))</f>
        <v>Bench</v>
      </c>
      <c r="G301" s="1">
        <f ca="1">IF(H301&gt;I301,D301,0)</f>
        <v>28.99</v>
      </c>
      <c r="H301" s="1">
        <f ca="1">INDEX(INDIRECT(""&amp;C301&amp;"!A2:A489"),MATCH(B301,INDIRECT(""&amp;C301&amp;"!B2:B489"),0))</f>
        <v>91</v>
      </c>
      <c r="I301" s="1">
        <f>IF(C301="RB",LeagueInfo!$D$4*LeagueInfo!$F$2,IF(C301="WR",LeagueInfo!$D$5*LeagueInfo!$F$2,IF(C301="TE",LeagueInfo!$D$6*LeagueInfo!$F$2,LeagueInfo!$D$3*LeagueInfo!$F$2)))</f>
        <v>24</v>
      </c>
    </row>
    <row r="302" spans="1:9" x14ac:dyDescent="0.25">
      <c r="A302" s="1">
        <f ca="1">RANK(E302,E$2:E$619)</f>
        <v>304</v>
      </c>
      <c r="B302" s="1" t="s">
        <v>236</v>
      </c>
      <c r="C302" s="1" t="s">
        <v>39</v>
      </c>
      <c r="D302" s="1">
        <f ca="1">INDEX(INDIRECT($C302&amp;"!O:O"),MATCH($B302,INDIRECT($C302&amp;"!B:B"),0))</f>
        <v>27.110000000000003</v>
      </c>
      <c r="E302" s="254">
        <f ca="1">D302-LARGE(D$2:D$619,RBCount+WRCount+TECount+QBCount)</f>
        <v>-56.760000000000005</v>
      </c>
      <c r="F302" s="1" t="str">
        <f ca="1">IF(H302&lt;=I302,"Starter",IF(G302&gt;=LARGE(G:G,FlexOn*LeagueInfo!$F$2),"Starter","Bench"))</f>
        <v>Bench</v>
      </c>
      <c r="G302" s="1">
        <f ca="1">IF(H302&gt;I302,D302,0)</f>
        <v>27.110000000000003</v>
      </c>
      <c r="H302" s="1">
        <f ca="1">INDEX(INDIRECT(""&amp;C302&amp;"!A2:A489"),MATCH(B302,INDIRECT(""&amp;C302&amp;"!B2:B489"),0))</f>
        <v>124</v>
      </c>
      <c r="I302" s="1">
        <f>IF(C302="RB",LeagueInfo!$D$4*LeagueInfo!$F$2,IF(C302="WR",LeagueInfo!$D$5*LeagueInfo!$F$2,IF(C302="TE",LeagueInfo!$D$6*LeagueInfo!$F$2,LeagueInfo!$D$3*LeagueInfo!$F$2)))</f>
        <v>24</v>
      </c>
    </row>
    <row r="303" spans="1:9" x14ac:dyDescent="0.25">
      <c r="A303" s="1">
        <f ca="1">RANK(E303,E$2:E$619)</f>
        <v>316</v>
      </c>
      <c r="B303" s="1" t="s">
        <v>741</v>
      </c>
      <c r="C303" s="1" t="s">
        <v>47</v>
      </c>
      <c r="D303" s="1">
        <f ca="1">INDEX(INDIRECT($C303&amp;"!O:O"),MATCH($B303,INDIRECT($C303&amp;"!B:B"),0))</f>
        <v>24.140000000000004</v>
      </c>
      <c r="E303" s="254">
        <f ca="1">D303-LARGE(D$2:D$619,RBCount+WRCount+TECount+QBCount)</f>
        <v>-59.730000000000004</v>
      </c>
      <c r="F303" s="1" t="str">
        <f ca="1">IF(H303&lt;=I303,"Starter",IF(G303&gt;=LARGE(G:G,FlexOn*LeagueInfo!$F$2),"Starter","Bench"))</f>
        <v>Bench</v>
      </c>
      <c r="G303" s="1">
        <f ca="1">IF(H303&gt;I303,D303,0)</f>
        <v>24.140000000000004</v>
      </c>
      <c r="H303" s="1">
        <f ca="1">INDEX(INDIRECT(""&amp;C303&amp;"!A2:A489"),MATCH(B303,INDIRECT(""&amp;C303&amp;"!B2:B489"),0))</f>
        <v>51</v>
      </c>
      <c r="I303" s="1">
        <f>IF(C303="RB",LeagueInfo!$D$4*LeagueInfo!$F$2,IF(C303="WR",LeagueInfo!$D$5*LeagueInfo!$F$2,IF(C303="TE",LeagueInfo!$D$6*LeagueInfo!$F$2,LeagueInfo!$D$3*LeagueInfo!$F$2)))</f>
        <v>12</v>
      </c>
    </row>
    <row r="304" spans="1:9" x14ac:dyDescent="0.25">
      <c r="A304" s="1">
        <f ca="1">RANK(E304,E$2:E$619)</f>
        <v>311</v>
      </c>
      <c r="B304" s="1" t="s">
        <v>737</v>
      </c>
      <c r="C304" s="1" t="s">
        <v>47</v>
      </c>
      <c r="D304" s="1">
        <f ca="1">INDEX(INDIRECT($C304&amp;"!O:O"),MATCH($B304,INDIRECT($C304&amp;"!B:B"),0))</f>
        <v>26.03</v>
      </c>
      <c r="E304" s="254">
        <f ca="1">D304-LARGE(D$2:D$619,RBCount+WRCount+TECount+QBCount)</f>
        <v>-57.84</v>
      </c>
      <c r="F304" s="1" t="str">
        <f ca="1">IF(H304&lt;=I304,"Starter",IF(G304&gt;=LARGE(G:G,FlexOn*LeagueInfo!$F$2),"Starter","Bench"))</f>
        <v>Bench</v>
      </c>
      <c r="G304" s="1">
        <f ca="1">IF(H304&gt;I304,D304,0)</f>
        <v>26.03</v>
      </c>
      <c r="H304" s="1">
        <f ca="1">INDEX(INDIRECT(""&amp;C304&amp;"!A2:A489"),MATCH(B304,INDIRECT(""&amp;C304&amp;"!B2:B489"),0))</f>
        <v>50</v>
      </c>
      <c r="I304" s="1">
        <f>IF(C304="RB",LeagueInfo!$D$4*LeagueInfo!$F$2,IF(C304="WR",LeagueInfo!$D$5*LeagueInfo!$F$2,IF(C304="TE",LeagueInfo!$D$6*LeagueInfo!$F$2,LeagueInfo!$D$3*LeagueInfo!$F$2)))</f>
        <v>12</v>
      </c>
    </row>
    <row r="305" spans="1:9" x14ac:dyDescent="0.25">
      <c r="A305" s="1">
        <f ca="1">RANK(E305,E$2:E$619)</f>
        <v>303</v>
      </c>
      <c r="B305" s="1" t="s">
        <v>596</v>
      </c>
      <c r="C305" s="1" t="s">
        <v>39</v>
      </c>
      <c r="D305" s="1">
        <f ca="1">INDEX(INDIRECT($C305&amp;"!O:O"),MATCH($B305,INDIRECT($C305&amp;"!B:B"),0))</f>
        <v>27.310000000000002</v>
      </c>
      <c r="E305" s="254">
        <f ca="1">D305-LARGE(D$2:D$619,RBCount+WRCount+TECount+QBCount)</f>
        <v>-56.56</v>
      </c>
      <c r="F305" s="1" t="str">
        <f ca="1">IF(H305&lt;=I305,"Starter",IF(G305&gt;=LARGE(G:G,FlexOn*LeagueInfo!$F$2),"Starter","Bench"))</f>
        <v>Bench</v>
      </c>
      <c r="G305" s="1">
        <f ca="1">IF(H305&gt;I305,D305,0)</f>
        <v>27.310000000000002</v>
      </c>
      <c r="H305" s="1">
        <f ca="1">INDEX(INDIRECT(""&amp;C305&amp;"!A2:A489"),MATCH(B305,INDIRECT(""&amp;C305&amp;"!B2:B489"),0))</f>
        <v>123</v>
      </c>
      <c r="I305" s="1">
        <f>IF(C305="RB",LeagueInfo!$D$4*LeagueInfo!$F$2,IF(C305="WR",LeagueInfo!$D$5*LeagueInfo!$F$2,IF(C305="TE",LeagueInfo!$D$6*LeagueInfo!$F$2,LeagueInfo!$D$3*LeagueInfo!$F$2)))</f>
        <v>24</v>
      </c>
    </row>
    <row r="306" spans="1:9" x14ac:dyDescent="0.25">
      <c r="A306" s="1">
        <f ca="1">RANK(E306,E$2:E$619)</f>
        <v>269</v>
      </c>
      <c r="B306" s="1" t="s">
        <v>467</v>
      </c>
      <c r="C306" s="1" t="s">
        <v>32</v>
      </c>
      <c r="D306" s="1">
        <f ca="1">INDEX(INDIRECT($C306&amp;"!O:O"),MATCH($B306,INDIRECT($C306&amp;"!B:B"),0))</f>
        <v>33.18</v>
      </c>
      <c r="E306" s="254">
        <f ca="1">D306-LARGE(D$2:D$619,RBCount+WRCount+TECount+QBCount)</f>
        <v>-50.690000000000005</v>
      </c>
      <c r="F306" s="1" t="str">
        <f ca="1">IF(H306&lt;=I306,"Starter",IF(G306&gt;=LARGE(G:G,FlexOn*LeagueInfo!$F$2),"Starter","Bench"))</f>
        <v>Bench</v>
      </c>
      <c r="G306" s="1">
        <f ca="1">IF(H306&gt;I306,D306,0)</f>
        <v>33.18</v>
      </c>
      <c r="H306" s="1">
        <f ca="1">INDEX(INDIRECT(""&amp;C306&amp;"!A2:A489"),MATCH(B306,INDIRECT(""&amp;C306&amp;"!B2:B489"),0))</f>
        <v>81</v>
      </c>
      <c r="I306" s="1">
        <f>IF(C306="RB",LeagueInfo!$D$4*LeagueInfo!$F$2,IF(C306="WR",LeagueInfo!$D$5*LeagueInfo!$F$2,IF(C306="TE",LeagueInfo!$D$6*LeagueInfo!$F$2,LeagueInfo!$D$3*LeagueInfo!$F$2)))</f>
        <v>24</v>
      </c>
    </row>
    <row r="307" spans="1:9" x14ac:dyDescent="0.25">
      <c r="A307" s="1">
        <f ca="1">RANK(E307,E$2:E$619)</f>
        <v>291</v>
      </c>
      <c r="B307" s="1" t="s">
        <v>455</v>
      </c>
      <c r="C307" s="1" t="s">
        <v>32</v>
      </c>
      <c r="D307" s="1">
        <f ca="1">INDEX(INDIRECT($C307&amp;"!O:O"),MATCH($B307,INDIRECT($C307&amp;"!B:B"),0))</f>
        <v>29.580000000000002</v>
      </c>
      <c r="E307" s="254">
        <f ca="1">D307-LARGE(D$2:D$619,RBCount+WRCount+TECount+QBCount)</f>
        <v>-54.290000000000006</v>
      </c>
      <c r="F307" s="1" t="str">
        <f ca="1">IF(H307&lt;=I307,"Starter",IF(G307&gt;=LARGE(G:G,FlexOn*LeagueInfo!$F$2),"Starter","Bench"))</f>
        <v>Bench</v>
      </c>
      <c r="G307" s="1">
        <f ca="1">IF(H307&gt;I307,D307,0)</f>
        <v>29.580000000000002</v>
      </c>
      <c r="H307" s="1">
        <f ca="1">INDEX(INDIRECT(""&amp;C307&amp;"!A2:A489"),MATCH(B307,INDIRECT(""&amp;C307&amp;"!B2:B489"),0))</f>
        <v>88</v>
      </c>
      <c r="I307" s="1">
        <f>IF(C307="RB",LeagueInfo!$D$4*LeagueInfo!$F$2,IF(C307="WR",LeagueInfo!$D$5*LeagueInfo!$F$2,IF(C307="TE",LeagueInfo!$D$6*LeagueInfo!$F$2,LeagueInfo!$D$3*LeagueInfo!$F$2)))</f>
        <v>24</v>
      </c>
    </row>
    <row r="308" spans="1:9" x14ac:dyDescent="0.25">
      <c r="A308" s="1">
        <f ca="1">RANK(E308,E$2:E$619)</f>
        <v>292</v>
      </c>
      <c r="B308" s="1" t="s">
        <v>469</v>
      </c>
      <c r="C308" s="1" t="s">
        <v>32</v>
      </c>
      <c r="D308" s="1">
        <f ca="1">INDEX(INDIRECT($C308&amp;"!O:O"),MATCH($B308,INDIRECT($C308&amp;"!B:B"),0))</f>
        <v>29.46</v>
      </c>
      <c r="E308" s="254">
        <f ca="1">D308-LARGE(D$2:D$619,RBCount+WRCount+TECount+QBCount)</f>
        <v>-54.410000000000004</v>
      </c>
      <c r="F308" s="1" t="str">
        <f ca="1">IF(H308&lt;=I308,"Starter",IF(G308&gt;=LARGE(G:G,FlexOn*LeagueInfo!$F$2),"Starter","Bench"))</f>
        <v>Bench</v>
      </c>
      <c r="G308" s="1">
        <f ca="1">IF(H308&gt;I308,D308,0)</f>
        <v>29.46</v>
      </c>
      <c r="H308" s="1">
        <f ca="1">INDEX(INDIRECT(""&amp;C308&amp;"!A2:A489"),MATCH(B308,INDIRECT(""&amp;C308&amp;"!B2:B489"),0))</f>
        <v>89</v>
      </c>
      <c r="I308" s="1">
        <f>IF(C308="RB",LeagueInfo!$D$4*LeagueInfo!$F$2,IF(C308="WR",LeagueInfo!$D$5*LeagueInfo!$F$2,IF(C308="TE",LeagueInfo!$D$6*LeagueInfo!$F$2,LeagueInfo!$D$3*LeagueInfo!$F$2)))</f>
        <v>24</v>
      </c>
    </row>
    <row r="309" spans="1:9" x14ac:dyDescent="0.25">
      <c r="A309" s="1">
        <f ca="1">RANK(E309,E$2:E$619)</f>
        <v>288</v>
      </c>
      <c r="B309" s="1" t="s">
        <v>458</v>
      </c>
      <c r="C309" s="1" t="s">
        <v>32</v>
      </c>
      <c r="D309" s="1">
        <f ca="1">INDEX(INDIRECT($C309&amp;"!O:O"),MATCH($B309,INDIRECT($C309&amp;"!B:B"),0))</f>
        <v>29.889999999999997</v>
      </c>
      <c r="E309" s="254">
        <f ca="1">D309-LARGE(D$2:D$619,RBCount+WRCount+TECount+QBCount)</f>
        <v>-53.980000000000004</v>
      </c>
      <c r="F309" s="1" t="str">
        <f ca="1">IF(H309&lt;=I309,"Starter",IF(G309&gt;=LARGE(G:G,FlexOn*LeagueInfo!$F$2),"Starter","Bench"))</f>
        <v>Bench</v>
      </c>
      <c r="G309" s="1">
        <f ca="1">IF(H309&gt;I309,D309,0)</f>
        <v>29.889999999999997</v>
      </c>
      <c r="H309" s="1">
        <f ca="1">INDEX(INDIRECT(""&amp;C309&amp;"!A2:A489"),MATCH(B309,INDIRECT(""&amp;C309&amp;"!B2:B489"),0))</f>
        <v>87</v>
      </c>
      <c r="I309" s="1">
        <f>IF(C309="RB",LeagueInfo!$D$4*LeagueInfo!$F$2,IF(C309="WR",LeagueInfo!$D$5*LeagueInfo!$F$2,IF(C309="TE",LeagueInfo!$D$6*LeagueInfo!$F$2,LeagueInfo!$D$3*LeagueInfo!$F$2)))</f>
        <v>24</v>
      </c>
    </row>
    <row r="310" spans="1:9" x14ac:dyDescent="0.25">
      <c r="A310" s="1">
        <f ca="1">RANK(E310,E$2:E$619)</f>
        <v>321</v>
      </c>
      <c r="B310" s="1" t="s">
        <v>744</v>
      </c>
      <c r="C310" s="1" t="s">
        <v>47</v>
      </c>
      <c r="D310" s="1">
        <f ca="1">INDEX(INDIRECT($C310&amp;"!O:O"),MATCH($B310,INDIRECT($C310&amp;"!B:B"),0))</f>
        <v>22.730000000000004</v>
      </c>
      <c r="E310" s="254">
        <f ca="1">D310-LARGE(D$2:D$619,RBCount+WRCount+TECount+QBCount)</f>
        <v>-61.14</v>
      </c>
      <c r="F310" s="1" t="str">
        <f ca="1">IF(H310&lt;=I310,"Starter",IF(G310&gt;=LARGE(G:G,FlexOn*LeagueInfo!$F$2),"Starter","Bench"))</f>
        <v>Bench</v>
      </c>
      <c r="G310" s="1">
        <f ca="1">IF(H310&gt;I310,D310,0)</f>
        <v>22.730000000000004</v>
      </c>
      <c r="H310" s="1">
        <f ca="1">INDEX(INDIRECT(""&amp;C310&amp;"!A2:A489"),MATCH(B310,INDIRECT(""&amp;C310&amp;"!B2:B489"),0))</f>
        <v>53</v>
      </c>
      <c r="I310" s="1">
        <f>IF(C310="RB",LeagueInfo!$D$4*LeagueInfo!$F$2,IF(C310="WR",LeagueInfo!$D$5*LeagueInfo!$F$2,IF(C310="TE",LeagueInfo!$D$6*LeagueInfo!$F$2,LeagueInfo!$D$3*LeagueInfo!$F$2)))</f>
        <v>12</v>
      </c>
    </row>
    <row r="311" spans="1:9" x14ac:dyDescent="0.25">
      <c r="A311" s="1">
        <f ca="1">RANK(E311,E$2:E$619)</f>
        <v>306</v>
      </c>
      <c r="B311" s="1" t="s">
        <v>468</v>
      </c>
      <c r="C311" s="1" t="s">
        <v>32</v>
      </c>
      <c r="D311" s="1">
        <f ca="1">INDEX(INDIRECT($C311&amp;"!O:O"),MATCH($B311,INDIRECT($C311&amp;"!B:B"),0))</f>
        <v>27.08</v>
      </c>
      <c r="E311" s="254">
        <f ca="1">D311-LARGE(D$2:D$619,RBCount+WRCount+TECount+QBCount)</f>
        <v>-56.790000000000006</v>
      </c>
      <c r="F311" s="1" t="str">
        <f ca="1">IF(H311&lt;=I311,"Starter",IF(G311&gt;=LARGE(G:G,FlexOn*LeagueInfo!$F$2),"Starter","Bench"))</f>
        <v>Bench</v>
      </c>
      <c r="G311" s="1">
        <f ca="1">IF(H311&gt;I311,D311,0)</f>
        <v>27.08</v>
      </c>
      <c r="H311" s="1">
        <f ca="1">INDEX(INDIRECT(""&amp;C311&amp;"!A2:A489"),MATCH(B311,INDIRECT(""&amp;C311&amp;"!B2:B489"),0))</f>
        <v>93</v>
      </c>
      <c r="I311" s="1">
        <f>IF(C311="RB",LeagueInfo!$D$4*LeagueInfo!$F$2,IF(C311="WR",LeagueInfo!$D$5*LeagueInfo!$F$2,IF(C311="TE",LeagueInfo!$D$6*LeagueInfo!$F$2,LeagueInfo!$D$3*LeagueInfo!$F$2)))</f>
        <v>24</v>
      </c>
    </row>
    <row r="312" spans="1:9" x14ac:dyDescent="0.25">
      <c r="A312" s="1">
        <f ca="1">RANK(E312,E$2:E$619)</f>
        <v>308</v>
      </c>
      <c r="B312" s="1" t="s">
        <v>464</v>
      </c>
      <c r="C312" s="1" t="s">
        <v>32</v>
      </c>
      <c r="D312" s="1">
        <f ca="1">INDEX(INDIRECT($C312&amp;"!O:O"),MATCH($B312,INDIRECT($C312&amp;"!B:B"),0))</f>
        <v>26.64</v>
      </c>
      <c r="E312" s="254">
        <f ca="1">D312-LARGE(D$2:D$619,RBCount+WRCount+TECount+QBCount)</f>
        <v>-57.230000000000004</v>
      </c>
      <c r="F312" s="1" t="str">
        <f ca="1">IF(H312&lt;=I312,"Starter",IF(G312&gt;=LARGE(G:G,FlexOn*LeagueInfo!$F$2),"Starter","Bench"))</f>
        <v>Bench</v>
      </c>
      <c r="G312" s="1">
        <f ca="1">IF(H312&gt;I312,D312,0)</f>
        <v>26.64</v>
      </c>
      <c r="H312" s="1">
        <f ca="1">INDEX(INDIRECT(""&amp;C312&amp;"!A2:A489"),MATCH(B312,INDIRECT(""&amp;C312&amp;"!B2:B489"),0))</f>
        <v>94</v>
      </c>
      <c r="I312" s="1">
        <f>IF(C312="RB",LeagueInfo!$D$4*LeagueInfo!$F$2,IF(C312="WR",LeagueInfo!$D$5*LeagueInfo!$F$2,IF(C312="TE",LeagueInfo!$D$6*LeagueInfo!$F$2,LeagueInfo!$D$3*LeagueInfo!$F$2)))</f>
        <v>24</v>
      </c>
    </row>
    <row r="313" spans="1:9" x14ac:dyDescent="0.25">
      <c r="A313" s="1">
        <f ca="1">RANK(E313,E$2:E$619)</f>
        <v>318</v>
      </c>
      <c r="B313" s="1" t="s">
        <v>731</v>
      </c>
      <c r="C313" s="1" t="s">
        <v>47</v>
      </c>
      <c r="D313" s="1">
        <f ca="1">INDEX(INDIRECT($C313&amp;"!O:O"),MATCH($B313,INDIRECT($C313&amp;"!B:B"),0))</f>
        <v>23.6</v>
      </c>
      <c r="E313" s="254">
        <f ca="1">D313-LARGE(D$2:D$619,RBCount+WRCount+TECount+QBCount)</f>
        <v>-60.27</v>
      </c>
      <c r="F313" s="1" t="str">
        <f ca="1">IF(H313&lt;=I313,"Starter",IF(G313&gt;=LARGE(G:G,FlexOn*LeagueInfo!$F$2),"Starter","Bench"))</f>
        <v>Bench</v>
      </c>
      <c r="G313" s="1">
        <f ca="1">IF(H313&gt;I313,D313,0)</f>
        <v>23.6</v>
      </c>
      <c r="H313" s="1">
        <f ca="1">INDEX(INDIRECT(""&amp;C313&amp;"!A2:A489"),MATCH(B313,INDIRECT(""&amp;C313&amp;"!B2:B489"),0))</f>
        <v>52</v>
      </c>
      <c r="I313" s="1">
        <f>IF(C313="RB",LeagueInfo!$D$4*LeagueInfo!$F$2,IF(C313="WR",LeagueInfo!$D$5*LeagueInfo!$F$2,IF(C313="TE",LeagueInfo!$D$6*LeagueInfo!$F$2,LeagueInfo!$D$3*LeagueInfo!$F$2)))</f>
        <v>12</v>
      </c>
    </row>
    <row r="314" spans="1:9" x14ac:dyDescent="0.25">
      <c r="A314" s="1">
        <f ca="1">RANK(E314,E$2:E$619)</f>
        <v>302</v>
      </c>
      <c r="B314" s="1" t="s">
        <v>396</v>
      </c>
      <c r="C314" s="1" t="s">
        <v>33</v>
      </c>
      <c r="D314" s="1">
        <f ca="1">INDEX(INDIRECT($C314&amp;"!O:O"),MATCH($B314,INDIRECT($C314&amp;"!B:B"),0))</f>
        <v>27.64</v>
      </c>
      <c r="E314" s="254">
        <f ca="1">D314-LARGE(D$2:D$619,RBCount+WRCount+TECount+QBCount)</f>
        <v>-56.230000000000004</v>
      </c>
      <c r="F314" s="1" t="str">
        <f ca="1">IF(H314&lt;=I314,"Starter",IF(G314&gt;=LARGE(G:G,FlexOn*LeagueInfo!$F$2),"Starter","Bench"))</f>
        <v>Bench</v>
      </c>
      <c r="G314" s="1">
        <f ca="1">IF(H314&gt;I314,D314,0)</f>
        <v>27.64</v>
      </c>
      <c r="H314" s="1">
        <f ca="1">INDEX(INDIRECT(""&amp;C314&amp;"!A2:A489"),MATCH(B314,INDIRECT(""&amp;C314&amp;"!B2:B489"),0))</f>
        <v>39</v>
      </c>
      <c r="I314" s="1">
        <f>IF(C314="RB",LeagueInfo!$D$4*LeagueInfo!$F$2,IF(C314="WR",LeagueInfo!$D$5*LeagueInfo!$F$2,IF(C314="TE",LeagueInfo!$D$6*LeagueInfo!$F$2,LeagueInfo!$D$3*LeagueInfo!$F$2)))</f>
        <v>12</v>
      </c>
    </row>
    <row r="315" spans="1:9" x14ac:dyDescent="0.25">
      <c r="A315" s="1">
        <f ca="1">RANK(E315,E$2:E$619)</f>
        <v>317</v>
      </c>
      <c r="B315" s="1" t="s">
        <v>466</v>
      </c>
      <c r="C315" s="1" t="s">
        <v>32</v>
      </c>
      <c r="D315" s="1">
        <f ca="1">INDEX(INDIRECT($C315&amp;"!O:O"),MATCH($B315,INDIRECT($C315&amp;"!B:B"),0))</f>
        <v>23.950000000000003</v>
      </c>
      <c r="E315" s="254">
        <f ca="1">D315-LARGE(D$2:D$619,RBCount+WRCount+TECount+QBCount)</f>
        <v>-59.92</v>
      </c>
      <c r="F315" s="1" t="str">
        <f ca="1">IF(H315&lt;=I315,"Starter",IF(G315&gt;=LARGE(G:G,FlexOn*LeagueInfo!$F$2),"Starter","Bench"))</f>
        <v>Bench</v>
      </c>
      <c r="G315" s="1">
        <f ca="1">IF(H315&gt;I315,D315,0)</f>
        <v>23.950000000000003</v>
      </c>
      <c r="H315" s="1">
        <f ca="1">INDEX(INDIRECT(""&amp;C315&amp;"!A2:A489"),MATCH(B315,INDIRECT(""&amp;C315&amp;"!B2:B489"),0))</f>
        <v>97</v>
      </c>
      <c r="I315" s="1">
        <f>IF(C315="RB",LeagueInfo!$D$4*LeagueInfo!$F$2,IF(C315="WR",LeagueInfo!$D$5*LeagueInfo!$F$2,IF(C315="TE",LeagueInfo!$D$6*LeagueInfo!$F$2,LeagueInfo!$D$3*LeagueInfo!$F$2)))</f>
        <v>24</v>
      </c>
    </row>
    <row r="316" spans="1:9" x14ac:dyDescent="0.25">
      <c r="A316" s="1">
        <f ca="1">RANK(E316,E$2:E$619)</f>
        <v>315</v>
      </c>
      <c r="B316" s="1" t="s">
        <v>618</v>
      </c>
      <c r="C316" s="1" t="s">
        <v>39</v>
      </c>
      <c r="D316" s="1">
        <f ca="1">INDEX(INDIRECT($C316&amp;"!O:O"),MATCH($B316,INDIRECT($C316&amp;"!B:B"),0))</f>
        <v>24.45</v>
      </c>
      <c r="E316" s="254">
        <f ca="1">D316-LARGE(D$2:D$619,RBCount+WRCount+TECount+QBCount)</f>
        <v>-59.42</v>
      </c>
      <c r="F316" s="1" t="str">
        <f ca="1">IF(H316&lt;=I316,"Starter",IF(G316&gt;=LARGE(G:G,FlexOn*LeagueInfo!$F$2),"Starter","Bench"))</f>
        <v>Bench</v>
      </c>
      <c r="G316" s="1">
        <f ca="1">IF(H316&gt;I316,D316,0)</f>
        <v>24.45</v>
      </c>
      <c r="H316" s="1">
        <f ca="1">INDEX(INDIRECT(""&amp;C316&amp;"!A2:A489"),MATCH(B316,INDIRECT(""&amp;C316&amp;"!B2:B489"),0))</f>
        <v>128</v>
      </c>
      <c r="I316" s="1">
        <f>IF(C316="RB",LeagueInfo!$D$4*LeagueInfo!$F$2,IF(C316="WR",LeagueInfo!$D$5*LeagueInfo!$F$2,IF(C316="TE",LeagueInfo!$D$6*LeagueInfo!$F$2,LeagueInfo!$D$3*LeagueInfo!$F$2)))</f>
        <v>24</v>
      </c>
    </row>
    <row r="317" spans="1:9" x14ac:dyDescent="0.25">
      <c r="A317" s="1">
        <f ca="1">RANK(E317,E$2:E$619)</f>
        <v>322</v>
      </c>
      <c r="B317" s="1" t="s">
        <v>743</v>
      </c>
      <c r="C317" s="1" t="s">
        <v>47</v>
      </c>
      <c r="D317" s="1">
        <f ca="1">INDEX(INDIRECT($C317&amp;"!O:O"),MATCH($B317,INDIRECT($C317&amp;"!B:B"),0))</f>
        <v>22.650000000000002</v>
      </c>
      <c r="E317" s="254">
        <f ca="1">D317-LARGE(D$2:D$619,RBCount+WRCount+TECount+QBCount)</f>
        <v>-61.22</v>
      </c>
      <c r="F317" s="1" t="str">
        <f ca="1">IF(H317&lt;=I317,"Starter",IF(G317&gt;=LARGE(G:G,FlexOn*LeagueInfo!$F$2),"Starter","Bench"))</f>
        <v>Bench</v>
      </c>
      <c r="G317" s="1">
        <f ca="1">IF(H317&gt;I317,D317,0)</f>
        <v>22.650000000000002</v>
      </c>
      <c r="H317" s="1">
        <f ca="1">INDEX(INDIRECT(""&amp;C317&amp;"!A2:A489"),MATCH(B317,INDIRECT(""&amp;C317&amp;"!B2:B489"),0))</f>
        <v>54</v>
      </c>
      <c r="I317" s="1">
        <f>IF(C317="RB",LeagueInfo!$D$4*LeagueInfo!$F$2,IF(C317="WR",LeagueInfo!$D$5*LeagueInfo!$F$2,IF(C317="TE",LeagueInfo!$D$6*LeagueInfo!$F$2,LeagueInfo!$D$3*LeagueInfo!$F$2)))</f>
        <v>12</v>
      </c>
    </row>
    <row r="318" spans="1:9" x14ac:dyDescent="0.25">
      <c r="A318" s="1">
        <f ca="1">RANK(E318,E$2:E$619)</f>
        <v>320</v>
      </c>
      <c r="B318" s="1" t="s">
        <v>595</v>
      </c>
      <c r="C318" s="1" t="s">
        <v>39</v>
      </c>
      <c r="D318" s="1">
        <f ca="1">INDEX(INDIRECT($C318&amp;"!O:O"),MATCH($B318,INDIRECT($C318&amp;"!B:B"),0))</f>
        <v>22.91</v>
      </c>
      <c r="E318" s="254">
        <f ca="1">D318-LARGE(D$2:D$619,RBCount+WRCount+TECount+QBCount)</f>
        <v>-60.960000000000008</v>
      </c>
      <c r="F318" s="1" t="str">
        <f ca="1">IF(H318&lt;=I318,"Starter",IF(G318&gt;=LARGE(G:G,FlexOn*LeagueInfo!$F$2),"Starter","Bench"))</f>
        <v>Bench</v>
      </c>
      <c r="G318" s="1">
        <f ca="1">IF(H318&gt;I318,D318,0)</f>
        <v>22.91</v>
      </c>
      <c r="H318" s="1">
        <f ca="1">INDEX(INDIRECT(""&amp;C318&amp;"!A2:A489"),MATCH(B318,INDIRECT(""&amp;C318&amp;"!B2:B489"),0))</f>
        <v>129</v>
      </c>
      <c r="I318" s="1">
        <f>IF(C318="RB",LeagueInfo!$D$4*LeagueInfo!$F$2,IF(C318="WR",LeagueInfo!$D$5*LeagueInfo!$F$2,IF(C318="TE",LeagueInfo!$D$6*LeagueInfo!$F$2,LeagueInfo!$D$3*LeagueInfo!$F$2)))</f>
        <v>24</v>
      </c>
    </row>
    <row r="319" spans="1:9" x14ac:dyDescent="0.25">
      <c r="A319" s="1">
        <f ca="1">RANK(E319,E$2:E$619)</f>
        <v>324</v>
      </c>
      <c r="B319" s="1" t="s">
        <v>612</v>
      </c>
      <c r="C319" s="1" t="s">
        <v>39</v>
      </c>
      <c r="D319" s="1">
        <f ca="1">INDEX(INDIRECT($C319&amp;"!O:O"),MATCH($B319,INDIRECT($C319&amp;"!B:B"),0))</f>
        <v>22.430000000000003</v>
      </c>
      <c r="E319" s="254">
        <f ca="1">D319-LARGE(D$2:D$619,RBCount+WRCount+TECount+QBCount)</f>
        <v>-61.44</v>
      </c>
      <c r="F319" s="1" t="str">
        <f ca="1">IF(H319&lt;=I319,"Starter",IF(G319&gt;=LARGE(G:G,FlexOn*LeagueInfo!$F$2),"Starter","Bench"))</f>
        <v>Bench</v>
      </c>
      <c r="G319" s="1">
        <f ca="1">IF(H319&gt;I319,D319,0)</f>
        <v>22.430000000000003</v>
      </c>
      <c r="H319" s="1">
        <f ca="1">INDEX(INDIRECT(""&amp;C319&amp;"!A2:A489"),MATCH(B319,INDIRECT(""&amp;C319&amp;"!B2:B489"),0))</f>
        <v>130</v>
      </c>
      <c r="I319" s="1">
        <f>IF(C319="RB",LeagueInfo!$D$4*LeagueInfo!$F$2,IF(C319="WR",LeagueInfo!$D$5*LeagueInfo!$F$2,IF(C319="TE",LeagueInfo!$D$6*LeagueInfo!$F$2,LeagueInfo!$D$3*LeagueInfo!$F$2)))</f>
        <v>24</v>
      </c>
    </row>
    <row r="320" spans="1:9" x14ac:dyDescent="0.25">
      <c r="A320" s="1">
        <f ca="1">RANK(E320,E$2:E$619)</f>
        <v>325</v>
      </c>
      <c r="B320" s="1" t="s">
        <v>739</v>
      </c>
      <c r="C320" s="1" t="s">
        <v>47</v>
      </c>
      <c r="D320" s="1">
        <f ca="1">INDEX(INDIRECT($C320&amp;"!O:O"),MATCH($B320,INDIRECT($C320&amp;"!B:B"),0))</f>
        <v>22.400000000000002</v>
      </c>
      <c r="E320" s="254">
        <f ca="1">D320-LARGE(D$2:D$619,RBCount+WRCount+TECount+QBCount)</f>
        <v>-61.47</v>
      </c>
      <c r="F320" s="1" t="str">
        <f ca="1">IF(H320&lt;=I320,"Starter",IF(G320&gt;=LARGE(G:G,FlexOn*LeagueInfo!$F$2),"Starter","Bench"))</f>
        <v>Bench</v>
      </c>
      <c r="G320" s="1">
        <f ca="1">IF(H320&gt;I320,D320,0)</f>
        <v>22.400000000000002</v>
      </c>
      <c r="H320" s="1">
        <f ca="1">INDEX(INDIRECT(""&amp;C320&amp;"!A2:A489"),MATCH(B320,INDIRECT(""&amp;C320&amp;"!B2:B489"),0))</f>
        <v>55</v>
      </c>
      <c r="I320" s="1">
        <f>IF(C320="RB",LeagueInfo!$D$4*LeagueInfo!$F$2,IF(C320="WR",LeagueInfo!$D$5*LeagueInfo!$F$2,IF(C320="TE",LeagueInfo!$D$6*LeagueInfo!$F$2,LeagueInfo!$D$3*LeagueInfo!$F$2)))</f>
        <v>12</v>
      </c>
    </row>
    <row r="321" spans="1:9" x14ac:dyDescent="0.25">
      <c r="A321" s="1">
        <f ca="1">RANK(E321,E$2:E$619)</f>
        <v>331</v>
      </c>
      <c r="B321" s="1" t="s">
        <v>728</v>
      </c>
      <c r="C321" s="1" t="s">
        <v>47</v>
      </c>
      <c r="D321" s="1">
        <f ca="1">INDEX(INDIRECT($C321&amp;"!O:O"),MATCH($B321,INDIRECT($C321&amp;"!B:B"),0))</f>
        <v>20.37</v>
      </c>
      <c r="E321" s="254">
        <f ca="1">D321-LARGE(D$2:D$619,RBCount+WRCount+TECount+QBCount)</f>
        <v>-63.5</v>
      </c>
      <c r="F321" s="1" t="str">
        <f ca="1">IF(H321&lt;=I321,"Starter",IF(G321&gt;=LARGE(G:G,FlexOn*LeagueInfo!$F$2),"Starter","Bench"))</f>
        <v>Bench</v>
      </c>
      <c r="G321" s="1">
        <f ca="1">IF(H321&gt;I321,D321,0)</f>
        <v>20.37</v>
      </c>
      <c r="H321" s="1">
        <f ca="1">INDEX(INDIRECT(""&amp;C321&amp;"!A2:A489"),MATCH(B321,INDIRECT(""&amp;C321&amp;"!B2:B489"),0))</f>
        <v>57</v>
      </c>
      <c r="I321" s="1">
        <f>IF(C321="RB",LeagueInfo!$D$4*LeagueInfo!$F$2,IF(C321="WR",LeagueInfo!$D$5*LeagueInfo!$F$2,IF(C321="TE",LeagueInfo!$D$6*LeagueInfo!$F$2,LeagueInfo!$D$3*LeagueInfo!$F$2)))</f>
        <v>12</v>
      </c>
    </row>
    <row r="322" spans="1:9" x14ac:dyDescent="0.25">
      <c r="A322" s="1">
        <f ca="1">RANK(E322,E$2:E$619)</f>
        <v>313</v>
      </c>
      <c r="B322" s="1" t="s">
        <v>472</v>
      </c>
      <c r="C322" s="1" t="s">
        <v>32</v>
      </c>
      <c r="D322" s="1">
        <f ca="1">INDEX(INDIRECT($C322&amp;"!O:O"),MATCH($B322,INDIRECT($C322&amp;"!B:B"),0))</f>
        <v>24.87</v>
      </c>
      <c r="E322" s="254">
        <f ca="1">D322-LARGE(D$2:D$619,RBCount+WRCount+TECount+QBCount)</f>
        <v>-59</v>
      </c>
      <c r="F322" s="1" t="str">
        <f ca="1">IF(H322&lt;=I322,"Starter",IF(G322&gt;=LARGE(G:G,FlexOn*LeagueInfo!$F$2),"Starter","Bench"))</f>
        <v>Bench</v>
      </c>
      <c r="G322" s="1">
        <f ca="1">IF(H322&gt;I322,D322,0)</f>
        <v>24.87</v>
      </c>
      <c r="H322" s="1">
        <f ca="1">INDEX(INDIRECT(""&amp;C322&amp;"!A2:A489"),MATCH(B322,INDIRECT(""&amp;C322&amp;"!B2:B489"),0))</f>
        <v>95</v>
      </c>
      <c r="I322" s="1">
        <f>IF(C322="RB",LeagueInfo!$D$4*LeagueInfo!$F$2,IF(C322="WR",LeagueInfo!$D$5*LeagueInfo!$F$2,IF(C322="TE",LeagueInfo!$D$6*LeagueInfo!$F$2,LeagueInfo!$D$3*LeagueInfo!$F$2)))</f>
        <v>24</v>
      </c>
    </row>
    <row r="323" spans="1:9" x14ac:dyDescent="0.25">
      <c r="A323" s="1">
        <f ca="1">RANK(E323,E$2:E$619)</f>
        <v>307</v>
      </c>
      <c r="B323" s="1" t="s">
        <v>393</v>
      </c>
      <c r="C323" s="1" t="s">
        <v>33</v>
      </c>
      <c r="D323" s="1">
        <f ca="1">INDEX(INDIRECT($C323&amp;"!O:O"),MATCH($B323,INDIRECT($C323&amp;"!B:B"),0))</f>
        <v>26.757999999999999</v>
      </c>
      <c r="E323" s="254">
        <f ca="1">D323-LARGE(D$2:D$619,RBCount+WRCount+TECount+QBCount)</f>
        <v>-57.112000000000009</v>
      </c>
      <c r="F323" s="1" t="str">
        <f ca="1">IF(H323&lt;=I323,"Starter",IF(G323&gt;=LARGE(G:G,FlexOn*LeagueInfo!$F$2),"Starter","Bench"))</f>
        <v>Bench</v>
      </c>
      <c r="G323" s="1">
        <f ca="1">IF(H323&gt;I323,D323,0)</f>
        <v>26.757999999999999</v>
      </c>
      <c r="H323" s="1">
        <f ca="1">INDEX(INDIRECT(""&amp;C323&amp;"!A2:A489"),MATCH(B323,INDIRECT(""&amp;C323&amp;"!B2:B489"),0))</f>
        <v>40</v>
      </c>
      <c r="I323" s="1">
        <f>IF(C323="RB",LeagueInfo!$D$4*LeagueInfo!$F$2,IF(C323="WR",LeagueInfo!$D$5*LeagueInfo!$F$2,IF(C323="TE",LeagueInfo!$D$6*LeagueInfo!$F$2,LeagueInfo!$D$3*LeagueInfo!$F$2)))</f>
        <v>12</v>
      </c>
    </row>
    <row r="324" spans="1:9" x14ac:dyDescent="0.25">
      <c r="A324" s="1">
        <f ca="1">RANK(E324,E$2:E$619)</f>
        <v>312</v>
      </c>
      <c r="B324" s="1" t="s">
        <v>406</v>
      </c>
      <c r="C324" s="1" t="s">
        <v>33</v>
      </c>
      <c r="D324" s="1">
        <f ca="1">INDEX(INDIRECT($C324&amp;"!O:O"),MATCH($B324,INDIRECT($C324&amp;"!B:B"),0))</f>
        <v>25.155999999999999</v>
      </c>
      <c r="E324" s="254">
        <f ca="1">D324-LARGE(D$2:D$619,RBCount+WRCount+TECount+QBCount)</f>
        <v>-58.714000000000006</v>
      </c>
      <c r="F324" s="1" t="str">
        <f ca="1">IF(H324&lt;=I324,"Starter",IF(G324&gt;=LARGE(G:G,FlexOn*LeagueInfo!$F$2),"Starter","Bench"))</f>
        <v>Bench</v>
      </c>
      <c r="G324" s="1">
        <f ca="1">IF(H324&gt;I324,D324,0)</f>
        <v>25.155999999999999</v>
      </c>
      <c r="H324" s="1">
        <f ca="1">INDEX(INDIRECT(""&amp;C324&amp;"!A2:A489"),MATCH(B324,INDIRECT(""&amp;C324&amp;"!B2:B489"),0))</f>
        <v>41</v>
      </c>
      <c r="I324" s="1">
        <f>IF(C324="RB",LeagueInfo!$D$4*LeagueInfo!$F$2,IF(C324="WR",LeagueInfo!$D$5*LeagueInfo!$F$2,IF(C324="TE",LeagueInfo!$D$6*LeagueInfo!$F$2,LeagueInfo!$D$3*LeagueInfo!$F$2)))</f>
        <v>12</v>
      </c>
    </row>
    <row r="325" spans="1:9" x14ac:dyDescent="0.25">
      <c r="A325" s="1">
        <f ca="1">RANK(E325,E$2:E$619)</f>
        <v>323</v>
      </c>
      <c r="B325" s="1" t="s">
        <v>476</v>
      </c>
      <c r="C325" s="1" t="s">
        <v>32</v>
      </c>
      <c r="D325" s="1">
        <f ca="1">INDEX(INDIRECT($C325&amp;"!O:O"),MATCH($B325,INDIRECT($C325&amp;"!B:B"),0))</f>
        <v>22.480000000000004</v>
      </c>
      <c r="E325" s="254">
        <f ca="1">D325-LARGE(D$2:D$619,RBCount+WRCount+TECount+QBCount)</f>
        <v>-61.39</v>
      </c>
      <c r="F325" s="1" t="str">
        <f ca="1">IF(H325&lt;=I325,"Starter",IF(G325&gt;=LARGE(G:G,FlexOn*LeagueInfo!$F$2),"Starter","Bench"))</f>
        <v>Bench</v>
      </c>
      <c r="G325" s="1">
        <f ca="1">IF(H325&gt;I325,D325,0)</f>
        <v>22.480000000000004</v>
      </c>
      <c r="H325" s="1">
        <f ca="1">INDEX(INDIRECT(""&amp;C325&amp;"!A2:A489"),MATCH(B325,INDIRECT(""&amp;C325&amp;"!B2:B489"),0))</f>
        <v>99</v>
      </c>
      <c r="I325" s="1">
        <f>IF(C325="RB",LeagueInfo!$D$4*LeagueInfo!$F$2,IF(C325="WR",LeagueInfo!$D$5*LeagueInfo!$F$2,IF(C325="TE",LeagueInfo!$D$6*LeagueInfo!$F$2,LeagueInfo!$D$3*LeagueInfo!$F$2)))</f>
        <v>24</v>
      </c>
    </row>
    <row r="326" spans="1:9" x14ac:dyDescent="0.25">
      <c r="A326" s="1">
        <f ca="1">RANK(E326,E$2:E$619)</f>
        <v>329</v>
      </c>
      <c r="B326" s="1" t="s">
        <v>742</v>
      </c>
      <c r="C326" s="1" t="s">
        <v>47</v>
      </c>
      <c r="D326" s="1">
        <f ca="1">INDEX(INDIRECT($C326&amp;"!O:O"),MATCH($B326,INDIRECT($C326&amp;"!B:B"),0))</f>
        <v>20.780000000000005</v>
      </c>
      <c r="E326" s="254">
        <f ca="1">D326-LARGE(D$2:D$619,RBCount+WRCount+TECount+QBCount)</f>
        <v>-63.09</v>
      </c>
      <c r="F326" s="1" t="str">
        <f ca="1">IF(H326&lt;=I326,"Starter",IF(G326&gt;=LARGE(G:G,FlexOn*LeagueInfo!$F$2),"Starter","Bench"))</f>
        <v>Bench</v>
      </c>
      <c r="G326" s="1">
        <f ca="1">IF(H326&gt;I326,D326,0)</f>
        <v>20.780000000000005</v>
      </c>
      <c r="H326" s="1">
        <f ca="1">INDEX(INDIRECT(""&amp;C326&amp;"!A2:A489"),MATCH(B326,INDIRECT(""&amp;C326&amp;"!B2:B489"),0))</f>
        <v>56</v>
      </c>
      <c r="I326" s="1">
        <f>IF(C326="RB",LeagueInfo!$D$4*LeagueInfo!$F$2,IF(C326="WR",LeagueInfo!$D$5*LeagueInfo!$F$2,IF(C326="TE",LeagueInfo!$D$6*LeagueInfo!$F$2,LeagueInfo!$D$3*LeagueInfo!$F$2)))</f>
        <v>12</v>
      </c>
    </row>
    <row r="327" spans="1:9" x14ac:dyDescent="0.25">
      <c r="A327" s="1">
        <f ca="1">RANK(E327,E$2:E$619)</f>
        <v>332</v>
      </c>
      <c r="B327" s="1" t="s">
        <v>748</v>
      </c>
      <c r="C327" s="1" t="s">
        <v>47</v>
      </c>
      <c r="D327" s="1">
        <f ca="1">INDEX(INDIRECT($C327&amp;"!O:O"),MATCH($B327,INDIRECT($C327&amp;"!B:B"),0))</f>
        <v>19.990000000000002</v>
      </c>
      <c r="E327" s="254">
        <f ca="1">D327-LARGE(D$2:D$619,RBCount+WRCount+TECount+QBCount)</f>
        <v>-63.88</v>
      </c>
      <c r="F327" s="1" t="str">
        <f ca="1">IF(H327&lt;=I327,"Starter",IF(G327&gt;=LARGE(G:G,FlexOn*LeagueInfo!$F$2),"Starter","Bench"))</f>
        <v>Bench</v>
      </c>
      <c r="G327" s="1">
        <f ca="1">IF(H327&gt;I327,D327,0)</f>
        <v>19.990000000000002</v>
      </c>
      <c r="H327" s="1">
        <f ca="1">INDEX(INDIRECT(""&amp;C327&amp;"!A2:A489"),MATCH(B327,INDIRECT(""&amp;C327&amp;"!B2:B489"),0))</f>
        <v>58</v>
      </c>
      <c r="I327" s="1">
        <f>IF(C327="RB",LeagueInfo!$D$4*LeagueInfo!$F$2,IF(C327="WR",LeagueInfo!$D$5*LeagueInfo!$F$2,IF(C327="TE",LeagueInfo!$D$6*LeagueInfo!$F$2,LeagueInfo!$D$3*LeagueInfo!$F$2)))</f>
        <v>12</v>
      </c>
    </row>
    <row r="328" spans="1:9" x14ac:dyDescent="0.25">
      <c r="A328" s="1">
        <f ca="1">RANK(E328,E$2:E$619)</f>
        <v>314</v>
      </c>
      <c r="B328" s="1" t="s">
        <v>481</v>
      </c>
      <c r="C328" s="1" t="s">
        <v>32</v>
      </c>
      <c r="D328" s="1">
        <f ca="1">INDEX(INDIRECT($C328&amp;"!O:O"),MATCH($B328,INDIRECT($C328&amp;"!B:B"),0))</f>
        <v>24.500000000000004</v>
      </c>
      <c r="E328" s="254">
        <f ca="1">D328-LARGE(D$2:D$619,RBCount+WRCount+TECount+QBCount)</f>
        <v>-59.370000000000005</v>
      </c>
      <c r="F328" s="1" t="str">
        <f ca="1">IF(H328&lt;=I328,"Starter",IF(G328&gt;=LARGE(G:G,FlexOn*LeagueInfo!$F$2),"Starter","Bench"))</f>
        <v>Bench</v>
      </c>
      <c r="G328" s="1">
        <f ca="1">IF(H328&gt;I328,D328,0)</f>
        <v>24.500000000000004</v>
      </c>
      <c r="H328" s="1">
        <f ca="1">INDEX(INDIRECT(""&amp;C328&amp;"!A2:A489"),MATCH(B328,INDIRECT(""&amp;C328&amp;"!B2:B489"),0))</f>
        <v>96</v>
      </c>
      <c r="I328" s="1">
        <f>IF(C328="RB",LeagueInfo!$D$4*LeagueInfo!$F$2,IF(C328="WR",LeagueInfo!$D$5*LeagueInfo!$F$2,IF(C328="TE",LeagueInfo!$D$6*LeagueInfo!$F$2,LeagueInfo!$D$3*LeagueInfo!$F$2)))</f>
        <v>24</v>
      </c>
    </row>
    <row r="329" spans="1:9" x14ac:dyDescent="0.25">
      <c r="A329" s="1">
        <f ca="1">RANK(E329,E$2:E$619)</f>
        <v>328</v>
      </c>
      <c r="B329" s="1" t="s">
        <v>624</v>
      </c>
      <c r="C329" s="1" t="s">
        <v>39</v>
      </c>
      <c r="D329" s="1">
        <f ca="1">INDEX(INDIRECT($C329&amp;"!O:O"),MATCH($B329,INDIRECT($C329&amp;"!B:B"),0))</f>
        <v>20.860000000000003</v>
      </c>
      <c r="E329" s="254">
        <f ca="1">D329-LARGE(D$2:D$619,RBCount+WRCount+TECount+QBCount)</f>
        <v>-63.010000000000005</v>
      </c>
      <c r="F329" s="1" t="str">
        <f ca="1">IF(H329&lt;=I329,"Starter",IF(G329&gt;=LARGE(G:G,FlexOn*LeagueInfo!$F$2),"Starter","Bench"))</f>
        <v>Bench</v>
      </c>
      <c r="G329" s="1">
        <f ca="1">IF(H329&gt;I329,D329,0)</f>
        <v>20.860000000000003</v>
      </c>
      <c r="H329" s="1">
        <f ca="1">INDEX(INDIRECT(""&amp;C329&amp;"!A2:A489"),MATCH(B329,INDIRECT(""&amp;C329&amp;"!B2:B489"),0))</f>
        <v>131</v>
      </c>
      <c r="I329" s="1">
        <f>IF(C329="RB",LeagueInfo!$D$4*LeagueInfo!$F$2,IF(C329="WR",LeagueInfo!$D$5*LeagueInfo!$F$2,IF(C329="TE",LeagueInfo!$D$6*LeagueInfo!$F$2,LeagueInfo!$D$3*LeagueInfo!$F$2)))</f>
        <v>24</v>
      </c>
    </row>
    <row r="330" spans="1:9" x14ac:dyDescent="0.25">
      <c r="A330" s="1">
        <f ca="1">RANK(E330,E$2:E$619)</f>
        <v>333</v>
      </c>
      <c r="B330" s="1" t="s">
        <v>625</v>
      </c>
      <c r="C330" s="1" t="s">
        <v>39</v>
      </c>
      <c r="D330" s="1">
        <f ca="1">INDEX(INDIRECT($C330&amp;"!O:O"),MATCH($B330,INDIRECT($C330&amp;"!B:B"),0))</f>
        <v>19.45</v>
      </c>
      <c r="E330" s="254">
        <f ca="1">D330-LARGE(D$2:D$619,RBCount+WRCount+TECount+QBCount)</f>
        <v>-64.42</v>
      </c>
      <c r="F330" s="1" t="str">
        <f ca="1">IF(H330&lt;=I330,"Starter",IF(G330&gt;=LARGE(G:G,FlexOn*LeagueInfo!$F$2),"Starter","Bench"))</f>
        <v>Bench</v>
      </c>
      <c r="G330" s="1">
        <f ca="1">IF(H330&gt;I330,D330,0)</f>
        <v>19.45</v>
      </c>
      <c r="H330" s="1">
        <f ca="1">INDEX(INDIRECT(""&amp;C330&amp;"!A2:A489"),MATCH(B330,INDIRECT(""&amp;C330&amp;"!B2:B489"),0))</f>
        <v>132</v>
      </c>
      <c r="I330" s="1">
        <f>IF(C330="RB",LeagueInfo!$D$4*LeagueInfo!$F$2,IF(C330="WR",LeagueInfo!$D$5*LeagueInfo!$F$2,IF(C330="TE",LeagueInfo!$D$6*LeagueInfo!$F$2,LeagueInfo!$D$3*LeagueInfo!$F$2)))</f>
        <v>24</v>
      </c>
    </row>
    <row r="331" spans="1:9" x14ac:dyDescent="0.25">
      <c r="A331" s="1">
        <f ca="1">RANK(E331,E$2:E$619)</f>
        <v>326</v>
      </c>
      <c r="B331" s="1" t="s">
        <v>485</v>
      </c>
      <c r="C331" s="1" t="s">
        <v>32</v>
      </c>
      <c r="D331" s="1">
        <f ca="1">INDEX(INDIRECT($C331&amp;"!O:O"),MATCH($B331,INDIRECT($C331&amp;"!B:B"),0))</f>
        <v>22.23</v>
      </c>
      <c r="E331" s="254">
        <f ca="1">D331-LARGE(D$2:D$619,RBCount+WRCount+TECount+QBCount)</f>
        <v>-61.64</v>
      </c>
      <c r="F331" s="1" t="str">
        <f ca="1">IF(H331&lt;=I331,"Starter",IF(G331&gt;=LARGE(G:G,FlexOn*LeagueInfo!$F$2),"Starter","Bench"))</f>
        <v>Bench</v>
      </c>
      <c r="G331" s="1">
        <f ca="1">IF(H331&gt;I331,D331,0)</f>
        <v>22.23</v>
      </c>
      <c r="H331" s="1">
        <f ca="1">INDEX(INDIRECT(""&amp;C331&amp;"!A2:A489"),MATCH(B331,INDIRECT(""&amp;C331&amp;"!B2:B489"),0))</f>
        <v>100</v>
      </c>
      <c r="I331" s="1">
        <f>IF(C331="RB",LeagueInfo!$D$4*LeagueInfo!$F$2,IF(C331="WR",LeagueInfo!$D$5*LeagueInfo!$F$2,IF(C331="TE",LeagueInfo!$D$6*LeagueInfo!$F$2,LeagueInfo!$D$3*LeagueInfo!$F$2)))</f>
        <v>24</v>
      </c>
    </row>
    <row r="332" spans="1:9" x14ac:dyDescent="0.25">
      <c r="A332" s="1">
        <f ca="1">RANK(E332,E$2:E$619)</f>
        <v>319</v>
      </c>
      <c r="B332" s="1" t="s">
        <v>470</v>
      </c>
      <c r="C332" s="1" t="s">
        <v>32</v>
      </c>
      <c r="D332" s="1">
        <f ca="1">INDEX(INDIRECT($C332&amp;"!O:O"),MATCH($B332,INDIRECT($C332&amp;"!B:B"),0))</f>
        <v>23.100000000000005</v>
      </c>
      <c r="E332" s="254">
        <f ca="1">D332-LARGE(D$2:D$619,RBCount+WRCount+TECount+QBCount)</f>
        <v>-60.769999999999996</v>
      </c>
      <c r="F332" s="1" t="str">
        <f ca="1">IF(H332&lt;=I332,"Starter",IF(G332&gt;=LARGE(G:G,FlexOn*LeagueInfo!$F$2),"Starter","Bench"))</f>
        <v>Bench</v>
      </c>
      <c r="G332" s="1">
        <f ca="1">IF(H332&gt;I332,D332,0)</f>
        <v>23.100000000000005</v>
      </c>
      <c r="H332" s="1">
        <f ca="1">INDEX(INDIRECT(""&amp;C332&amp;"!A2:A489"),MATCH(B332,INDIRECT(""&amp;C332&amp;"!B2:B489"),0))</f>
        <v>98</v>
      </c>
      <c r="I332" s="1">
        <f>IF(C332="RB",LeagueInfo!$D$4*LeagueInfo!$F$2,IF(C332="WR",LeagueInfo!$D$5*LeagueInfo!$F$2,IF(C332="TE",LeagueInfo!$D$6*LeagueInfo!$F$2,LeagueInfo!$D$3*LeagueInfo!$F$2)))</f>
        <v>24</v>
      </c>
    </row>
    <row r="333" spans="1:9" x14ac:dyDescent="0.25">
      <c r="A333" s="1">
        <f ca="1">RANK(E333,E$2:E$619)</f>
        <v>334</v>
      </c>
      <c r="B333" s="1" t="s">
        <v>608</v>
      </c>
      <c r="C333" s="1" t="s">
        <v>39</v>
      </c>
      <c r="D333" s="1">
        <f ca="1">INDEX(INDIRECT($C333&amp;"!O:O"),MATCH($B333,INDIRECT($C333&amp;"!B:B"),0))</f>
        <v>19.37</v>
      </c>
      <c r="E333" s="254">
        <f ca="1">D333-LARGE(D$2:D$619,RBCount+WRCount+TECount+QBCount)</f>
        <v>-64.5</v>
      </c>
      <c r="F333" s="1" t="str">
        <f ca="1">IF(H333&lt;=I333,"Starter",IF(G333&gt;=LARGE(G:G,FlexOn*LeagueInfo!$F$2),"Starter","Bench"))</f>
        <v>Bench</v>
      </c>
      <c r="G333" s="1">
        <f ca="1">IF(H333&gt;I333,D333,0)</f>
        <v>19.37</v>
      </c>
      <c r="H333" s="1">
        <f ca="1">INDEX(INDIRECT(""&amp;C333&amp;"!A2:A489"),MATCH(B333,INDIRECT(""&amp;C333&amp;"!B2:B489"),0))</f>
        <v>133</v>
      </c>
      <c r="I333" s="1">
        <f>IF(C333="RB",LeagueInfo!$D$4*LeagueInfo!$F$2,IF(C333="WR",LeagueInfo!$D$5*LeagueInfo!$F$2,IF(C333="TE",LeagueInfo!$D$6*LeagueInfo!$F$2,LeagueInfo!$D$3*LeagueInfo!$F$2)))</f>
        <v>24</v>
      </c>
    </row>
    <row r="334" spans="1:9" x14ac:dyDescent="0.25">
      <c r="A334" s="1">
        <f ca="1">RANK(E334,E$2:E$619)</f>
        <v>336</v>
      </c>
      <c r="B334" s="1" t="s">
        <v>746</v>
      </c>
      <c r="C334" s="1" t="s">
        <v>47</v>
      </c>
      <c r="D334" s="1">
        <f ca="1">INDEX(INDIRECT($C334&amp;"!O:O"),MATCH($B334,INDIRECT($C334&amp;"!B:B"),0))</f>
        <v>18.940000000000005</v>
      </c>
      <c r="E334" s="254">
        <f ca="1">D334-LARGE(D$2:D$619,RBCount+WRCount+TECount+QBCount)</f>
        <v>-64.930000000000007</v>
      </c>
      <c r="F334" s="1" t="str">
        <f ca="1">IF(H334&lt;=I334,"Starter",IF(G334&gt;=LARGE(G:G,FlexOn*LeagueInfo!$F$2),"Starter","Bench"))</f>
        <v>Bench</v>
      </c>
      <c r="G334" s="1">
        <f ca="1">IF(H334&gt;I334,D334,0)</f>
        <v>18.940000000000005</v>
      </c>
      <c r="H334" s="1">
        <f ca="1">INDEX(INDIRECT(""&amp;C334&amp;"!A2:A489"),MATCH(B334,INDIRECT(""&amp;C334&amp;"!B2:B489"),0))</f>
        <v>59</v>
      </c>
      <c r="I334" s="1">
        <f>IF(C334="RB",LeagueInfo!$D$4*LeagueInfo!$F$2,IF(C334="WR",LeagueInfo!$D$5*LeagueInfo!$F$2,IF(C334="TE",LeagueInfo!$D$6*LeagueInfo!$F$2,LeagueInfo!$D$3*LeagueInfo!$F$2)))</f>
        <v>12</v>
      </c>
    </row>
    <row r="335" spans="1:9" x14ac:dyDescent="0.25">
      <c r="A335" s="1">
        <f ca="1">RANK(E335,E$2:E$619)</f>
        <v>337</v>
      </c>
      <c r="B335" s="1" t="s">
        <v>609</v>
      </c>
      <c r="C335" s="1" t="s">
        <v>39</v>
      </c>
      <c r="D335" s="1">
        <f ca="1">INDEX(INDIRECT($C335&amp;"!O:O"),MATCH($B335,INDIRECT($C335&amp;"!B:B"),0))</f>
        <v>18.840000000000003</v>
      </c>
      <c r="E335" s="254">
        <f ca="1">D335-LARGE(D$2:D$619,RBCount+WRCount+TECount+QBCount)</f>
        <v>-65.03</v>
      </c>
      <c r="F335" s="1" t="str">
        <f ca="1">IF(H335&lt;=I335,"Starter",IF(G335&gt;=LARGE(G:G,FlexOn*LeagueInfo!$F$2),"Starter","Bench"))</f>
        <v>Bench</v>
      </c>
      <c r="G335" s="1">
        <f ca="1">IF(H335&gt;I335,D335,0)</f>
        <v>18.840000000000003</v>
      </c>
      <c r="H335" s="1">
        <f ca="1">INDEX(INDIRECT(""&amp;C335&amp;"!A2:A489"),MATCH(B335,INDIRECT(""&amp;C335&amp;"!B2:B489"),0))</f>
        <v>135</v>
      </c>
      <c r="I335" s="1">
        <f>IF(C335="RB",LeagueInfo!$D$4*LeagueInfo!$F$2,IF(C335="WR",LeagueInfo!$D$5*LeagueInfo!$F$2,IF(C335="TE",LeagueInfo!$D$6*LeagueInfo!$F$2,LeagueInfo!$D$3*LeagueInfo!$F$2)))</f>
        <v>24</v>
      </c>
    </row>
    <row r="336" spans="1:9" x14ac:dyDescent="0.25">
      <c r="A336" s="1">
        <f ca="1">RANK(E336,E$2:E$619)</f>
        <v>338</v>
      </c>
      <c r="B336" s="1" t="s">
        <v>745</v>
      </c>
      <c r="C336" s="1" t="s">
        <v>47</v>
      </c>
      <c r="D336" s="1">
        <f ca="1">INDEX(INDIRECT($C336&amp;"!O:O"),MATCH($B336,INDIRECT($C336&amp;"!B:B"),0))</f>
        <v>18.290000000000003</v>
      </c>
      <c r="E336" s="254">
        <f ca="1">D336-LARGE(D$2:D$619,RBCount+WRCount+TECount+QBCount)</f>
        <v>-65.58</v>
      </c>
      <c r="F336" s="1" t="str">
        <f ca="1">IF(H336&lt;=I336,"Starter",IF(G336&gt;=LARGE(G:G,FlexOn*LeagueInfo!$F$2),"Starter","Bench"))</f>
        <v>Bench</v>
      </c>
      <c r="G336" s="1">
        <f ca="1">IF(H336&gt;I336,D336,0)</f>
        <v>18.290000000000003</v>
      </c>
      <c r="H336" s="1">
        <f ca="1">INDEX(INDIRECT(""&amp;C336&amp;"!A2:A489"),MATCH(B336,INDIRECT(""&amp;C336&amp;"!B2:B489"),0))</f>
        <v>60</v>
      </c>
      <c r="I336" s="1">
        <f>IF(C336="RB",LeagueInfo!$D$4*LeagueInfo!$F$2,IF(C336="WR",LeagueInfo!$D$5*LeagueInfo!$F$2,IF(C336="TE",LeagueInfo!$D$6*LeagueInfo!$F$2,LeagueInfo!$D$3*LeagueInfo!$F$2)))</f>
        <v>12</v>
      </c>
    </row>
    <row r="337" spans="1:9" x14ac:dyDescent="0.25">
      <c r="A337" s="1">
        <f ca="1">RANK(E337,E$2:E$619)</f>
        <v>327</v>
      </c>
      <c r="B337" s="1" t="s">
        <v>465</v>
      </c>
      <c r="C337" s="1" t="s">
        <v>32</v>
      </c>
      <c r="D337" s="1">
        <f ca="1">INDEX(INDIRECT($C337&amp;"!O:O"),MATCH($B337,INDIRECT($C337&amp;"!B:B"),0))</f>
        <v>21.18</v>
      </c>
      <c r="E337" s="254">
        <f ca="1">D337-LARGE(D$2:D$619,RBCount+WRCount+TECount+QBCount)</f>
        <v>-62.690000000000005</v>
      </c>
      <c r="F337" s="1" t="str">
        <f ca="1">IF(H337&lt;=I337,"Starter",IF(G337&gt;=LARGE(G:G,FlexOn*LeagueInfo!$F$2),"Starter","Bench"))</f>
        <v>Bench</v>
      </c>
      <c r="G337" s="1">
        <f ca="1">IF(H337&gt;I337,D337,0)</f>
        <v>21.18</v>
      </c>
      <c r="H337" s="1">
        <f ca="1">INDEX(INDIRECT(""&amp;C337&amp;"!A2:A489"),MATCH(B337,INDIRECT(""&amp;C337&amp;"!B2:B489"),0))</f>
        <v>101</v>
      </c>
      <c r="I337" s="1">
        <f>IF(C337="RB",LeagueInfo!$D$4*LeagueInfo!$F$2,IF(C337="WR",LeagueInfo!$D$5*LeagueInfo!$F$2,IF(C337="TE",LeagueInfo!$D$6*LeagueInfo!$F$2,LeagueInfo!$D$3*LeagueInfo!$F$2)))</f>
        <v>24</v>
      </c>
    </row>
    <row r="338" spans="1:9" x14ac:dyDescent="0.25">
      <c r="A338" s="1">
        <f ca="1">RANK(E338,E$2:E$619)</f>
        <v>341</v>
      </c>
      <c r="B338" s="1" t="s">
        <v>756</v>
      </c>
      <c r="C338" s="1" t="s">
        <v>47</v>
      </c>
      <c r="D338" s="1">
        <f ca="1">INDEX(INDIRECT($C338&amp;"!O:O"),MATCH($B338,INDIRECT($C338&amp;"!B:B"),0))</f>
        <v>17.590000000000003</v>
      </c>
      <c r="E338" s="254">
        <f ca="1">D338-LARGE(D$2:D$619,RBCount+WRCount+TECount+QBCount)</f>
        <v>-66.28</v>
      </c>
      <c r="F338" s="1" t="str">
        <f ca="1">IF(H338&lt;=I338,"Starter",IF(G338&gt;=LARGE(G:G,FlexOn*LeagueInfo!$F$2),"Starter","Bench"))</f>
        <v>Bench</v>
      </c>
      <c r="G338" s="1">
        <f ca="1">IF(H338&gt;I338,D338,0)</f>
        <v>17.590000000000003</v>
      </c>
      <c r="H338" s="1">
        <f ca="1">INDEX(INDIRECT(""&amp;C338&amp;"!A2:A489"),MATCH(B338,INDIRECT(""&amp;C338&amp;"!B2:B489"),0))</f>
        <v>61</v>
      </c>
      <c r="I338" s="1">
        <f>IF(C338="RB",LeagueInfo!$D$4*LeagueInfo!$F$2,IF(C338="WR",LeagueInfo!$D$5*LeagueInfo!$F$2,IF(C338="TE",LeagueInfo!$D$6*LeagueInfo!$F$2,LeagueInfo!$D$3*LeagueInfo!$F$2)))</f>
        <v>12</v>
      </c>
    </row>
    <row r="339" spans="1:9" x14ac:dyDescent="0.25">
      <c r="A339" s="1">
        <f ca="1">RANK(E339,E$2:E$619)</f>
        <v>340</v>
      </c>
      <c r="B339" s="1" t="s">
        <v>631</v>
      </c>
      <c r="C339" s="1" t="s">
        <v>39</v>
      </c>
      <c r="D339" s="1">
        <f ca="1">INDEX(INDIRECT($C339&amp;"!O:O"),MATCH($B339,INDIRECT($C339&amp;"!B:B"),0))</f>
        <v>17.97</v>
      </c>
      <c r="E339" s="254">
        <f ca="1">D339-LARGE(D$2:D$619,RBCount+WRCount+TECount+QBCount)</f>
        <v>-65.900000000000006</v>
      </c>
      <c r="F339" s="1" t="str">
        <f ca="1">IF(H339&lt;=I339,"Starter",IF(G339&gt;=LARGE(G:G,FlexOn*LeagueInfo!$F$2),"Starter","Bench"))</f>
        <v>Bench</v>
      </c>
      <c r="G339" s="1">
        <f ca="1">IF(H339&gt;I339,D339,0)</f>
        <v>17.97</v>
      </c>
      <c r="H339" s="1">
        <f ca="1">INDEX(INDIRECT(""&amp;C339&amp;"!A2:A489"),MATCH(B339,INDIRECT(""&amp;C339&amp;"!B2:B489"),0))</f>
        <v>136</v>
      </c>
      <c r="I339" s="1">
        <f>IF(C339="RB",LeagueInfo!$D$4*LeagueInfo!$F$2,IF(C339="WR",LeagueInfo!$D$5*LeagueInfo!$F$2,IF(C339="TE",LeagueInfo!$D$6*LeagueInfo!$F$2,LeagueInfo!$D$3*LeagueInfo!$F$2)))</f>
        <v>24</v>
      </c>
    </row>
    <row r="340" spans="1:9" x14ac:dyDescent="0.25">
      <c r="A340" s="1">
        <f ca="1">RANK(E340,E$2:E$619)</f>
        <v>347</v>
      </c>
      <c r="B340" s="1" t="s">
        <v>628</v>
      </c>
      <c r="C340" s="1" t="s">
        <v>39</v>
      </c>
      <c r="D340" s="1">
        <f ca="1">INDEX(INDIRECT($C340&amp;"!O:O"),MATCH($B340,INDIRECT($C340&amp;"!B:B"),0))</f>
        <v>16.62</v>
      </c>
      <c r="E340" s="254">
        <f ca="1">D340-LARGE(D$2:D$619,RBCount+WRCount+TECount+QBCount)</f>
        <v>-67.25</v>
      </c>
      <c r="F340" s="1" t="str">
        <f ca="1">IF(H340&lt;=I340,"Starter",IF(G340&gt;=LARGE(G:G,FlexOn*LeagueInfo!$F$2),"Starter","Bench"))</f>
        <v>Bench</v>
      </c>
      <c r="G340" s="1">
        <f ca="1">IF(H340&gt;I340,D340,0)</f>
        <v>16.62</v>
      </c>
      <c r="H340" s="1">
        <f ca="1">INDEX(INDIRECT(""&amp;C340&amp;"!A2:A489"),MATCH(B340,INDIRECT(""&amp;C340&amp;"!B2:B489"),0))</f>
        <v>137</v>
      </c>
      <c r="I340" s="1">
        <f>IF(C340="RB",LeagueInfo!$D$4*LeagueInfo!$F$2,IF(C340="WR",LeagueInfo!$D$5*LeagueInfo!$F$2,IF(C340="TE",LeagueInfo!$D$6*LeagueInfo!$F$2,LeagueInfo!$D$3*LeagueInfo!$F$2)))</f>
        <v>24</v>
      </c>
    </row>
    <row r="341" spans="1:9" x14ac:dyDescent="0.25">
      <c r="A341" s="1">
        <f ca="1">RANK(E341,E$2:E$619)</f>
        <v>330</v>
      </c>
      <c r="B341" s="1" t="s">
        <v>391</v>
      </c>
      <c r="C341" s="1" t="s">
        <v>33</v>
      </c>
      <c r="D341" s="1">
        <f ca="1">INDEX(INDIRECT($C341&amp;"!O:O"),MATCH($B341,INDIRECT($C341&amp;"!B:B"),0))</f>
        <v>20.650000000000002</v>
      </c>
      <c r="E341" s="254">
        <f ca="1">D341-LARGE(D$2:D$619,RBCount+WRCount+TECount+QBCount)</f>
        <v>-63.22</v>
      </c>
      <c r="F341" s="1" t="str">
        <f ca="1">IF(H341&lt;=I341,"Starter",IF(G341&gt;=LARGE(G:G,FlexOn*LeagueInfo!$F$2),"Starter","Bench"))</f>
        <v>Bench</v>
      </c>
      <c r="G341" s="1">
        <f ca="1">IF(H341&gt;I341,D341,0)</f>
        <v>20.650000000000002</v>
      </c>
      <c r="H341" s="1">
        <f ca="1">INDEX(INDIRECT(""&amp;C341&amp;"!A2:A489"),MATCH(B341,INDIRECT(""&amp;C341&amp;"!B2:B489"),0))</f>
        <v>42</v>
      </c>
      <c r="I341" s="1">
        <f>IF(C341="RB",LeagueInfo!$D$4*LeagueInfo!$F$2,IF(C341="WR",LeagueInfo!$D$5*LeagueInfo!$F$2,IF(C341="TE",LeagueInfo!$D$6*LeagueInfo!$F$2,LeagueInfo!$D$3*LeagueInfo!$F$2)))</f>
        <v>12</v>
      </c>
    </row>
    <row r="342" spans="1:9" x14ac:dyDescent="0.25">
      <c r="A342" s="1">
        <f ca="1">RANK(E342,E$2:E$619)</f>
        <v>335</v>
      </c>
      <c r="B342" s="1" t="s">
        <v>620</v>
      </c>
      <c r="C342" s="1" t="s">
        <v>39</v>
      </c>
      <c r="D342" s="1">
        <f ca="1">INDEX(INDIRECT($C342&amp;"!O:O"),MATCH($B342,INDIRECT($C342&amp;"!B:B"),0))</f>
        <v>19.05</v>
      </c>
      <c r="E342" s="254">
        <f ca="1">D342-LARGE(D$2:D$619,RBCount+WRCount+TECount+QBCount)</f>
        <v>-64.820000000000007</v>
      </c>
      <c r="F342" s="1" t="str">
        <f ca="1">IF(H342&lt;=I342,"Starter",IF(G342&gt;=LARGE(G:G,FlexOn*LeagueInfo!$F$2),"Starter","Bench"))</f>
        <v>Bench</v>
      </c>
      <c r="G342" s="1">
        <f ca="1">IF(H342&gt;I342,D342,0)</f>
        <v>19.05</v>
      </c>
      <c r="H342" s="1">
        <f ca="1">INDEX(INDIRECT(""&amp;C342&amp;"!A2:A489"),MATCH(B342,INDIRECT(""&amp;C342&amp;"!B2:B489"),0))</f>
        <v>134</v>
      </c>
      <c r="I342" s="1">
        <f>IF(C342="RB",LeagueInfo!$D$4*LeagueInfo!$F$2,IF(C342="WR",LeagueInfo!$D$5*LeagueInfo!$F$2,IF(C342="TE",LeagueInfo!$D$6*LeagueInfo!$F$2,LeagueInfo!$D$3*LeagueInfo!$F$2)))</f>
        <v>24</v>
      </c>
    </row>
    <row r="343" spans="1:9" x14ac:dyDescent="0.25">
      <c r="A343" s="1">
        <f ca="1">RANK(E343,E$2:E$619)</f>
        <v>354</v>
      </c>
      <c r="B343" s="1" t="s">
        <v>733</v>
      </c>
      <c r="C343" s="1" t="s">
        <v>47</v>
      </c>
      <c r="D343" s="1">
        <f ca="1">INDEX(INDIRECT($C343&amp;"!O:O"),MATCH($B343,INDIRECT($C343&amp;"!B:B"),0))</f>
        <v>16.150000000000002</v>
      </c>
      <c r="E343" s="254">
        <f ca="1">D343-LARGE(D$2:D$619,RBCount+WRCount+TECount+QBCount)</f>
        <v>-67.72</v>
      </c>
      <c r="F343" s="1" t="str">
        <f ca="1">IF(H343&lt;=I343,"Starter",IF(G343&gt;=LARGE(G:G,FlexOn*LeagueInfo!$F$2),"Starter","Bench"))</f>
        <v>Bench</v>
      </c>
      <c r="G343" s="1">
        <f ca="1">IF(H343&gt;I343,D343,0)</f>
        <v>16.150000000000002</v>
      </c>
      <c r="H343" s="1">
        <f ca="1">INDEX(INDIRECT(""&amp;C343&amp;"!A2:A489"),MATCH(B343,INDIRECT(""&amp;C343&amp;"!B2:B489"),0))</f>
        <v>62</v>
      </c>
      <c r="I343" s="1">
        <f>IF(C343="RB",LeagueInfo!$D$4*LeagueInfo!$F$2,IF(C343="WR",LeagueInfo!$D$5*LeagueInfo!$F$2,IF(C343="TE",LeagueInfo!$D$6*LeagueInfo!$F$2,LeagueInfo!$D$3*LeagueInfo!$F$2)))</f>
        <v>12</v>
      </c>
    </row>
    <row r="344" spans="1:9" x14ac:dyDescent="0.25">
      <c r="A344" s="1">
        <f ca="1">RANK(E344,E$2:E$619)</f>
        <v>353</v>
      </c>
      <c r="B344" s="1" t="s">
        <v>629</v>
      </c>
      <c r="C344" s="1" t="s">
        <v>39</v>
      </c>
      <c r="D344" s="1">
        <f ca="1">INDEX(INDIRECT($C344&amp;"!O:O"),MATCH($B344,INDIRECT($C344&amp;"!B:B"),0))</f>
        <v>16.160000000000004</v>
      </c>
      <c r="E344" s="254">
        <f ca="1">D344-LARGE(D$2:D$619,RBCount+WRCount+TECount+QBCount)</f>
        <v>-67.710000000000008</v>
      </c>
      <c r="F344" s="1" t="str">
        <f ca="1">IF(H344&lt;=I344,"Starter",IF(G344&gt;=LARGE(G:G,FlexOn*LeagueInfo!$F$2),"Starter","Bench"))</f>
        <v>Bench</v>
      </c>
      <c r="G344" s="1">
        <f ca="1">IF(H344&gt;I344,D344,0)</f>
        <v>16.160000000000004</v>
      </c>
      <c r="H344" s="1">
        <f ca="1">INDEX(INDIRECT(""&amp;C344&amp;"!A2:A489"),MATCH(B344,INDIRECT(""&amp;C344&amp;"!B2:B489"),0))</f>
        <v>141</v>
      </c>
      <c r="I344" s="1">
        <f>IF(C344="RB",LeagueInfo!$D$4*LeagueInfo!$F$2,IF(C344="WR",LeagueInfo!$D$5*LeagueInfo!$F$2,IF(C344="TE",LeagueInfo!$D$6*LeagueInfo!$F$2,LeagueInfo!$D$3*LeagueInfo!$F$2)))</f>
        <v>24</v>
      </c>
    </row>
    <row r="345" spans="1:9" x14ac:dyDescent="0.25">
      <c r="A345" s="1">
        <f ca="1">RANK(E345,E$2:E$619)</f>
        <v>355</v>
      </c>
      <c r="B345" s="1" t="s">
        <v>751</v>
      </c>
      <c r="C345" s="1" t="s">
        <v>47</v>
      </c>
      <c r="D345" s="1">
        <f ca="1">INDEX(INDIRECT($C345&amp;"!O:O"),MATCH($B345,INDIRECT($C345&amp;"!B:B"),0))</f>
        <v>16.13</v>
      </c>
      <c r="E345" s="254">
        <f ca="1">D345-LARGE(D$2:D$619,RBCount+WRCount+TECount+QBCount)</f>
        <v>-67.740000000000009</v>
      </c>
      <c r="F345" s="1" t="str">
        <f ca="1">IF(H345&lt;=I345,"Starter",IF(G345&gt;=LARGE(G:G,FlexOn*LeagueInfo!$F$2),"Starter","Bench"))</f>
        <v>Bench</v>
      </c>
      <c r="G345" s="1">
        <f ca="1">IF(H345&gt;I345,D345,0)</f>
        <v>16.13</v>
      </c>
      <c r="H345" s="1">
        <f ca="1">INDEX(INDIRECT(""&amp;C345&amp;"!A2:A489"),MATCH(B345,INDIRECT(""&amp;C345&amp;"!B2:B489"),0))</f>
        <v>63</v>
      </c>
      <c r="I345" s="1">
        <f>IF(C345="RB",LeagueInfo!$D$4*LeagueInfo!$F$2,IF(C345="WR",LeagueInfo!$D$5*LeagueInfo!$F$2,IF(C345="TE",LeagueInfo!$D$6*LeagueInfo!$F$2,LeagueInfo!$D$3*LeagueInfo!$F$2)))</f>
        <v>12</v>
      </c>
    </row>
    <row r="346" spans="1:9" x14ac:dyDescent="0.25">
      <c r="A346" s="1">
        <f ca="1">RANK(E346,E$2:E$619)</f>
        <v>356</v>
      </c>
      <c r="B346" s="1" t="s">
        <v>687</v>
      </c>
      <c r="C346" s="1" t="s">
        <v>39</v>
      </c>
      <c r="D346" s="1">
        <f ca="1">INDEX(INDIRECT($C346&amp;"!O:O"),MATCH($B346,INDIRECT($C346&amp;"!B:B"),0))</f>
        <v>16.049999999999997</v>
      </c>
      <c r="E346" s="254">
        <f ca="1">D346-LARGE(D$2:D$619,RBCount+WRCount+TECount+QBCount)</f>
        <v>-67.820000000000007</v>
      </c>
      <c r="F346" s="1" t="str">
        <f ca="1">IF(H346&lt;=I346,"Starter",IF(G346&gt;=LARGE(G:G,FlexOn*LeagueInfo!$F$2),"Starter","Bench"))</f>
        <v>Bench</v>
      </c>
      <c r="G346" s="1">
        <f ca="1">IF(H346&gt;I346,D346,0)</f>
        <v>16.049999999999997</v>
      </c>
      <c r="H346" s="1">
        <f ca="1">INDEX(INDIRECT(""&amp;C346&amp;"!A2:A489"),MATCH(B346,INDIRECT(""&amp;C346&amp;"!B2:B489"),0))</f>
        <v>142</v>
      </c>
      <c r="I346" s="1">
        <f>IF(C346="RB",LeagueInfo!$D$4*LeagueInfo!$F$2,IF(C346="WR",LeagueInfo!$D$5*LeagueInfo!$F$2,IF(C346="TE",LeagueInfo!$D$6*LeagueInfo!$F$2,LeagueInfo!$D$3*LeagueInfo!$F$2)))</f>
        <v>24</v>
      </c>
    </row>
    <row r="347" spans="1:9" x14ac:dyDescent="0.25">
      <c r="A347" s="1">
        <f ca="1">RANK(E347,E$2:E$619)</f>
        <v>348</v>
      </c>
      <c r="B347" s="1" t="s">
        <v>658</v>
      </c>
      <c r="C347" s="1" t="s">
        <v>39</v>
      </c>
      <c r="D347" s="1">
        <f ca="1">INDEX(INDIRECT($C347&amp;"!O:O"),MATCH($B347,INDIRECT($C347&amp;"!B:B"),0))</f>
        <v>16.520000000000003</v>
      </c>
      <c r="E347" s="254">
        <f ca="1">D347-LARGE(D$2:D$619,RBCount+WRCount+TECount+QBCount)</f>
        <v>-67.349999999999994</v>
      </c>
      <c r="F347" s="1" t="str">
        <f ca="1">IF(H347&lt;=I347,"Starter",IF(G347&gt;=LARGE(G:G,FlexOn*LeagueInfo!$F$2),"Starter","Bench"))</f>
        <v>Bench</v>
      </c>
      <c r="G347" s="1">
        <f ca="1">IF(H347&gt;I347,D347,0)</f>
        <v>16.520000000000003</v>
      </c>
      <c r="H347" s="1">
        <f ca="1">INDEX(INDIRECT(""&amp;C347&amp;"!A2:A489"),MATCH(B347,INDIRECT(""&amp;C347&amp;"!B2:B489"),0))</f>
        <v>138</v>
      </c>
      <c r="I347" s="1">
        <f>IF(C347="RB",LeagueInfo!$D$4*LeagueInfo!$F$2,IF(C347="WR",LeagueInfo!$D$5*LeagueInfo!$F$2,IF(C347="TE",LeagueInfo!$D$6*LeagueInfo!$F$2,LeagueInfo!$D$3*LeagueInfo!$F$2)))</f>
        <v>24</v>
      </c>
    </row>
    <row r="348" spans="1:9" x14ac:dyDescent="0.25">
      <c r="A348" s="1">
        <f ca="1">RANK(E348,E$2:E$619)</f>
        <v>349</v>
      </c>
      <c r="B348" s="1" t="s">
        <v>617</v>
      </c>
      <c r="C348" s="1" t="s">
        <v>39</v>
      </c>
      <c r="D348" s="1">
        <f ca="1">INDEX(INDIRECT($C348&amp;"!O:O"),MATCH($B348,INDIRECT($C348&amp;"!B:B"),0))</f>
        <v>16.46</v>
      </c>
      <c r="E348" s="254">
        <f ca="1">D348-LARGE(D$2:D$619,RBCount+WRCount+TECount+QBCount)</f>
        <v>-67.41</v>
      </c>
      <c r="F348" s="1" t="str">
        <f ca="1">IF(H348&lt;=I348,"Starter",IF(G348&gt;=LARGE(G:G,FlexOn*LeagueInfo!$F$2),"Starter","Bench"))</f>
        <v>Bench</v>
      </c>
      <c r="G348" s="1">
        <f ca="1">IF(H348&gt;I348,D348,0)</f>
        <v>16.46</v>
      </c>
      <c r="H348" s="1">
        <f ca="1">INDEX(INDIRECT(""&amp;C348&amp;"!A2:A489"),MATCH(B348,INDIRECT(""&amp;C348&amp;"!B2:B489"),0))</f>
        <v>139</v>
      </c>
      <c r="I348" s="1">
        <f>IF(C348="RB",LeagueInfo!$D$4*LeagueInfo!$F$2,IF(C348="WR",LeagueInfo!$D$5*LeagueInfo!$F$2,IF(C348="TE",LeagueInfo!$D$6*LeagueInfo!$F$2,LeagueInfo!$D$3*LeagueInfo!$F$2)))</f>
        <v>24</v>
      </c>
    </row>
    <row r="349" spans="1:9" x14ac:dyDescent="0.25">
      <c r="A349" s="1">
        <f ca="1">RANK(E349,E$2:E$619)</f>
        <v>350</v>
      </c>
      <c r="B349" s="1" t="s">
        <v>619</v>
      </c>
      <c r="C349" s="1" t="s">
        <v>39</v>
      </c>
      <c r="D349" s="1">
        <f ca="1">INDEX(INDIRECT($C349&amp;"!O:O"),MATCH($B349,INDIRECT($C349&amp;"!B:B"),0))</f>
        <v>16.419999999999998</v>
      </c>
      <c r="E349" s="254">
        <f ca="1">D349-LARGE(D$2:D$619,RBCount+WRCount+TECount+QBCount)</f>
        <v>-67.45</v>
      </c>
      <c r="F349" s="1" t="str">
        <f ca="1">IF(H349&lt;=I349,"Starter",IF(G349&gt;=LARGE(G:G,FlexOn*LeagueInfo!$F$2),"Starter","Bench"))</f>
        <v>Bench</v>
      </c>
      <c r="G349" s="1">
        <f ca="1">IF(H349&gt;I349,D349,0)</f>
        <v>16.419999999999998</v>
      </c>
      <c r="H349" s="1">
        <f ca="1">INDEX(INDIRECT(""&amp;C349&amp;"!A2:A489"),MATCH(B349,INDIRECT(""&amp;C349&amp;"!B2:B489"),0))</f>
        <v>140</v>
      </c>
      <c r="I349" s="1">
        <f>IF(C349="RB",LeagueInfo!$D$4*LeagueInfo!$F$2,IF(C349="WR",LeagueInfo!$D$5*LeagueInfo!$F$2,IF(C349="TE",LeagueInfo!$D$6*LeagueInfo!$F$2,LeagueInfo!$D$3*LeagueInfo!$F$2)))</f>
        <v>24</v>
      </c>
    </row>
    <row r="350" spans="1:9" x14ac:dyDescent="0.25">
      <c r="A350" s="1">
        <f ca="1">RANK(E350,E$2:E$619)</f>
        <v>339</v>
      </c>
      <c r="B350" s="1" t="s">
        <v>397</v>
      </c>
      <c r="C350" s="1" t="s">
        <v>33</v>
      </c>
      <c r="D350" s="1">
        <f ca="1">INDEX(INDIRECT($C350&amp;"!O:O"),MATCH($B350,INDIRECT($C350&amp;"!B:B"),0))</f>
        <v>18.224</v>
      </c>
      <c r="E350" s="254">
        <f ca="1">D350-LARGE(D$2:D$619,RBCount+WRCount+TECount+QBCount)</f>
        <v>-65.646000000000001</v>
      </c>
      <c r="F350" s="1" t="str">
        <f ca="1">IF(H350&lt;=I350,"Starter",IF(G350&gt;=LARGE(G:G,FlexOn*LeagueInfo!$F$2),"Starter","Bench"))</f>
        <v>Bench</v>
      </c>
      <c r="G350" s="1">
        <f ca="1">IF(H350&gt;I350,D350,0)</f>
        <v>18.224</v>
      </c>
      <c r="H350" s="1">
        <f ca="1">INDEX(INDIRECT(""&amp;C350&amp;"!A2:A489"),MATCH(B350,INDIRECT(""&amp;C350&amp;"!B2:B489"),0))</f>
        <v>43</v>
      </c>
      <c r="I350" s="1">
        <f>IF(C350="RB",LeagueInfo!$D$4*LeagueInfo!$F$2,IF(C350="WR",LeagueInfo!$D$5*LeagueInfo!$F$2,IF(C350="TE",LeagueInfo!$D$6*LeagueInfo!$F$2,LeagueInfo!$D$3*LeagueInfo!$F$2)))</f>
        <v>12</v>
      </c>
    </row>
    <row r="351" spans="1:9" x14ac:dyDescent="0.25">
      <c r="A351" s="1">
        <f ca="1">RANK(E351,E$2:E$619)</f>
        <v>359</v>
      </c>
      <c r="B351" s="1" t="s">
        <v>752</v>
      </c>
      <c r="C351" s="1" t="s">
        <v>47</v>
      </c>
      <c r="D351" s="1">
        <f ca="1">INDEX(INDIRECT($C351&amp;"!O:O"),MATCH($B351,INDIRECT($C351&amp;"!B:B"),0))</f>
        <v>15.03</v>
      </c>
      <c r="E351" s="254">
        <f ca="1">D351-LARGE(D$2:D$619,RBCount+WRCount+TECount+QBCount)</f>
        <v>-68.84</v>
      </c>
      <c r="F351" s="1" t="str">
        <f ca="1">IF(H351&lt;=I351,"Starter",IF(G351&gt;=LARGE(G:G,FlexOn*LeagueInfo!$F$2),"Starter","Bench"))</f>
        <v>Bench</v>
      </c>
      <c r="G351" s="1">
        <f ca="1">IF(H351&gt;I351,D351,0)</f>
        <v>15.03</v>
      </c>
      <c r="H351" s="1">
        <f ca="1">INDEX(INDIRECT(""&amp;C351&amp;"!A2:A489"),MATCH(B351,INDIRECT(""&amp;C351&amp;"!B2:B489"),0))</f>
        <v>64</v>
      </c>
      <c r="I351" s="1">
        <f>IF(C351="RB",LeagueInfo!$D$4*LeagueInfo!$F$2,IF(C351="WR",LeagueInfo!$D$5*LeagueInfo!$F$2,IF(C351="TE",LeagueInfo!$D$6*LeagueInfo!$F$2,LeagueInfo!$D$3*LeagueInfo!$F$2)))</f>
        <v>12</v>
      </c>
    </row>
    <row r="352" spans="1:9" x14ac:dyDescent="0.25">
      <c r="A352" s="1">
        <f ca="1">RANK(E352,E$2:E$619)</f>
        <v>357</v>
      </c>
      <c r="B352" s="1" t="s">
        <v>601</v>
      </c>
      <c r="C352" s="1" t="s">
        <v>39</v>
      </c>
      <c r="D352" s="1">
        <f ca="1">INDEX(INDIRECT($C352&amp;"!O:O"),MATCH($B352,INDIRECT($C352&amp;"!B:B"),0))</f>
        <v>15.479999999999999</v>
      </c>
      <c r="E352" s="254">
        <f ca="1">D352-LARGE(D$2:D$619,RBCount+WRCount+TECount+QBCount)</f>
        <v>-68.39</v>
      </c>
      <c r="F352" s="1" t="str">
        <f ca="1">IF(H352&lt;=I352,"Starter",IF(G352&gt;=LARGE(G:G,FlexOn*LeagueInfo!$F$2),"Starter","Bench"))</f>
        <v>Bench</v>
      </c>
      <c r="G352" s="1">
        <f ca="1">IF(H352&gt;I352,D352,0)</f>
        <v>15.479999999999999</v>
      </c>
      <c r="H352" s="1">
        <f ca="1">INDEX(INDIRECT(""&amp;C352&amp;"!A2:A489"),MATCH(B352,INDIRECT(""&amp;C352&amp;"!B2:B489"),0))</f>
        <v>143</v>
      </c>
      <c r="I352" s="1">
        <f>IF(C352="RB",LeagueInfo!$D$4*LeagueInfo!$F$2,IF(C352="WR",LeagueInfo!$D$5*LeagueInfo!$F$2,IF(C352="TE",LeagueInfo!$D$6*LeagueInfo!$F$2,LeagueInfo!$D$3*LeagueInfo!$F$2)))</f>
        <v>24</v>
      </c>
    </row>
    <row r="353" spans="1:9" x14ac:dyDescent="0.25">
      <c r="A353" s="1">
        <f ca="1">RANK(E353,E$2:E$619)</f>
        <v>368</v>
      </c>
      <c r="B353" s="1" t="s">
        <v>755</v>
      </c>
      <c r="C353" s="1" t="s">
        <v>47</v>
      </c>
      <c r="D353" s="1">
        <f ca="1">INDEX(INDIRECT($C353&amp;"!O:O"),MATCH($B353,INDIRECT($C353&amp;"!B:B"),0))</f>
        <v>14.53</v>
      </c>
      <c r="E353" s="254">
        <f ca="1">D353-LARGE(D$2:D$619,RBCount+WRCount+TECount+QBCount)</f>
        <v>-69.34</v>
      </c>
      <c r="F353" s="1" t="str">
        <f ca="1">IF(H353&lt;=I353,"Starter",IF(G353&gt;=LARGE(G:G,FlexOn*LeagueInfo!$F$2),"Starter","Bench"))</f>
        <v>Bench</v>
      </c>
      <c r="G353" s="1">
        <f ca="1">IF(H353&gt;I353,D353,0)</f>
        <v>14.53</v>
      </c>
      <c r="H353" s="1">
        <f ca="1">INDEX(INDIRECT(""&amp;C353&amp;"!A2:A489"),MATCH(B353,INDIRECT(""&amp;C353&amp;"!B2:B489"),0))</f>
        <v>66</v>
      </c>
      <c r="I353" s="1">
        <f>IF(C353="RB",LeagueInfo!$D$4*LeagueInfo!$F$2,IF(C353="WR",LeagueInfo!$D$5*LeagueInfo!$F$2,IF(C353="TE",LeagueInfo!$D$6*LeagueInfo!$F$2,LeagueInfo!$D$3*LeagueInfo!$F$2)))</f>
        <v>12</v>
      </c>
    </row>
    <row r="354" spans="1:9" x14ac:dyDescent="0.25">
      <c r="A354" s="1">
        <f ca="1">RANK(E354,E$2:E$619)</f>
        <v>360</v>
      </c>
      <c r="B354" s="1" t="s">
        <v>760</v>
      </c>
      <c r="C354" s="1" t="s">
        <v>47</v>
      </c>
      <c r="D354" s="1">
        <f ca="1">INDEX(INDIRECT($C354&amp;"!O:O"),MATCH($B354,INDIRECT($C354&amp;"!B:B"),0))</f>
        <v>15.020000000000001</v>
      </c>
      <c r="E354" s="254">
        <f ca="1">D354-LARGE(D$2:D$619,RBCount+WRCount+TECount+QBCount)</f>
        <v>-68.850000000000009</v>
      </c>
      <c r="F354" s="1" t="str">
        <f ca="1">IF(H354&lt;=I354,"Starter",IF(G354&gt;=LARGE(G:G,FlexOn*LeagueInfo!$F$2),"Starter","Bench"))</f>
        <v>Bench</v>
      </c>
      <c r="G354" s="1">
        <f ca="1">IF(H354&gt;I354,D354,0)</f>
        <v>15.020000000000001</v>
      </c>
      <c r="H354" s="1">
        <f ca="1">INDEX(INDIRECT(""&amp;C354&amp;"!A2:A489"),MATCH(B354,INDIRECT(""&amp;C354&amp;"!B2:B489"),0))</f>
        <v>65</v>
      </c>
      <c r="I354" s="1">
        <f>IF(C354="RB",LeagueInfo!$D$4*LeagueInfo!$F$2,IF(C354="WR",LeagueInfo!$D$5*LeagueInfo!$F$2,IF(C354="TE",LeagueInfo!$D$6*LeagueInfo!$F$2,LeagueInfo!$D$3*LeagueInfo!$F$2)))</f>
        <v>12</v>
      </c>
    </row>
    <row r="355" spans="1:9" x14ac:dyDescent="0.25">
      <c r="A355" s="1">
        <f ca="1">RANK(E355,E$2:E$619)</f>
        <v>343</v>
      </c>
      <c r="B355" s="1" t="s">
        <v>919</v>
      </c>
      <c r="C355" s="1" t="s">
        <v>33</v>
      </c>
      <c r="D355" s="1">
        <f ca="1">INDEX(INDIRECT($C355&amp;"!O:O"),MATCH($B355,INDIRECT($C355&amp;"!B:B"),0))</f>
        <v>17.342000000000002</v>
      </c>
      <c r="E355" s="254">
        <f ca="1">D355-LARGE(D$2:D$619,RBCount+WRCount+TECount+QBCount)</f>
        <v>-66.528000000000006</v>
      </c>
      <c r="F355" s="1" t="str">
        <f ca="1">IF(H355&lt;=I355,"Starter",IF(G355&gt;=LARGE(G:G,FlexOn*LeagueInfo!$F$2),"Starter","Bench"))</f>
        <v>Bench</v>
      </c>
      <c r="G355" s="1">
        <f ca="1">IF(H355&gt;I355,D355,0)</f>
        <v>17.342000000000002</v>
      </c>
      <c r="H355" s="1">
        <f ca="1">INDEX(INDIRECT(""&amp;C355&amp;"!A2:A489"),MATCH(B355,INDIRECT(""&amp;C355&amp;"!B2:B489"),0))</f>
        <v>45</v>
      </c>
      <c r="I355" s="1">
        <f>IF(C355="RB",LeagueInfo!$D$4*LeagueInfo!$F$2,IF(C355="WR",LeagueInfo!$D$5*LeagueInfo!$F$2,IF(C355="TE",LeagueInfo!$D$6*LeagueInfo!$F$2,LeagueInfo!$D$3*LeagueInfo!$F$2)))</f>
        <v>12</v>
      </c>
    </row>
    <row r="356" spans="1:9" x14ac:dyDescent="0.25">
      <c r="A356" s="1">
        <f ca="1">RANK(E356,E$2:E$619)</f>
        <v>363</v>
      </c>
      <c r="B356" s="1" t="s">
        <v>478</v>
      </c>
      <c r="C356" s="1" t="s">
        <v>32</v>
      </c>
      <c r="D356" s="1">
        <f ca="1">INDEX(INDIRECT($C356&amp;"!O:O"),MATCH($B356,INDIRECT($C356&amp;"!B:B"),0))</f>
        <v>14.830000000000002</v>
      </c>
      <c r="E356" s="254">
        <f ca="1">D356-LARGE(D$2:D$619,RBCount+WRCount+TECount+QBCount)</f>
        <v>-69.040000000000006</v>
      </c>
      <c r="F356" s="1" t="str">
        <f ca="1">IF(H356&lt;=I356,"Starter",IF(G356&gt;=LARGE(G:G,FlexOn*LeagueInfo!$F$2),"Starter","Bench"))</f>
        <v>Bench</v>
      </c>
      <c r="G356" s="1">
        <f ca="1">IF(H356&gt;I356,D356,0)</f>
        <v>14.830000000000002</v>
      </c>
      <c r="H356" s="1">
        <f ca="1">INDEX(INDIRECT(""&amp;C356&amp;"!A2:A489"),MATCH(B356,INDIRECT(""&amp;C356&amp;"!B2:B489"),0))</f>
        <v>107</v>
      </c>
      <c r="I356" s="1">
        <f>IF(C356="RB",LeagueInfo!$D$4*LeagueInfo!$F$2,IF(C356="WR",LeagueInfo!$D$5*LeagueInfo!$F$2,IF(C356="TE",LeagueInfo!$D$6*LeagueInfo!$F$2,LeagueInfo!$D$3*LeagueInfo!$F$2)))</f>
        <v>24</v>
      </c>
    </row>
    <row r="357" spans="1:9" x14ac:dyDescent="0.25">
      <c r="A357" s="1">
        <f ca="1">RANK(E357,E$2:E$619)</f>
        <v>364</v>
      </c>
      <c r="B357" s="1" t="s">
        <v>606</v>
      </c>
      <c r="C357" s="1" t="s">
        <v>39</v>
      </c>
      <c r="D357" s="1">
        <f ca="1">INDEX(INDIRECT($C357&amp;"!O:O"),MATCH($B357,INDIRECT($C357&amp;"!B:B"),0))</f>
        <v>14.770000000000001</v>
      </c>
      <c r="E357" s="254">
        <f ca="1">D357-LARGE(D$2:D$619,RBCount+WRCount+TECount+QBCount)</f>
        <v>-69.100000000000009</v>
      </c>
      <c r="F357" s="1" t="str">
        <f ca="1">IF(H357&lt;=I357,"Starter",IF(G357&gt;=LARGE(G:G,FlexOn*LeagueInfo!$F$2),"Starter","Bench"))</f>
        <v>Bench</v>
      </c>
      <c r="G357" s="1">
        <f ca="1">IF(H357&gt;I357,D357,0)</f>
        <v>14.770000000000001</v>
      </c>
      <c r="H357" s="1">
        <f ca="1">INDEX(INDIRECT(""&amp;C357&amp;"!A2:A489"),MATCH(B357,INDIRECT(""&amp;C357&amp;"!B2:B489"),0))</f>
        <v>144</v>
      </c>
      <c r="I357" s="1">
        <f>IF(C357="RB",LeagueInfo!$D$4*LeagueInfo!$F$2,IF(C357="WR",LeagueInfo!$D$5*LeagueInfo!$F$2,IF(C357="TE",LeagueInfo!$D$6*LeagueInfo!$F$2,LeagueInfo!$D$3*LeagueInfo!$F$2)))</f>
        <v>24</v>
      </c>
    </row>
    <row r="358" spans="1:9" x14ac:dyDescent="0.25">
      <c r="A358" s="1">
        <f ca="1">RANK(E358,E$2:E$619)</f>
        <v>367</v>
      </c>
      <c r="B358" s="1" t="s">
        <v>709</v>
      </c>
      <c r="C358" s="1" t="s">
        <v>39</v>
      </c>
      <c r="D358" s="1">
        <f ca="1">INDEX(INDIRECT($C358&amp;"!O:O"),MATCH($B358,INDIRECT($C358&amp;"!B:B"),0))</f>
        <v>14.55</v>
      </c>
      <c r="E358" s="254">
        <f ca="1">D358-LARGE(D$2:D$619,RBCount+WRCount+TECount+QBCount)</f>
        <v>-69.320000000000007</v>
      </c>
      <c r="F358" s="1" t="str">
        <f ca="1">IF(H358&lt;=I358,"Starter",IF(G358&gt;=LARGE(G:G,FlexOn*LeagueInfo!$F$2),"Starter","Bench"))</f>
        <v>Bench</v>
      </c>
      <c r="G358" s="1">
        <f ca="1">IF(H358&gt;I358,D358,0)</f>
        <v>14.55</v>
      </c>
      <c r="H358" s="1">
        <f ca="1">INDEX(INDIRECT(""&amp;C358&amp;"!A2:A489"),MATCH(B358,INDIRECT(""&amp;C358&amp;"!B2:B489"),0))</f>
        <v>146</v>
      </c>
      <c r="I358" s="1">
        <f>IF(C358="RB",LeagueInfo!$D$4*LeagueInfo!$F$2,IF(C358="WR",LeagueInfo!$D$5*LeagueInfo!$F$2,IF(C358="TE",LeagueInfo!$D$6*LeagueInfo!$F$2,LeagueInfo!$D$3*LeagueInfo!$F$2)))</f>
        <v>24</v>
      </c>
    </row>
    <row r="359" spans="1:9" x14ac:dyDescent="0.25">
      <c r="A359" s="1">
        <f ca="1">RANK(E359,E$2:E$619)</f>
        <v>342</v>
      </c>
      <c r="B359" s="1" t="s">
        <v>395</v>
      </c>
      <c r="C359" s="1" t="s">
        <v>33</v>
      </c>
      <c r="D359" s="1">
        <f ca="1">INDEX(INDIRECT($C359&amp;"!O:O"),MATCH($B359,INDIRECT($C359&amp;"!B:B"),0))</f>
        <v>17.5</v>
      </c>
      <c r="E359" s="254">
        <f ca="1">D359-LARGE(D$2:D$619,RBCount+WRCount+TECount+QBCount)</f>
        <v>-66.37</v>
      </c>
      <c r="F359" s="1" t="str">
        <f ca="1">IF(H359&lt;=I359,"Starter",IF(G359&gt;=LARGE(G:G,FlexOn*LeagueInfo!$F$2),"Starter","Bench"))</f>
        <v>Bench</v>
      </c>
      <c r="G359" s="1">
        <f ca="1">IF(H359&gt;I359,D359,0)</f>
        <v>17.5</v>
      </c>
      <c r="H359" s="1">
        <f ca="1">INDEX(INDIRECT(""&amp;C359&amp;"!A2:A489"),MATCH(B359,INDIRECT(""&amp;C359&amp;"!B2:B489"),0))</f>
        <v>44</v>
      </c>
      <c r="I359" s="1">
        <f>IF(C359="RB",LeagueInfo!$D$4*LeagueInfo!$F$2,IF(C359="WR",LeagueInfo!$D$5*LeagueInfo!$F$2,IF(C359="TE",LeagueInfo!$D$6*LeagueInfo!$F$2,LeagueInfo!$D$3*LeagueInfo!$F$2)))</f>
        <v>12</v>
      </c>
    </row>
    <row r="360" spans="1:9" x14ac:dyDescent="0.25">
      <c r="A360" s="1">
        <f ca="1">RANK(E360,E$2:E$619)</f>
        <v>345</v>
      </c>
      <c r="B360" s="1" t="s">
        <v>519</v>
      </c>
      <c r="C360" s="1" t="s">
        <v>32</v>
      </c>
      <c r="D360" s="1">
        <f ca="1">INDEX(INDIRECT($C360&amp;"!O:O"),MATCH($B360,INDIRECT($C360&amp;"!B:B"),0))</f>
        <v>16.78</v>
      </c>
      <c r="E360" s="254">
        <f ca="1">D360-LARGE(D$2:D$619,RBCount+WRCount+TECount+QBCount)</f>
        <v>-67.09</v>
      </c>
      <c r="F360" s="1" t="str">
        <f ca="1">IF(H360&lt;=I360,"Starter",IF(G360&gt;=LARGE(G:G,FlexOn*LeagueInfo!$F$2),"Starter","Bench"))</f>
        <v>Bench</v>
      </c>
      <c r="G360" s="1">
        <f ca="1">IF(H360&gt;I360,D360,0)</f>
        <v>16.78</v>
      </c>
      <c r="H360" s="1">
        <f ca="1">INDEX(INDIRECT(""&amp;C360&amp;"!A2:A489"),MATCH(B360,INDIRECT(""&amp;C360&amp;"!B2:B489"),0))</f>
        <v>102</v>
      </c>
      <c r="I360" s="1">
        <f>IF(C360="RB",LeagueInfo!$D$4*LeagueInfo!$F$2,IF(C360="WR",LeagueInfo!$D$5*LeagueInfo!$F$2,IF(C360="TE",LeagueInfo!$D$6*LeagueInfo!$F$2,LeagueInfo!$D$3*LeagueInfo!$F$2)))</f>
        <v>24</v>
      </c>
    </row>
    <row r="361" spans="1:9" x14ac:dyDescent="0.25">
      <c r="A361" s="1">
        <f ca="1">RANK(E361,E$2:E$619)</f>
        <v>346</v>
      </c>
      <c r="B361" s="1" t="s">
        <v>399</v>
      </c>
      <c r="C361" s="1" t="s">
        <v>33</v>
      </c>
      <c r="D361" s="1">
        <f ca="1">INDEX(INDIRECT($C361&amp;"!O:O"),MATCH($B361,INDIRECT($C361&amp;"!B:B"),0))</f>
        <v>16.624000000000002</v>
      </c>
      <c r="E361" s="254">
        <f ca="1">D361-LARGE(D$2:D$619,RBCount+WRCount+TECount+QBCount)</f>
        <v>-67.246000000000009</v>
      </c>
      <c r="F361" s="1" t="str">
        <f ca="1">IF(H361&lt;=I361,"Starter",IF(G361&gt;=LARGE(G:G,FlexOn*LeagueInfo!$F$2),"Starter","Bench"))</f>
        <v>Bench</v>
      </c>
      <c r="G361" s="1">
        <f ca="1">IF(H361&gt;I361,D361,0)</f>
        <v>16.624000000000002</v>
      </c>
      <c r="H361" s="1">
        <f ca="1">INDEX(INDIRECT(""&amp;C361&amp;"!A2:A489"),MATCH(B361,INDIRECT(""&amp;C361&amp;"!B2:B489"),0))</f>
        <v>47</v>
      </c>
      <c r="I361" s="1">
        <f>IF(C361="RB",LeagueInfo!$D$4*LeagueInfo!$F$2,IF(C361="WR",LeagueInfo!$D$5*LeagueInfo!$F$2,IF(C361="TE",LeagueInfo!$D$6*LeagueInfo!$F$2,LeagueInfo!$D$3*LeagueInfo!$F$2)))</f>
        <v>12</v>
      </c>
    </row>
    <row r="362" spans="1:9" x14ac:dyDescent="0.25">
      <c r="A362" s="1">
        <f ca="1">RANK(E362,E$2:E$619)</f>
        <v>371</v>
      </c>
      <c r="B362" s="1" t="s">
        <v>639</v>
      </c>
      <c r="C362" s="1" t="s">
        <v>39</v>
      </c>
      <c r="D362" s="1">
        <f ca="1">INDEX(INDIRECT($C362&amp;"!O:O"),MATCH($B362,INDIRECT($C362&amp;"!B:B"),0))</f>
        <v>14.01</v>
      </c>
      <c r="E362" s="254">
        <f ca="1">D362-LARGE(D$2:D$619,RBCount+WRCount+TECount+QBCount)</f>
        <v>-69.86</v>
      </c>
      <c r="F362" s="1" t="str">
        <f ca="1">IF(H362&lt;=I362,"Starter",IF(G362&gt;=LARGE(G:G,FlexOn*LeagueInfo!$F$2),"Starter","Bench"))</f>
        <v>Bench</v>
      </c>
      <c r="G362" s="1">
        <f ca="1">IF(H362&gt;I362,D362,0)</f>
        <v>14.01</v>
      </c>
      <c r="H362" s="1">
        <f ca="1">INDEX(INDIRECT(""&amp;C362&amp;"!A2:A489"),MATCH(B362,INDIRECT(""&amp;C362&amp;"!B2:B489"),0))</f>
        <v>148</v>
      </c>
      <c r="I362" s="1">
        <f>IF(C362="RB",LeagueInfo!$D$4*LeagueInfo!$F$2,IF(C362="WR",LeagueInfo!$D$5*LeagueInfo!$F$2,IF(C362="TE",LeagueInfo!$D$6*LeagueInfo!$F$2,LeagueInfo!$D$3*LeagueInfo!$F$2)))</f>
        <v>24</v>
      </c>
    </row>
    <row r="363" spans="1:9" x14ac:dyDescent="0.25">
      <c r="A363" s="1">
        <f ca="1">RANK(E363,E$2:E$619)</f>
        <v>344</v>
      </c>
      <c r="B363" s="1" t="s">
        <v>398</v>
      </c>
      <c r="C363" s="1" t="s">
        <v>33</v>
      </c>
      <c r="D363" s="1">
        <f ca="1">INDEX(INDIRECT($C363&amp;"!O:O"),MATCH($B363,INDIRECT($C363&amp;"!B:B"),0))</f>
        <v>17.004000000000001</v>
      </c>
      <c r="E363" s="254">
        <f ca="1">D363-LARGE(D$2:D$619,RBCount+WRCount+TECount+QBCount)</f>
        <v>-66.866</v>
      </c>
      <c r="F363" s="1" t="str">
        <f ca="1">IF(H363&lt;=I363,"Starter",IF(G363&gt;=LARGE(G:G,FlexOn*LeagueInfo!$F$2),"Starter","Bench"))</f>
        <v>Bench</v>
      </c>
      <c r="G363" s="1">
        <f ca="1">IF(H363&gt;I363,D363,0)</f>
        <v>17.004000000000001</v>
      </c>
      <c r="H363" s="1">
        <f ca="1">INDEX(INDIRECT(""&amp;C363&amp;"!A2:A489"),MATCH(B363,INDIRECT(""&amp;C363&amp;"!B2:B489"),0))</f>
        <v>46</v>
      </c>
      <c r="I363" s="1">
        <f>IF(C363="RB",LeagueInfo!$D$4*LeagueInfo!$F$2,IF(C363="WR",LeagueInfo!$D$5*LeagueInfo!$F$2,IF(C363="TE",LeagueInfo!$D$6*LeagueInfo!$F$2,LeagueInfo!$D$3*LeagueInfo!$F$2)))</f>
        <v>12</v>
      </c>
    </row>
    <row r="364" spans="1:9" x14ac:dyDescent="0.25">
      <c r="A364" s="1">
        <f ca="1">RANK(E364,E$2:E$619)</f>
        <v>377</v>
      </c>
      <c r="B364" s="1" t="s">
        <v>781</v>
      </c>
      <c r="C364" s="1" t="s">
        <v>47</v>
      </c>
      <c r="D364" s="1">
        <f ca="1">INDEX(INDIRECT($C364&amp;"!O:O"),MATCH($B364,INDIRECT($C364&amp;"!B:B"),0))</f>
        <v>13.750000000000002</v>
      </c>
      <c r="E364" s="254">
        <f ca="1">D364-LARGE(D$2:D$619,RBCount+WRCount+TECount+QBCount)</f>
        <v>-70.12</v>
      </c>
      <c r="F364" s="1" t="str">
        <f ca="1">IF(H364&lt;=I364,"Starter",IF(G364&gt;=LARGE(G:G,FlexOn*LeagueInfo!$F$2),"Starter","Bench"))</f>
        <v>Bench</v>
      </c>
      <c r="G364" s="1">
        <f ca="1">IF(H364&gt;I364,D364,0)</f>
        <v>13.750000000000002</v>
      </c>
      <c r="H364" s="1">
        <f ca="1">INDEX(INDIRECT(""&amp;C364&amp;"!A2:A489"),MATCH(B364,INDIRECT(""&amp;C364&amp;"!B2:B489"),0))</f>
        <v>67</v>
      </c>
      <c r="I364" s="1">
        <f>IF(C364="RB",LeagueInfo!$D$4*LeagueInfo!$F$2,IF(C364="WR",LeagueInfo!$D$5*LeagueInfo!$F$2,IF(C364="TE",LeagueInfo!$D$6*LeagueInfo!$F$2,LeagueInfo!$D$3*LeagueInfo!$F$2)))</f>
        <v>12</v>
      </c>
    </row>
    <row r="365" spans="1:9" x14ac:dyDescent="0.25">
      <c r="A365" s="1">
        <f ca="1">RANK(E365,E$2:E$619)</f>
        <v>352</v>
      </c>
      <c r="B365" s="1" t="s">
        <v>479</v>
      </c>
      <c r="C365" s="1" t="s">
        <v>32</v>
      </c>
      <c r="D365" s="1">
        <f ca="1">INDEX(INDIRECT($C365&amp;"!O:O"),MATCH($B365,INDIRECT($C365&amp;"!B:B"),0))</f>
        <v>16.170000000000002</v>
      </c>
      <c r="E365" s="254">
        <f ca="1">D365-LARGE(D$2:D$619,RBCount+WRCount+TECount+QBCount)</f>
        <v>-67.7</v>
      </c>
      <c r="F365" s="1" t="str">
        <f ca="1">IF(H365&lt;=I365,"Starter",IF(G365&gt;=LARGE(G:G,FlexOn*LeagueInfo!$F$2),"Starter","Bench"))</f>
        <v>Bench</v>
      </c>
      <c r="G365" s="1">
        <f ca="1">IF(H365&gt;I365,D365,0)</f>
        <v>16.170000000000002</v>
      </c>
      <c r="H365" s="1">
        <f ca="1">INDEX(INDIRECT(""&amp;C365&amp;"!A2:A489"),MATCH(B365,INDIRECT(""&amp;C365&amp;"!B2:B489"),0))</f>
        <v>104</v>
      </c>
      <c r="I365" s="1">
        <f>IF(C365="RB",LeagueInfo!$D$4*LeagueInfo!$F$2,IF(C365="WR",LeagueInfo!$D$5*LeagueInfo!$F$2,IF(C365="TE",LeagueInfo!$D$6*LeagueInfo!$F$2,LeagueInfo!$D$3*LeagueInfo!$F$2)))</f>
        <v>24</v>
      </c>
    </row>
    <row r="366" spans="1:9" x14ac:dyDescent="0.25">
      <c r="A366" s="1">
        <f ca="1">RANK(E366,E$2:E$619)</f>
        <v>366</v>
      </c>
      <c r="B366" s="1" t="s">
        <v>633</v>
      </c>
      <c r="C366" s="1" t="s">
        <v>39</v>
      </c>
      <c r="D366" s="1">
        <f ca="1">INDEX(INDIRECT($C366&amp;"!O:O"),MATCH($B366,INDIRECT($C366&amp;"!B:B"),0))</f>
        <v>14.680000000000001</v>
      </c>
      <c r="E366" s="254">
        <f ca="1">D366-LARGE(D$2:D$619,RBCount+WRCount+TECount+QBCount)</f>
        <v>-69.19</v>
      </c>
      <c r="F366" s="1" t="str">
        <f ca="1">IF(H366&lt;=I366,"Starter",IF(G366&gt;=LARGE(G:G,FlexOn*LeagueInfo!$F$2),"Starter","Bench"))</f>
        <v>Bench</v>
      </c>
      <c r="G366" s="1">
        <f ca="1">IF(H366&gt;I366,D366,0)</f>
        <v>14.680000000000001</v>
      </c>
      <c r="H366" s="1">
        <f ca="1">INDEX(INDIRECT(""&amp;C366&amp;"!A2:A489"),MATCH(B366,INDIRECT(""&amp;C366&amp;"!B2:B489"),0))</f>
        <v>145</v>
      </c>
      <c r="I366" s="1">
        <f>IF(C366="RB",LeagueInfo!$D$4*LeagueInfo!$F$2,IF(C366="WR",LeagueInfo!$D$5*LeagueInfo!$F$2,IF(C366="TE",LeagueInfo!$D$6*LeagueInfo!$F$2,LeagueInfo!$D$3*LeagueInfo!$F$2)))</f>
        <v>24</v>
      </c>
    </row>
    <row r="367" spans="1:9" x14ac:dyDescent="0.25">
      <c r="A367" s="1">
        <f ca="1">RANK(E367,E$2:E$619)</f>
        <v>378</v>
      </c>
      <c r="B367" s="1" t="s">
        <v>747</v>
      </c>
      <c r="C367" s="1" t="s">
        <v>47</v>
      </c>
      <c r="D367" s="1">
        <f ca="1">INDEX(INDIRECT($C367&amp;"!O:O"),MATCH($B367,INDIRECT($C367&amp;"!B:B"),0))</f>
        <v>13.420000000000002</v>
      </c>
      <c r="E367" s="254">
        <f ca="1">D367-LARGE(D$2:D$619,RBCount+WRCount+TECount+QBCount)</f>
        <v>-70.45</v>
      </c>
      <c r="F367" s="1" t="str">
        <f ca="1">IF(H367&lt;=I367,"Starter",IF(G367&gt;=LARGE(G:G,FlexOn*LeagueInfo!$F$2),"Starter","Bench"))</f>
        <v>Bench</v>
      </c>
      <c r="G367" s="1">
        <f ca="1">IF(H367&gt;I367,D367,0)</f>
        <v>13.420000000000002</v>
      </c>
      <c r="H367" s="1">
        <f ca="1">INDEX(INDIRECT(""&amp;C367&amp;"!A2:A489"),MATCH(B367,INDIRECT(""&amp;C367&amp;"!B2:B489"),0))</f>
        <v>68</v>
      </c>
      <c r="I367" s="1">
        <f>IF(C367="RB",LeagueInfo!$D$4*LeagueInfo!$F$2,IF(C367="WR",LeagueInfo!$D$5*LeagueInfo!$F$2,IF(C367="TE",LeagueInfo!$D$6*LeagueInfo!$F$2,LeagueInfo!$D$3*LeagueInfo!$F$2)))</f>
        <v>12</v>
      </c>
    </row>
    <row r="368" spans="1:9" x14ac:dyDescent="0.25">
      <c r="A368" s="1">
        <f ca="1">RANK(E368,E$2:E$619)</f>
        <v>379</v>
      </c>
      <c r="B368" s="1" t="s">
        <v>754</v>
      </c>
      <c r="C368" s="1" t="s">
        <v>47</v>
      </c>
      <c r="D368" s="1">
        <f ca="1">INDEX(INDIRECT($C368&amp;"!O:O"),MATCH($B368,INDIRECT($C368&amp;"!B:B"),0))</f>
        <v>13.31</v>
      </c>
      <c r="E368" s="254">
        <f ca="1">D368-LARGE(D$2:D$619,RBCount+WRCount+TECount+QBCount)</f>
        <v>-70.56</v>
      </c>
      <c r="F368" s="1" t="str">
        <f ca="1">IF(H368&lt;=I368,"Starter",IF(G368&gt;=LARGE(G:G,FlexOn*LeagueInfo!$F$2),"Starter","Bench"))</f>
        <v>Bench</v>
      </c>
      <c r="G368" s="1">
        <f ca="1">IF(H368&gt;I368,D368,0)</f>
        <v>13.31</v>
      </c>
      <c r="H368" s="1">
        <f ca="1">INDEX(INDIRECT(""&amp;C368&amp;"!A2:A489"),MATCH(B368,INDIRECT(""&amp;C368&amp;"!B2:B489"),0))</f>
        <v>69</v>
      </c>
      <c r="I368" s="1">
        <f>IF(C368="RB",LeagueInfo!$D$4*LeagueInfo!$F$2,IF(C368="WR",LeagueInfo!$D$5*LeagueInfo!$F$2,IF(C368="TE",LeagueInfo!$D$6*LeagueInfo!$F$2,LeagueInfo!$D$3*LeagueInfo!$F$2)))</f>
        <v>12</v>
      </c>
    </row>
    <row r="369" spans="1:9" x14ac:dyDescent="0.25">
      <c r="A369" s="1">
        <f ca="1">RANK(E369,E$2:E$619)</f>
        <v>361</v>
      </c>
      <c r="B369" s="1" t="s">
        <v>484</v>
      </c>
      <c r="C369" s="1" t="s">
        <v>32</v>
      </c>
      <c r="D369" s="1">
        <f ca="1">INDEX(INDIRECT($C369&amp;"!O:O"),MATCH($B369,INDIRECT($C369&amp;"!B:B"),0))</f>
        <v>14.98</v>
      </c>
      <c r="E369" s="254">
        <f ca="1">D369-LARGE(D$2:D$619,RBCount+WRCount+TECount+QBCount)</f>
        <v>-68.89</v>
      </c>
      <c r="F369" s="1" t="str">
        <f ca="1">IF(H369&lt;=I369,"Starter",IF(G369&gt;=LARGE(G:G,FlexOn*LeagueInfo!$F$2),"Starter","Bench"))</f>
        <v>Bench</v>
      </c>
      <c r="G369" s="1">
        <f ca="1">IF(H369&gt;I369,D369,0)</f>
        <v>14.98</v>
      </c>
      <c r="H369" s="1">
        <f ca="1">INDEX(INDIRECT(""&amp;C369&amp;"!A2:A489"),MATCH(B369,INDIRECT(""&amp;C369&amp;"!B2:B489"),0))</f>
        <v>106</v>
      </c>
      <c r="I369" s="1">
        <f>IF(C369="RB",LeagueInfo!$D$4*LeagueInfo!$F$2,IF(C369="WR",LeagueInfo!$D$5*LeagueInfo!$F$2,IF(C369="TE",LeagueInfo!$D$6*LeagueInfo!$F$2,LeagueInfo!$D$3*LeagueInfo!$F$2)))</f>
        <v>24</v>
      </c>
    </row>
    <row r="370" spans="1:9" x14ac:dyDescent="0.25">
      <c r="A370" s="1">
        <f ca="1">RANK(E370,E$2:E$619)</f>
        <v>380</v>
      </c>
      <c r="B370" s="1" t="s">
        <v>623</v>
      </c>
      <c r="C370" s="1" t="s">
        <v>39</v>
      </c>
      <c r="D370" s="1">
        <f ca="1">INDEX(INDIRECT($C370&amp;"!O:O"),MATCH($B370,INDIRECT($C370&amp;"!B:B"),0))</f>
        <v>13.22</v>
      </c>
      <c r="E370" s="254">
        <f ca="1">D370-LARGE(D$2:D$619,RBCount+WRCount+TECount+QBCount)</f>
        <v>-70.650000000000006</v>
      </c>
      <c r="F370" s="1" t="str">
        <f ca="1">IF(H370&lt;=I370,"Starter",IF(G370&gt;=LARGE(G:G,FlexOn*LeagueInfo!$F$2),"Starter","Bench"))</f>
        <v>Bench</v>
      </c>
      <c r="G370" s="1">
        <f ca="1">IF(H370&gt;I370,D370,0)</f>
        <v>13.22</v>
      </c>
      <c r="H370" s="1">
        <f ca="1">INDEX(INDIRECT(""&amp;C370&amp;"!A2:A489"),MATCH(B370,INDIRECT(""&amp;C370&amp;"!B2:B489"),0))</f>
        <v>150</v>
      </c>
      <c r="I370" s="1">
        <f>IF(C370="RB",LeagueInfo!$D$4*LeagueInfo!$F$2,IF(C370="WR",LeagueInfo!$D$5*LeagueInfo!$F$2,IF(C370="TE",LeagueInfo!$D$6*LeagueInfo!$F$2,LeagueInfo!$D$3*LeagueInfo!$F$2)))</f>
        <v>24</v>
      </c>
    </row>
    <row r="371" spans="1:9" x14ac:dyDescent="0.25">
      <c r="A371" s="1">
        <f ca="1">RANK(E371,E$2:E$619)</f>
        <v>369</v>
      </c>
      <c r="B371" s="1" t="s">
        <v>627</v>
      </c>
      <c r="C371" s="1" t="s">
        <v>39</v>
      </c>
      <c r="D371" s="1">
        <f ca="1">INDEX(INDIRECT($C371&amp;"!O:O"),MATCH($B371,INDIRECT($C371&amp;"!B:B"),0))</f>
        <v>14.39</v>
      </c>
      <c r="E371" s="254">
        <f ca="1">D371-LARGE(D$2:D$619,RBCount+WRCount+TECount+QBCount)</f>
        <v>-69.48</v>
      </c>
      <c r="F371" s="1" t="str">
        <f ca="1">IF(H371&lt;=I371,"Starter",IF(G371&gt;=LARGE(G:G,FlexOn*LeagueInfo!$F$2),"Starter","Bench"))</f>
        <v>Bench</v>
      </c>
      <c r="G371" s="1">
        <f ca="1">IF(H371&gt;I371,D371,0)</f>
        <v>14.39</v>
      </c>
      <c r="H371" s="1">
        <f ca="1">INDEX(INDIRECT(""&amp;C371&amp;"!A2:A489"),MATCH(B371,INDIRECT(""&amp;C371&amp;"!B2:B489"),0))</f>
        <v>147</v>
      </c>
      <c r="I371" s="1">
        <f>IF(C371="RB",LeagueInfo!$D$4*LeagueInfo!$F$2,IF(C371="WR",LeagueInfo!$D$5*LeagueInfo!$F$2,IF(C371="TE",LeagueInfo!$D$6*LeagueInfo!$F$2,LeagueInfo!$D$3*LeagueInfo!$F$2)))</f>
        <v>24</v>
      </c>
    </row>
    <row r="372" spans="1:9" x14ac:dyDescent="0.25">
      <c r="A372" s="1">
        <f ca="1">RANK(E372,E$2:E$619)</f>
        <v>357</v>
      </c>
      <c r="B372" s="1" t="s">
        <v>500</v>
      </c>
      <c r="C372" s="1" t="s">
        <v>32</v>
      </c>
      <c r="D372" s="1">
        <f ca="1">INDEX(INDIRECT($C372&amp;"!O:O"),MATCH($B372,INDIRECT($C372&amp;"!B:B"),0))</f>
        <v>15.480000000000002</v>
      </c>
      <c r="E372" s="254">
        <f ca="1">D372-LARGE(D$2:D$619,RBCount+WRCount+TECount+QBCount)</f>
        <v>-68.39</v>
      </c>
      <c r="F372" s="1" t="str">
        <f ca="1">IF(H372&lt;=I372,"Starter",IF(G372&gt;=LARGE(G:G,FlexOn*LeagueInfo!$F$2),"Starter","Bench"))</f>
        <v>Bench</v>
      </c>
      <c r="G372" s="1">
        <f ca="1">IF(H372&gt;I372,D372,0)</f>
        <v>15.480000000000002</v>
      </c>
      <c r="H372" s="1">
        <f ca="1">INDEX(INDIRECT(""&amp;C372&amp;"!A2:A489"),MATCH(B372,INDIRECT(""&amp;C372&amp;"!B2:B489"),0))</f>
        <v>105</v>
      </c>
      <c r="I372" s="1">
        <f>IF(C372="RB",LeagueInfo!$D$4*LeagueInfo!$F$2,IF(C372="WR",LeagueInfo!$D$5*LeagueInfo!$F$2,IF(C372="TE",LeagueInfo!$D$6*LeagueInfo!$F$2,LeagueInfo!$D$3*LeagueInfo!$F$2)))</f>
        <v>24</v>
      </c>
    </row>
    <row r="373" spans="1:9" x14ac:dyDescent="0.25">
      <c r="A373" s="1">
        <f ca="1">RANK(E373,E$2:E$619)</f>
        <v>351</v>
      </c>
      <c r="B373" s="1" t="s">
        <v>477</v>
      </c>
      <c r="C373" s="1" t="s">
        <v>32</v>
      </c>
      <c r="D373" s="1">
        <f ca="1">INDEX(INDIRECT($C373&amp;"!O:O"),MATCH($B373,INDIRECT($C373&amp;"!B:B"),0))</f>
        <v>16.350000000000001</v>
      </c>
      <c r="E373" s="254">
        <f ca="1">D373-LARGE(D$2:D$619,RBCount+WRCount+TECount+QBCount)</f>
        <v>-67.52000000000001</v>
      </c>
      <c r="F373" s="1" t="str">
        <f ca="1">IF(H373&lt;=I373,"Starter",IF(G373&gt;=LARGE(G:G,FlexOn*LeagueInfo!$F$2),"Starter","Bench"))</f>
        <v>Bench</v>
      </c>
      <c r="G373" s="1">
        <f ca="1">IF(H373&gt;I373,D373,0)</f>
        <v>16.350000000000001</v>
      </c>
      <c r="H373" s="1">
        <f ca="1">INDEX(INDIRECT(""&amp;C373&amp;"!A2:A489"),MATCH(B373,INDIRECT(""&amp;C373&amp;"!B2:B489"),0))</f>
        <v>103</v>
      </c>
      <c r="I373" s="1">
        <f>IF(C373="RB",LeagueInfo!$D$4*LeagueInfo!$F$2,IF(C373="WR",LeagueInfo!$D$5*LeagueInfo!$F$2,IF(C373="TE",LeagueInfo!$D$6*LeagueInfo!$F$2,LeagueInfo!$D$3*LeagueInfo!$F$2)))</f>
        <v>24</v>
      </c>
    </row>
    <row r="374" spans="1:9" x14ac:dyDescent="0.25">
      <c r="A374" s="1">
        <f ca="1">RANK(E374,E$2:E$619)</f>
        <v>391</v>
      </c>
      <c r="B374" s="1" t="s">
        <v>613</v>
      </c>
      <c r="C374" s="1" t="s">
        <v>39</v>
      </c>
      <c r="D374" s="1">
        <f ca="1">INDEX(INDIRECT($C374&amp;"!O:O"),MATCH($B374,INDIRECT($C374&amp;"!B:B"),0))</f>
        <v>12.06</v>
      </c>
      <c r="E374" s="254">
        <f ca="1">D374-LARGE(D$2:D$619,RBCount+WRCount+TECount+QBCount)</f>
        <v>-71.81</v>
      </c>
      <c r="F374" s="1" t="str">
        <f ca="1">IF(H374&lt;=I374,"Starter",IF(G374&gt;=LARGE(G:G,FlexOn*LeagueInfo!$F$2),"Starter","Bench"))</f>
        <v>Bench</v>
      </c>
      <c r="G374" s="1">
        <f ca="1">IF(H374&gt;I374,D374,0)</f>
        <v>12.06</v>
      </c>
      <c r="H374" s="1">
        <f ca="1">INDEX(INDIRECT(""&amp;C374&amp;"!A2:A489"),MATCH(B374,INDIRECT(""&amp;C374&amp;"!B2:B489"),0))</f>
        <v>153</v>
      </c>
      <c r="I374" s="1">
        <f>IF(C374="RB",LeagueInfo!$D$4*LeagueInfo!$F$2,IF(C374="WR",LeagueInfo!$D$5*LeagueInfo!$F$2,IF(C374="TE",LeagueInfo!$D$6*LeagueInfo!$F$2,LeagueInfo!$D$3*LeagueInfo!$F$2)))</f>
        <v>24</v>
      </c>
    </row>
    <row r="375" spans="1:9" x14ac:dyDescent="0.25">
      <c r="A375" s="1">
        <f ca="1">RANK(E375,E$2:E$619)</f>
        <v>386</v>
      </c>
      <c r="B375" s="1" t="s">
        <v>759</v>
      </c>
      <c r="C375" s="1" t="s">
        <v>47</v>
      </c>
      <c r="D375" s="1">
        <f ca="1">INDEX(INDIRECT($C375&amp;"!O:O"),MATCH($B375,INDIRECT($C375&amp;"!B:B"),0))</f>
        <v>12.3</v>
      </c>
      <c r="E375" s="254">
        <f ca="1">D375-LARGE(D$2:D$619,RBCount+WRCount+TECount+QBCount)</f>
        <v>-71.570000000000007</v>
      </c>
      <c r="F375" s="1" t="str">
        <f ca="1">IF(H375&lt;=I375,"Starter",IF(G375&gt;=LARGE(G:G,FlexOn*LeagueInfo!$F$2),"Starter","Bench"))</f>
        <v>Bench</v>
      </c>
      <c r="G375" s="1">
        <f ca="1">IF(H375&gt;I375,D375,0)</f>
        <v>12.3</v>
      </c>
      <c r="H375" s="1">
        <f ca="1">INDEX(INDIRECT(""&amp;C375&amp;"!A2:A489"),MATCH(B375,INDIRECT(""&amp;C375&amp;"!B2:B489"),0))</f>
        <v>71</v>
      </c>
      <c r="I375" s="1">
        <f>IF(C375="RB",LeagueInfo!$D$4*LeagueInfo!$F$2,IF(C375="WR",LeagueInfo!$D$5*LeagueInfo!$F$2,IF(C375="TE",LeagueInfo!$D$6*LeagueInfo!$F$2,LeagueInfo!$D$3*LeagueInfo!$F$2)))</f>
        <v>12</v>
      </c>
    </row>
    <row r="376" spans="1:9" x14ac:dyDescent="0.25">
      <c r="A376" s="1">
        <f ca="1">RANK(E376,E$2:E$619)</f>
        <v>390</v>
      </c>
      <c r="B376" s="1" t="s">
        <v>635</v>
      </c>
      <c r="C376" s="1" t="s">
        <v>39</v>
      </c>
      <c r="D376" s="1">
        <f ca="1">INDEX(INDIRECT($C376&amp;"!O:O"),MATCH($B376,INDIRECT($C376&amp;"!B:B"),0))</f>
        <v>12.100000000000001</v>
      </c>
      <c r="E376" s="254">
        <f ca="1">D376-LARGE(D$2:D$619,RBCount+WRCount+TECount+QBCount)</f>
        <v>-71.77000000000001</v>
      </c>
      <c r="F376" s="1" t="str">
        <f ca="1">IF(H376&lt;=I376,"Starter",IF(G376&gt;=LARGE(G:G,FlexOn*LeagueInfo!$F$2),"Starter","Bench"))</f>
        <v>Bench</v>
      </c>
      <c r="G376" s="1">
        <f ca="1">IF(H376&gt;I376,D376,0)</f>
        <v>12.100000000000001</v>
      </c>
      <c r="H376" s="1">
        <f ca="1">INDEX(INDIRECT(""&amp;C376&amp;"!A2:A489"),MATCH(B376,INDIRECT(""&amp;C376&amp;"!B2:B489"),0))</f>
        <v>152</v>
      </c>
      <c r="I376" s="1">
        <f>IF(C376="RB",LeagueInfo!$D$4*LeagueInfo!$F$2,IF(C376="WR",LeagueInfo!$D$5*LeagueInfo!$F$2,IF(C376="TE",LeagueInfo!$D$6*LeagueInfo!$F$2,LeagueInfo!$D$3*LeagueInfo!$F$2)))</f>
        <v>24</v>
      </c>
    </row>
    <row r="377" spans="1:9" x14ac:dyDescent="0.25">
      <c r="A377" s="1">
        <f ca="1">RANK(E377,E$2:E$619)</f>
        <v>383</v>
      </c>
      <c r="B377" s="1" t="s">
        <v>322</v>
      </c>
      <c r="C377" s="1" t="s">
        <v>47</v>
      </c>
      <c r="D377" s="1">
        <f ca="1">INDEX(INDIRECT($C377&amp;"!O:O"),MATCH($B377,INDIRECT($C377&amp;"!B:B"),0))</f>
        <v>12.66</v>
      </c>
      <c r="E377" s="254">
        <f ca="1">D377-LARGE(D$2:D$619,RBCount+WRCount+TECount+QBCount)</f>
        <v>-71.210000000000008</v>
      </c>
      <c r="F377" s="1" t="str">
        <f ca="1">IF(H377&lt;=I377,"Starter",IF(G377&gt;=LARGE(G:G,FlexOn*LeagueInfo!$F$2),"Starter","Bench"))</f>
        <v>Bench</v>
      </c>
      <c r="G377" s="1">
        <f ca="1">IF(H377&gt;I377,D377,0)</f>
        <v>12.66</v>
      </c>
      <c r="H377" s="1">
        <f ca="1">INDEX(INDIRECT(""&amp;C377&amp;"!A2:A489"),MATCH(B377,INDIRECT(""&amp;C377&amp;"!B2:B489"),0))</f>
        <v>70</v>
      </c>
      <c r="I377" s="1">
        <f>IF(C377="RB",LeagueInfo!$D$4*LeagueInfo!$F$2,IF(C377="WR",LeagueInfo!$D$5*LeagueInfo!$F$2,IF(C377="TE",LeagueInfo!$D$6*LeagueInfo!$F$2,LeagueInfo!$D$3*LeagueInfo!$F$2)))</f>
        <v>12</v>
      </c>
    </row>
    <row r="378" spans="1:9" x14ac:dyDescent="0.25">
      <c r="A378" s="1">
        <f ca="1">RANK(E378,E$2:E$619)</f>
        <v>389</v>
      </c>
      <c r="B378" s="1" t="s">
        <v>769</v>
      </c>
      <c r="C378" s="1" t="s">
        <v>47</v>
      </c>
      <c r="D378" s="1">
        <f ca="1">INDEX(INDIRECT($C378&amp;"!O:O"),MATCH($B378,INDIRECT($C378&amp;"!B:B"),0))</f>
        <v>12.16</v>
      </c>
      <c r="E378" s="254">
        <f ca="1">D378-LARGE(D$2:D$619,RBCount+WRCount+TECount+QBCount)</f>
        <v>-71.710000000000008</v>
      </c>
      <c r="F378" s="1" t="str">
        <f ca="1">IF(H378&lt;=I378,"Starter",IF(G378&gt;=LARGE(G:G,FlexOn*LeagueInfo!$F$2),"Starter","Bench"))</f>
        <v>Bench</v>
      </c>
      <c r="G378" s="1">
        <f ca="1">IF(H378&gt;I378,D378,0)</f>
        <v>12.16</v>
      </c>
      <c r="H378" s="1">
        <f ca="1">INDEX(INDIRECT(""&amp;C378&amp;"!A2:A489"),MATCH(B378,INDIRECT(""&amp;C378&amp;"!B2:B489"),0))</f>
        <v>72</v>
      </c>
      <c r="I378" s="1">
        <f>IF(C378="RB",LeagueInfo!$D$4*LeagueInfo!$F$2,IF(C378="WR",LeagueInfo!$D$5*LeagueInfo!$F$2,IF(C378="TE",LeagueInfo!$D$6*LeagueInfo!$F$2,LeagueInfo!$D$3*LeagueInfo!$F$2)))</f>
        <v>12</v>
      </c>
    </row>
    <row r="379" spans="1:9" x14ac:dyDescent="0.25">
      <c r="A379" s="1">
        <f ca="1">RANK(E379,E$2:E$619)</f>
        <v>375</v>
      </c>
      <c r="B379" s="1" t="s">
        <v>490</v>
      </c>
      <c r="C379" s="1" t="s">
        <v>32</v>
      </c>
      <c r="D379" s="1">
        <f ca="1">INDEX(INDIRECT($C379&amp;"!O:O"),MATCH($B379,INDIRECT($C379&amp;"!B:B"),0))</f>
        <v>13.77</v>
      </c>
      <c r="E379" s="254">
        <f ca="1">D379-LARGE(D$2:D$619,RBCount+WRCount+TECount+QBCount)</f>
        <v>-70.100000000000009</v>
      </c>
      <c r="F379" s="1" t="str">
        <f ca="1">IF(H379&lt;=I379,"Starter",IF(G379&gt;=LARGE(G:G,FlexOn*LeagueInfo!$F$2),"Starter","Bench"))</f>
        <v>Bench</v>
      </c>
      <c r="G379" s="1">
        <f ca="1">IF(H379&gt;I379,D379,0)</f>
        <v>13.77</v>
      </c>
      <c r="H379" s="1">
        <f ca="1">INDEX(INDIRECT(""&amp;C379&amp;"!A2:A489"),MATCH(B379,INDIRECT(""&amp;C379&amp;"!B2:B489"),0))</f>
        <v>109</v>
      </c>
      <c r="I379" s="1">
        <f>IF(C379="RB",LeagueInfo!$D$4*LeagueInfo!$F$2,IF(C379="WR",LeagueInfo!$D$5*LeagueInfo!$F$2,IF(C379="TE",LeagueInfo!$D$6*LeagueInfo!$F$2,LeagueInfo!$D$3*LeagueInfo!$F$2)))</f>
        <v>24</v>
      </c>
    </row>
    <row r="380" spans="1:9" x14ac:dyDescent="0.25">
      <c r="A380" s="1">
        <f ca="1">RANK(E380,E$2:E$619)</f>
        <v>376</v>
      </c>
      <c r="B380" s="1" t="s">
        <v>643</v>
      </c>
      <c r="C380" s="1" t="s">
        <v>39</v>
      </c>
      <c r="D380" s="1">
        <f ca="1">INDEX(INDIRECT($C380&amp;"!O:O"),MATCH($B380,INDIRECT($C380&amp;"!B:B"),0))</f>
        <v>13.760000000000002</v>
      </c>
      <c r="E380" s="254">
        <f ca="1">D380-LARGE(D$2:D$619,RBCount+WRCount+TECount+QBCount)</f>
        <v>-70.11</v>
      </c>
      <c r="F380" s="1" t="str">
        <f ca="1">IF(H380&lt;=I380,"Starter",IF(G380&gt;=LARGE(G:G,FlexOn*LeagueInfo!$F$2),"Starter","Bench"))</f>
        <v>Bench</v>
      </c>
      <c r="G380" s="1">
        <f ca="1">IF(H380&gt;I380,D380,0)</f>
        <v>13.760000000000002</v>
      </c>
      <c r="H380" s="1">
        <f ca="1">INDEX(INDIRECT(""&amp;C380&amp;"!A2:A489"),MATCH(B380,INDIRECT(""&amp;C380&amp;"!B2:B489"),0))</f>
        <v>149</v>
      </c>
      <c r="I380" s="1">
        <f>IF(C380="RB",LeagueInfo!$D$4*LeagueInfo!$F$2,IF(C380="WR",LeagueInfo!$D$5*LeagueInfo!$F$2,IF(C380="TE",LeagueInfo!$D$6*LeagueInfo!$F$2,LeagueInfo!$D$3*LeagueInfo!$F$2)))</f>
        <v>24</v>
      </c>
    </row>
    <row r="381" spans="1:9" x14ac:dyDescent="0.25">
      <c r="A381" s="1">
        <f ca="1">RANK(E381,E$2:E$619)</f>
        <v>385</v>
      </c>
      <c r="B381" s="1" t="s">
        <v>679</v>
      </c>
      <c r="C381" s="1" t="s">
        <v>39</v>
      </c>
      <c r="D381" s="1">
        <f ca="1">INDEX(INDIRECT($C381&amp;"!O:O"),MATCH($B381,INDIRECT($C381&amp;"!B:B"),0))</f>
        <v>12.35</v>
      </c>
      <c r="E381" s="254">
        <f ca="1">D381-LARGE(D$2:D$619,RBCount+WRCount+TECount+QBCount)</f>
        <v>-71.52000000000001</v>
      </c>
      <c r="F381" s="1" t="str">
        <f ca="1">IF(H381&lt;=I381,"Starter",IF(G381&gt;=LARGE(G:G,FlexOn*LeagueInfo!$F$2),"Starter","Bench"))</f>
        <v>Bench</v>
      </c>
      <c r="G381" s="1">
        <f ca="1">IF(H381&gt;I381,D381,0)</f>
        <v>12.35</v>
      </c>
      <c r="H381" s="1">
        <f ca="1">INDEX(INDIRECT(""&amp;C381&amp;"!A2:A489"),MATCH(B381,INDIRECT(""&amp;C381&amp;"!B2:B489"),0))</f>
        <v>151</v>
      </c>
      <c r="I381" s="1">
        <f>IF(C381="RB",LeagueInfo!$D$4*LeagueInfo!$F$2,IF(C381="WR",LeagueInfo!$D$5*LeagueInfo!$F$2,IF(C381="TE",LeagueInfo!$D$6*LeagueInfo!$F$2,LeagueInfo!$D$3*LeagueInfo!$F$2)))</f>
        <v>24</v>
      </c>
    </row>
    <row r="382" spans="1:9" x14ac:dyDescent="0.25">
      <c r="A382" s="1">
        <f ca="1">RANK(E382,E$2:E$619)</f>
        <v>365</v>
      </c>
      <c r="B382" s="1" t="s">
        <v>401</v>
      </c>
      <c r="C382" s="1" t="s">
        <v>33</v>
      </c>
      <c r="D382" s="1">
        <f ca="1">INDEX(INDIRECT($C382&amp;"!O:O"),MATCH($B382,INDIRECT($C382&amp;"!B:B"),0))</f>
        <v>14.743999999999998</v>
      </c>
      <c r="E382" s="254">
        <f ca="1">D382-LARGE(D$2:D$619,RBCount+WRCount+TECount+QBCount)</f>
        <v>-69.126000000000005</v>
      </c>
      <c r="F382" s="1" t="str">
        <f ca="1">IF(H382&lt;=I382,"Starter",IF(G382&gt;=LARGE(G:G,FlexOn*LeagueInfo!$F$2),"Starter","Bench"))</f>
        <v>Bench</v>
      </c>
      <c r="G382" s="1">
        <f ca="1">IF(H382&gt;I382,D382,0)</f>
        <v>14.743999999999998</v>
      </c>
      <c r="H382" s="1">
        <f ca="1">INDEX(INDIRECT(""&amp;C382&amp;"!A2:A489"),MATCH(B382,INDIRECT(""&amp;C382&amp;"!B2:B489"),0))</f>
        <v>49</v>
      </c>
      <c r="I382" s="1">
        <f>IF(C382="RB",LeagueInfo!$D$4*LeagueInfo!$F$2,IF(C382="WR",LeagueInfo!$D$5*LeagueInfo!$F$2,IF(C382="TE",LeagueInfo!$D$6*LeagueInfo!$F$2,LeagueInfo!$D$3*LeagueInfo!$F$2)))</f>
        <v>12</v>
      </c>
    </row>
    <row r="383" spans="1:9" x14ac:dyDescent="0.25">
      <c r="A383" s="1">
        <f ca="1">RANK(E383,E$2:E$619)</f>
        <v>362</v>
      </c>
      <c r="B383" s="1" t="s">
        <v>920</v>
      </c>
      <c r="C383" s="1" t="s">
        <v>33</v>
      </c>
      <c r="D383" s="1">
        <f ca="1">INDEX(INDIRECT($C383&amp;"!O:O"),MATCH($B383,INDIRECT($C383&amp;"!B:B"),0))</f>
        <v>14.84</v>
      </c>
      <c r="E383" s="254">
        <f ca="1">D383-LARGE(D$2:D$619,RBCount+WRCount+TECount+QBCount)</f>
        <v>-69.03</v>
      </c>
      <c r="F383" s="1" t="str">
        <f ca="1">IF(H383&lt;=I383,"Starter",IF(G383&gt;=LARGE(G:G,FlexOn*LeagueInfo!$F$2),"Starter","Bench"))</f>
        <v>Bench</v>
      </c>
      <c r="G383" s="1">
        <f ca="1">IF(H383&gt;I383,D383,0)</f>
        <v>14.84</v>
      </c>
      <c r="H383" s="1">
        <f ca="1">INDEX(INDIRECT(""&amp;C383&amp;"!A2:A489"),MATCH(B383,INDIRECT(""&amp;C383&amp;"!B2:B489"),0))</f>
        <v>48</v>
      </c>
      <c r="I383" s="1">
        <f>IF(C383="RB",LeagueInfo!$D$4*LeagueInfo!$F$2,IF(C383="WR",LeagueInfo!$D$5*LeagueInfo!$F$2,IF(C383="TE",LeagueInfo!$D$6*LeagueInfo!$F$2,LeagueInfo!$D$3*LeagueInfo!$F$2)))</f>
        <v>12</v>
      </c>
    </row>
    <row r="384" spans="1:9" x14ac:dyDescent="0.25">
      <c r="A384" s="1">
        <f ca="1">RANK(E384,E$2:E$619)</f>
        <v>381</v>
      </c>
      <c r="B384" s="1" t="s">
        <v>488</v>
      </c>
      <c r="C384" s="1" t="s">
        <v>32</v>
      </c>
      <c r="D384" s="1">
        <f ca="1">INDEX(INDIRECT($C384&amp;"!O:O"),MATCH($B384,INDIRECT($C384&amp;"!B:B"),0))</f>
        <v>12.7</v>
      </c>
      <c r="E384" s="254">
        <f ca="1">D384-LARGE(D$2:D$619,RBCount+WRCount+TECount+QBCount)</f>
        <v>-71.17</v>
      </c>
      <c r="F384" s="1" t="str">
        <f ca="1">IF(H384&lt;=I384,"Starter",IF(G384&gt;=LARGE(G:G,FlexOn*LeagueInfo!$F$2),"Starter","Bench"))</f>
        <v>Bench</v>
      </c>
      <c r="G384" s="1">
        <f ca="1">IF(H384&gt;I384,D384,0)</f>
        <v>12.7</v>
      </c>
      <c r="H384" s="1">
        <f ca="1">INDEX(INDIRECT(""&amp;C384&amp;"!A2:A489"),MATCH(B384,INDIRECT(""&amp;C384&amp;"!B2:B489"),0))</f>
        <v>110</v>
      </c>
      <c r="I384" s="1">
        <f>IF(C384="RB",LeagueInfo!$D$4*LeagueInfo!$F$2,IF(C384="WR",LeagueInfo!$D$5*LeagueInfo!$F$2,IF(C384="TE",LeagueInfo!$D$6*LeagueInfo!$F$2,LeagueInfo!$D$3*LeagueInfo!$F$2)))</f>
        <v>24</v>
      </c>
    </row>
    <row r="385" spans="1:9" x14ac:dyDescent="0.25">
      <c r="A385" s="1">
        <f ca="1">RANK(E385,E$2:E$619)</f>
        <v>373</v>
      </c>
      <c r="B385" s="1" t="s">
        <v>403</v>
      </c>
      <c r="C385" s="1" t="s">
        <v>33</v>
      </c>
      <c r="D385" s="1">
        <f ca="1">INDEX(INDIRECT($C385&amp;"!O:O"),MATCH($B385,INDIRECT($C385&amp;"!B:B"),0))</f>
        <v>13.927999999999999</v>
      </c>
      <c r="E385" s="254">
        <f ca="1">D385-LARGE(D$2:D$619,RBCount+WRCount+TECount+QBCount)</f>
        <v>-69.942000000000007</v>
      </c>
      <c r="F385" s="1" t="str">
        <f ca="1">IF(H385&lt;=I385,"Starter",IF(G385&gt;=LARGE(G:G,FlexOn*LeagueInfo!$F$2),"Starter","Bench"))</f>
        <v>Bench</v>
      </c>
      <c r="G385" s="1">
        <f ca="1">IF(H385&gt;I385,D385,0)</f>
        <v>13.927999999999999</v>
      </c>
      <c r="H385" s="1">
        <f ca="1">INDEX(INDIRECT(""&amp;C385&amp;"!A2:A489"),MATCH(B385,INDIRECT(""&amp;C385&amp;"!B2:B489"),0))</f>
        <v>51</v>
      </c>
      <c r="I385" s="1">
        <f>IF(C385="RB",LeagueInfo!$D$4*LeagueInfo!$F$2,IF(C385="WR",LeagueInfo!$D$5*LeagueInfo!$F$2,IF(C385="TE",LeagueInfo!$D$6*LeagueInfo!$F$2,LeagueInfo!$D$3*LeagueInfo!$F$2)))</f>
        <v>12</v>
      </c>
    </row>
    <row r="386" spans="1:9" x14ac:dyDescent="0.25">
      <c r="A386" s="1">
        <f ca="1">RANK(E386,E$2:E$619)</f>
        <v>394</v>
      </c>
      <c r="B386" s="1" t="s">
        <v>758</v>
      </c>
      <c r="C386" s="1" t="s">
        <v>47</v>
      </c>
      <c r="D386" s="1">
        <f ca="1">INDEX(INDIRECT($C386&amp;"!O:O"),MATCH($B386,INDIRECT($C386&amp;"!B:B"),0))</f>
        <v>11.56</v>
      </c>
      <c r="E386" s="254">
        <f ca="1">D386-LARGE(D$2:D$619,RBCount+WRCount+TECount+QBCount)</f>
        <v>-72.31</v>
      </c>
      <c r="F386" s="1" t="str">
        <f ca="1">IF(H386&lt;=I386,"Starter",IF(G386&gt;=LARGE(G:G,FlexOn*LeagueInfo!$F$2),"Starter","Bench"))</f>
        <v>Bench</v>
      </c>
      <c r="G386" s="1">
        <f ca="1">IF(H386&gt;I386,D386,0)</f>
        <v>11.56</v>
      </c>
      <c r="H386" s="1">
        <f ca="1">INDEX(INDIRECT(""&amp;C386&amp;"!A2:A489"),MATCH(B386,INDIRECT(""&amp;C386&amp;"!B2:B489"),0))</f>
        <v>73</v>
      </c>
      <c r="I386" s="1">
        <f>IF(C386="RB",LeagueInfo!$D$4*LeagueInfo!$F$2,IF(C386="WR",LeagueInfo!$D$5*LeagueInfo!$F$2,IF(C386="TE",LeagueInfo!$D$6*LeagueInfo!$F$2,LeagueInfo!$D$3*LeagueInfo!$F$2)))</f>
        <v>12</v>
      </c>
    </row>
    <row r="387" spans="1:9" x14ac:dyDescent="0.25">
      <c r="A387" s="1">
        <f ca="1">RANK(E387,E$2:E$619)</f>
        <v>388</v>
      </c>
      <c r="B387" s="1" t="s">
        <v>489</v>
      </c>
      <c r="C387" s="1" t="s">
        <v>32</v>
      </c>
      <c r="D387" s="1">
        <f ca="1">INDEX(INDIRECT($C387&amp;"!O:O"),MATCH($B387,INDIRECT($C387&amp;"!B:B"),0))</f>
        <v>12.290000000000001</v>
      </c>
      <c r="E387" s="254">
        <f ca="1">D387-LARGE(D$2:D$619,RBCount+WRCount+TECount+QBCount)</f>
        <v>-71.58</v>
      </c>
      <c r="F387" s="1" t="str">
        <f ca="1">IF(H387&lt;=I387,"Starter",IF(G387&gt;=LARGE(G:G,FlexOn*LeagueInfo!$F$2),"Starter","Bench"))</f>
        <v>Bench</v>
      </c>
      <c r="G387" s="1">
        <f ca="1">IF(H387&gt;I387,D387,0)</f>
        <v>12.290000000000001</v>
      </c>
      <c r="H387" s="1">
        <f ca="1">INDEX(INDIRECT(""&amp;C387&amp;"!A2:A489"),MATCH(B387,INDIRECT(""&amp;C387&amp;"!B2:B489"),0))</f>
        <v>114</v>
      </c>
      <c r="I387" s="1">
        <f>IF(C387="RB",LeagueInfo!$D$4*LeagueInfo!$F$2,IF(C387="WR",LeagueInfo!$D$5*LeagueInfo!$F$2,IF(C387="TE",LeagueInfo!$D$6*LeagueInfo!$F$2,LeagueInfo!$D$3*LeagueInfo!$F$2)))</f>
        <v>24</v>
      </c>
    </row>
    <row r="388" spans="1:9" x14ac:dyDescent="0.25">
      <c r="A388" s="1">
        <f ca="1">RANK(E388,E$2:E$619)</f>
        <v>402</v>
      </c>
      <c r="B388" s="1" t="s">
        <v>763</v>
      </c>
      <c r="C388" s="1" t="s">
        <v>47</v>
      </c>
      <c r="D388" s="1">
        <f ca="1">INDEX(INDIRECT($C388&amp;"!O:O"),MATCH($B388,INDIRECT($C388&amp;"!B:B"),0))</f>
        <v>10.78</v>
      </c>
      <c r="E388" s="254">
        <f ca="1">D388-LARGE(D$2:D$619,RBCount+WRCount+TECount+QBCount)</f>
        <v>-73.09</v>
      </c>
      <c r="F388" s="1" t="str">
        <f ca="1">IF(H388&lt;=I388,"Starter",IF(G388&gt;=LARGE(G:G,FlexOn*LeagueInfo!$F$2),"Starter","Bench"))</f>
        <v>Bench</v>
      </c>
      <c r="G388" s="1">
        <f ca="1">IF(H388&gt;I388,D388,0)</f>
        <v>10.78</v>
      </c>
      <c r="H388" s="1">
        <f ca="1">INDEX(INDIRECT(""&amp;C388&amp;"!A2:A489"),MATCH(B388,INDIRECT(""&amp;C388&amp;"!B2:B489"),0))</f>
        <v>77</v>
      </c>
      <c r="I388" s="1">
        <f>IF(C388="RB",LeagueInfo!$D$4*LeagueInfo!$F$2,IF(C388="WR",LeagueInfo!$D$5*LeagueInfo!$F$2,IF(C388="TE",LeagueInfo!$D$6*LeagueInfo!$F$2,LeagueInfo!$D$3*LeagueInfo!$F$2)))</f>
        <v>12</v>
      </c>
    </row>
    <row r="389" spans="1:9" x14ac:dyDescent="0.25">
      <c r="A389" s="1">
        <f ca="1">RANK(E389,E$2:E$619)</f>
        <v>372</v>
      </c>
      <c r="B389" s="1" t="s">
        <v>404</v>
      </c>
      <c r="C389" s="1" t="s">
        <v>33</v>
      </c>
      <c r="D389" s="1">
        <f ca="1">INDEX(INDIRECT($C389&amp;"!O:O"),MATCH($B389,INDIRECT($C389&amp;"!B:B"),0))</f>
        <v>13.992000000000001</v>
      </c>
      <c r="E389" s="254">
        <f ca="1">D389-LARGE(D$2:D$619,RBCount+WRCount+TECount+QBCount)</f>
        <v>-69.878</v>
      </c>
      <c r="F389" s="1" t="str">
        <f ca="1">IF(H389&lt;=I389,"Starter",IF(G389&gt;=LARGE(G:G,FlexOn*LeagueInfo!$F$2),"Starter","Bench"))</f>
        <v>Bench</v>
      </c>
      <c r="G389" s="1">
        <f ca="1">IF(H389&gt;I389,D389,0)</f>
        <v>13.992000000000001</v>
      </c>
      <c r="H389" s="1">
        <f ca="1">INDEX(INDIRECT(""&amp;C389&amp;"!A2:A489"),MATCH(B389,INDIRECT(""&amp;C389&amp;"!B2:B489"),0))</f>
        <v>50</v>
      </c>
      <c r="I389" s="1">
        <f>IF(C389="RB",LeagueInfo!$D$4*LeagueInfo!$F$2,IF(C389="WR",LeagueInfo!$D$5*LeagueInfo!$F$2,IF(C389="TE",LeagueInfo!$D$6*LeagueInfo!$F$2,LeagueInfo!$D$3*LeagueInfo!$F$2)))</f>
        <v>12</v>
      </c>
    </row>
    <row r="390" spans="1:9" x14ac:dyDescent="0.25">
      <c r="A390" s="1">
        <f ca="1">RANK(E390,E$2:E$619)</f>
        <v>370</v>
      </c>
      <c r="B390" s="1" t="s">
        <v>480</v>
      </c>
      <c r="C390" s="1" t="s">
        <v>32</v>
      </c>
      <c r="D390" s="1">
        <f ca="1">INDEX(INDIRECT($C390&amp;"!O:O"),MATCH($B390,INDIRECT($C390&amp;"!B:B"),0))</f>
        <v>14.24</v>
      </c>
      <c r="E390" s="254">
        <f ca="1">D390-LARGE(D$2:D$619,RBCount+WRCount+TECount+QBCount)</f>
        <v>-69.63000000000001</v>
      </c>
      <c r="F390" s="1" t="str">
        <f ca="1">IF(H390&lt;=I390,"Starter",IF(G390&gt;=LARGE(G:G,FlexOn*LeagueInfo!$F$2),"Starter","Bench"))</f>
        <v>Bench</v>
      </c>
      <c r="G390" s="1">
        <f ca="1">IF(H390&gt;I390,D390,0)</f>
        <v>14.24</v>
      </c>
      <c r="H390" s="1">
        <f ca="1">INDEX(INDIRECT(""&amp;C390&amp;"!A2:A489"),MATCH(B390,INDIRECT(""&amp;C390&amp;"!B2:B489"),0))</f>
        <v>108</v>
      </c>
      <c r="I390" s="1">
        <f>IF(C390="RB",LeagueInfo!$D$4*LeagueInfo!$F$2,IF(C390="WR",LeagueInfo!$D$5*LeagueInfo!$F$2,IF(C390="TE",LeagueInfo!$D$6*LeagueInfo!$F$2,LeagueInfo!$D$3*LeagueInfo!$F$2)))</f>
        <v>24</v>
      </c>
    </row>
    <row r="391" spans="1:9" x14ac:dyDescent="0.25">
      <c r="A391" s="1">
        <f ca="1">RANK(E391,E$2:E$619)</f>
        <v>414</v>
      </c>
      <c r="B391" s="1" t="s">
        <v>491</v>
      </c>
      <c r="C391" s="1" t="s">
        <v>32</v>
      </c>
      <c r="D391" s="1">
        <f ca="1">INDEX(INDIRECT($C391&amp;"!O:O"),MATCH($B391,INDIRECT($C391&amp;"!B:B"),0))</f>
        <v>9.8699999999999992</v>
      </c>
      <c r="E391" s="254">
        <f ca="1">D391-LARGE(D$2:D$619,RBCount+WRCount+TECount+QBCount)</f>
        <v>-74</v>
      </c>
      <c r="F391" s="1" t="str">
        <f ca="1">IF(H391&lt;=I391,"Starter",IF(G391&gt;=LARGE(G:G,FlexOn*LeagueInfo!$F$2),"Starter","Bench"))</f>
        <v>Bench</v>
      </c>
      <c r="G391" s="1">
        <f ca="1">IF(H391&gt;I391,D391,0)</f>
        <v>9.8699999999999992</v>
      </c>
      <c r="H391" s="1">
        <f ca="1">INDEX(INDIRECT(""&amp;C391&amp;"!A2:A489"),MATCH(B391,INDIRECT(""&amp;C391&amp;"!B2:B489"),0))</f>
        <v>121</v>
      </c>
      <c r="I391" s="1">
        <f>IF(C391="RB",LeagueInfo!$D$4*LeagueInfo!$F$2,IF(C391="WR",LeagueInfo!$D$5*LeagueInfo!$F$2,IF(C391="TE",LeagueInfo!$D$6*LeagueInfo!$F$2,LeagueInfo!$D$3*LeagueInfo!$F$2)))</f>
        <v>24</v>
      </c>
    </row>
    <row r="392" spans="1:9" x14ac:dyDescent="0.25">
      <c r="A392" s="1">
        <f ca="1">RANK(E392,E$2:E$619)</f>
        <v>374</v>
      </c>
      <c r="B392" s="1" t="s">
        <v>402</v>
      </c>
      <c r="C392" s="1" t="s">
        <v>33</v>
      </c>
      <c r="D392" s="1">
        <f ca="1">INDEX(INDIRECT($C392&amp;"!O:O"),MATCH($B392,INDIRECT($C392&amp;"!B:B"),0))</f>
        <v>13.916</v>
      </c>
      <c r="E392" s="254">
        <f ca="1">D392-LARGE(D$2:D$619,RBCount+WRCount+TECount+QBCount)</f>
        <v>-69.954000000000008</v>
      </c>
      <c r="F392" s="1" t="str">
        <f ca="1">IF(H392&lt;=I392,"Starter",IF(G392&gt;=LARGE(G:G,FlexOn*LeagueInfo!$F$2),"Starter","Bench"))</f>
        <v>Bench</v>
      </c>
      <c r="G392" s="1">
        <f ca="1">IF(H392&gt;I392,D392,0)</f>
        <v>13.916</v>
      </c>
      <c r="H392" s="1">
        <f ca="1">INDEX(INDIRECT(""&amp;C392&amp;"!A2:A489"),MATCH(B392,INDIRECT(""&amp;C392&amp;"!B2:B489"),0))</f>
        <v>52</v>
      </c>
      <c r="I392" s="1">
        <f>IF(C392="RB",LeagueInfo!$D$4*LeagueInfo!$F$2,IF(C392="WR",LeagueInfo!$D$5*LeagueInfo!$F$2,IF(C392="TE",LeagueInfo!$D$6*LeagueInfo!$F$2,LeagueInfo!$D$3*LeagueInfo!$F$2)))</f>
        <v>12</v>
      </c>
    </row>
    <row r="393" spans="1:9" x14ac:dyDescent="0.25">
      <c r="A393" s="1">
        <f ca="1">RANK(E393,E$2:E$619)</f>
        <v>398</v>
      </c>
      <c r="B393" s="1" t="s">
        <v>768</v>
      </c>
      <c r="C393" s="1" t="s">
        <v>47</v>
      </c>
      <c r="D393" s="1">
        <f ca="1">INDEX(INDIRECT($C393&amp;"!O:O"),MATCH($B393,INDIRECT($C393&amp;"!B:B"),0))</f>
        <v>10.940000000000001</v>
      </c>
      <c r="E393" s="254">
        <f ca="1">D393-LARGE(D$2:D$619,RBCount+WRCount+TECount+QBCount)</f>
        <v>-72.930000000000007</v>
      </c>
      <c r="F393" s="1" t="str">
        <f ca="1">IF(H393&lt;=I393,"Starter",IF(G393&gt;=LARGE(G:G,FlexOn*LeagueInfo!$F$2),"Starter","Bench"))</f>
        <v>Bench</v>
      </c>
      <c r="G393" s="1">
        <f ca="1">IF(H393&gt;I393,D393,0)</f>
        <v>10.940000000000001</v>
      </c>
      <c r="H393" s="1">
        <f ca="1">INDEX(INDIRECT(""&amp;C393&amp;"!A2:A489"),MATCH(B393,INDIRECT(""&amp;C393&amp;"!B2:B489"),0))</f>
        <v>75</v>
      </c>
      <c r="I393" s="1">
        <f>IF(C393="RB",LeagueInfo!$D$4*LeagueInfo!$F$2,IF(C393="WR",LeagueInfo!$D$5*LeagueInfo!$F$2,IF(C393="TE",LeagueInfo!$D$6*LeagueInfo!$F$2,LeagueInfo!$D$3*LeagueInfo!$F$2)))</f>
        <v>12</v>
      </c>
    </row>
    <row r="394" spans="1:9" x14ac:dyDescent="0.25">
      <c r="A394" s="1">
        <f ca="1">RANK(E394,E$2:E$619)</f>
        <v>384</v>
      </c>
      <c r="B394" s="1" t="s">
        <v>548</v>
      </c>
      <c r="C394" s="1" t="s">
        <v>32</v>
      </c>
      <c r="D394" s="1">
        <f ca="1">INDEX(INDIRECT($C394&amp;"!O:O"),MATCH($B394,INDIRECT($C394&amp;"!B:B"),0))</f>
        <v>12.620000000000001</v>
      </c>
      <c r="E394" s="254">
        <f ca="1">D394-LARGE(D$2:D$619,RBCount+WRCount+TECount+QBCount)</f>
        <v>-71.25</v>
      </c>
      <c r="F394" s="1" t="str">
        <f ca="1">IF(H394&lt;=I394,"Starter",IF(G394&gt;=LARGE(G:G,FlexOn*LeagueInfo!$F$2),"Starter","Bench"))</f>
        <v>Bench</v>
      </c>
      <c r="G394" s="1">
        <f ca="1">IF(H394&gt;I394,D394,0)</f>
        <v>12.620000000000001</v>
      </c>
      <c r="H394" s="1">
        <f ca="1">INDEX(INDIRECT(""&amp;C394&amp;"!A2:A489"),MATCH(B394,INDIRECT(""&amp;C394&amp;"!B2:B489"),0))</f>
        <v>112</v>
      </c>
      <c r="I394" s="1">
        <f>IF(C394="RB",LeagueInfo!$D$4*LeagueInfo!$F$2,IF(C394="WR",LeagueInfo!$D$5*LeagueInfo!$F$2,IF(C394="TE",LeagueInfo!$D$6*LeagueInfo!$F$2,LeagueInfo!$D$3*LeagueInfo!$F$2)))</f>
        <v>24</v>
      </c>
    </row>
    <row r="395" spans="1:9" x14ac:dyDescent="0.25">
      <c r="A395" s="1">
        <f ca="1">RANK(E395,E$2:E$619)</f>
        <v>392</v>
      </c>
      <c r="B395" s="1" t="s">
        <v>547</v>
      </c>
      <c r="C395" s="1" t="s">
        <v>32</v>
      </c>
      <c r="D395" s="1">
        <f ca="1">INDEX(INDIRECT($C395&amp;"!O:O"),MATCH($B395,INDIRECT($C395&amp;"!B:B"),0))</f>
        <v>11.74</v>
      </c>
      <c r="E395" s="254">
        <f ca="1">D395-LARGE(D$2:D$619,RBCount+WRCount+TECount+QBCount)</f>
        <v>-72.13000000000001</v>
      </c>
      <c r="F395" s="1" t="str">
        <f ca="1">IF(H395&lt;=I395,"Starter",IF(G395&gt;=LARGE(G:G,FlexOn*LeagueInfo!$F$2),"Starter","Bench"))</f>
        <v>Bench</v>
      </c>
      <c r="G395" s="1">
        <f ca="1">IF(H395&gt;I395,D395,0)</f>
        <v>11.74</v>
      </c>
      <c r="H395" s="1">
        <f ca="1">INDEX(INDIRECT(""&amp;C395&amp;"!A2:A489"),MATCH(B395,INDIRECT(""&amp;C395&amp;"!B2:B489"),0))</f>
        <v>115</v>
      </c>
      <c r="I395" s="1">
        <f>IF(C395="RB",LeagueInfo!$D$4*LeagueInfo!$F$2,IF(C395="WR",LeagueInfo!$D$5*LeagueInfo!$F$2,IF(C395="TE",LeagueInfo!$D$6*LeagueInfo!$F$2,LeagueInfo!$D$3*LeagueInfo!$F$2)))</f>
        <v>24</v>
      </c>
    </row>
    <row r="396" spans="1:9" x14ac:dyDescent="0.25">
      <c r="A396" s="1">
        <f ca="1">RANK(E396,E$2:E$619)</f>
        <v>396</v>
      </c>
      <c r="B396" s="1" t="s">
        <v>647</v>
      </c>
      <c r="C396" s="1" t="s">
        <v>39</v>
      </c>
      <c r="D396" s="1">
        <f ca="1">INDEX(INDIRECT($C396&amp;"!O:O"),MATCH($B396,INDIRECT($C396&amp;"!B:B"),0))</f>
        <v>11.05</v>
      </c>
      <c r="E396" s="254">
        <f ca="1">D396-LARGE(D$2:D$619,RBCount+WRCount+TECount+QBCount)</f>
        <v>-72.820000000000007</v>
      </c>
      <c r="F396" s="1" t="str">
        <f ca="1">IF(H396&lt;=I396,"Starter",IF(G396&gt;=LARGE(G:G,FlexOn*LeagueInfo!$F$2),"Starter","Bench"))</f>
        <v>Bench</v>
      </c>
      <c r="G396" s="1">
        <f ca="1">IF(H396&gt;I396,D396,0)</f>
        <v>11.05</v>
      </c>
      <c r="H396" s="1">
        <f ca="1">INDEX(INDIRECT(""&amp;C396&amp;"!A2:A489"),MATCH(B396,INDIRECT(""&amp;C396&amp;"!B2:B489"),0))</f>
        <v>154</v>
      </c>
      <c r="I396" s="1">
        <f>IF(C396="RB",LeagueInfo!$D$4*LeagueInfo!$F$2,IF(C396="WR",LeagueInfo!$D$5*LeagueInfo!$F$2,IF(C396="TE",LeagueInfo!$D$6*LeagueInfo!$F$2,LeagueInfo!$D$3*LeagueInfo!$F$2)))</f>
        <v>24</v>
      </c>
    </row>
    <row r="397" spans="1:9" x14ac:dyDescent="0.25">
      <c r="A397" s="1">
        <f ca="1">RANK(E397,E$2:E$619)</f>
        <v>382</v>
      </c>
      <c r="B397" s="1" t="s">
        <v>473</v>
      </c>
      <c r="C397" s="1" t="s">
        <v>32</v>
      </c>
      <c r="D397" s="1">
        <f ca="1">INDEX(INDIRECT($C397&amp;"!O:O"),MATCH($B397,INDIRECT($C397&amp;"!B:B"),0))</f>
        <v>12.67</v>
      </c>
      <c r="E397" s="254">
        <f ca="1">D397-LARGE(D$2:D$619,RBCount+WRCount+TECount+QBCount)</f>
        <v>-71.2</v>
      </c>
      <c r="F397" s="1" t="str">
        <f ca="1">IF(H397&lt;=I397,"Starter",IF(G397&gt;=LARGE(G:G,FlexOn*LeagueInfo!$F$2),"Starter","Bench"))</f>
        <v>Bench</v>
      </c>
      <c r="G397" s="1">
        <f ca="1">IF(H397&gt;I397,D397,0)</f>
        <v>12.67</v>
      </c>
      <c r="H397" s="1">
        <f ca="1">INDEX(INDIRECT(""&amp;C397&amp;"!A2:A489"),MATCH(B397,INDIRECT(""&amp;C397&amp;"!B2:B489"),0))</f>
        <v>111</v>
      </c>
      <c r="I397" s="1">
        <f>IF(C397="RB",LeagueInfo!$D$4*LeagueInfo!$F$2,IF(C397="WR",LeagueInfo!$D$5*LeagueInfo!$F$2,IF(C397="TE",LeagueInfo!$D$6*LeagueInfo!$F$2,LeagueInfo!$D$3*LeagueInfo!$F$2)))</f>
        <v>24</v>
      </c>
    </row>
    <row r="398" spans="1:9" x14ac:dyDescent="0.25">
      <c r="A398" s="1">
        <f ca="1">RANK(E398,E$2:E$619)</f>
        <v>403</v>
      </c>
      <c r="B398" s="1" t="s">
        <v>766</v>
      </c>
      <c r="C398" s="1" t="s">
        <v>47</v>
      </c>
      <c r="D398" s="1">
        <f ca="1">INDEX(INDIRECT($C398&amp;"!O:O"),MATCH($B398,INDIRECT($C398&amp;"!B:B"),0))</f>
        <v>10.55</v>
      </c>
      <c r="E398" s="254">
        <f ca="1">D398-LARGE(D$2:D$619,RBCount+WRCount+TECount+QBCount)</f>
        <v>-73.320000000000007</v>
      </c>
      <c r="F398" s="1" t="str">
        <f ca="1">IF(H398&lt;=I398,"Starter",IF(G398&gt;=LARGE(G:G,FlexOn*LeagueInfo!$F$2),"Starter","Bench"))</f>
        <v>Bench</v>
      </c>
      <c r="G398" s="1">
        <f ca="1">IF(H398&gt;I398,D398,0)</f>
        <v>10.55</v>
      </c>
      <c r="H398" s="1">
        <f ca="1">INDEX(INDIRECT(""&amp;C398&amp;"!A2:A489"),MATCH(B398,INDIRECT(""&amp;C398&amp;"!B2:B489"),0))</f>
        <v>78</v>
      </c>
      <c r="I398" s="1">
        <f>IF(C398="RB",LeagueInfo!$D$4*LeagueInfo!$F$2,IF(C398="WR",LeagueInfo!$D$5*LeagueInfo!$F$2,IF(C398="TE",LeagueInfo!$D$6*LeagueInfo!$F$2,LeagueInfo!$D$3*LeagueInfo!$F$2)))</f>
        <v>12</v>
      </c>
    </row>
    <row r="399" spans="1:9" x14ac:dyDescent="0.25">
      <c r="A399" s="1">
        <f ca="1">RANK(E399,E$2:E$619)</f>
        <v>399</v>
      </c>
      <c r="B399" s="1" t="s">
        <v>699</v>
      </c>
      <c r="C399" s="1" t="s">
        <v>39</v>
      </c>
      <c r="D399" s="1">
        <f ca="1">INDEX(INDIRECT($C399&amp;"!O:O"),MATCH($B399,INDIRECT($C399&amp;"!B:B"),0))</f>
        <v>10.829999999999998</v>
      </c>
      <c r="E399" s="254">
        <f ca="1">D399-LARGE(D$2:D$619,RBCount+WRCount+TECount+QBCount)</f>
        <v>-73.040000000000006</v>
      </c>
      <c r="F399" s="1" t="str">
        <f ca="1">IF(H399&lt;=I399,"Starter",IF(G399&gt;=LARGE(G:G,FlexOn*LeagueInfo!$F$2),"Starter","Bench"))</f>
        <v>Bench</v>
      </c>
      <c r="G399" s="1">
        <f ca="1">IF(H399&gt;I399,D399,0)</f>
        <v>10.829999999999998</v>
      </c>
      <c r="H399" s="1">
        <f ca="1">INDEX(INDIRECT(""&amp;C399&amp;"!A2:A489"),MATCH(B399,INDIRECT(""&amp;C399&amp;"!B2:B489"),0))</f>
        <v>155</v>
      </c>
      <c r="I399" s="1">
        <f>IF(C399="RB",LeagueInfo!$D$4*LeagueInfo!$F$2,IF(C399="WR",LeagueInfo!$D$5*LeagueInfo!$F$2,IF(C399="TE",LeagueInfo!$D$6*LeagueInfo!$F$2,LeagueInfo!$D$3*LeagueInfo!$F$2)))</f>
        <v>24</v>
      </c>
    </row>
    <row r="400" spans="1:9" x14ac:dyDescent="0.25">
      <c r="A400" s="1">
        <f ca="1">RANK(E400,E$2:E$619)</f>
        <v>431</v>
      </c>
      <c r="B400" s="1" t="s">
        <v>765</v>
      </c>
      <c r="C400" s="1" t="s">
        <v>47</v>
      </c>
      <c r="D400" s="1">
        <f ca="1">INDEX(INDIRECT($C400&amp;"!O:O"),MATCH($B400,INDIRECT($C400&amp;"!B:B"),0))</f>
        <v>9.129999999999999</v>
      </c>
      <c r="E400" s="254">
        <f ca="1">D400-LARGE(D$2:D$619,RBCount+WRCount+TECount+QBCount)</f>
        <v>-74.740000000000009</v>
      </c>
      <c r="F400" s="1" t="str">
        <f ca="1">IF(H400&lt;=I400,"Starter",IF(G400&gt;=LARGE(G:G,FlexOn*LeagueInfo!$F$2),"Starter","Bench"))</f>
        <v>Bench</v>
      </c>
      <c r="G400" s="1">
        <f ca="1">IF(H400&gt;I400,D400,0)</f>
        <v>9.129999999999999</v>
      </c>
      <c r="H400" s="1">
        <f ca="1">INDEX(INDIRECT(""&amp;C400&amp;"!A2:A489"),MATCH(B400,INDIRECT(""&amp;C400&amp;"!B2:B489"),0))</f>
        <v>85</v>
      </c>
      <c r="I400" s="1">
        <f>IF(C400="RB",LeagueInfo!$D$4*LeagueInfo!$F$2,IF(C400="WR",LeagueInfo!$D$5*LeagueInfo!$F$2,IF(C400="TE",LeagueInfo!$D$6*LeagueInfo!$F$2,LeagueInfo!$D$3*LeagueInfo!$F$2)))</f>
        <v>12</v>
      </c>
    </row>
    <row r="401" spans="1:9" x14ac:dyDescent="0.25">
      <c r="A401" s="1">
        <f ca="1">RANK(E401,E$2:E$619)</f>
        <v>386</v>
      </c>
      <c r="B401" s="1" t="s">
        <v>483</v>
      </c>
      <c r="C401" s="1" t="s">
        <v>32</v>
      </c>
      <c r="D401" s="1">
        <f ca="1">INDEX(INDIRECT($C401&amp;"!O:O"),MATCH($B401,INDIRECT($C401&amp;"!B:B"),0))</f>
        <v>12.299999999999999</v>
      </c>
      <c r="E401" s="254">
        <f ca="1">D401-LARGE(D$2:D$619,RBCount+WRCount+TECount+QBCount)</f>
        <v>-71.570000000000007</v>
      </c>
      <c r="F401" s="1" t="str">
        <f ca="1">IF(H401&lt;=I401,"Starter",IF(G401&gt;=LARGE(G:G,FlexOn*LeagueInfo!$F$2),"Starter","Bench"))</f>
        <v>Bench</v>
      </c>
      <c r="G401" s="1">
        <f ca="1">IF(H401&gt;I401,D401,0)</f>
        <v>12.299999999999999</v>
      </c>
      <c r="H401" s="1">
        <f ca="1">INDEX(INDIRECT(""&amp;C401&amp;"!A2:A489"),MATCH(B401,INDIRECT(""&amp;C401&amp;"!B2:B489"),0))</f>
        <v>113</v>
      </c>
      <c r="I401" s="1">
        <f>IF(C401="RB",LeagueInfo!$D$4*LeagueInfo!$F$2,IF(C401="WR",LeagueInfo!$D$5*LeagueInfo!$F$2,IF(C401="TE",LeagueInfo!$D$6*LeagueInfo!$F$2,LeagueInfo!$D$3*LeagueInfo!$F$2)))</f>
        <v>24</v>
      </c>
    </row>
    <row r="402" spans="1:9" x14ac:dyDescent="0.25">
      <c r="A402" s="1">
        <f ca="1">RANK(E402,E$2:E$619)</f>
        <v>400</v>
      </c>
      <c r="B402" s="1" t="s">
        <v>634</v>
      </c>
      <c r="C402" s="1" t="s">
        <v>39</v>
      </c>
      <c r="D402" s="1">
        <f ca="1">INDEX(INDIRECT($C402&amp;"!O:O"),MATCH($B402,INDIRECT($C402&amp;"!B:B"),0))</f>
        <v>10.8</v>
      </c>
      <c r="E402" s="254">
        <f ca="1">D402-LARGE(D$2:D$619,RBCount+WRCount+TECount+QBCount)</f>
        <v>-73.070000000000007</v>
      </c>
      <c r="F402" s="1" t="str">
        <f ca="1">IF(H402&lt;=I402,"Starter",IF(G402&gt;=LARGE(G:G,FlexOn*LeagueInfo!$F$2),"Starter","Bench"))</f>
        <v>Bench</v>
      </c>
      <c r="G402" s="1">
        <f ca="1">IF(H402&gt;I402,D402,0)</f>
        <v>10.8</v>
      </c>
      <c r="H402" s="1">
        <f ca="1">INDEX(INDIRECT(""&amp;C402&amp;"!A2:A489"),MATCH(B402,INDIRECT(""&amp;C402&amp;"!B2:B489"),0))</f>
        <v>156</v>
      </c>
      <c r="I402" s="1">
        <f>IF(C402="RB",LeagueInfo!$D$4*LeagueInfo!$F$2,IF(C402="WR",LeagueInfo!$D$5*LeagueInfo!$F$2,IF(C402="TE",LeagueInfo!$D$6*LeagueInfo!$F$2,LeagueInfo!$D$3*LeagueInfo!$F$2)))</f>
        <v>24</v>
      </c>
    </row>
    <row r="403" spans="1:9" x14ac:dyDescent="0.25">
      <c r="A403" s="1">
        <f ca="1">RANK(E403,E$2:E$619)</f>
        <v>395</v>
      </c>
      <c r="B403" s="1" t="s">
        <v>771</v>
      </c>
      <c r="C403" s="1" t="s">
        <v>47</v>
      </c>
      <c r="D403" s="1">
        <f ca="1">INDEX(INDIRECT($C403&amp;"!O:O"),MATCH($B403,INDIRECT($C403&amp;"!B:B"),0))</f>
        <v>11.120000000000001</v>
      </c>
      <c r="E403" s="254">
        <f ca="1">D403-LARGE(D$2:D$619,RBCount+WRCount+TECount+QBCount)</f>
        <v>-72.75</v>
      </c>
      <c r="F403" s="1" t="str">
        <f ca="1">IF(H403&lt;=I403,"Starter",IF(G403&gt;=LARGE(G:G,FlexOn*LeagueInfo!$F$2),"Starter","Bench"))</f>
        <v>Bench</v>
      </c>
      <c r="G403" s="1">
        <f ca="1">IF(H403&gt;I403,D403,0)</f>
        <v>11.120000000000001</v>
      </c>
      <c r="H403" s="1">
        <f ca="1">INDEX(INDIRECT(""&amp;C403&amp;"!A2:A489"),MATCH(B403,INDIRECT(""&amp;C403&amp;"!B2:B489"),0))</f>
        <v>74</v>
      </c>
      <c r="I403" s="1">
        <f>IF(C403="RB",LeagueInfo!$D$4*LeagueInfo!$F$2,IF(C403="WR",LeagueInfo!$D$5*LeagueInfo!$F$2,IF(C403="TE",LeagueInfo!$D$6*LeagueInfo!$F$2,LeagueInfo!$D$3*LeagueInfo!$F$2)))</f>
        <v>12</v>
      </c>
    </row>
    <row r="404" spans="1:9" x14ac:dyDescent="0.25">
      <c r="A404" s="1">
        <f ca="1">RANK(E404,E$2:E$619)</f>
        <v>412</v>
      </c>
      <c r="B404" s="1" t="s">
        <v>762</v>
      </c>
      <c r="C404" s="1" t="s">
        <v>47</v>
      </c>
      <c r="D404" s="1">
        <f ca="1">INDEX(INDIRECT($C404&amp;"!O:O"),MATCH($B404,INDIRECT($C404&amp;"!B:B"),0))</f>
        <v>10</v>
      </c>
      <c r="E404" s="254">
        <f ca="1">D404-LARGE(D$2:D$619,RBCount+WRCount+TECount+QBCount)</f>
        <v>-73.87</v>
      </c>
      <c r="F404" s="1" t="str">
        <f ca="1">IF(H404&lt;=I404,"Starter",IF(G404&gt;=LARGE(G:G,FlexOn*LeagueInfo!$F$2),"Starter","Bench"))</f>
        <v>Bench</v>
      </c>
      <c r="G404" s="1">
        <f ca="1">IF(H404&gt;I404,D404,0)</f>
        <v>10</v>
      </c>
      <c r="H404" s="1">
        <f ca="1">INDEX(INDIRECT(""&amp;C404&amp;"!A2:A489"),MATCH(B404,INDIRECT(""&amp;C404&amp;"!B2:B489"),0))</f>
        <v>80</v>
      </c>
      <c r="I404" s="1">
        <f>IF(C404="RB",LeagueInfo!$D$4*LeagueInfo!$F$2,IF(C404="WR",LeagueInfo!$D$5*LeagueInfo!$F$2,IF(C404="TE",LeagueInfo!$D$6*LeagueInfo!$F$2,LeagueInfo!$D$3*LeagueInfo!$F$2)))</f>
        <v>12</v>
      </c>
    </row>
    <row r="405" spans="1:9" x14ac:dyDescent="0.25">
      <c r="A405" s="1">
        <f ca="1">RANK(E405,E$2:E$619)</f>
        <v>427</v>
      </c>
      <c r="B405" s="1" t="s">
        <v>757</v>
      </c>
      <c r="C405" s="1" t="s">
        <v>47</v>
      </c>
      <c r="D405" s="1">
        <f ca="1">INDEX(INDIRECT($C405&amp;"!O:O"),MATCH($B405,INDIRECT($C405&amp;"!B:B"),0))</f>
        <v>9.2900000000000027</v>
      </c>
      <c r="E405" s="254">
        <f ca="1">D405-LARGE(D$2:D$619,RBCount+WRCount+TECount+QBCount)</f>
        <v>-74.58</v>
      </c>
      <c r="F405" s="1" t="str">
        <f ca="1">IF(H405&lt;=I405,"Starter",IF(G405&gt;=LARGE(G:G,FlexOn*LeagueInfo!$F$2),"Starter","Bench"))</f>
        <v>Bench</v>
      </c>
      <c r="G405" s="1">
        <f ca="1">IF(H405&gt;I405,D405,0)</f>
        <v>9.2900000000000027</v>
      </c>
      <c r="H405" s="1">
        <f ca="1">INDEX(INDIRECT(""&amp;C405&amp;"!A2:A489"),MATCH(B405,INDIRECT(""&amp;C405&amp;"!B2:B489"),0))</f>
        <v>83</v>
      </c>
      <c r="I405" s="1">
        <f>IF(C405="RB",LeagueInfo!$D$4*LeagueInfo!$F$2,IF(C405="WR",LeagueInfo!$D$5*LeagueInfo!$F$2,IF(C405="TE",LeagueInfo!$D$6*LeagueInfo!$F$2,LeagueInfo!$D$3*LeagueInfo!$F$2)))</f>
        <v>12</v>
      </c>
    </row>
    <row r="406" spans="1:9" x14ac:dyDescent="0.25">
      <c r="A406" s="1">
        <f ca="1">RANK(E406,E$2:E$619)</f>
        <v>404</v>
      </c>
      <c r="B406" s="1" t="s">
        <v>653</v>
      </c>
      <c r="C406" s="1" t="s">
        <v>39</v>
      </c>
      <c r="D406" s="1">
        <f ca="1">INDEX(INDIRECT($C406&amp;"!O:O"),MATCH($B406,INDIRECT($C406&amp;"!B:B"),0))</f>
        <v>10.48</v>
      </c>
      <c r="E406" s="254">
        <f ca="1">D406-LARGE(D$2:D$619,RBCount+WRCount+TECount+QBCount)</f>
        <v>-73.39</v>
      </c>
      <c r="F406" s="1" t="str">
        <f ca="1">IF(H406&lt;=I406,"Starter",IF(G406&gt;=LARGE(G:G,FlexOn*LeagueInfo!$F$2),"Starter","Bench"))</f>
        <v>Bench</v>
      </c>
      <c r="G406" s="1">
        <f ca="1">IF(H406&gt;I406,D406,0)</f>
        <v>10.48</v>
      </c>
      <c r="H406" s="1">
        <f ca="1">INDEX(INDIRECT(""&amp;C406&amp;"!A2:A489"),MATCH(B406,INDIRECT(""&amp;C406&amp;"!B2:B489"),0))</f>
        <v>157</v>
      </c>
      <c r="I406" s="1">
        <f>IF(C406="RB",LeagueInfo!$D$4*LeagueInfo!$F$2,IF(C406="WR",LeagueInfo!$D$5*LeagueInfo!$F$2,IF(C406="TE",LeagueInfo!$D$6*LeagueInfo!$F$2,LeagueInfo!$D$3*LeagueInfo!$F$2)))</f>
        <v>24</v>
      </c>
    </row>
    <row r="407" spans="1:9" x14ac:dyDescent="0.25">
      <c r="A407" s="1">
        <f ca="1">RANK(E407,E$2:E$619)</f>
        <v>401</v>
      </c>
      <c r="B407" s="1" t="s">
        <v>775</v>
      </c>
      <c r="C407" s="1" t="s">
        <v>47</v>
      </c>
      <c r="D407" s="1">
        <f ca="1">INDEX(INDIRECT($C407&amp;"!O:O"),MATCH($B407,INDIRECT($C407&amp;"!B:B"),0))</f>
        <v>10.79</v>
      </c>
      <c r="E407" s="254">
        <f ca="1">D407-LARGE(D$2:D$619,RBCount+WRCount+TECount+QBCount)</f>
        <v>-73.080000000000013</v>
      </c>
      <c r="F407" s="1" t="str">
        <f ca="1">IF(H407&lt;=I407,"Starter",IF(G407&gt;=LARGE(G:G,FlexOn*LeagueInfo!$F$2),"Starter","Bench"))</f>
        <v>Bench</v>
      </c>
      <c r="G407" s="1">
        <f ca="1">IF(H407&gt;I407,D407,0)</f>
        <v>10.79</v>
      </c>
      <c r="H407" s="1">
        <f ca="1">INDEX(INDIRECT(""&amp;C407&amp;"!A2:A489"),MATCH(B407,INDIRECT(""&amp;C407&amp;"!B2:B489"),0))</f>
        <v>76</v>
      </c>
      <c r="I407" s="1">
        <f>IF(C407="RB",LeagueInfo!$D$4*LeagueInfo!$F$2,IF(C407="WR",LeagueInfo!$D$5*LeagueInfo!$F$2,IF(C407="TE",LeagueInfo!$D$6*LeagueInfo!$F$2,LeagueInfo!$D$3*LeagueInfo!$F$2)))</f>
        <v>12</v>
      </c>
    </row>
    <row r="408" spans="1:9" x14ac:dyDescent="0.25">
      <c r="A408" s="1">
        <f ca="1">RANK(E408,E$2:E$619)</f>
        <v>411</v>
      </c>
      <c r="B408" s="1" t="s">
        <v>776</v>
      </c>
      <c r="C408" s="1" t="s">
        <v>47</v>
      </c>
      <c r="D408" s="1">
        <f ca="1">INDEX(INDIRECT($C408&amp;"!O:O"),MATCH($B408,INDIRECT($C408&amp;"!B:B"),0))</f>
        <v>10.14</v>
      </c>
      <c r="E408" s="254">
        <f ca="1">D408-LARGE(D$2:D$619,RBCount+WRCount+TECount+QBCount)</f>
        <v>-73.73</v>
      </c>
      <c r="F408" s="1" t="str">
        <f ca="1">IF(H408&lt;=I408,"Starter",IF(G408&gt;=LARGE(G:G,FlexOn*LeagueInfo!$F$2),"Starter","Bench"))</f>
        <v>Bench</v>
      </c>
      <c r="G408" s="1">
        <f ca="1">IF(H408&gt;I408,D408,0)</f>
        <v>10.14</v>
      </c>
      <c r="H408" s="1">
        <f ca="1">INDEX(INDIRECT(""&amp;C408&amp;"!A2:A489"),MATCH(B408,INDIRECT(""&amp;C408&amp;"!B2:B489"),0))</f>
        <v>79</v>
      </c>
      <c r="I408" s="1">
        <f>IF(C408="RB",LeagueInfo!$D$4*LeagueInfo!$F$2,IF(C408="WR",LeagueInfo!$D$5*LeagueInfo!$F$2,IF(C408="TE",LeagueInfo!$D$6*LeagueInfo!$F$2,LeagueInfo!$D$3*LeagueInfo!$F$2)))</f>
        <v>12</v>
      </c>
    </row>
    <row r="409" spans="1:9" x14ac:dyDescent="0.25">
      <c r="A409" s="1">
        <f ca="1">RANK(E409,E$2:E$619)</f>
        <v>407</v>
      </c>
      <c r="B409" s="1" t="s">
        <v>654</v>
      </c>
      <c r="C409" s="1" t="s">
        <v>39</v>
      </c>
      <c r="D409" s="1">
        <f ca="1">INDEX(INDIRECT($C409&amp;"!O:O"),MATCH($B409,INDIRECT($C409&amp;"!B:B"),0))</f>
        <v>10.280000000000001</v>
      </c>
      <c r="E409" s="254">
        <f ca="1">D409-LARGE(D$2:D$619,RBCount+WRCount+TECount+QBCount)</f>
        <v>-73.59</v>
      </c>
      <c r="F409" s="1" t="str">
        <f ca="1">IF(H409&lt;=I409,"Starter",IF(G409&gt;=LARGE(G:G,FlexOn*LeagueInfo!$F$2),"Starter","Bench"))</f>
        <v>Bench</v>
      </c>
      <c r="G409" s="1">
        <f ca="1">IF(H409&gt;I409,D409,0)</f>
        <v>10.280000000000001</v>
      </c>
      <c r="H409" s="1">
        <f ca="1">INDEX(INDIRECT(""&amp;C409&amp;"!A2:A489"),MATCH(B409,INDIRECT(""&amp;C409&amp;"!B2:B489"),0))</f>
        <v>158</v>
      </c>
      <c r="I409" s="1">
        <f>IF(C409="RB",LeagueInfo!$D$4*LeagueInfo!$F$2,IF(C409="WR",LeagueInfo!$D$5*LeagueInfo!$F$2,IF(C409="TE",LeagueInfo!$D$6*LeagueInfo!$F$2,LeagueInfo!$D$3*LeagueInfo!$F$2)))</f>
        <v>24</v>
      </c>
    </row>
    <row r="410" spans="1:9" x14ac:dyDescent="0.25">
      <c r="A410" s="1">
        <f ca="1">RANK(E410,E$2:E$619)</f>
        <v>423</v>
      </c>
      <c r="B410" s="1" t="s">
        <v>660</v>
      </c>
      <c r="C410" s="1" t="s">
        <v>39</v>
      </c>
      <c r="D410" s="1">
        <f ca="1">INDEX(INDIRECT($C410&amp;"!O:O"),MATCH($B410,INDIRECT($C410&amp;"!B:B"),0))</f>
        <v>9.4700000000000006</v>
      </c>
      <c r="E410" s="254">
        <f ca="1">D410-LARGE(D$2:D$619,RBCount+WRCount+TECount+QBCount)</f>
        <v>-74.400000000000006</v>
      </c>
      <c r="F410" s="1" t="str">
        <f ca="1">IF(H410&lt;=I410,"Starter",IF(G410&gt;=LARGE(G:G,FlexOn*LeagueInfo!$F$2),"Starter","Bench"))</f>
        <v>Bench</v>
      </c>
      <c r="G410" s="1">
        <f ca="1">IF(H410&gt;I410,D410,0)</f>
        <v>9.4700000000000006</v>
      </c>
      <c r="H410" s="1">
        <f ca="1">INDEX(INDIRECT(""&amp;C410&amp;"!A2:A489"),MATCH(B410,INDIRECT(""&amp;C410&amp;"!B2:B489"),0))</f>
        <v>162</v>
      </c>
      <c r="I410" s="1">
        <f>IF(C410="RB",LeagueInfo!$D$4*LeagueInfo!$F$2,IF(C410="WR",LeagueInfo!$D$5*LeagueInfo!$F$2,IF(C410="TE",LeagueInfo!$D$6*LeagueInfo!$F$2,LeagueInfo!$D$3*LeagueInfo!$F$2)))</f>
        <v>24</v>
      </c>
    </row>
    <row r="411" spans="1:9" x14ac:dyDescent="0.25">
      <c r="A411" s="1">
        <f ca="1">RANK(E411,E$2:E$619)</f>
        <v>413</v>
      </c>
      <c r="B411" s="1" t="s">
        <v>662</v>
      </c>
      <c r="C411" s="1" t="s">
        <v>39</v>
      </c>
      <c r="D411" s="1">
        <f ca="1">INDEX(INDIRECT($C411&amp;"!O:O"),MATCH($B411,INDIRECT($C411&amp;"!B:B"),0))</f>
        <v>9.9600000000000009</v>
      </c>
      <c r="E411" s="254">
        <f ca="1">D411-LARGE(D$2:D$619,RBCount+WRCount+TECount+QBCount)</f>
        <v>-73.91</v>
      </c>
      <c r="F411" s="1" t="str">
        <f ca="1">IF(H411&lt;=I411,"Starter",IF(G411&gt;=LARGE(G:G,FlexOn*LeagueInfo!$F$2),"Starter","Bench"))</f>
        <v>Bench</v>
      </c>
      <c r="G411" s="1">
        <f ca="1">IF(H411&gt;I411,D411,0)</f>
        <v>9.9600000000000009</v>
      </c>
      <c r="H411" s="1">
        <f ca="1">INDEX(INDIRECT(""&amp;C411&amp;"!A2:A489"),MATCH(B411,INDIRECT(""&amp;C411&amp;"!B2:B489"),0))</f>
        <v>159</v>
      </c>
      <c r="I411" s="1">
        <f>IF(C411="RB",LeagueInfo!$D$4*LeagueInfo!$F$2,IF(C411="WR",LeagueInfo!$D$5*LeagueInfo!$F$2,IF(C411="TE",LeagueInfo!$D$6*LeagueInfo!$F$2,LeagueInfo!$D$3*LeagueInfo!$F$2)))</f>
        <v>24</v>
      </c>
    </row>
    <row r="412" spans="1:9" x14ac:dyDescent="0.25">
      <c r="A412" s="1">
        <f ca="1">RANK(E412,E$2:E$619)</f>
        <v>422</v>
      </c>
      <c r="B412" s="1" t="s">
        <v>753</v>
      </c>
      <c r="C412" s="1" t="s">
        <v>47</v>
      </c>
      <c r="D412" s="1">
        <f ca="1">INDEX(INDIRECT($C412&amp;"!O:O"),MATCH($B412,INDIRECT($C412&amp;"!B:B"),0))</f>
        <v>9.5</v>
      </c>
      <c r="E412" s="254">
        <f ca="1">D412-LARGE(D$2:D$619,RBCount+WRCount+TECount+QBCount)</f>
        <v>-74.37</v>
      </c>
      <c r="F412" s="1" t="str">
        <f ca="1">IF(H412&lt;=I412,"Starter",IF(G412&gt;=LARGE(G:G,FlexOn*LeagueInfo!$F$2),"Starter","Bench"))</f>
        <v>Bench</v>
      </c>
      <c r="G412" s="1">
        <f ca="1">IF(H412&gt;I412,D412,0)</f>
        <v>9.5</v>
      </c>
      <c r="H412" s="1">
        <f ca="1">INDEX(INDIRECT(""&amp;C412&amp;"!A2:A489"),MATCH(B412,INDIRECT(""&amp;C412&amp;"!B2:B489"),0))</f>
        <v>82</v>
      </c>
      <c r="I412" s="1">
        <f>IF(C412="RB",LeagueInfo!$D$4*LeagueInfo!$F$2,IF(C412="WR",LeagueInfo!$D$5*LeagueInfo!$F$2,IF(C412="TE",LeagueInfo!$D$6*LeagueInfo!$F$2,LeagueInfo!$D$3*LeagueInfo!$F$2)))</f>
        <v>12</v>
      </c>
    </row>
    <row r="413" spans="1:9" x14ac:dyDescent="0.25">
      <c r="A413" s="1">
        <f ca="1">RANK(E413,E$2:E$619)</f>
        <v>415</v>
      </c>
      <c r="B413" s="1" t="s">
        <v>656</v>
      </c>
      <c r="C413" s="1" t="s">
        <v>39</v>
      </c>
      <c r="D413" s="1">
        <f ca="1">INDEX(INDIRECT($C413&amp;"!O:O"),MATCH($B413,INDIRECT($C413&amp;"!B:B"),0))</f>
        <v>9.8000000000000007</v>
      </c>
      <c r="E413" s="254">
        <f ca="1">D413-LARGE(D$2:D$619,RBCount+WRCount+TECount+QBCount)</f>
        <v>-74.070000000000007</v>
      </c>
      <c r="F413" s="1" t="str">
        <f ca="1">IF(H413&lt;=I413,"Starter",IF(G413&gt;=LARGE(G:G,FlexOn*LeagueInfo!$F$2),"Starter","Bench"))</f>
        <v>Bench</v>
      </c>
      <c r="G413" s="1">
        <f ca="1">IF(H413&gt;I413,D413,0)</f>
        <v>9.8000000000000007</v>
      </c>
      <c r="H413" s="1">
        <f ca="1">INDEX(INDIRECT(""&amp;C413&amp;"!A2:A489"),MATCH(B413,INDIRECT(""&amp;C413&amp;"!B2:B489"),0))</f>
        <v>160</v>
      </c>
      <c r="I413" s="1">
        <f>IF(C413="RB",LeagueInfo!$D$4*LeagueInfo!$F$2,IF(C413="WR",LeagueInfo!$D$5*LeagueInfo!$F$2,IF(C413="TE",LeagueInfo!$D$6*LeagueInfo!$F$2,LeagueInfo!$D$3*LeagueInfo!$F$2)))</f>
        <v>24</v>
      </c>
    </row>
    <row r="414" spans="1:9" x14ac:dyDescent="0.25">
      <c r="A414" s="1">
        <f ca="1">RANK(E414,E$2:E$619)</f>
        <v>425</v>
      </c>
      <c r="B414" s="1" t="s">
        <v>501</v>
      </c>
      <c r="C414" s="1" t="s">
        <v>32</v>
      </c>
      <c r="D414" s="1">
        <f ca="1">INDEX(INDIRECT($C414&amp;"!O:O"),MATCH($B414,INDIRECT($C414&amp;"!B:B"),0))</f>
        <v>9.39</v>
      </c>
      <c r="E414" s="254">
        <f ca="1">D414-LARGE(D$2:D$619,RBCount+WRCount+TECount+QBCount)</f>
        <v>-74.48</v>
      </c>
      <c r="F414" s="1" t="str">
        <f ca="1">IF(H414&lt;=I414,"Starter",IF(G414&gt;=LARGE(G:G,FlexOn*LeagueInfo!$F$2),"Starter","Bench"))</f>
        <v>Bench</v>
      </c>
      <c r="G414" s="1">
        <f ca="1">IF(H414&gt;I414,D414,0)</f>
        <v>9.39</v>
      </c>
      <c r="H414" s="1">
        <f ca="1">INDEX(INDIRECT(""&amp;C414&amp;"!A2:A489"),MATCH(B414,INDIRECT(""&amp;C414&amp;"!B2:B489"),0))</f>
        <v>126</v>
      </c>
      <c r="I414" s="1">
        <f>IF(C414="RB",LeagueInfo!$D$4*LeagueInfo!$F$2,IF(C414="WR",LeagueInfo!$D$5*LeagueInfo!$F$2,IF(C414="TE",LeagueInfo!$D$6*LeagueInfo!$F$2,LeagueInfo!$D$3*LeagueInfo!$F$2)))</f>
        <v>24</v>
      </c>
    </row>
    <row r="415" spans="1:9" x14ac:dyDescent="0.25">
      <c r="A415" s="1">
        <f ca="1">RANK(E415,E$2:E$619)</f>
        <v>397</v>
      </c>
      <c r="B415" s="1" t="s">
        <v>502</v>
      </c>
      <c r="C415" s="1" t="s">
        <v>32</v>
      </c>
      <c r="D415" s="1">
        <f ca="1">INDEX(INDIRECT($C415&amp;"!O:O"),MATCH($B415,INDIRECT($C415&amp;"!B:B"),0))</f>
        <v>10.96</v>
      </c>
      <c r="E415" s="254">
        <f ca="1">D415-LARGE(D$2:D$619,RBCount+WRCount+TECount+QBCount)</f>
        <v>-72.91</v>
      </c>
      <c r="F415" s="1" t="str">
        <f ca="1">IF(H415&lt;=I415,"Starter",IF(G415&gt;=LARGE(G:G,FlexOn*LeagueInfo!$F$2),"Starter","Bench"))</f>
        <v>Bench</v>
      </c>
      <c r="G415" s="1">
        <f ca="1">IF(H415&gt;I415,D415,0)</f>
        <v>10.96</v>
      </c>
      <c r="H415" s="1">
        <f ca="1">INDEX(INDIRECT(""&amp;C415&amp;"!A2:A489"),MATCH(B415,INDIRECT(""&amp;C415&amp;"!B2:B489"),0))</f>
        <v>117</v>
      </c>
      <c r="I415" s="1">
        <f>IF(C415="RB",LeagueInfo!$D$4*LeagueInfo!$F$2,IF(C415="WR",LeagueInfo!$D$5*LeagueInfo!$F$2,IF(C415="TE",LeagueInfo!$D$6*LeagueInfo!$F$2,LeagueInfo!$D$3*LeagueInfo!$F$2)))</f>
        <v>24</v>
      </c>
    </row>
    <row r="416" spans="1:9" x14ac:dyDescent="0.25">
      <c r="A416" s="1">
        <f ca="1">RANK(E416,E$2:E$619)</f>
        <v>428</v>
      </c>
      <c r="B416" s="1" t="s">
        <v>749</v>
      </c>
      <c r="C416" s="1" t="s">
        <v>47</v>
      </c>
      <c r="D416" s="1">
        <f ca="1">INDEX(INDIRECT($C416&amp;"!O:O"),MATCH($B416,INDIRECT($C416&amp;"!B:B"),0))</f>
        <v>9.26</v>
      </c>
      <c r="E416" s="254">
        <f ca="1">D416-LARGE(D$2:D$619,RBCount+WRCount+TECount+QBCount)</f>
        <v>-74.61</v>
      </c>
      <c r="F416" s="1" t="str">
        <f ca="1">IF(H416&lt;=I416,"Starter",IF(G416&gt;=LARGE(G:G,FlexOn*LeagueInfo!$F$2),"Starter","Bench"))</f>
        <v>Bench</v>
      </c>
      <c r="G416" s="1">
        <f ca="1">IF(H416&gt;I416,D416,0)</f>
        <v>9.26</v>
      </c>
      <c r="H416" s="1">
        <f ca="1">INDEX(INDIRECT(""&amp;C416&amp;"!A2:A489"),MATCH(B416,INDIRECT(""&amp;C416&amp;"!B2:B489"),0))</f>
        <v>84</v>
      </c>
      <c r="I416" s="1">
        <f>IF(C416="RB",LeagueInfo!$D$4*LeagueInfo!$F$2,IF(C416="WR",LeagueInfo!$D$5*LeagueInfo!$F$2,IF(C416="TE",LeagueInfo!$D$6*LeagueInfo!$F$2,LeagueInfo!$D$3*LeagueInfo!$F$2)))</f>
        <v>12</v>
      </c>
    </row>
    <row r="417" spans="1:9" x14ac:dyDescent="0.25">
      <c r="A417" s="1">
        <f ca="1">RANK(E417,E$2:E$619)</f>
        <v>438</v>
      </c>
      <c r="B417" s="1" t="s">
        <v>668</v>
      </c>
      <c r="C417" s="1" t="s">
        <v>39</v>
      </c>
      <c r="D417" s="1">
        <f ca="1">INDEX(INDIRECT($C417&amp;"!O:O"),MATCH($B417,INDIRECT($C417&amp;"!B:B"),0))</f>
        <v>8.89</v>
      </c>
      <c r="E417" s="254">
        <f ca="1">D417-LARGE(D$2:D$619,RBCount+WRCount+TECount+QBCount)</f>
        <v>-74.98</v>
      </c>
      <c r="F417" s="1" t="str">
        <f ca="1">IF(H417&lt;=I417,"Starter",IF(G417&gt;=LARGE(G:G,FlexOn*LeagueInfo!$F$2),"Starter","Bench"))</f>
        <v>Bench</v>
      </c>
      <c r="G417" s="1">
        <f ca="1">IF(H417&gt;I417,D417,0)</f>
        <v>8.89</v>
      </c>
      <c r="H417" s="1">
        <f ca="1">INDEX(INDIRECT(""&amp;C417&amp;"!A2:A489"),MATCH(B417,INDIRECT(""&amp;C417&amp;"!B2:B489"),0))</f>
        <v>169</v>
      </c>
      <c r="I417" s="1">
        <f>IF(C417="RB",LeagueInfo!$D$4*LeagueInfo!$F$2,IF(C417="WR",LeagueInfo!$D$5*LeagueInfo!$F$2,IF(C417="TE",LeagueInfo!$D$6*LeagueInfo!$F$2,LeagueInfo!$D$3*LeagueInfo!$F$2)))</f>
        <v>24</v>
      </c>
    </row>
    <row r="418" spans="1:9" x14ac:dyDescent="0.25">
      <c r="A418" s="1">
        <f ca="1">RANK(E418,E$2:E$619)</f>
        <v>409</v>
      </c>
      <c r="B418" s="1" t="s">
        <v>497</v>
      </c>
      <c r="C418" s="1" t="s">
        <v>32</v>
      </c>
      <c r="D418" s="1">
        <f ca="1">INDEX(INDIRECT($C418&amp;"!O:O"),MATCH($B418,INDIRECT($C418&amp;"!B:B"),0))</f>
        <v>10.19</v>
      </c>
      <c r="E418" s="254">
        <f ca="1">D418-LARGE(D$2:D$619,RBCount+WRCount+TECount+QBCount)</f>
        <v>-73.680000000000007</v>
      </c>
      <c r="F418" s="1" t="str">
        <f ca="1">IF(H418&lt;=I418,"Starter",IF(G418&gt;=LARGE(G:G,FlexOn*LeagueInfo!$F$2),"Starter","Bench"))</f>
        <v>Bench</v>
      </c>
      <c r="G418" s="1">
        <f ca="1">IF(H418&gt;I418,D418,0)</f>
        <v>10.19</v>
      </c>
      <c r="H418" s="1">
        <f ca="1">INDEX(INDIRECT(""&amp;C418&amp;"!A2:A489"),MATCH(B418,INDIRECT(""&amp;C418&amp;"!B2:B489"),0))</f>
        <v>120</v>
      </c>
      <c r="I418" s="1">
        <f>IF(C418="RB",LeagueInfo!$D$4*LeagueInfo!$F$2,IF(C418="WR",LeagueInfo!$D$5*LeagueInfo!$F$2,IF(C418="TE",LeagueInfo!$D$6*LeagueInfo!$F$2,LeagueInfo!$D$3*LeagueInfo!$F$2)))</f>
        <v>24</v>
      </c>
    </row>
    <row r="419" spans="1:9" x14ac:dyDescent="0.25">
      <c r="A419" s="1">
        <f ca="1">RANK(E419,E$2:E$619)</f>
        <v>416</v>
      </c>
      <c r="B419" s="1" t="s">
        <v>657</v>
      </c>
      <c r="C419" s="1" t="s">
        <v>39</v>
      </c>
      <c r="D419" s="1">
        <f ca="1">INDEX(INDIRECT($C419&amp;"!O:O"),MATCH($B419,INDIRECT($C419&amp;"!B:B"),0))</f>
        <v>9.7800000000000011</v>
      </c>
      <c r="E419" s="254">
        <f ca="1">D419-LARGE(D$2:D$619,RBCount+WRCount+TECount+QBCount)</f>
        <v>-74.09</v>
      </c>
      <c r="F419" s="1" t="str">
        <f ca="1">IF(H419&lt;=I419,"Starter",IF(G419&gt;=LARGE(G:G,FlexOn*LeagueInfo!$F$2),"Starter","Bench"))</f>
        <v>Bench</v>
      </c>
      <c r="G419" s="1">
        <f ca="1">IF(H419&gt;I419,D419,0)</f>
        <v>9.7800000000000011</v>
      </c>
      <c r="H419" s="1">
        <f ca="1">INDEX(INDIRECT(""&amp;C419&amp;"!A2:A489"),MATCH(B419,INDIRECT(""&amp;C419&amp;"!B2:B489"),0))</f>
        <v>161</v>
      </c>
      <c r="I419" s="1">
        <f>IF(C419="RB",LeagueInfo!$D$4*LeagueInfo!$F$2,IF(C419="WR",LeagueInfo!$D$5*LeagueInfo!$F$2,IF(C419="TE",LeagueInfo!$D$6*LeagueInfo!$F$2,LeagueInfo!$D$3*LeagueInfo!$F$2)))</f>
        <v>24</v>
      </c>
    </row>
    <row r="420" spans="1:9" x14ac:dyDescent="0.25">
      <c r="A420" s="1">
        <f ca="1">RANK(E420,E$2:E$619)</f>
        <v>418</v>
      </c>
      <c r="B420" s="1" t="s">
        <v>537</v>
      </c>
      <c r="C420" s="1" t="s">
        <v>32</v>
      </c>
      <c r="D420" s="1">
        <f ca="1">INDEX(INDIRECT($C420&amp;"!O:O"),MATCH($B420,INDIRECT($C420&amp;"!B:B"),0))</f>
        <v>9.58</v>
      </c>
      <c r="E420" s="254">
        <f ca="1">D420-LARGE(D$2:D$619,RBCount+WRCount+TECount+QBCount)</f>
        <v>-74.290000000000006</v>
      </c>
      <c r="F420" s="1" t="str">
        <f ca="1">IF(H420&lt;=I420,"Starter",IF(G420&gt;=LARGE(G:G,FlexOn*LeagueInfo!$F$2),"Starter","Bench"))</f>
        <v>Bench</v>
      </c>
      <c r="G420" s="1">
        <f ca="1">IF(H420&gt;I420,D420,0)</f>
        <v>9.58</v>
      </c>
      <c r="H420" s="1">
        <f ca="1">INDEX(INDIRECT(""&amp;C420&amp;"!A2:A489"),MATCH(B420,INDIRECT(""&amp;C420&amp;"!B2:B489"),0))</f>
        <v>123</v>
      </c>
      <c r="I420" s="1">
        <f>IF(C420="RB",LeagueInfo!$D$4*LeagueInfo!$F$2,IF(C420="WR",LeagueInfo!$D$5*LeagueInfo!$F$2,IF(C420="TE",LeagueInfo!$D$6*LeagueInfo!$F$2,LeagueInfo!$D$3*LeagueInfo!$F$2)))</f>
        <v>24</v>
      </c>
    </row>
    <row r="421" spans="1:9" x14ac:dyDescent="0.25">
      <c r="A421" s="1">
        <f ca="1">RANK(E421,E$2:E$619)</f>
        <v>418</v>
      </c>
      <c r="B421" s="1" t="s">
        <v>539</v>
      </c>
      <c r="C421" s="1" t="s">
        <v>32</v>
      </c>
      <c r="D421" s="1">
        <f ca="1">INDEX(INDIRECT($C421&amp;"!O:O"),MATCH($B421,INDIRECT($C421&amp;"!B:B"),0))</f>
        <v>9.58</v>
      </c>
      <c r="E421" s="254">
        <f ca="1">D421-LARGE(D$2:D$619,RBCount+WRCount+TECount+QBCount)</f>
        <v>-74.290000000000006</v>
      </c>
      <c r="F421" s="1" t="str">
        <f ca="1">IF(H421&lt;=I421,"Starter",IF(G421&gt;=LARGE(G:G,FlexOn*LeagueInfo!$F$2),"Starter","Bench"))</f>
        <v>Bench</v>
      </c>
      <c r="G421" s="1">
        <f ca="1">IF(H421&gt;I421,D421,0)</f>
        <v>9.58</v>
      </c>
      <c r="H421" s="1">
        <f ca="1">INDEX(INDIRECT(""&amp;C421&amp;"!A2:A489"),MATCH(B421,INDIRECT(""&amp;C421&amp;"!B2:B489"),0))</f>
        <v>123</v>
      </c>
      <c r="I421" s="1">
        <f>IF(C421="RB",LeagueInfo!$D$4*LeagueInfo!$F$2,IF(C421="WR",LeagueInfo!$D$5*LeagueInfo!$F$2,IF(C421="TE",LeagueInfo!$D$6*LeagueInfo!$F$2,LeagueInfo!$D$3*LeagueInfo!$F$2)))</f>
        <v>24</v>
      </c>
    </row>
    <row r="422" spans="1:9" x14ac:dyDescent="0.25">
      <c r="A422" s="1">
        <f ca="1">RANK(E422,E$2:E$619)</f>
        <v>420</v>
      </c>
      <c r="B422" s="1" t="s">
        <v>764</v>
      </c>
      <c r="C422" s="1" t="s">
        <v>47</v>
      </c>
      <c r="D422" s="1">
        <f ca="1">INDEX(INDIRECT($C422&amp;"!O:O"),MATCH($B422,INDIRECT($C422&amp;"!B:B"),0))</f>
        <v>9.5299999999999994</v>
      </c>
      <c r="E422" s="254">
        <f ca="1">D422-LARGE(D$2:D$619,RBCount+WRCount+TECount+QBCount)</f>
        <v>-74.34</v>
      </c>
      <c r="F422" s="1" t="str">
        <f ca="1">IF(H422&lt;=I422,"Starter",IF(G422&gt;=LARGE(G:G,FlexOn*LeagueInfo!$F$2),"Starter","Bench"))</f>
        <v>Bench</v>
      </c>
      <c r="G422" s="1">
        <f ca="1">IF(H422&gt;I422,D422,0)</f>
        <v>9.5299999999999994</v>
      </c>
      <c r="H422" s="1">
        <f ca="1">INDEX(INDIRECT(""&amp;C422&amp;"!A2:A489"),MATCH(B422,INDIRECT(""&amp;C422&amp;"!B2:B489"),0))</f>
        <v>81</v>
      </c>
      <c r="I422" s="1">
        <f>IF(C422="RB",LeagueInfo!$D$4*LeagueInfo!$F$2,IF(C422="WR",LeagueInfo!$D$5*LeagueInfo!$F$2,IF(C422="TE",LeagueInfo!$D$6*LeagueInfo!$F$2,LeagueInfo!$D$3*LeagueInfo!$F$2)))</f>
        <v>12</v>
      </c>
    </row>
    <row r="423" spans="1:9" x14ac:dyDescent="0.25">
      <c r="A423" s="1">
        <f ca="1">RANK(E423,E$2:E$619)</f>
        <v>447</v>
      </c>
      <c r="B423" s="1" t="s">
        <v>772</v>
      </c>
      <c r="C423" s="1" t="s">
        <v>47</v>
      </c>
      <c r="D423" s="1">
        <f ca="1">INDEX(INDIRECT($C423&amp;"!O:O"),MATCH($B423,INDIRECT($C423&amp;"!B:B"),0))</f>
        <v>8.5</v>
      </c>
      <c r="E423" s="254">
        <f ca="1">D423-LARGE(D$2:D$619,RBCount+WRCount+TECount+QBCount)</f>
        <v>-75.37</v>
      </c>
      <c r="F423" s="1" t="str">
        <f ca="1">IF(H423&lt;=I423,"Starter",IF(G423&gt;=LARGE(G:G,FlexOn*LeagueInfo!$F$2),"Starter","Bench"))</f>
        <v>Bench</v>
      </c>
      <c r="G423" s="1">
        <f ca="1">IF(H423&gt;I423,D423,0)</f>
        <v>8.5</v>
      </c>
      <c r="H423" s="1">
        <f ca="1">INDEX(INDIRECT(""&amp;C423&amp;"!A2:A489"),MATCH(B423,INDIRECT(""&amp;C423&amp;"!B2:B489"),0))</f>
        <v>88</v>
      </c>
      <c r="I423" s="1">
        <f>IF(C423="RB",LeagueInfo!$D$4*LeagueInfo!$F$2,IF(C423="WR",LeagueInfo!$D$5*LeagueInfo!$F$2,IF(C423="TE",LeagueInfo!$D$6*LeagueInfo!$F$2,LeagueInfo!$D$3*LeagueInfo!$F$2)))</f>
        <v>12</v>
      </c>
    </row>
    <row r="424" spans="1:9" x14ac:dyDescent="0.25">
      <c r="A424" s="1">
        <f ca="1">RANK(E424,E$2:E$619)</f>
        <v>393</v>
      </c>
      <c r="B424" s="1" t="s">
        <v>486</v>
      </c>
      <c r="C424" s="1" t="s">
        <v>32</v>
      </c>
      <c r="D424" s="1">
        <f ca="1">INDEX(INDIRECT($C424&amp;"!O:O"),MATCH($B424,INDIRECT($C424&amp;"!B:B"),0))</f>
        <v>11.650000000000002</v>
      </c>
      <c r="E424" s="254">
        <f ca="1">D424-LARGE(D$2:D$619,RBCount+WRCount+TECount+QBCount)</f>
        <v>-72.22</v>
      </c>
      <c r="F424" s="1" t="str">
        <f ca="1">IF(H424&lt;=I424,"Starter",IF(G424&gt;=LARGE(G:G,FlexOn*LeagueInfo!$F$2),"Starter","Bench"))</f>
        <v>Bench</v>
      </c>
      <c r="G424" s="1">
        <f ca="1">IF(H424&gt;I424,D424,0)</f>
        <v>11.650000000000002</v>
      </c>
      <c r="H424" s="1">
        <f ca="1">INDEX(INDIRECT(""&amp;C424&amp;"!A2:A489"),MATCH(B424,INDIRECT(""&amp;C424&amp;"!B2:B489"),0))</f>
        <v>116</v>
      </c>
      <c r="I424" s="1">
        <f>IF(C424="RB",LeagueInfo!$D$4*LeagueInfo!$F$2,IF(C424="WR",LeagueInfo!$D$5*LeagueInfo!$F$2,IF(C424="TE",LeagueInfo!$D$6*LeagueInfo!$F$2,LeagueInfo!$D$3*LeagueInfo!$F$2)))</f>
        <v>24</v>
      </c>
    </row>
    <row r="425" spans="1:9" x14ac:dyDescent="0.25">
      <c r="A425" s="1">
        <f ca="1">RANK(E425,E$2:E$619)</f>
        <v>430</v>
      </c>
      <c r="B425" s="1" t="s">
        <v>665</v>
      </c>
      <c r="C425" s="1" t="s">
        <v>39</v>
      </c>
      <c r="D425" s="1">
        <f ca="1">INDEX(INDIRECT($C425&amp;"!O:O"),MATCH($B425,INDIRECT($C425&amp;"!B:B"),0))</f>
        <v>9.2200000000000006</v>
      </c>
      <c r="E425" s="254">
        <f ca="1">D425-LARGE(D$2:D$619,RBCount+WRCount+TECount+QBCount)</f>
        <v>-74.650000000000006</v>
      </c>
      <c r="F425" s="1" t="str">
        <f ca="1">IF(H425&lt;=I425,"Starter",IF(G425&gt;=LARGE(G:G,FlexOn*LeagueInfo!$F$2),"Starter","Bench"))</f>
        <v>Bench</v>
      </c>
      <c r="G425" s="1">
        <f ca="1">IF(H425&gt;I425,D425,0)</f>
        <v>9.2200000000000006</v>
      </c>
      <c r="H425" s="1">
        <f ca="1">INDEX(INDIRECT(""&amp;C425&amp;"!A2:A489"),MATCH(B425,INDIRECT(""&amp;C425&amp;"!B2:B489"),0))</f>
        <v>166</v>
      </c>
      <c r="I425" s="1">
        <f>IF(C425="RB",LeagueInfo!$D$4*LeagueInfo!$F$2,IF(C425="WR",LeagueInfo!$D$5*LeagueInfo!$F$2,IF(C425="TE",LeagueInfo!$D$6*LeagueInfo!$F$2,LeagueInfo!$D$3*LeagueInfo!$F$2)))</f>
        <v>24</v>
      </c>
    </row>
    <row r="426" spans="1:9" x14ac:dyDescent="0.25">
      <c r="A426" s="1">
        <f ca="1">RANK(E426,E$2:E$619)</f>
        <v>445</v>
      </c>
      <c r="B426" s="1" t="s">
        <v>646</v>
      </c>
      <c r="C426" s="1" t="s">
        <v>39</v>
      </c>
      <c r="D426" s="1">
        <f ca="1">INDEX(INDIRECT($C426&amp;"!O:O"),MATCH($B426,INDIRECT($C426&amp;"!B:B"),0))</f>
        <v>8.56</v>
      </c>
      <c r="E426" s="254">
        <f ca="1">D426-LARGE(D$2:D$619,RBCount+WRCount+TECount+QBCount)</f>
        <v>-75.31</v>
      </c>
      <c r="F426" s="1" t="str">
        <f ca="1">IF(H426&lt;=I426,"Starter",IF(G426&gt;=LARGE(G:G,FlexOn*LeagueInfo!$F$2),"Starter","Bench"))</f>
        <v>Bench</v>
      </c>
      <c r="G426" s="1">
        <f ca="1">IF(H426&gt;I426,D426,0)</f>
        <v>8.56</v>
      </c>
      <c r="H426" s="1">
        <f ca="1">INDEX(INDIRECT(""&amp;C426&amp;"!A2:A489"),MATCH(B426,INDIRECT(""&amp;C426&amp;"!B2:B489"),0))</f>
        <v>176</v>
      </c>
      <c r="I426" s="1">
        <f>IF(C426="RB",LeagueInfo!$D$4*LeagueInfo!$F$2,IF(C426="WR",LeagueInfo!$D$5*LeagueInfo!$F$2,IF(C426="TE",LeagueInfo!$D$6*LeagueInfo!$F$2,LeagueInfo!$D$3*LeagueInfo!$F$2)))</f>
        <v>24</v>
      </c>
    </row>
    <row r="427" spans="1:9" x14ac:dyDescent="0.25">
      <c r="A427" s="1">
        <f ca="1">RANK(E427,E$2:E$619)</f>
        <v>424</v>
      </c>
      <c r="B427" s="1" t="s">
        <v>651</v>
      </c>
      <c r="C427" s="1" t="s">
        <v>39</v>
      </c>
      <c r="D427" s="1">
        <f ca="1">INDEX(INDIRECT($C427&amp;"!O:O"),MATCH($B427,INDIRECT($C427&amp;"!B:B"),0))</f>
        <v>9.4</v>
      </c>
      <c r="E427" s="254">
        <f ca="1">D427-LARGE(D$2:D$619,RBCount+WRCount+TECount+QBCount)</f>
        <v>-74.47</v>
      </c>
      <c r="F427" s="1" t="str">
        <f ca="1">IF(H427&lt;=I427,"Starter",IF(G427&gt;=LARGE(G:G,FlexOn*LeagueInfo!$F$2),"Starter","Bench"))</f>
        <v>Bench</v>
      </c>
      <c r="G427" s="1">
        <f ca="1">IF(H427&gt;I427,D427,0)</f>
        <v>9.4</v>
      </c>
      <c r="H427" s="1">
        <f ca="1">INDEX(INDIRECT(""&amp;C427&amp;"!A2:A489"),MATCH(B427,INDIRECT(""&amp;C427&amp;"!B2:B489"),0))</f>
        <v>163</v>
      </c>
      <c r="I427" s="1">
        <f>IF(C427="RB",LeagueInfo!$D$4*LeagueInfo!$F$2,IF(C427="WR",LeagueInfo!$D$5*LeagueInfo!$F$2,IF(C427="TE",LeagueInfo!$D$6*LeagueInfo!$F$2,LeagueInfo!$D$3*LeagueInfo!$F$2)))</f>
        <v>24</v>
      </c>
    </row>
    <row r="428" spans="1:9" x14ac:dyDescent="0.25">
      <c r="A428" s="1">
        <f ca="1">RANK(E428,E$2:E$619)</f>
        <v>447</v>
      </c>
      <c r="B428" s="1" t="s">
        <v>707</v>
      </c>
      <c r="C428" s="1" t="s">
        <v>39</v>
      </c>
      <c r="D428" s="1">
        <f ca="1">INDEX(INDIRECT($C428&amp;"!O:O"),MATCH($B428,INDIRECT($C428&amp;"!B:B"),0))</f>
        <v>8.5</v>
      </c>
      <c r="E428" s="254">
        <f ca="1">D428-LARGE(D$2:D$619,RBCount+WRCount+TECount+QBCount)</f>
        <v>-75.37</v>
      </c>
      <c r="F428" s="1" t="str">
        <f ca="1">IF(H428&lt;=I428,"Starter",IF(G428&gt;=LARGE(G:G,FlexOn*LeagueInfo!$F$2),"Starter","Bench"))</f>
        <v>Bench</v>
      </c>
      <c r="G428" s="1">
        <f ca="1">IF(H428&gt;I428,D428,0)</f>
        <v>8.5</v>
      </c>
      <c r="H428" s="1">
        <f ca="1">INDEX(INDIRECT(""&amp;C428&amp;"!A2:A489"),MATCH(B428,INDIRECT(""&amp;C428&amp;"!B2:B489"),0))</f>
        <v>177</v>
      </c>
      <c r="I428" s="1">
        <f>IF(C428="RB",LeagueInfo!$D$4*LeagueInfo!$F$2,IF(C428="WR",LeagueInfo!$D$5*LeagueInfo!$F$2,IF(C428="TE",LeagueInfo!$D$6*LeagueInfo!$F$2,LeagueInfo!$D$3*LeagueInfo!$F$2)))</f>
        <v>24</v>
      </c>
    </row>
    <row r="429" spans="1:9" x14ac:dyDescent="0.25">
      <c r="A429" s="1">
        <f ca="1">RANK(E429,E$2:E$619)</f>
        <v>426</v>
      </c>
      <c r="B429" s="1" t="s">
        <v>640</v>
      </c>
      <c r="C429" s="1" t="s">
        <v>39</v>
      </c>
      <c r="D429" s="1">
        <f ca="1">INDEX(INDIRECT($C429&amp;"!O:O"),MATCH($B429,INDIRECT($C429&amp;"!B:B"),0))</f>
        <v>9.3800000000000008</v>
      </c>
      <c r="E429" s="254">
        <f ca="1">D429-LARGE(D$2:D$619,RBCount+WRCount+TECount+QBCount)</f>
        <v>-74.490000000000009</v>
      </c>
      <c r="F429" s="1" t="str">
        <f ca="1">IF(H429&lt;=I429,"Starter",IF(G429&gt;=LARGE(G:G,FlexOn*LeagueInfo!$F$2),"Starter","Bench"))</f>
        <v>Bench</v>
      </c>
      <c r="G429" s="1">
        <f ca="1">IF(H429&gt;I429,D429,0)</f>
        <v>9.3800000000000008</v>
      </c>
      <c r="H429" s="1">
        <f ca="1">INDEX(INDIRECT(""&amp;C429&amp;"!A2:A489"),MATCH(B429,INDIRECT(""&amp;C429&amp;"!B2:B489"),0))</f>
        <v>164</v>
      </c>
      <c r="I429" s="1">
        <f>IF(C429="RB",LeagueInfo!$D$4*LeagueInfo!$F$2,IF(C429="WR",LeagueInfo!$D$5*LeagueInfo!$F$2,IF(C429="TE",LeagueInfo!$D$6*LeagueInfo!$F$2,LeagueInfo!$D$3*LeagueInfo!$F$2)))</f>
        <v>24</v>
      </c>
    </row>
    <row r="430" spans="1:9" x14ac:dyDescent="0.25">
      <c r="A430" s="1">
        <f ca="1">RANK(E430,E$2:E$619)</f>
        <v>408</v>
      </c>
      <c r="B430" s="1" t="s">
        <v>492</v>
      </c>
      <c r="C430" s="1" t="s">
        <v>32</v>
      </c>
      <c r="D430" s="1">
        <f ca="1">INDEX(INDIRECT($C430&amp;"!O:O"),MATCH($B430,INDIRECT($C430&amp;"!B:B"),0))</f>
        <v>10.200000000000001</v>
      </c>
      <c r="E430" s="254">
        <f ca="1">D430-LARGE(D$2:D$619,RBCount+WRCount+TECount+QBCount)</f>
        <v>-73.67</v>
      </c>
      <c r="F430" s="1" t="str">
        <f ca="1">IF(H430&lt;=I430,"Starter",IF(G430&gt;=LARGE(G:G,FlexOn*LeagueInfo!$F$2),"Starter","Bench"))</f>
        <v>Bench</v>
      </c>
      <c r="G430" s="1">
        <f ca="1">IF(H430&gt;I430,D430,0)</f>
        <v>10.200000000000001</v>
      </c>
      <c r="H430" s="1">
        <f ca="1">INDEX(INDIRECT(""&amp;C430&amp;"!A2:A489"),MATCH(B430,INDIRECT(""&amp;C430&amp;"!B2:B489"),0))</f>
        <v>119</v>
      </c>
      <c r="I430" s="1">
        <f>IF(C430="RB",LeagueInfo!$D$4*LeagueInfo!$F$2,IF(C430="WR",LeagueInfo!$D$5*LeagueInfo!$F$2,IF(C430="TE",LeagueInfo!$D$6*LeagueInfo!$F$2,LeagueInfo!$D$3*LeagueInfo!$F$2)))</f>
        <v>24</v>
      </c>
    </row>
    <row r="431" spans="1:9" x14ac:dyDescent="0.25">
      <c r="A431" s="1">
        <f ca="1">RANK(E431,E$2:E$619)</f>
        <v>436</v>
      </c>
      <c r="B431" s="1" t="s">
        <v>667</v>
      </c>
      <c r="C431" s="1" t="s">
        <v>39</v>
      </c>
      <c r="D431" s="1">
        <f ca="1">INDEX(INDIRECT($C431&amp;"!O:O"),MATCH($B431,INDIRECT($C431&amp;"!B:B"),0))</f>
        <v>8.9499999999999993</v>
      </c>
      <c r="E431" s="254">
        <f ca="1">D431-LARGE(D$2:D$619,RBCount+WRCount+TECount+QBCount)</f>
        <v>-74.92</v>
      </c>
      <c r="F431" s="1" t="str">
        <f ca="1">IF(H431&lt;=I431,"Starter",IF(G431&gt;=LARGE(G:G,FlexOn*LeagueInfo!$F$2),"Starter","Bench"))</f>
        <v>Bench</v>
      </c>
      <c r="G431" s="1">
        <f ca="1">IF(H431&gt;I431,D431,0)</f>
        <v>8.9499999999999993</v>
      </c>
      <c r="H431" s="1">
        <f ca="1">INDEX(INDIRECT(""&amp;C431&amp;"!A2:A489"),MATCH(B431,INDIRECT(""&amp;C431&amp;"!B2:B489"),0))</f>
        <v>168</v>
      </c>
      <c r="I431" s="1">
        <f>IF(C431="RB",LeagueInfo!$D$4*LeagueInfo!$F$2,IF(C431="WR",LeagueInfo!$D$5*LeagueInfo!$F$2,IF(C431="TE",LeagueInfo!$D$6*LeagueInfo!$F$2,LeagueInfo!$D$3*LeagueInfo!$F$2)))</f>
        <v>24</v>
      </c>
    </row>
    <row r="432" spans="1:9" x14ac:dyDescent="0.25">
      <c r="A432" s="1">
        <f ca="1">RANK(E432,E$2:E$619)</f>
        <v>466</v>
      </c>
      <c r="B432" s="1" t="s">
        <v>750</v>
      </c>
      <c r="C432" s="1" t="s">
        <v>47</v>
      </c>
      <c r="D432" s="1">
        <f ca="1">INDEX(INDIRECT($C432&amp;"!O:O"),MATCH($B432,INDIRECT($C432&amp;"!B:B"),0))</f>
        <v>7.9700000000000015</v>
      </c>
      <c r="E432" s="254">
        <f ca="1">D432-LARGE(D$2:D$619,RBCount+WRCount+TECount+QBCount)</f>
        <v>-75.900000000000006</v>
      </c>
      <c r="F432" s="1" t="str">
        <f ca="1">IF(H432&lt;=I432,"Starter",IF(G432&gt;=LARGE(G:G,FlexOn*LeagueInfo!$F$2),"Starter","Bench"))</f>
        <v>Bench</v>
      </c>
      <c r="G432" s="1">
        <f ca="1">IF(H432&gt;I432,D432,0)</f>
        <v>7.9700000000000015</v>
      </c>
      <c r="H432" s="1">
        <f ca="1">INDEX(INDIRECT(""&amp;C432&amp;"!A2:A489"),MATCH(B432,INDIRECT(""&amp;C432&amp;"!B2:B489"),0))</f>
        <v>91</v>
      </c>
      <c r="I432" s="1">
        <f>IF(C432="RB",LeagueInfo!$D$4*LeagueInfo!$F$2,IF(C432="WR",LeagueInfo!$D$5*LeagueInfo!$F$2,IF(C432="TE",LeagueInfo!$D$6*LeagueInfo!$F$2,LeagueInfo!$D$3*LeagueInfo!$F$2)))</f>
        <v>12</v>
      </c>
    </row>
    <row r="433" spans="1:9" x14ac:dyDescent="0.25">
      <c r="A433" s="1">
        <f ca="1">RANK(E433,E$2:E$619)</f>
        <v>460</v>
      </c>
      <c r="B433" s="1" t="s">
        <v>683</v>
      </c>
      <c r="C433" s="1" t="s">
        <v>39</v>
      </c>
      <c r="D433" s="1">
        <f ca="1">INDEX(INDIRECT($C433&amp;"!O:O"),MATCH($B433,INDIRECT($C433&amp;"!B:B"),0))</f>
        <v>8.1900000000000013</v>
      </c>
      <c r="E433" s="254">
        <f ca="1">D433-LARGE(D$2:D$619,RBCount+WRCount+TECount+QBCount)</f>
        <v>-75.680000000000007</v>
      </c>
      <c r="F433" s="1" t="str">
        <f ca="1">IF(H433&lt;=I433,"Starter",IF(G433&gt;=LARGE(G:G,FlexOn*LeagueInfo!$F$2),"Starter","Bench"))</f>
        <v>Bench</v>
      </c>
      <c r="G433" s="1">
        <f ca="1">IF(H433&gt;I433,D433,0)</f>
        <v>8.1900000000000013</v>
      </c>
      <c r="H433" s="1">
        <f ca="1">INDEX(INDIRECT(""&amp;C433&amp;"!A2:A489"),MATCH(B433,INDIRECT(""&amp;C433&amp;"!B2:B489"),0))</f>
        <v>185</v>
      </c>
      <c r="I433" s="1">
        <f>IF(C433="RB",LeagueInfo!$D$4*LeagueInfo!$F$2,IF(C433="WR",LeagueInfo!$D$5*LeagueInfo!$F$2,IF(C433="TE",LeagueInfo!$D$6*LeagueInfo!$F$2,LeagueInfo!$D$3*LeagueInfo!$F$2)))</f>
        <v>24</v>
      </c>
    </row>
    <row r="434" spans="1:9" x14ac:dyDescent="0.25">
      <c r="A434" s="1">
        <f ca="1">RANK(E434,E$2:E$619)</f>
        <v>454</v>
      </c>
      <c r="B434" s="1" t="s">
        <v>784</v>
      </c>
      <c r="C434" s="1" t="s">
        <v>47</v>
      </c>
      <c r="D434" s="1">
        <f ca="1">INDEX(INDIRECT($C434&amp;"!O:O"),MATCH($B434,INDIRECT($C434&amp;"!B:B"),0))</f>
        <v>8.2900000000000009</v>
      </c>
      <c r="E434" s="254">
        <f ca="1">D434-LARGE(D$2:D$619,RBCount+WRCount+TECount+QBCount)</f>
        <v>-75.58</v>
      </c>
      <c r="F434" s="1" t="str">
        <f ca="1">IF(H434&lt;=I434,"Starter",IF(G434&gt;=LARGE(G:G,FlexOn*LeagueInfo!$F$2),"Starter","Bench"))</f>
        <v>Bench</v>
      </c>
      <c r="G434" s="1">
        <f ca="1">IF(H434&gt;I434,D434,0)</f>
        <v>8.2900000000000009</v>
      </c>
      <c r="H434" s="1">
        <f ca="1">INDEX(INDIRECT(""&amp;C434&amp;"!A2:A489"),MATCH(B434,INDIRECT(""&amp;C434&amp;"!B2:B489"),0))</f>
        <v>89</v>
      </c>
      <c r="I434" s="1">
        <f>IF(C434="RB",LeagueInfo!$D$4*LeagueInfo!$F$2,IF(C434="WR",LeagueInfo!$D$5*LeagueInfo!$F$2,IF(C434="TE",LeagueInfo!$D$6*LeagueInfo!$F$2,LeagueInfo!$D$3*LeagueInfo!$F$2)))</f>
        <v>12</v>
      </c>
    </row>
    <row r="435" spans="1:9" x14ac:dyDescent="0.25">
      <c r="A435" s="1">
        <f ca="1">RANK(E435,E$2:E$619)</f>
        <v>443</v>
      </c>
      <c r="B435" s="1" t="s">
        <v>672</v>
      </c>
      <c r="C435" s="1" t="s">
        <v>39</v>
      </c>
      <c r="D435" s="1">
        <f ca="1">INDEX(INDIRECT($C435&amp;"!O:O"),MATCH($B435,INDIRECT($C435&amp;"!B:B"),0))</f>
        <v>8.620000000000001</v>
      </c>
      <c r="E435" s="254">
        <f ca="1">D435-LARGE(D$2:D$619,RBCount+WRCount+TECount+QBCount)</f>
        <v>-75.25</v>
      </c>
      <c r="F435" s="1" t="str">
        <f ca="1">IF(H435&lt;=I435,"Starter",IF(G435&gt;=LARGE(G:G,FlexOn*LeagueInfo!$F$2),"Starter","Bench"))</f>
        <v>Bench</v>
      </c>
      <c r="G435" s="1">
        <f ca="1">IF(H435&gt;I435,D435,0)</f>
        <v>8.620000000000001</v>
      </c>
      <c r="H435" s="1">
        <f ca="1">INDEX(INDIRECT(""&amp;C435&amp;"!A2:A489"),MATCH(B435,INDIRECT(""&amp;C435&amp;"!B2:B489"),0))</f>
        <v>174</v>
      </c>
      <c r="I435" s="1">
        <f>IF(C435="RB",LeagueInfo!$D$4*LeagueInfo!$F$2,IF(C435="WR",LeagueInfo!$D$5*LeagueInfo!$F$2,IF(C435="TE",LeagueInfo!$D$6*LeagueInfo!$F$2,LeagueInfo!$D$3*LeagueInfo!$F$2)))</f>
        <v>24</v>
      </c>
    </row>
    <row r="436" spans="1:9" x14ac:dyDescent="0.25">
      <c r="A436" s="1">
        <f ca="1">RANK(E436,E$2:E$619)</f>
        <v>477</v>
      </c>
      <c r="B436" s="1" t="s">
        <v>672</v>
      </c>
      <c r="C436" s="1" t="s">
        <v>47</v>
      </c>
      <c r="D436" s="1">
        <f ca="1">INDEX(INDIRECT($C436&amp;"!O:O"),MATCH($B436,INDIRECT($C436&amp;"!B:B"),0))</f>
        <v>7.7</v>
      </c>
      <c r="E436" s="254">
        <f ca="1">D436-LARGE(D$2:D$619,RBCount+WRCount+TECount+QBCount)</f>
        <v>-76.17</v>
      </c>
      <c r="F436" s="1" t="str">
        <f ca="1">IF(H436&lt;=I436,"Starter",IF(G436&gt;=LARGE(G:G,FlexOn*LeagueInfo!$F$2),"Starter","Bench"))</f>
        <v>Bench</v>
      </c>
      <c r="G436" s="1">
        <f ca="1">IF(H436&gt;I436,D436,0)</f>
        <v>7.7</v>
      </c>
      <c r="H436" s="1">
        <f ca="1">INDEX(INDIRECT(""&amp;C436&amp;"!A2:A489"),MATCH(B436,INDIRECT(""&amp;C436&amp;"!B2:B489"),0))</f>
        <v>94</v>
      </c>
      <c r="I436" s="1">
        <f>IF(C436="RB",LeagueInfo!$D$4*LeagueInfo!$F$2,IF(C436="WR",LeagueInfo!$D$5*LeagueInfo!$F$2,IF(C436="TE",LeagueInfo!$D$6*LeagueInfo!$F$2,LeagueInfo!$D$3*LeagueInfo!$F$2)))</f>
        <v>12</v>
      </c>
    </row>
    <row r="437" spans="1:9" x14ac:dyDescent="0.25">
      <c r="A437" s="1">
        <f ca="1">RANK(E437,E$2:E$619)</f>
        <v>501</v>
      </c>
      <c r="B437" s="1" t="s">
        <v>541</v>
      </c>
      <c r="C437" s="1" t="s">
        <v>32</v>
      </c>
      <c r="D437" s="1">
        <f ca="1">INDEX(INDIRECT($C437&amp;"!O:O"),MATCH($B437,INDIRECT($C437&amp;"!B:B"),0))</f>
        <v>7.13</v>
      </c>
      <c r="E437" s="254">
        <f ca="1">D437-LARGE(D$2:D$619,RBCount+WRCount+TECount+QBCount)</f>
        <v>-76.740000000000009</v>
      </c>
      <c r="F437" s="1" t="str">
        <f ca="1">IF(H437&lt;=I437,"Starter",IF(G437&gt;=LARGE(G:G,FlexOn*LeagueInfo!$F$2),"Starter","Bench"))</f>
        <v>Bench</v>
      </c>
      <c r="G437" s="1">
        <f ca="1">IF(H437&gt;I437,D437,0)</f>
        <v>7.13</v>
      </c>
      <c r="H437" s="1">
        <f ca="1">INDEX(INDIRECT(""&amp;C437&amp;"!A2:A489"),MATCH(B437,INDIRECT(""&amp;C437&amp;"!B2:B489"),0))</f>
        <v>136</v>
      </c>
      <c r="I437" s="1">
        <f>IF(C437="RB",LeagueInfo!$D$4*LeagueInfo!$F$2,IF(C437="WR",LeagueInfo!$D$5*LeagueInfo!$F$2,IF(C437="TE",LeagueInfo!$D$6*LeagueInfo!$F$2,LeagueInfo!$D$3*LeagueInfo!$F$2)))</f>
        <v>24</v>
      </c>
    </row>
    <row r="438" spans="1:9" x14ac:dyDescent="0.25">
      <c r="A438" s="1">
        <f ca="1">RANK(E438,E$2:E$619)</f>
        <v>421</v>
      </c>
      <c r="B438" s="1" t="s">
        <v>495</v>
      </c>
      <c r="C438" s="1" t="s">
        <v>32</v>
      </c>
      <c r="D438" s="1">
        <f ca="1">INDEX(INDIRECT($C438&amp;"!O:O"),MATCH($B438,INDIRECT($C438&amp;"!B:B"),0))</f>
        <v>9.5100000000000016</v>
      </c>
      <c r="E438" s="254">
        <f ca="1">D438-LARGE(D$2:D$619,RBCount+WRCount+TECount+QBCount)</f>
        <v>-74.36</v>
      </c>
      <c r="F438" s="1" t="str">
        <f ca="1">IF(H438&lt;=I438,"Starter",IF(G438&gt;=LARGE(G:G,FlexOn*LeagueInfo!$F$2),"Starter","Bench"))</f>
        <v>Bench</v>
      </c>
      <c r="G438" s="1">
        <f ca="1">IF(H438&gt;I438,D438,0)</f>
        <v>9.5100000000000016</v>
      </c>
      <c r="H438" s="1">
        <f ca="1">INDEX(INDIRECT(""&amp;C438&amp;"!A2:A489"),MATCH(B438,INDIRECT(""&amp;C438&amp;"!B2:B489"),0))</f>
        <v>125</v>
      </c>
      <c r="I438" s="1">
        <f>IF(C438="RB",LeagueInfo!$D$4*LeagueInfo!$F$2,IF(C438="WR",LeagueInfo!$D$5*LeagueInfo!$F$2,IF(C438="TE",LeagueInfo!$D$6*LeagueInfo!$F$2,LeagueInfo!$D$3*LeagueInfo!$F$2)))</f>
        <v>24</v>
      </c>
    </row>
    <row r="439" spans="1:9" x14ac:dyDescent="0.25">
      <c r="A439" s="1">
        <f ca="1">RANK(E439,E$2:E$619)</f>
        <v>435</v>
      </c>
      <c r="B439" s="1" t="s">
        <v>648</v>
      </c>
      <c r="C439" s="1" t="s">
        <v>39</v>
      </c>
      <c r="D439" s="1">
        <f ca="1">INDEX(INDIRECT($C439&amp;"!O:O"),MATCH($B439,INDIRECT($C439&amp;"!B:B"),0))</f>
        <v>8.9600000000000009</v>
      </c>
      <c r="E439" s="254">
        <f ca="1">D439-LARGE(D$2:D$619,RBCount+WRCount+TECount+QBCount)</f>
        <v>-74.91</v>
      </c>
      <c r="F439" s="1" t="str">
        <f ca="1">IF(H439&lt;=I439,"Starter",IF(G439&gt;=LARGE(G:G,FlexOn*LeagueInfo!$F$2),"Starter","Bench"))</f>
        <v>Bench</v>
      </c>
      <c r="G439" s="1">
        <f ca="1">IF(H439&gt;I439,D439,0)</f>
        <v>8.9600000000000009</v>
      </c>
      <c r="H439" s="1">
        <f ca="1">INDEX(INDIRECT(""&amp;C439&amp;"!A2:A489"),MATCH(B439,INDIRECT(""&amp;C439&amp;"!B2:B489"),0))</f>
        <v>167</v>
      </c>
      <c r="I439" s="1">
        <f>IF(C439="RB",LeagueInfo!$D$4*LeagueInfo!$F$2,IF(C439="WR",LeagueInfo!$D$5*LeagueInfo!$F$2,IF(C439="TE",LeagueInfo!$D$6*LeagueInfo!$F$2,LeagueInfo!$D$3*LeagueInfo!$F$2)))</f>
        <v>24</v>
      </c>
    </row>
    <row r="440" spans="1:9" x14ac:dyDescent="0.25">
      <c r="A440" s="1">
        <f ca="1">RANK(E440,E$2:E$619)</f>
        <v>417</v>
      </c>
      <c r="B440" s="1" t="s">
        <v>474</v>
      </c>
      <c r="C440" s="1" t="s">
        <v>32</v>
      </c>
      <c r="D440" s="1">
        <f ca="1">INDEX(INDIRECT($C440&amp;"!O:O"),MATCH($B440,INDIRECT($C440&amp;"!B:B"),0))</f>
        <v>9.6500000000000021</v>
      </c>
      <c r="E440" s="254">
        <f ca="1">D440-LARGE(D$2:D$619,RBCount+WRCount+TECount+QBCount)</f>
        <v>-74.22</v>
      </c>
      <c r="F440" s="1" t="str">
        <f ca="1">IF(H440&lt;=I440,"Starter",IF(G440&gt;=LARGE(G:G,FlexOn*LeagueInfo!$F$2),"Starter","Bench"))</f>
        <v>Bench</v>
      </c>
      <c r="G440" s="1">
        <f ca="1">IF(H440&gt;I440,D440,0)</f>
        <v>9.6500000000000021</v>
      </c>
      <c r="H440" s="1">
        <f ca="1">INDEX(INDIRECT(""&amp;C440&amp;"!A2:A489"),MATCH(B440,INDIRECT(""&amp;C440&amp;"!B2:B489"),0))</f>
        <v>122</v>
      </c>
      <c r="I440" s="1">
        <f>IF(C440="RB",LeagueInfo!$D$4*LeagueInfo!$F$2,IF(C440="WR",LeagueInfo!$D$5*LeagueInfo!$F$2,IF(C440="TE",LeagueInfo!$D$6*LeagueInfo!$F$2,LeagueInfo!$D$3*LeagueInfo!$F$2)))</f>
        <v>24</v>
      </c>
    </row>
    <row r="441" spans="1:9" x14ac:dyDescent="0.25">
      <c r="A441" s="1">
        <f ca="1">RANK(E441,E$2:E$619)</f>
        <v>429</v>
      </c>
      <c r="B441" s="1" t="s">
        <v>636</v>
      </c>
      <c r="C441" s="1" t="s">
        <v>39</v>
      </c>
      <c r="D441" s="1">
        <f ca="1">INDEX(INDIRECT($C441&amp;"!O:O"),MATCH($B441,INDIRECT($C441&amp;"!B:B"),0))</f>
        <v>9.2500000000000018</v>
      </c>
      <c r="E441" s="254">
        <f ca="1">D441-LARGE(D$2:D$619,RBCount+WRCount+TECount+QBCount)</f>
        <v>-74.62</v>
      </c>
      <c r="F441" s="1" t="str">
        <f ca="1">IF(H441&lt;=I441,"Starter",IF(G441&gt;=LARGE(G:G,FlexOn*LeagueInfo!$F$2),"Starter","Bench"))</f>
        <v>Bench</v>
      </c>
      <c r="G441" s="1">
        <f ca="1">IF(H441&gt;I441,D441,0)</f>
        <v>9.2500000000000018</v>
      </c>
      <c r="H441" s="1">
        <f ca="1">INDEX(INDIRECT(""&amp;C441&amp;"!A2:A489"),MATCH(B441,INDIRECT(""&amp;C441&amp;"!B2:B489"),0))</f>
        <v>165</v>
      </c>
      <c r="I441" s="1">
        <f>IF(C441="RB",LeagueInfo!$D$4*LeagueInfo!$F$2,IF(C441="WR",LeagueInfo!$D$5*LeagueInfo!$F$2,IF(C441="TE",LeagueInfo!$D$6*LeagueInfo!$F$2,LeagueInfo!$D$3*LeagueInfo!$F$2)))</f>
        <v>24</v>
      </c>
    </row>
    <row r="442" spans="1:9" x14ac:dyDescent="0.25">
      <c r="A442" s="1">
        <f ca="1">RANK(E442,E$2:E$619)</f>
        <v>446</v>
      </c>
      <c r="B442" s="1" t="s">
        <v>799</v>
      </c>
      <c r="C442" s="1" t="s">
        <v>47</v>
      </c>
      <c r="D442" s="1">
        <f ca="1">INDEX(INDIRECT($C442&amp;"!O:O"),MATCH($B442,INDIRECT($C442&amp;"!B:B"),0))</f>
        <v>8.5300000000000011</v>
      </c>
      <c r="E442" s="254">
        <f ca="1">D442-LARGE(D$2:D$619,RBCount+WRCount+TECount+QBCount)</f>
        <v>-75.34</v>
      </c>
      <c r="F442" s="1" t="str">
        <f ca="1">IF(H442&lt;=I442,"Starter",IF(G442&gt;=LARGE(G:G,FlexOn*LeagueInfo!$F$2),"Starter","Bench"))</f>
        <v>Bench</v>
      </c>
      <c r="G442" s="1">
        <f ca="1">IF(H442&gt;I442,D442,0)</f>
        <v>8.5300000000000011</v>
      </c>
      <c r="H442" s="1">
        <f ca="1">INDEX(INDIRECT(""&amp;C442&amp;"!A2:A489"),MATCH(B442,INDIRECT(""&amp;C442&amp;"!B2:B489"),0))</f>
        <v>87</v>
      </c>
      <c r="I442" s="1">
        <f>IF(C442="RB",LeagueInfo!$D$4*LeagueInfo!$F$2,IF(C442="WR",LeagueInfo!$D$5*LeagueInfo!$F$2,IF(C442="TE",LeagueInfo!$D$6*LeagueInfo!$F$2,LeagueInfo!$D$3*LeagueInfo!$F$2)))</f>
        <v>12</v>
      </c>
    </row>
    <row r="443" spans="1:9" x14ac:dyDescent="0.25">
      <c r="A443" s="1">
        <f ca="1">RANK(E443,E$2:E$619)</f>
        <v>405</v>
      </c>
      <c r="B443" s="1" t="s">
        <v>487</v>
      </c>
      <c r="C443" s="1" t="s">
        <v>32</v>
      </c>
      <c r="D443" s="1">
        <f ca="1">INDEX(INDIRECT($C443&amp;"!O:O"),MATCH($B443,INDIRECT($C443&amp;"!B:B"),0))</f>
        <v>10.3</v>
      </c>
      <c r="E443" s="254">
        <f ca="1">D443-LARGE(D$2:D$619,RBCount+WRCount+TECount+QBCount)</f>
        <v>-73.570000000000007</v>
      </c>
      <c r="F443" s="1" t="str">
        <f ca="1">IF(H443&lt;=I443,"Starter",IF(G443&gt;=LARGE(G:G,FlexOn*LeagueInfo!$F$2),"Starter","Bench"))</f>
        <v>Bench</v>
      </c>
      <c r="G443" s="1">
        <f ca="1">IF(H443&gt;I443,D443,0)</f>
        <v>10.3</v>
      </c>
      <c r="H443" s="1">
        <f ca="1">INDEX(INDIRECT(""&amp;C443&amp;"!A2:A489"),MATCH(B443,INDIRECT(""&amp;C443&amp;"!B2:B489"),0))</f>
        <v>118</v>
      </c>
      <c r="I443" s="1">
        <f>IF(C443="RB",LeagueInfo!$D$4*LeagueInfo!$F$2,IF(C443="WR",LeagueInfo!$D$5*LeagueInfo!$F$2,IF(C443="TE",LeagueInfo!$D$6*LeagueInfo!$F$2,LeagueInfo!$D$3*LeagueInfo!$F$2)))</f>
        <v>24</v>
      </c>
    </row>
    <row r="444" spans="1:9" x14ac:dyDescent="0.25">
      <c r="A444" s="1">
        <f ca="1">RANK(E444,E$2:E$619)</f>
        <v>468</v>
      </c>
      <c r="B444" s="1" t="s">
        <v>790</v>
      </c>
      <c r="C444" s="1" t="s">
        <v>47</v>
      </c>
      <c r="D444" s="1">
        <f ca="1">INDEX(INDIRECT($C444&amp;"!O:O"),MATCH($B444,INDIRECT($C444&amp;"!B:B"),0))</f>
        <v>7.9300000000000006</v>
      </c>
      <c r="E444" s="254">
        <f ca="1">D444-LARGE(D$2:D$619,RBCount+WRCount+TECount+QBCount)</f>
        <v>-75.94</v>
      </c>
      <c r="F444" s="1" t="str">
        <f ca="1">IF(H444&lt;=I444,"Starter",IF(G444&gt;=LARGE(G:G,FlexOn*LeagueInfo!$F$2),"Starter","Bench"))</f>
        <v>Bench</v>
      </c>
      <c r="G444" s="1">
        <f ca="1">IF(H444&gt;I444,D444,0)</f>
        <v>7.9300000000000006</v>
      </c>
      <c r="H444" s="1">
        <f ca="1">INDEX(INDIRECT(""&amp;C444&amp;"!A2:A489"),MATCH(B444,INDIRECT(""&amp;C444&amp;"!B2:B489"),0))</f>
        <v>92</v>
      </c>
      <c r="I444" s="1">
        <f>IF(C444="RB",LeagueInfo!$D$4*LeagueInfo!$F$2,IF(C444="WR",LeagueInfo!$D$5*LeagueInfo!$F$2,IF(C444="TE",LeagueInfo!$D$6*LeagueInfo!$F$2,LeagueInfo!$D$3*LeagueInfo!$F$2)))</f>
        <v>12</v>
      </c>
    </row>
    <row r="445" spans="1:9" x14ac:dyDescent="0.25">
      <c r="A445" s="1">
        <f ca="1">RANK(E445,E$2:E$619)</f>
        <v>452</v>
      </c>
      <c r="B445" s="1" t="s">
        <v>632</v>
      </c>
      <c r="C445" s="1" t="s">
        <v>39</v>
      </c>
      <c r="D445" s="1">
        <f ca="1">INDEX(INDIRECT($C445&amp;"!O:O"),MATCH($B445,INDIRECT($C445&amp;"!B:B"),0))</f>
        <v>8.4000000000000021</v>
      </c>
      <c r="E445" s="254">
        <f ca="1">D445-LARGE(D$2:D$619,RBCount+WRCount+TECount+QBCount)</f>
        <v>-75.47</v>
      </c>
      <c r="F445" s="1" t="str">
        <f ca="1">IF(H445&lt;=I445,"Starter",IF(G445&gt;=LARGE(G:G,FlexOn*LeagueInfo!$F$2),"Starter","Bench"))</f>
        <v>Bench</v>
      </c>
      <c r="G445" s="1">
        <f ca="1">IF(H445&gt;I445,D445,0)</f>
        <v>8.4000000000000021</v>
      </c>
      <c r="H445" s="1">
        <f ca="1">INDEX(INDIRECT(""&amp;C445&amp;"!A2:A489"),MATCH(B445,INDIRECT(""&amp;C445&amp;"!B2:B489"),0))</f>
        <v>180</v>
      </c>
      <c r="I445" s="1">
        <f>IF(C445="RB",LeagueInfo!$D$4*LeagueInfo!$F$2,IF(C445="WR",LeagueInfo!$D$5*LeagueInfo!$F$2,IF(C445="TE",LeagueInfo!$D$6*LeagueInfo!$F$2,LeagueInfo!$D$3*LeagueInfo!$F$2)))</f>
        <v>24</v>
      </c>
    </row>
    <row r="446" spans="1:9" x14ac:dyDescent="0.25">
      <c r="A446" s="1">
        <f ca="1">RANK(E446,E$2:E$619)</f>
        <v>440</v>
      </c>
      <c r="B446" s="1" t="s">
        <v>670</v>
      </c>
      <c r="C446" s="1" t="s">
        <v>39</v>
      </c>
      <c r="D446" s="1">
        <f ca="1">INDEX(INDIRECT($C446&amp;"!O:O"),MATCH($B446,INDIRECT($C446&amp;"!B:B"),0))</f>
        <v>8.7000000000000011</v>
      </c>
      <c r="E446" s="254">
        <f ca="1">D446-LARGE(D$2:D$619,RBCount+WRCount+TECount+QBCount)</f>
        <v>-75.17</v>
      </c>
      <c r="F446" s="1" t="str">
        <f ca="1">IF(H446&lt;=I446,"Starter",IF(G446&gt;=LARGE(G:G,FlexOn*LeagueInfo!$F$2),"Starter","Bench"))</f>
        <v>Bench</v>
      </c>
      <c r="G446" s="1">
        <f ca="1">IF(H446&gt;I446,D446,0)</f>
        <v>8.7000000000000011</v>
      </c>
      <c r="H446" s="1">
        <f ca="1">INDEX(INDIRECT(""&amp;C446&amp;"!A2:A489"),MATCH(B446,INDIRECT(""&amp;C446&amp;"!B2:B489"),0))</f>
        <v>171</v>
      </c>
      <c r="I446" s="1">
        <f>IF(C446="RB",LeagueInfo!$D$4*LeagueInfo!$F$2,IF(C446="WR",LeagueInfo!$D$5*LeagueInfo!$F$2,IF(C446="TE",LeagueInfo!$D$6*LeagueInfo!$F$2,LeagueInfo!$D$3*LeagueInfo!$F$2)))</f>
        <v>24</v>
      </c>
    </row>
    <row r="447" spans="1:9" x14ac:dyDescent="0.25">
      <c r="A447" s="1">
        <f ca="1">RANK(E447,E$2:E$619)</f>
        <v>410</v>
      </c>
      <c r="B447" s="1" t="s">
        <v>407</v>
      </c>
      <c r="C447" s="1" t="s">
        <v>33</v>
      </c>
      <c r="D447" s="1">
        <f ca="1">INDEX(INDIRECT($C447&amp;"!O:O"),MATCH($B447,INDIRECT($C447&amp;"!B:B"),0))</f>
        <v>10.144</v>
      </c>
      <c r="E447" s="254">
        <f ca="1">D447-LARGE(D$2:D$619,RBCount+WRCount+TECount+QBCount)</f>
        <v>-73.725999999999999</v>
      </c>
      <c r="F447" s="1" t="str">
        <f ca="1">IF(H447&lt;=I447,"Starter",IF(G447&gt;=LARGE(G:G,FlexOn*LeagueInfo!$F$2),"Starter","Bench"))</f>
        <v>Bench</v>
      </c>
      <c r="G447" s="1">
        <f ca="1">IF(H447&gt;I447,D447,0)</f>
        <v>10.144</v>
      </c>
      <c r="H447" s="1">
        <f ca="1">INDEX(INDIRECT(""&amp;C447&amp;"!A2:A489"),MATCH(B447,INDIRECT(""&amp;C447&amp;"!B2:B489"),0))</f>
        <v>54</v>
      </c>
      <c r="I447" s="1">
        <f>IF(C447="RB",LeagueInfo!$D$4*LeagueInfo!$F$2,IF(C447="WR",LeagueInfo!$D$5*LeagueInfo!$F$2,IF(C447="TE",LeagueInfo!$D$6*LeagueInfo!$F$2,LeagueInfo!$D$3*LeagueInfo!$F$2)))</f>
        <v>12</v>
      </c>
    </row>
    <row r="448" spans="1:9" x14ac:dyDescent="0.25">
      <c r="A448" s="1">
        <f ca="1">RANK(E448,E$2:E$619)</f>
        <v>470</v>
      </c>
      <c r="B448" s="1" t="s">
        <v>652</v>
      </c>
      <c r="C448" s="1" t="s">
        <v>39</v>
      </c>
      <c r="D448" s="1">
        <f ca="1">INDEX(INDIRECT($C448&amp;"!O:O"),MATCH($B448,INDIRECT($C448&amp;"!B:B"),0))</f>
        <v>7.879999999999999</v>
      </c>
      <c r="E448" s="254">
        <f ca="1">D448-LARGE(D$2:D$619,RBCount+WRCount+TECount+QBCount)</f>
        <v>-75.990000000000009</v>
      </c>
      <c r="F448" s="1" t="str">
        <f ca="1">IF(H448&lt;=I448,"Starter",IF(G448&gt;=LARGE(G:G,FlexOn*LeagueInfo!$F$2),"Starter","Bench"))</f>
        <v>Bench</v>
      </c>
      <c r="G448" s="1">
        <f ca="1">IF(H448&gt;I448,D448,0)</f>
        <v>7.879999999999999</v>
      </c>
      <c r="H448" s="1">
        <f ca="1">INDEX(INDIRECT(""&amp;C448&amp;"!A2:A489"),MATCH(B448,INDIRECT(""&amp;C448&amp;"!B2:B489"),0))</f>
        <v>188</v>
      </c>
      <c r="I448" s="1">
        <f>IF(C448="RB",LeagueInfo!$D$4*LeagueInfo!$F$2,IF(C448="WR",LeagueInfo!$D$5*LeagueInfo!$F$2,IF(C448="TE",LeagueInfo!$D$6*LeagueInfo!$F$2,LeagueInfo!$D$3*LeagueInfo!$F$2)))</f>
        <v>24</v>
      </c>
    </row>
    <row r="449" spans="1:9" x14ac:dyDescent="0.25">
      <c r="A449" s="1">
        <f ca="1">RANK(E449,E$2:E$619)</f>
        <v>440</v>
      </c>
      <c r="B449" s="1" t="s">
        <v>671</v>
      </c>
      <c r="C449" s="1" t="s">
        <v>39</v>
      </c>
      <c r="D449" s="1">
        <f ca="1">INDEX(INDIRECT($C449&amp;"!O:O"),MATCH($B449,INDIRECT($C449&amp;"!B:B"),0))</f>
        <v>8.7000000000000011</v>
      </c>
      <c r="E449" s="254">
        <f ca="1">D449-LARGE(D$2:D$619,RBCount+WRCount+TECount+QBCount)</f>
        <v>-75.17</v>
      </c>
      <c r="F449" s="1" t="str">
        <f ca="1">IF(H449&lt;=I449,"Starter",IF(G449&gt;=LARGE(G:G,FlexOn*LeagueInfo!$F$2),"Starter","Bench"))</f>
        <v>Bench</v>
      </c>
      <c r="G449" s="1">
        <f ca="1">IF(H449&gt;I449,D449,0)</f>
        <v>8.7000000000000011</v>
      </c>
      <c r="H449" s="1">
        <f ca="1">INDEX(INDIRECT(""&amp;C449&amp;"!A2:A489"),MATCH(B449,INDIRECT(""&amp;C449&amp;"!B2:B489"),0))</f>
        <v>171</v>
      </c>
      <c r="I449" s="1">
        <f>IF(C449="RB",LeagueInfo!$D$4*LeagueInfo!$F$2,IF(C449="WR",LeagueInfo!$D$5*LeagueInfo!$F$2,IF(C449="TE",LeagueInfo!$D$6*LeagueInfo!$F$2,LeagueInfo!$D$3*LeagueInfo!$F$2)))</f>
        <v>24</v>
      </c>
    </row>
    <row r="450" spans="1:9" x14ac:dyDescent="0.25">
      <c r="A450" s="1">
        <f ca="1">RANK(E450,E$2:E$619)</f>
        <v>450</v>
      </c>
      <c r="B450" s="1" t="s">
        <v>673</v>
      </c>
      <c r="C450" s="1" t="s">
        <v>39</v>
      </c>
      <c r="D450" s="1">
        <f ca="1">INDEX(INDIRECT($C450&amp;"!O:O"),MATCH($B450,INDIRECT($C450&amp;"!B:B"),0))</f>
        <v>8.43</v>
      </c>
      <c r="E450" s="254">
        <f ca="1">D450-LARGE(D$2:D$619,RBCount+WRCount+TECount+QBCount)</f>
        <v>-75.44</v>
      </c>
      <c r="F450" s="1" t="str">
        <f ca="1">IF(H450&lt;=I450,"Starter",IF(G450&gt;=LARGE(G:G,FlexOn*LeagueInfo!$F$2),"Starter","Bench"))</f>
        <v>Bench</v>
      </c>
      <c r="G450" s="1">
        <f ca="1">IF(H450&gt;I450,D450,0)</f>
        <v>8.43</v>
      </c>
      <c r="H450" s="1">
        <f ca="1">INDEX(INDIRECT(""&amp;C450&amp;"!A2:A489"),MATCH(B450,INDIRECT(""&amp;C450&amp;"!B2:B489"),0))</f>
        <v>179</v>
      </c>
      <c r="I450" s="1">
        <f>IF(C450="RB",LeagueInfo!$D$4*LeagueInfo!$F$2,IF(C450="WR",LeagueInfo!$D$5*LeagueInfo!$F$2,IF(C450="TE",LeagueInfo!$D$6*LeagueInfo!$F$2,LeagueInfo!$D$3*LeagueInfo!$F$2)))</f>
        <v>24</v>
      </c>
    </row>
    <row r="451" spans="1:9" x14ac:dyDescent="0.25">
      <c r="A451" s="1">
        <f ca="1">RANK(E451,E$2:E$619)</f>
        <v>461</v>
      </c>
      <c r="B451" s="1" t="s">
        <v>678</v>
      </c>
      <c r="C451" s="1" t="s">
        <v>39</v>
      </c>
      <c r="D451" s="1">
        <f ca="1">INDEX(INDIRECT($C451&amp;"!O:O"),MATCH($B451,INDIRECT($C451&amp;"!B:B"),0))</f>
        <v>8.1700000000000017</v>
      </c>
      <c r="E451" s="254">
        <f ca="1">D451-LARGE(D$2:D$619,RBCount+WRCount+TECount+QBCount)</f>
        <v>-75.7</v>
      </c>
      <c r="F451" s="1" t="str">
        <f ca="1">IF(H451&lt;=I451,"Starter",IF(G451&gt;=LARGE(G:G,FlexOn*LeagueInfo!$F$2),"Starter","Bench"))</f>
        <v>Bench</v>
      </c>
      <c r="G451" s="1">
        <f ca="1">IF(H451&gt;I451,D451,0)</f>
        <v>8.1700000000000017</v>
      </c>
      <c r="H451" s="1">
        <f ca="1">INDEX(INDIRECT(""&amp;C451&amp;"!A2:A489"),MATCH(B451,INDIRECT(""&amp;C451&amp;"!B2:B489"),0))</f>
        <v>186</v>
      </c>
      <c r="I451" s="1">
        <f>IF(C451="RB",LeagueInfo!$D$4*LeagueInfo!$F$2,IF(C451="WR",LeagueInfo!$D$5*LeagueInfo!$F$2,IF(C451="TE",LeagueInfo!$D$6*LeagueInfo!$F$2,LeagueInfo!$D$3*LeagueInfo!$F$2)))</f>
        <v>24</v>
      </c>
    </row>
    <row r="452" spans="1:9" x14ac:dyDescent="0.25">
      <c r="A452" s="1">
        <f ca="1">RANK(E452,E$2:E$619)</f>
        <v>444</v>
      </c>
      <c r="B452" s="1" t="s">
        <v>664</v>
      </c>
      <c r="C452" s="1" t="s">
        <v>39</v>
      </c>
      <c r="D452" s="1">
        <f ca="1">INDEX(INDIRECT($C452&amp;"!O:O"),MATCH($B452,INDIRECT($C452&amp;"!B:B"),0))</f>
        <v>8.6000000000000014</v>
      </c>
      <c r="E452" s="254">
        <f ca="1">D452-LARGE(D$2:D$619,RBCount+WRCount+TECount+QBCount)</f>
        <v>-75.27000000000001</v>
      </c>
      <c r="F452" s="1" t="str">
        <f ca="1">IF(H452&lt;=I452,"Starter",IF(G452&gt;=LARGE(G:G,FlexOn*LeagueInfo!$F$2),"Starter","Bench"))</f>
        <v>Bench</v>
      </c>
      <c r="G452" s="1">
        <f ca="1">IF(H452&gt;I452,D452,0)</f>
        <v>8.6000000000000014</v>
      </c>
      <c r="H452" s="1">
        <f ca="1">INDEX(INDIRECT(""&amp;C452&amp;"!A2:A489"),MATCH(B452,INDIRECT(""&amp;C452&amp;"!B2:B489"),0))</f>
        <v>175</v>
      </c>
      <c r="I452" s="1">
        <f>IF(C452="RB",LeagueInfo!$D$4*LeagueInfo!$F$2,IF(C452="WR",LeagueInfo!$D$5*LeagueInfo!$F$2,IF(C452="TE",LeagueInfo!$D$6*LeagueInfo!$F$2,LeagueInfo!$D$3*LeagueInfo!$F$2)))</f>
        <v>24</v>
      </c>
    </row>
    <row r="453" spans="1:9" x14ac:dyDescent="0.25">
      <c r="A453" s="1">
        <f ca="1">RANK(E453,E$2:E$619)</f>
        <v>457</v>
      </c>
      <c r="B453" s="1" t="s">
        <v>677</v>
      </c>
      <c r="C453" s="1" t="s">
        <v>39</v>
      </c>
      <c r="D453" s="1">
        <f ca="1">INDEX(INDIRECT($C453&amp;"!O:O"),MATCH($B453,INDIRECT($C453&amp;"!B:B"),0))</f>
        <v>8.25</v>
      </c>
      <c r="E453" s="254">
        <f ca="1">D453-LARGE(D$2:D$619,RBCount+WRCount+TECount+QBCount)</f>
        <v>-75.62</v>
      </c>
      <c r="F453" s="1" t="str">
        <f ca="1">IF(H453&lt;=I453,"Starter",IF(G453&gt;=LARGE(G:G,FlexOn*LeagueInfo!$F$2),"Starter","Bench"))</f>
        <v>Bench</v>
      </c>
      <c r="G453" s="1">
        <f ca="1">IF(H453&gt;I453,D453,0)</f>
        <v>8.25</v>
      </c>
      <c r="H453" s="1">
        <f ca="1">INDEX(INDIRECT(""&amp;C453&amp;"!A2:A489"),MATCH(B453,INDIRECT(""&amp;C453&amp;"!B2:B489"),0))</f>
        <v>183</v>
      </c>
      <c r="I453" s="1">
        <f>IF(C453="RB",LeagueInfo!$D$4*LeagueInfo!$F$2,IF(C453="WR",LeagueInfo!$D$5*LeagueInfo!$F$2,IF(C453="TE",LeagueInfo!$D$6*LeagueInfo!$F$2,LeagueInfo!$D$3*LeagueInfo!$F$2)))</f>
        <v>24</v>
      </c>
    </row>
    <row r="454" spans="1:9" x14ac:dyDescent="0.25">
      <c r="A454" s="1">
        <f ca="1">RANK(E454,E$2:E$619)</f>
        <v>463</v>
      </c>
      <c r="B454" s="1" t="s">
        <v>94</v>
      </c>
      <c r="C454" s="1" t="s">
        <v>47</v>
      </c>
      <c r="D454" s="1">
        <f ca="1">INDEX(INDIRECT($C454&amp;"!O:O"),MATCH($B454,INDIRECT($C454&amp;"!B:B"),0))</f>
        <v>8.1000000000000014</v>
      </c>
      <c r="E454" s="254">
        <f ca="1">D454-LARGE(D$2:D$619,RBCount+WRCount+TECount+QBCount)</f>
        <v>-75.77000000000001</v>
      </c>
      <c r="F454" s="1" t="str">
        <f ca="1">IF(H454&lt;=I454,"Starter",IF(G454&gt;=LARGE(G:G,FlexOn*LeagueInfo!$F$2),"Starter","Bench"))</f>
        <v>Bench</v>
      </c>
      <c r="G454" s="1">
        <f ca="1">IF(H454&gt;I454,D454,0)</f>
        <v>8.1000000000000014</v>
      </c>
      <c r="H454" s="1">
        <f ca="1">INDEX(INDIRECT(""&amp;C454&amp;"!A2:A489"),MATCH(B454,INDIRECT(""&amp;C454&amp;"!B2:B489"),0))</f>
        <v>90</v>
      </c>
      <c r="I454" s="1">
        <f>IF(C454="RB",LeagueInfo!$D$4*LeagueInfo!$F$2,IF(C454="WR",LeagueInfo!$D$5*LeagueInfo!$F$2,IF(C454="TE",LeagueInfo!$D$6*LeagueInfo!$F$2,LeagueInfo!$D$3*LeagueInfo!$F$2)))</f>
        <v>12</v>
      </c>
    </row>
    <row r="455" spans="1:9" x14ac:dyDescent="0.25">
      <c r="A455" s="1">
        <f ca="1">RANK(E455,E$2:E$619)</f>
        <v>447</v>
      </c>
      <c r="B455" s="1" t="s">
        <v>927</v>
      </c>
      <c r="C455" s="1" t="s">
        <v>39</v>
      </c>
      <c r="D455" s="1">
        <f ca="1">INDEX(INDIRECT($C455&amp;"!O:O"),MATCH($B455,INDIRECT($C455&amp;"!B:B"),0))</f>
        <v>8.5</v>
      </c>
      <c r="E455" s="254">
        <f ca="1">D455-LARGE(D$2:D$619,RBCount+WRCount+TECount+QBCount)</f>
        <v>-75.37</v>
      </c>
      <c r="F455" s="1" t="str">
        <f ca="1">IF(H455&lt;=I455,"Starter",IF(G455&gt;=LARGE(G:G,FlexOn*LeagueInfo!$F$2),"Starter","Bench"))</f>
        <v>Bench</v>
      </c>
      <c r="G455" s="1">
        <f ca="1">IF(H455&gt;I455,D455,0)</f>
        <v>8.5</v>
      </c>
      <c r="H455" s="1">
        <f ca="1">INDEX(INDIRECT(""&amp;C455&amp;"!A2:A489"),MATCH(B455,INDIRECT(""&amp;C455&amp;"!B2:B489"),0))</f>
        <v>177</v>
      </c>
      <c r="I455" s="1">
        <f>IF(C455="RB",LeagueInfo!$D$4*LeagueInfo!$F$2,IF(C455="WR",LeagueInfo!$D$5*LeagueInfo!$F$2,IF(C455="TE",LeagueInfo!$D$6*LeagueInfo!$F$2,LeagueInfo!$D$3*LeagueInfo!$F$2)))</f>
        <v>24</v>
      </c>
    </row>
    <row r="456" spans="1:9" x14ac:dyDescent="0.25">
      <c r="A456" s="1">
        <f ca="1">RANK(E456,E$2:E$619)</f>
        <v>406</v>
      </c>
      <c r="B456" s="1" t="s">
        <v>410</v>
      </c>
      <c r="C456" s="1" t="s">
        <v>33</v>
      </c>
      <c r="D456" s="1">
        <f ca="1">INDEX(INDIRECT($C456&amp;"!O:O"),MATCH($B456,INDIRECT($C456&amp;"!B:B"),0))</f>
        <v>10.298</v>
      </c>
      <c r="E456" s="254">
        <f ca="1">D456-LARGE(D$2:D$619,RBCount+WRCount+TECount+QBCount)</f>
        <v>-73.572000000000003</v>
      </c>
      <c r="F456" s="1" t="str">
        <f ca="1">IF(H456&lt;=I456,"Starter",IF(G456&gt;=LARGE(G:G,FlexOn*LeagueInfo!$F$2),"Starter","Bench"))</f>
        <v>Bench</v>
      </c>
      <c r="G456" s="1">
        <f ca="1">IF(H456&gt;I456,D456,0)</f>
        <v>10.298</v>
      </c>
      <c r="H456" s="1">
        <f ca="1">INDEX(INDIRECT(""&amp;C456&amp;"!A2:A489"),MATCH(B456,INDIRECT(""&amp;C456&amp;"!B2:B489"),0))</f>
        <v>53</v>
      </c>
      <c r="I456" s="1">
        <f>IF(C456="RB",LeagueInfo!$D$4*LeagueInfo!$F$2,IF(C456="WR",LeagueInfo!$D$5*LeagueInfo!$F$2,IF(C456="TE",LeagueInfo!$D$6*LeagueInfo!$F$2,LeagueInfo!$D$3*LeagueInfo!$F$2)))</f>
        <v>12</v>
      </c>
    </row>
    <row r="457" spans="1:9" x14ac:dyDescent="0.25">
      <c r="A457" s="1">
        <f ca="1">RANK(E457,E$2:E$619)</f>
        <v>480</v>
      </c>
      <c r="B457" s="1" t="s">
        <v>761</v>
      </c>
      <c r="C457" s="1" t="s">
        <v>47</v>
      </c>
      <c r="D457" s="1">
        <f ca="1">INDEX(INDIRECT($C457&amp;"!O:O"),MATCH($B457,INDIRECT($C457&amp;"!B:B"),0))</f>
        <v>7.68</v>
      </c>
      <c r="E457" s="254">
        <f ca="1">D457-LARGE(D$2:D$619,RBCount+WRCount+TECount+QBCount)</f>
        <v>-76.19</v>
      </c>
      <c r="F457" s="1" t="str">
        <f ca="1">IF(H457&lt;=I457,"Starter",IF(G457&gt;=LARGE(G:G,FlexOn*LeagueInfo!$F$2),"Starter","Bench"))</f>
        <v>Bench</v>
      </c>
      <c r="G457" s="1">
        <f ca="1">IF(H457&gt;I457,D457,0)</f>
        <v>7.68</v>
      </c>
      <c r="H457" s="1">
        <f ca="1">INDEX(INDIRECT(""&amp;C457&amp;"!A2:A489"),MATCH(B457,INDIRECT(""&amp;C457&amp;"!B2:B489"),0))</f>
        <v>95</v>
      </c>
      <c r="I457" s="1">
        <f>IF(C457="RB",LeagueInfo!$D$4*LeagueInfo!$F$2,IF(C457="WR",LeagueInfo!$D$5*LeagueInfo!$F$2,IF(C457="TE",LeagueInfo!$D$6*LeagueInfo!$F$2,LeagueInfo!$D$3*LeagueInfo!$F$2)))</f>
        <v>12</v>
      </c>
    </row>
    <row r="458" spans="1:9" x14ac:dyDescent="0.25">
      <c r="A458" s="1">
        <f ca="1">RANK(E458,E$2:E$619)</f>
        <v>472</v>
      </c>
      <c r="B458" s="1" t="s">
        <v>680</v>
      </c>
      <c r="C458" s="1" t="s">
        <v>39</v>
      </c>
      <c r="D458" s="1">
        <f ca="1">INDEX(INDIRECT($C458&amp;"!O:O"),MATCH($B458,INDIRECT($C458&amp;"!B:B"),0))</f>
        <v>7.8400000000000007</v>
      </c>
      <c r="E458" s="254">
        <f ca="1">D458-LARGE(D$2:D$619,RBCount+WRCount+TECount+QBCount)</f>
        <v>-76.03</v>
      </c>
      <c r="F458" s="1" t="str">
        <f ca="1">IF(H458&lt;=I458,"Starter",IF(G458&gt;=LARGE(G:G,FlexOn*LeagueInfo!$F$2),"Starter","Bench"))</f>
        <v>Bench</v>
      </c>
      <c r="G458" s="1">
        <f ca="1">IF(H458&gt;I458,D458,0)</f>
        <v>7.8400000000000007</v>
      </c>
      <c r="H458" s="1">
        <f ca="1">INDEX(INDIRECT(""&amp;C458&amp;"!A2:A489"),MATCH(B458,INDIRECT(""&amp;C458&amp;"!B2:B489"),0))</f>
        <v>190</v>
      </c>
      <c r="I458" s="1">
        <f>IF(C458="RB",LeagueInfo!$D$4*LeagueInfo!$F$2,IF(C458="WR",LeagueInfo!$D$5*LeagueInfo!$F$2,IF(C458="TE",LeagueInfo!$D$6*LeagueInfo!$F$2,LeagueInfo!$D$3*LeagueInfo!$F$2)))</f>
        <v>24</v>
      </c>
    </row>
    <row r="459" spans="1:9" x14ac:dyDescent="0.25">
      <c r="A459" s="1">
        <f ca="1">RANK(E459,E$2:E$619)</f>
        <v>453</v>
      </c>
      <c r="B459" s="1" t="s">
        <v>674</v>
      </c>
      <c r="C459" s="1" t="s">
        <v>39</v>
      </c>
      <c r="D459" s="1">
        <f ca="1">INDEX(INDIRECT($C459&amp;"!O:O"),MATCH($B459,INDIRECT($C459&amp;"!B:B"),0))</f>
        <v>8.3500000000000014</v>
      </c>
      <c r="E459" s="254">
        <f ca="1">D459-LARGE(D$2:D$619,RBCount+WRCount+TECount+QBCount)</f>
        <v>-75.52000000000001</v>
      </c>
      <c r="F459" s="1" t="str">
        <f ca="1">IF(H459&lt;=I459,"Starter",IF(G459&gt;=LARGE(G:G,FlexOn*LeagueInfo!$F$2),"Starter","Bench"))</f>
        <v>Bench</v>
      </c>
      <c r="G459" s="1">
        <f ca="1">IF(H459&gt;I459,D459,0)</f>
        <v>8.3500000000000014</v>
      </c>
      <c r="H459" s="1">
        <f ca="1">INDEX(INDIRECT(""&amp;C459&amp;"!A2:A489"),MATCH(B459,INDIRECT(""&amp;C459&amp;"!B2:B489"),0))</f>
        <v>181</v>
      </c>
      <c r="I459" s="1">
        <f>IF(C459="RB",LeagueInfo!$D$4*LeagueInfo!$F$2,IF(C459="WR",LeagueInfo!$D$5*LeagueInfo!$F$2,IF(C459="TE",LeagueInfo!$D$6*LeagueInfo!$F$2,LeagueInfo!$D$3*LeagueInfo!$F$2)))</f>
        <v>24</v>
      </c>
    </row>
    <row r="460" spans="1:9" x14ac:dyDescent="0.25">
      <c r="A460" s="1">
        <f ca="1">RANK(E460,E$2:E$619)</f>
        <v>459</v>
      </c>
      <c r="B460" s="1" t="s">
        <v>666</v>
      </c>
      <c r="C460" s="1" t="s">
        <v>39</v>
      </c>
      <c r="D460" s="1">
        <f ca="1">INDEX(INDIRECT($C460&amp;"!O:O"),MATCH($B460,INDIRECT($C460&amp;"!B:B"),0))</f>
        <v>8.2000000000000011</v>
      </c>
      <c r="E460" s="254">
        <f ca="1">D460-LARGE(D$2:D$619,RBCount+WRCount+TECount+QBCount)</f>
        <v>-75.67</v>
      </c>
      <c r="F460" s="1" t="str">
        <f ca="1">IF(H460&lt;=I460,"Starter",IF(G460&gt;=LARGE(G:G,FlexOn*LeagueInfo!$F$2),"Starter","Bench"))</f>
        <v>Bench</v>
      </c>
      <c r="G460" s="1">
        <f ca="1">IF(H460&gt;I460,D460,0)</f>
        <v>8.2000000000000011</v>
      </c>
      <c r="H460" s="1">
        <f ca="1">INDEX(INDIRECT(""&amp;C460&amp;"!A2:A489"),MATCH(B460,INDIRECT(""&amp;C460&amp;"!B2:B489"),0))</f>
        <v>184</v>
      </c>
      <c r="I460" s="1">
        <f>IF(C460="RB",LeagueInfo!$D$4*LeagueInfo!$F$2,IF(C460="WR",LeagueInfo!$D$5*LeagueInfo!$F$2,IF(C460="TE",LeagueInfo!$D$6*LeagueInfo!$F$2,LeagueInfo!$D$3*LeagueInfo!$F$2)))</f>
        <v>24</v>
      </c>
    </row>
    <row r="461" spans="1:9" x14ac:dyDescent="0.25">
      <c r="A461" s="1">
        <f ca="1">RANK(E461,E$2:E$619)</f>
        <v>472</v>
      </c>
      <c r="B461" s="1" t="s">
        <v>682</v>
      </c>
      <c r="C461" s="1" t="s">
        <v>39</v>
      </c>
      <c r="D461" s="1">
        <f ca="1">INDEX(INDIRECT($C461&amp;"!O:O"),MATCH($B461,INDIRECT($C461&amp;"!B:B"),0))</f>
        <v>7.8400000000000007</v>
      </c>
      <c r="E461" s="254">
        <f ca="1">D461-LARGE(D$2:D$619,RBCount+WRCount+TECount+QBCount)</f>
        <v>-76.03</v>
      </c>
      <c r="F461" s="1" t="str">
        <f ca="1">IF(H461&lt;=I461,"Starter",IF(G461&gt;=LARGE(G:G,FlexOn*LeagueInfo!$F$2),"Starter","Bench"))</f>
        <v>Bench</v>
      </c>
      <c r="G461" s="1">
        <f ca="1">IF(H461&gt;I461,D461,0)</f>
        <v>7.8400000000000007</v>
      </c>
      <c r="H461" s="1">
        <f ca="1">INDEX(INDIRECT(""&amp;C461&amp;"!A2:A489"),MATCH(B461,INDIRECT(""&amp;C461&amp;"!B2:B489"),0))</f>
        <v>190</v>
      </c>
      <c r="I461" s="1">
        <f>IF(C461="RB",LeagueInfo!$D$4*LeagueInfo!$F$2,IF(C461="WR",LeagueInfo!$D$5*LeagueInfo!$F$2,IF(C461="TE",LeagueInfo!$D$6*LeagueInfo!$F$2,LeagueInfo!$D$3*LeagueInfo!$F$2)))</f>
        <v>24</v>
      </c>
    </row>
    <row r="462" spans="1:9" x14ac:dyDescent="0.25">
      <c r="A462" s="1">
        <f ca="1">RANK(E462,E$2:E$619)</f>
        <v>455</v>
      </c>
      <c r="B462" s="1" t="s">
        <v>675</v>
      </c>
      <c r="C462" s="1" t="s">
        <v>39</v>
      </c>
      <c r="D462" s="1">
        <f ca="1">INDEX(INDIRECT($C462&amp;"!O:O"),MATCH($B462,INDIRECT($C462&amp;"!B:B"),0))</f>
        <v>8.2800000000000011</v>
      </c>
      <c r="E462" s="254">
        <f ca="1">D462-LARGE(D$2:D$619,RBCount+WRCount+TECount+QBCount)</f>
        <v>-75.59</v>
      </c>
      <c r="F462" s="1" t="str">
        <f ca="1">IF(H462&lt;=I462,"Starter",IF(G462&gt;=LARGE(G:G,FlexOn*LeagueInfo!$F$2),"Starter","Bench"))</f>
        <v>Bench</v>
      </c>
      <c r="G462" s="1">
        <f ca="1">IF(H462&gt;I462,D462,0)</f>
        <v>8.2800000000000011</v>
      </c>
      <c r="H462" s="1">
        <f ca="1">INDEX(INDIRECT(""&amp;C462&amp;"!A2:A489"),MATCH(B462,INDIRECT(""&amp;C462&amp;"!B2:B489"),0))</f>
        <v>182</v>
      </c>
      <c r="I462" s="1">
        <f>IF(C462="RB",LeagueInfo!$D$4*LeagueInfo!$F$2,IF(C462="WR",LeagueInfo!$D$5*LeagueInfo!$F$2,IF(C462="TE",LeagueInfo!$D$6*LeagueInfo!$F$2,LeagueInfo!$D$3*LeagueInfo!$F$2)))</f>
        <v>24</v>
      </c>
    </row>
    <row r="463" spans="1:9" x14ac:dyDescent="0.25">
      <c r="A463" s="1">
        <f ca="1">RANK(E463,E$2:E$619)</f>
        <v>442</v>
      </c>
      <c r="B463" s="1" t="s">
        <v>655</v>
      </c>
      <c r="C463" s="1" t="s">
        <v>39</v>
      </c>
      <c r="D463" s="1">
        <f ca="1">INDEX(INDIRECT($C463&amp;"!O:O"),MATCH($B463,INDIRECT($C463&amp;"!B:B"),0))</f>
        <v>8.66</v>
      </c>
      <c r="E463" s="254">
        <f ca="1">D463-LARGE(D$2:D$619,RBCount+WRCount+TECount+QBCount)</f>
        <v>-75.210000000000008</v>
      </c>
      <c r="F463" s="1" t="str">
        <f ca="1">IF(H463&lt;=I463,"Starter",IF(G463&gt;=LARGE(G:G,FlexOn*LeagueInfo!$F$2),"Starter","Bench"))</f>
        <v>Bench</v>
      </c>
      <c r="G463" s="1">
        <f ca="1">IF(H463&gt;I463,D463,0)</f>
        <v>8.66</v>
      </c>
      <c r="H463" s="1">
        <f ca="1">INDEX(INDIRECT(""&amp;C463&amp;"!A2:A489"),MATCH(B463,INDIRECT(""&amp;C463&amp;"!B2:B489"),0))</f>
        <v>173</v>
      </c>
      <c r="I463" s="1">
        <f>IF(C463="RB",LeagueInfo!$D$4*LeagueInfo!$F$2,IF(C463="WR",LeagueInfo!$D$5*LeagueInfo!$F$2,IF(C463="TE",LeagueInfo!$D$6*LeagueInfo!$F$2,LeagueInfo!$D$3*LeagueInfo!$F$2)))</f>
        <v>24</v>
      </c>
    </row>
    <row r="464" spans="1:9" x14ac:dyDescent="0.25">
      <c r="A464" s="1">
        <f ca="1">RANK(E464,E$2:E$619)</f>
        <v>437</v>
      </c>
      <c r="B464" s="1" t="s">
        <v>767</v>
      </c>
      <c r="C464" s="1" t="s">
        <v>47</v>
      </c>
      <c r="D464" s="1">
        <f ca="1">INDEX(INDIRECT($C464&amp;"!O:O"),MATCH($B464,INDIRECT($C464&amp;"!B:B"),0))</f>
        <v>8.9</v>
      </c>
      <c r="E464" s="254">
        <f ca="1">D464-LARGE(D$2:D$619,RBCount+WRCount+TECount+QBCount)</f>
        <v>-74.97</v>
      </c>
      <c r="F464" s="1" t="str">
        <f ca="1">IF(H464&lt;=I464,"Starter",IF(G464&gt;=LARGE(G:G,FlexOn*LeagueInfo!$F$2),"Starter","Bench"))</f>
        <v>Bench</v>
      </c>
      <c r="G464" s="1">
        <f ca="1">IF(H464&gt;I464,D464,0)</f>
        <v>8.9</v>
      </c>
      <c r="H464" s="1">
        <f ca="1">INDEX(INDIRECT(""&amp;C464&amp;"!A2:A489"),MATCH(B464,INDIRECT(""&amp;C464&amp;"!B2:B489"),0))</f>
        <v>86</v>
      </c>
      <c r="I464" s="1">
        <f>IF(C464="RB",LeagueInfo!$D$4*LeagueInfo!$F$2,IF(C464="WR",LeagueInfo!$D$5*LeagueInfo!$F$2,IF(C464="TE",LeagueInfo!$D$6*LeagueInfo!$F$2,LeagueInfo!$D$3*LeagueInfo!$F$2)))</f>
        <v>12</v>
      </c>
    </row>
    <row r="465" spans="1:9" x14ac:dyDescent="0.25">
      <c r="A465" s="1">
        <f ca="1">RANK(E465,E$2:E$619)</f>
        <v>471</v>
      </c>
      <c r="B465" s="1" t="s">
        <v>690</v>
      </c>
      <c r="C465" s="1" t="s">
        <v>39</v>
      </c>
      <c r="D465" s="1">
        <f ca="1">INDEX(INDIRECT($C465&amp;"!O:O"),MATCH($B465,INDIRECT($C465&amp;"!B:B"),0))</f>
        <v>7.8599999999999994</v>
      </c>
      <c r="E465" s="254">
        <f ca="1">D465-LARGE(D$2:D$619,RBCount+WRCount+TECount+QBCount)</f>
        <v>-76.010000000000005</v>
      </c>
      <c r="F465" s="1" t="str">
        <f ca="1">IF(H465&lt;=I465,"Starter",IF(G465&gt;=LARGE(G:G,FlexOn*LeagueInfo!$F$2),"Starter","Bench"))</f>
        <v>Bench</v>
      </c>
      <c r="G465" s="1">
        <f ca="1">IF(H465&gt;I465,D465,0)</f>
        <v>7.8599999999999994</v>
      </c>
      <c r="H465" s="1">
        <f ca="1">INDEX(INDIRECT(""&amp;C465&amp;"!A2:A489"),MATCH(B465,INDIRECT(""&amp;C465&amp;"!B2:B489"),0))</f>
        <v>189</v>
      </c>
      <c r="I465" s="1">
        <f>IF(C465="RB",LeagueInfo!$D$4*LeagueInfo!$F$2,IF(C465="WR",LeagueInfo!$D$5*LeagueInfo!$F$2,IF(C465="TE",LeagueInfo!$D$6*LeagueInfo!$F$2,LeagueInfo!$D$3*LeagueInfo!$F$2)))</f>
        <v>24</v>
      </c>
    </row>
    <row r="466" spans="1:9" x14ac:dyDescent="0.25">
      <c r="A466" s="1">
        <f ca="1">RANK(E466,E$2:E$619)</f>
        <v>490</v>
      </c>
      <c r="B466" s="1" t="s">
        <v>789</v>
      </c>
      <c r="C466" s="1" t="s">
        <v>47</v>
      </c>
      <c r="D466" s="1">
        <f ca="1">INDEX(INDIRECT($C466&amp;"!O:O"),MATCH($B466,INDIRECT($C466&amp;"!B:B"),0))</f>
        <v>7.45</v>
      </c>
      <c r="E466" s="254">
        <f ca="1">D466-LARGE(D$2:D$619,RBCount+WRCount+TECount+QBCount)</f>
        <v>-76.42</v>
      </c>
      <c r="F466" s="1" t="str">
        <f ca="1">IF(H466&lt;=I466,"Starter",IF(G466&gt;=LARGE(G:G,FlexOn*LeagueInfo!$F$2),"Starter","Bench"))</f>
        <v>Bench</v>
      </c>
      <c r="G466" s="1">
        <f ca="1">IF(H466&gt;I466,D466,0)</f>
        <v>7.45</v>
      </c>
      <c r="H466" s="1">
        <f ca="1">INDEX(INDIRECT(""&amp;C466&amp;"!A2:A489"),MATCH(B466,INDIRECT(""&amp;C466&amp;"!B2:B489"),0))</f>
        <v>98</v>
      </c>
      <c r="I466" s="1">
        <f>IF(C466="RB",LeagueInfo!$D$4*LeagueInfo!$F$2,IF(C466="WR",LeagueInfo!$D$5*LeagueInfo!$F$2,IF(C466="TE",LeagueInfo!$D$6*LeagueInfo!$F$2,LeagueInfo!$D$3*LeagueInfo!$F$2)))</f>
        <v>12</v>
      </c>
    </row>
    <row r="467" spans="1:9" x14ac:dyDescent="0.25">
      <c r="A467" s="1">
        <f ca="1">RANK(E467,E$2:E$619)</f>
        <v>484</v>
      </c>
      <c r="B467" s="1" t="s">
        <v>676</v>
      </c>
      <c r="C467" s="1" t="s">
        <v>39</v>
      </c>
      <c r="D467" s="1">
        <f ca="1">INDEX(INDIRECT($C467&amp;"!O:O"),MATCH($B467,INDIRECT($C467&amp;"!B:B"),0))</f>
        <v>7.62</v>
      </c>
      <c r="E467" s="254">
        <f ca="1">D467-LARGE(D$2:D$619,RBCount+WRCount+TECount+QBCount)</f>
        <v>-76.25</v>
      </c>
      <c r="F467" s="1" t="str">
        <f ca="1">IF(H467&lt;=I467,"Starter",IF(G467&gt;=LARGE(G:G,FlexOn*LeagueInfo!$F$2),"Starter","Bench"))</f>
        <v>Bench</v>
      </c>
      <c r="G467" s="1">
        <f ca="1">IF(H467&gt;I467,D467,0)</f>
        <v>7.62</v>
      </c>
      <c r="H467" s="1">
        <f ca="1">INDEX(INDIRECT(""&amp;C467&amp;"!A2:A489"),MATCH(B467,INDIRECT(""&amp;C467&amp;"!B2:B489"),0))</f>
        <v>195</v>
      </c>
      <c r="I467" s="1">
        <f>IF(C467="RB",LeagueInfo!$D$4*LeagueInfo!$F$2,IF(C467="WR",LeagueInfo!$D$5*LeagueInfo!$F$2,IF(C467="TE",LeagueInfo!$D$6*LeagueInfo!$F$2,LeagueInfo!$D$3*LeagueInfo!$F$2)))</f>
        <v>24</v>
      </c>
    </row>
    <row r="468" spans="1:9" x14ac:dyDescent="0.25">
      <c r="A468" s="1">
        <f ca="1">RANK(E468,E$2:E$619)</f>
        <v>467</v>
      </c>
      <c r="B468" s="1" t="s">
        <v>621</v>
      </c>
      <c r="C468" s="1" t="s">
        <v>39</v>
      </c>
      <c r="D468" s="1">
        <f ca="1">INDEX(INDIRECT($C468&amp;"!O:O"),MATCH($B468,INDIRECT($C468&amp;"!B:B"),0))</f>
        <v>7.96</v>
      </c>
      <c r="E468" s="254">
        <f ca="1">D468-LARGE(D$2:D$619,RBCount+WRCount+TECount+QBCount)</f>
        <v>-75.910000000000011</v>
      </c>
      <c r="F468" s="1" t="str">
        <f ca="1">IF(H468&lt;=I468,"Starter",IF(G468&gt;=LARGE(G:G,FlexOn*LeagueInfo!$F$2),"Starter","Bench"))</f>
        <v>Bench</v>
      </c>
      <c r="G468" s="1">
        <f ca="1">IF(H468&gt;I468,D468,0)</f>
        <v>7.96</v>
      </c>
      <c r="H468" s="1">
        <f ca="1">INDEX(INDIRECT(""&amp;C468&amp;"!A2:A489"),MATCH(B468,INDIRECT(""&amp;C468&amp;"!B2:B489"),0))</f>
        <v>187</v>
      </c>
      <c r="I468" s="1">
        <f>IF(C468="RB",LeagueInfo!$D$4*LeagueInfo!$F$2,IF(C468="WR",LeagueInfo!$D$5*LeagueInfo!$F$2,IF(C468="TE",LeagueInfo!$D$6*LeagueInfo!$F$2,LeagueInfo!$D$3*LeagueInfo!$F$2)))</f>
        <v>24</v>
      </c>
    </row>
    <row r="469" spans="1:9" x14ac:dyDescent="0.25">
      <c r="A469" s="1">
        <f ca="1">RANK(E469,E$2:E$619)</f>
        <v>433</v>
      </c>
      <c r="B469" s="1" t="s">
        <v>493</v>
      </c>
      <c r="C469" s="1" t="s">
        <v>32</v>
      </c>
      <c r="D469" s="1">
        <f ca="1">INDEX(INDIRECT($C469&amp;"!O:O"),MATCH($B469,INDIRECT($C469&amp;"!B:B"),0))</f>
        <v>9.1</v>
      </c>
      <c r="E469" s="254">
        <f ca="1">D469-LARGE(D$2:D$619,RBCount+WRCount+TECount+QBCount)</f>
        <v>-74.77000000000001</v>
      </c>
      <c r="F469" s="1" t="str">
        <f ca="1">IF(H469&lt;=I469,"Starter",IF(G469&gt;=LARGE(G:G,FlexOn*LeagueInfo!$F$2),"Starter","Bench"))</f>
        <v>Bench</v>
      </c>
      <c r="G469" s="1">
        <f ca="1">IF(H469&gt;I469,D469,0)</f>
        <v>9.1</v>
      </c>
      <c r="H469" s="1">
        <f ca="1">INDEX(INDIRECT(""&amp;C469&amp;"!A2:A489"),MATCH(B469,INDIRECT(""&amp;C469&amp;"!B2:B489"),0))</f>
        <v>127</v>
      </c>
      <c r="I469" s="1">
        <f>IF(C469="RB",LeagueInfo!$D$4*LeagueInfo!$F$2,IF(C469="WR",LeagueInfo!$D$5*LeagueInfo!$F$2,IF(C469="TE",LeagueInfo!$D$6*LeagueInfo!$F$2,LeagueInfo!$D$3*LeagueInfo!$F$2)))</f>
        <v>24</v>
      </c>
    </row>
    <row r="470" spans="1:9" x14ac:dyDescent="0.25">
      <c r="A470" s="1">
        <f ca="1">RANK(E470,E$2:E$619)</f>
        <v>439</v>
      </c>
      <c r="B470" s="1" t="s">
        <v>669</v>
      </c>
      <c r="C470" s="1" t="s">
        <v>39</v>
      </c>
      <c r="D470" s="1">
        <f ca="1">INDEX(INDIRECT($C470&amp;"!O:O"),MATCH($B470,INDIRECT($C470&amp;"!B:B"),0))</f>
        <v>8.84</v>
      </c>
      <c r="E470" s="254">
        <f ca="1">D470-LARGE(D$2:D$619,RBCount+WRCount+TECount+QBCount)</f>
        <v>-75.03</v>
      </c>
      <c r="F470" s="1" t="str">
        <f ca="1">IF(H470&lt;=I470,"Starter",IF(G470&gt;=LARGE(G:G,FlexOn*LeagueInfo!$F$2),"Starter","Bench"))</f>
        <v>Bench</v>
      </c>
      <c r="G470" s="1">
        <f ca="1">IF(H470&gt;I470,D470,0)</f>
        <v>8.84</v>
      </c>
      <c r="H470" s="1">
        <f ca="1">INDEX(INDIRECT(""&amp;C470&amp;"!A2:A489"),MATCH(B470,INDIRECT(""&amp;C470&amp;"!B2:B489"),0))</f>
        <v>170</v>
      </c>
      <c r="I470" s="1">
        <f>IF(C470="RB",LeagueInfo!$D$4*LeagueInfo!$F$2,IF(C470="WR",LeagueInfo!$D$5*LeagueInfo!$F$2,IF(C470="TE",LeagueInfo!$D$6*LeagueInfo!$F$2,LeagueInfo!$D$3*LeagueInfo!$F$2)))</f>
        <v>24</v>
      </c>
    </row>
    <row r="471" spans="1:9" x14ac:dyDescent="0.25">
      <c r="A471" s="1">
        <f ca="1">RANK(E471,E$2:E$619)</f>
        <v>434</v>
      </c>
      <c r="B471" s="1" t="s">
        <v>415</v>
      </c>
      <c r="C471" s="1" t="s">
        <v>33</v>
      </c>
      <c r="D471" s="1">
        <f ca="1">INDEX(INDIRECT($C471&amp;"!O:O"),MATCH($B471,INDIRECT($C471&amp;"!B:B"),0))</f>
        <v>9.0179999999999989</v>
      </c>
      <c r="E471" s="254">
        <f ca="1">D471-LARGE(D$2:D$619,RBCount+WRCount+TECount+QBCount)</f>
        <v>-74.852000000000004</v>
      </c>
      <c r="F471" s="1" t="str">
        <f ca="1">IF(H471&lt;=I471,"Starter",IF(G471&gt;=LARGE(G:G,FlexOn*LeagueInfo!$F$2),"Starter","Bench"))</f>
        <v>Bench</v>
      </c>
      <c r="G471" s="1">
        <f ca="1">IF(H471&gt;I471,D471,0)</f>
        <v>9.0179999999999989</v>
      </c>
      <c r="H471" s="1">
        <f ca="1">INDEX(INDIRECT(""&amp;C471&amp;"!A2:A489"),MATCH(B471,INDIRECT(""&amp;C471&amp;"!B2:B489"),0))</f>
        <v>56</v>
      </c>
      <c r="I471" s="1">
        <f>IF(C471="RB",LeagueInfo!$D$4*LeagueInfo!$F$2,IF(C471="WR",LeagueInfo!$D$5*LeagueInfo!$F$2,IF(C471="TE",LeagueInfo!$D$6*LeagueInfo!$F$2,LeagueInfo!$D$3*LeagueInfo!$F$2)))</f>
        <v>12</v>
      </c>
    </row>
    <row r="472" spans="1:9" x14ac:dyDescent="0.25">
      <c r="A472" s="1">
        <f ca="1">RANK(E472,E$2:E$619)</f>
        <v>486</v>
      </c>
      <c r="B472" s="1" t="s">
        <v>929</v>
      </c>
      <c r="C472" s="1" t="s">
        <v>47</v>
      </c>
      <c r="D472" s="1">
        <f ca="1">INDEX(INDIRECT($C472&amp;"!O:O"),MATCH($B472,INDIRECT($C472&amp;"!B:B"),0))</f>
        <v>7.5400000000000009</v>
      </c>
      <c r="E472" s="254">
        <f ca="1">D472-LARGE(D$2:D$619,RBCount+WRCount+TECount+QBCount)</f>
        <v>-76.33</v>
      </c>
      <c r="F472" s="1" t="str">
        <f ca="1">IF(H472&lt;=I472,"Starter",IF(G472&gt;=LARGE(G:G,FlexOn*LeagueInfo!$F$2),"Starter","Bench"))</f>
        <v>Bench</v>
      </c>
      <c r="G472" s="1">
        <f ca="1">IF(H472&gt;I472,D472,0)</f>
        <v>7.5400000000000009</v>
      </c>
      <c r="H472" s="1">
        <f ca="1">INDEX(INDIRECT(""&amp;C472&amp;"!A2:A489"),MATCH(B472,INDIRECT(""&amp;C472&amp;"!B2:B489"),0))</f>
        <v>96</v>
      </c>
      <c r="I472" s="1">
        <f>IF(C472="RB",LeagueInfo!$D$4*LeagueInfo!$F$2,IF(C472="WR",LeagueInfo!$D$5*LeagueInfo!$F$2,IF(C472="TE",LeagueInfo!$D$6*LeagueInfo!$F$2,LeagueInfo!$D$3*LeagueInfo!$F$2)))</f>
        <v>12</v>
      </c>
    </row>
    <row r="473" spans="1:9" x14ac:dyDescent="0.25">
      <c r="A473" s="1">
        <f ca="1">RANK(E473,E$2:E$619)</f>
        <v>496</v>
      </c>
      <c r="B473" s="1" t="s">
        <v>644</v>
      </c>
      <c r="C473" s="1" t="s">
        <v>39</v>
      </c>
      <c r="D473" s="1">
        <f ca="1">INDEX(INDIRECT($C473&amp;"!O:O"),MATCH($B473,INDIRECT($C473&amp;"!B:B"),0))</f>
        <v>7.37</v>
      </c>
      <c r="E473" s="254">
        <f ca="1">D473-LARGE(D$2:D$619,RBCount+WRCount+TECount+QBCount)</f>
        <v>-76.5</v>
      </c>
      <c r="F473" s="1" t="str">
        <f ca="1">IF(H473&lt;=I473,"Starter",IF(G473&gt;=LARGE(G:G,FlexOn*LeagueInfo!$F$2),"Starter","Bench"))</f>
        <v>Bench</v>
      </c>
      <c r="G473" s="1">
        <f ca="1">IF(H473&gt;I473,D473,0)</f>
        <v>7.37</v>
      </c>
      <c r="H473" s="1">
        <f ca="1">INDEX(INDIRECT(""&amp;C473&amp;"!A2:A489"),MATCH(B473,INDIRECT(""&amp;C473&amp;"!B2:B489"),0))</f>
        <v>200</v>
      </c>
      <c r="I473" s="1">
        <f>IF(C473="RB",LeagueInfo!$D$4*LeagueInfo!$F$2,IF(C473="WR",LeagueInfo!$D$5*LeagueInfo!$F$2,IF(C473="TE",LeagueInfo!$D$6*LeagueInfo!$F$2,LeagueInfo!$D$3*LeagueInfo!$F$2)))</f>
        <v>24</v>
      </c>
    </row>
    <row r="474" spans="1:9" x14ac:dyDescent="0.25">
      <c r="A474" s="1">
        <f ca="1">RANK(E474,E$2:E$619)</f>
        <v>489</v>
      </c>
      <c r="B474" s="1" t="s">
        <v>786</v>
      </c>
      <c r="C474" s="1" t="s">
        <v>47</v>
      </c>
      <c r="D474" s="1">
        <f ca="1">INDEX(INDIRECT($C474&amp;"!O:O"),MATCH($B474,INDIRECT($C474&amp;"!B:B"),0))</f>
        <v>7.4900000000000011</v>
      </c>
      <c r="E474" s="254">
        <f ca="1">D474-LARGE(D$2:D$619,RBCount+WRCount+TECount+QBCount)</f>
        <v>-76.38000000000001</v>
      </c>
      <c r="F474" s="1" t="str">
        <f ca="1">IF(H474&lt;=I474,"Starter",IF(G474&gt;=LARGE(G:G,FlexOn*LeagueInfo!$F$2),"Starter","Bench"))</f>
        <v>Bench</v>
      </c>
      <c r="G474" s="1">
        <f ca="1">IF(H474&gt;I474,D474,0)</f>
        <v>7.4900000000000011</v>
      </c>
      <c r="H474" s="1">
        <f ca="1">INDEX(INDIRECT(""&amp;C474&amp;"!A2:A489"),MATCH(B474,INDIRECT(""&amp;C474&amp;"!B2:B489"),0))</f>
        <v>97</v>
      </c>
      <c r="I474" s="1">
        <f>IF(C474="RB",LeagueInfo!$D$4*LeagueInfo!$F$2,IF(C474="WR",LeagueInfo!$D$5*LeagueInfo!$F$2,IF(C474="TE",LeagueInfo!$D$6*LeagueInfo!$F$2,LeagueInfo!$D$3*LeagueInfo!$F$2)))</f>
        <v>12</v>
      </c>
    </row>
    <row r="475" spans="1:9" x14ac:dyDescent="0.25">
      <c r="A475" s="1">
        <f ca="1">RANK(E475,E$2:E$619)</f>
        <v>485</v>
      </c>
      <c r="B475" s="1" t="s">
        <v>638</v>
      </c>
      <c r="C475" s="1" t="s">
        <v>39</v>
      </c>
      <c r="D475" s="1">
        <f ca="1">INDEX(INDIRECT($C475&amp;"!O:O"),MATCH($B475,INDIRECT($C475&amp;"!B:B"),0))</f>
        <v>7.61</v>
      </c>
      <c r="E475" s="254">
        <f ca="1">D475-LARGE(D$2:D$619,RBCount+WRCount+TECount+QBCount)</f>
        <v>-76.260000000000005</v>
      </c>
      <c r="F475" s="1" t="str">
        <f ca="1">IF(H475&lt;=I475,"Starter",IF(G475&gt;=LARGE(G:G,FlexOn*LeagueInfo!$F$2),"Starter","Bench"))</f>
        <v>Bench</v>
      </c>
      <c r="G475" s="1">
        <f ca="1">IF(H475&gt;I475,D475,0)</f>
        <v>7.61</v>
      </c>
      <c r="H475" s="1">
        <f ca="1">INDEX(INDIRECT(""&amp;C475&amp;"!A2:A489"),MATCH(B475,INDIRECT(""&amp;C475&amp;"!B2:B489"),0))</f>
        <v>196</v>
      </c>
      <c r="I475" s="1">
        <f>IF(C475="RB",LeagueInfo!$D$4*LeagueInfo!$F$2,IF(C475="WR",LeagueInfo!$D$5*LeagueInfo!$F$2,IF(C475="TE",LeagueInfo!$D$6*LeagueInfo!$F$2,LeagueInfo!$D$3*LeagueInfo!$F$2)))</f>
        <v>24</v>
      </c>
    </row>
    <row r="476" spans="1:9" x14ac:dyDescent="0.25">
      <c r="A476" s="1">
        <f ca="1">RANK(E476,E$2:E$619)</f>
        <v>504</v>
      </c>
      <c r="B476" s="1" t="s">
        <v>693</v>
      </c>
      <c r="C476" s="1" t="s">
        <v>39</v>
      </c>
      <c r="D476" s="1">
        <f ca="1">INDEX(INDIRECT($C476&amp;"!O:O"),MATCH($B476,INDIRECT($C476&amp;"!B:B"),0))</f>
        <v>7.0700000000000012</v>
      </c>
      <c r="E476" s="254">
        <f ca="1">D476-LARGE(D$2:D$619,RBCount+WRCount+TECount+QBCount)</f>
        <v>-76.8</v>
      </c>
      <c r="F476" s="1" t="str">
        <f ca="1">IF(H476&lt;=I476,"Starter",IF(G476&gt;=LARGE(G:G,FlexOn*LeagueInfo!$F$2),"Starter","Bench"))</f>
        <v>Bench</v>
      </c>
      <c r="G476" s="1">
        <f ca="1">IF(H476&gt;I476,D476,0)</f>
        <v>7.0700000000000012</v>
      </c>
      <c r="H476" s="1">
        <f ca="1">INDEX(INDIRECT(""&amp;C476&amp;"!A2:A489"),MATCH(B476,INDIRECT(""&amp;C476&amp;"!B2:B489"),0))</f>
        <v>202</v>
      </c>
      <c r="I476" s="1">
        <f>IF(C476="RB",LeagueInfo!$D$4*LeagueInfo!$F$2,IF(C476="WR",LeagueInfo!$D$5*LeagueInfo!$F$2,IF(C476="TE",LeagueInfo!$D$6*LeagueInfo!$F$2,LeagueInfo!$D$3*LeagueInfo!$F$2)))</f>
        <v>24</v>
      </c>
    </row>
    <row r="477" spans="1:9" x14ac:dyDescent="0.25">
      <c r="A477" s="1">
        <f ca="1">RANK(E477,E$2:E$619)</f>
        <v>503</v>
      </c>
      <c r="B477" s="1" t="s">
        <v>512</v>
      </c>
      <c r="C477" s="1" t="s">
        <v>32</v>
      </c>
      <c r="D477" s="1">
        <f ca="1">INDEX(INDIRECT($C477&amp;"!O:O"),MATCH($B477,INDIRECT($C477&amp;"!B:B"),0))</f>
        <v>7.1</v>
      </c>
      <c r="E477" s="254">
        <f ca="1">D477-LARGE(D$2:D$619,RBCount+WRCount+TECount+QBCount)</f>
        <v>-76.77000000000001</v>
      </c>
      <c r="F477" s="1" t="str">
        <f ca="1">IF(H477&lt;=I477,"Starter",IF(G477&gt;=LARGE(G:G,FlexOn*LeagueInfo!$F$2),"Starter","Bench"))</f>
        <v>Bench</v>
      </c>
      <c r="G477" s="1">
        <f ca="1">IF(H477&gt;I477,D477,0)</f>
        <v>7.1</v>
      </c>
      <c r="H477" s="1">
        <f ca="1">INDEX(INDIRECT(""&amp;C477&amp;"!A2:A489"),MATCH(B477,INDIRECT(""&amp;C477&amp;"!B2:B489"),0))</f>
        <v>137</v>
      </c>
      <c r="I477" s="1">
        <f>IF(C477="RB",LeagueInfo!$D$4*LeagueInfo!$F$2,IF(C477="WR",LeagueInfo!$D$5*LeagueInfo!$F$2,IF(C477="TE",LeagueInfo!$D$6*LeagueInfo!$F$2,LeagueInfo!$D$3*LeagueInfo!$F$2)))</f>
        <v>24</v>
      </c>
    </row>
    <row r="478" spans="1:9" x14ac:dyDescent="0.25">
      <c r="A478" s="1">
        <f ca="1">RANK(E478,E$2:E$619)</f>
        <v>477</v>
      </c>
      <c r="B478" s="1" t="s">
        <v>684</v>
      </c>
      <c r="C478" s="1" t="s">
        <v>39</v>
      </c>
      <c r="D478" s="1">
        <f ca="1">INDEX(INDIRECT($C478&amp;"!O:O"),MATCH($B478,INDIRECT($C478&amp;"!B:B"),0))</f>
        <v>7.7</v>
      </c>
      <c r="E478" s="254">
        <f ca="1">D478-LARGE(D$2:D$619,RBCount+WRCount+TECount+QBCount)</f>
        <v>-76.17</v>
      </c>
      <c r="F478" s="1" t="str">
        <f ca="1">IF(H478&lt;=I478,"Starter",IF(G478&gt;=LARGE(G:G,FlexOn*LeagueInfo!$F$2),"Starter","Bench"))</f>
        <v>Bench</v>
      </c>
      <c r="G478" s="1">
        <f ca="1">IF(H478&gt;I478,D478,0)</f>
        <v>7.7</v>
      </c>
      <c r="H478" s="1">
        <f ca="1">INDEX(INDIRECT(""&amp;C478&amp;"!A2:A489"),MATCH(B478,INDIRECT(""&amp;C478&amp;"!B2:B489"),0))</f>
        <v>193</v>
      </c>
      <c r="I478" s="1">
        <f>IF(C478="RB",LeagueInfo!$D$4*LeagueInfo!$F$2,IF(C478="WR",LeagueInfo!$D$5*LeagueInfo!$F$2,IF(C478="TE",LeagueInfo!$D$6*LeagueInfo!$F$2,LeagueInfo!$D$3*LeagueInfo!$F$2)))</f>
        <v>24</v>
      </c>
    </row>
    <row r="479" spans="1:9" x14ac:dyDescent="0.25">
      <c r="A479" s="1">
        <f ca="1">RANK(E479,E$2:E$619)</f>
        <v>492</v>
      </c>
      <c r="B479" s="1" t="s">
        <v>691</v>
      </c>
      <c r="C479" s="1" t="s">
        <v>39</v>
      </c>
      <c r="D479" s="1">
        <f ca="1">INDEX(INDIRECT($C479&amp;"!O:O"),MATCH($B479,INDIRECT($C479&amp;"!B:B"),0))</f>
        <v>7.4</v>
      </c>
      <c r="E479" s="254">
        <f ca="1">D479-LARGE(D$2:D$619,RBCount+WRCount+TECount+QBCount)</f>
        <v>-76.47</v>
      </c>
      <c r="F479" s="1" t="str">
        <f ca="1">IF(H479&lt;=I479,"Starter",IF(G479&gt;=LARGE(G:G,FlexOn*LeagueInfo!$F$2),"Starter","Bench"))</f>
        <v>Bench</v>
      </c>
      <c r="G479" s="1">
        <f ca="1">IF(H479&gt;I479,D479,0)</f>
        <v>7.4</v>
      </c>
      <c r="H479" s="1">
        <f ca="1">INDEX(INDIRECT(""&amp;C479&amp;"!A2:A489"),MATCH(B479,INDIRECT(""&amp;C479&amp;"!B2:B489"),0))</f>
        <v>198</v>
      </c>
      <c r="I479" s="1">
        <f>IF(C479="RB",LeagueInfo!$D$4*LeagueInfo!$F$2,IF(C479="WR",LeagueInfo!$D$5*LeagueInfo!$F$2,IF(C479="TE",LeagueInfo!$D$6*LeagueInfo!$F$2,LeagueInfo!$D$3*LeagueInfo!$F$2)))</f>
        <v>24</v>
      </c>
    </row>
    <row r="480" spans="1:9" x14ac:dyDescent="0.25">
      <c r="A480" s="1">
        <f ca="1">RANK(E480,E$2:E$619)</f>
        <v>492</v>
      </c>
      <c r="B480" s="1" t="s">
        <v>692</v>
      </c>
      <c r="C480" s="1" t="s">
        <v>39</v>
      </c>
      <c r="D480" s="1">
        <f ca="1">INDEX(INDIRECT($C480&amp;"!O:O"),MATCH($B480,INDIRECT($C480&amp;"!B:B"),0))</f>
        <v>7.4</v>
      </c>
      <c r="E480" s="254">
        <f ca="1">D480-LARGE(D$2:D$619,RBCount+WRCount+TECount+QBCount)</f>
        <v>-76.47</v>
      </c>
      <c r="F480" s="1" t="str">
        <f ca="1">IF(H480&lt;=I480,"Starter",IF(G480&gt;=LARGE(G:G,FlexOn*LeagueInfo!$F$2),"Starter","Bench"))</f>
        <v>Bench</v>
      </c>
      <c r="G480" s="1">
        <f ca="1">IF(H480&gt;I480,D480,0)</f>
        <v>7.4</v>
      </c>
      <c r="H480" s="1">
        <f ca="1">INDEX(INDIRECT(""&amp;C480&amp;"!A2:A489"),MATCH(B480,INDIRECT(""&amp;C480&amp;"!B2:B489"),0))</f>
        <v>198</v>
      </c>
      <c r="I480" s="1">
        <f>IF(C480="RB",LeagueInfo!$D$4*LeagueInfo!$F$2,IF(C480="WR",LeagueInfo!$D$5*LeagueInfo!$F$2,IF(C480="TE",LeagueInfo!$D$6*LeagueInfo!$F$2,LeagueInfo!$D$3*LeagueInfo!$F$2)))</f>
        <v>24</v>
      </c>
    </row>
    <row r="481" spans="1:9" x14ac:dyDescent="0.25">
      <c r="A481" s="1">
        <f ca="1">RANK(E481,E$2:E$619)</f>
        <v>492</v>
      </c>
      <c r="B481" s="1" t="s">
        <v>788</v>
      </c>
      <c r="C481" s="1" t="s">
        <v>47</v>
      </c>
      <c r="D481" s="1">
        <f ca="1">INDEX(INDIRECT($C481&amp;"!O:O"),MATCH($B481,INDIRECT($C481&amp;"!B:B"),0))</f>
        <v>7.4</v>
      </c>
      <c r="E481" s="254">
        <f ca="1">D481-LARGE(D$2:D$619,RBCount+WRCount+TECount+QBCount)</f>
        <v>-76.47</v>
      </c>
      <c r="F481" s="1" t="str">
        <f ca="1">IF(H481&lt;=I481,"Starter",IF(G481&gt;=LARGE(G:G,FlexOn*LeagueInfo!$F$2),"Starter","Bench"))</f>
        <v>Bench</v>
      </c>
      <c r="G481" s="1">
        <f ca="1">IF(H481&gt;I481,D481,0)</f>
        <v>7.4</v>
      </c>
      <c r="H481" s="1">
        <f ca="1">INDEX(INDIRECT(""&amp;C481&amp;"!A2:A489"),MATCH(B481,INDIRECT(""&amp;C481&amp;"!B2:B489"),0))</f>
        <v>99</v>
      </c>
      <c r="I481" s="1">
        <f>IF(C481="RB",LeagueInfo!$D$4*LeagueInfo!$F$2,IF(C481="WR",LeagueInfo!$D$5*LeagueInfo!$F$2,IF(C481="TE",LeagueInfo!$D$6*LeagueInfo!$F$2,LeagueInfo!$D$3*LeagueInfo!$F$2)))</f>
        <v>12</v>
      </c>
    </row>
    <row r="482" spans="1:9" x14ac:dyDescent="0.25">
      <c r="A482" s="1">
        <f ca="1">RANK(E482,E$2:E$619)</f>
        <v>432</v>
      </c>
      <c r="B482" s="1" t="s">
        <v>409</v>
      </c>
      <c r="C482" s="1" t="s">
        <v>33</v>
      </c>
      <c r="D482" s="1">
        <f ca="1">INDEX(INDIRECT($C482&amp;"!O:O"),MATCH($B482,INDIRECT($C482&amp;"!B:B"),0))</f>
        <v>9.1180000000000003</v>
      </c>
      <c r="E482" s="254">
        <f ca="1">D482-LARGE(D$2:D$619,RBCount+WRCount+TECount+QBCount)</f>
        <v>-74.75200000000001</v>
      </c>
      <c r="F482" s="1" t="str">
        <f ca="1">IF(H482&lt;=I482,"Starter",IF(G482&gt;=LARGE(G:G,FlexOn*LeagueInfo!$F$2),"Starter","Bench"))</f>
        <v>Bench</v>
      </c>
      <c r="G482" s="1">
        <f ca="1">IF(H482&gt;I482,D482,0)</f>
        <v>9.1180000000000003</v>
      </c>
      <c r="H482" s="1">
        <f ca="1">INDEX(INDIRECT(""&amp;C482&amp;"!A2:A489"),MATCH(B482,INDIRECT(""&amp;C482&amp;"!B2:B489"),0))</f>
        <v>55</v>
      </c>
      <c r="I482" s="1">
        <f>IF(C482="RB",LeagueInfo!$D$4*LeagueInfo!$F$2,IF(C482="WR",LeagueInfo!$D$5*LeagueInfo!$F$2,IF(C482="TE",LeagueInfo!$D$6*LeagueInfo!$F$2,LeagueInfo!$D$3*LeagueInfo!$F$2)))</f>
        <v>12</v>
      </c>
    </row>
    <row r="483" spans="1:9" x14ac:dyDescent="0.25">
      <c r="A483" s="1">
        <f ca="1">RANK(E483,E$2:E$619)</f>
        <v>475</v>
      </c>
      <c r="B483" s="1" t="s">
        <v>774</v>
      </c>
      <c r="C483" s="1" t="s">
        <v>47</v>
      </c>
      <c r="D483" s="1">
        <f ca="1">INDEX(INDIRECT($C483&amp;"!O:O"),MATCH($B483,INDIRECT($C483&amp;"!B:B"),0))</f>
        <v>7.7100000000000009</v>
      </c>
      <c r="E483" s="254">
        <f ca="1">D483-LARGE(D$2:D$619,RBCount+WRCount+TECount+QBCount)</f>
        <v>-76.16</v>
      </c>
      <c r="F483" s="1" t="str">
        <f ca="1">IF(H483&lt;=I483,"Starter",IF(G483&gt;=LARGE(G:G,FlexOn*LeagueInfo!$F$2),"Starter","Bench"))</f>
        <v>Bench</v>
      </c>
      <c r="G483" s="1">
        <f ca="1">IF(H483&gt;I483,D483,0)</f>
        <v>7.7100000000000009</v>
      </c>
      <c r="H483" s="1">
        <f ca="1">INDEX(INDIRECT(""&amp;C483&amp;"!A2:A489"),MATCH(B483,INDIRECT(""&amp;C483&amp;"!B2:B489"),0))</f>
        <v>93</v>
      </c>
      <c r="I483" s="1">
        <f>IF(C483="RB",LeagueInfo!$D$4*LeagueInfo!$F$2,IF(C483="WR",LeagueInfo!$D$5*LeagueInfo!$F$2,IF(C483="TE",LeagueInfo!$D$6*LeagueInfo!$F$2,LeagueInfo!$D$3*LeagueInfo!$F$2)))</f>
        <v>12</v>
      </c>
    </row>
    <row r="484" spans="1:9" x14ac:dyDescent="0.25">
      <c r="A484" s="1">
        <f ca="1">RANK(E484,E$2:E$619)</f>
        <v>475</v>
      </c>
      <c r="B484" s="1" t="s">
        <v>685</v>
      </c>
      <c r="C484" s="1" t="s">
        <v>39</v>
      </c>
      <c r="D484" s="1">
        <f ca="1">INDEX(INDIRECT($C484&amp;"!O:O"),MATCH($B484,INDIRECT($C484&amp;"!B:B"),0))</f>
        <v>7.7100000000000009</v>
      </c>
      <c r="E484" s="254">
        <f ca="1">D484-LARGE(D$2:D$619,RBCount+WRCount+TECount+QBCount)</f>
        <v>-76.16</v>
      </c>
      <c r="F484" s="1" t="str">
        <f ca="1">IF(H484&lt;=I484,"Starter",IF(G484&gt;=LARGE(G:G,FlexOn*LeagueInfo!$F$2),"Starter","Bench"))</f>
        <v>Bench</v>
      </c>
      <c r="G484" s="1">
        <f ca="1">IF(H484&gt;I484,D484,0)</f>
        <v>7.7100000000000009</v>
      </c>
      <c r="H484" s="1">
        <f ca="1">INDEX(INDIRECT(""&amp;C484&amp;"!A2:A489"),MATCH(B484,INDIRECT(""&amp;C484&amp;"!B2:B489"),0))</f>
        <v>192</v>
      </c>
      <c r="I484" s="1">
        <f>IF(C484="RB",LeagueInfo!$D$4*LeagueInfo!$F$2,IF(C484="WR",LeagueInfo!$D$5*LeagueInfo!$F$2,IF(C484="TE",LeagueInfo!$D$6*LeagueInfo!$F$2,LeagueInfo!$D$3*LeagueInfo!$F$2)))</f>
        <v>24</v>
      </c>
    </row>
    <row r="485" spans="1:9" x14ac:dyDescent="0.25">
      <c r="A485" s="1">
        <f ca="1">RANK(E485,E$2:E$619)</f>
        <v>488</v>
      </c>
      <c r="B485" s="1" t="s">
        <v>661</v>
      </c>
      <c r="C485" s="1" t="s">
        <v>39</v>
      </c>
      <c r="D485" s="1">
        <f ca="1">INDEX(INDIRECT($C485&amp;"!O:O"),MATCH($B485,INDIRECT($C485&amp;"!B:B"),0))</f>
        <v>7.5000000000000009</v>
      </c>
      <c r="E485" s="254">
        <f ca="1">D485-LARGE(D$2:D$619,RBCount+WRCount+TECount+QBCount)</f>
        <v>-76.37</v>
      </c>
      <c r="F485" s="1" t="str">
        <f ca="1">IF(H485&lt;=I485,"Starter",IF(G485&gt;=LARGE(G:G,FlexOn*LeagueInfo!$F$2),"Starter","Bench"))</f>
        <v>Bench</v>
      </c>
      <c r="G485" s="1">
        <f ca="1">IF(H485&gt;I485,D485,0)</f>
        <v>7.5000000000000009</v>
      </c>
      <c r="H485" s="1">
        <f ca="1">INDEX(INDIRECT(""&amp;C485&amp;"!A2:A489"),MATCH(B485,INDIRECT(""&amp;C485&amp;"!B2:B489"),0))</f>
        <v>197</v>
      </c>
      <c r="I485" s="1">
        <f>IF(C485="RB",LeagueInfo!$D$4*LeagueInfo!$F$2,IF(C485="WR",LeagueInfo!$D$5*LeagueInfo!$F$2,IF(C485="TE",LeagueInfo!$D$6*LeagueInfo!$F$2,LeagueInfo!$D$3*LeagueInfo!$F$2)))</f>
        <v>24</v>
      </c>
    </row>
    <row r="486" spans="1:9" x14ac:dyDescent="0.25">
      <c r="A486" s="1">
        <f ca="1">RANK(E486,E$2:E$619)</f>
        <v>477</v>
      </c>
      <c r="B486" s="1" t="s">
        <v>681</v>
      </c>
      <c r="C486" s="1" t="s">
        <v>39</v>
      </c>
      <c r="D486" s="1">
        <f ca="1">INDEX(INDIRECT($C486&amp;"!O:O"),MATCH($B486,INDIRECT($C486&amp;"!B:B"),0))</f>
        <v>7.7</v>
      </c>
      <c r="E486" s="254">
        <f ca="1">D486-LARGE(D$2:D$619,RBCount+WRCount+TECount+QBCount)</f>
        <v>-76.17</v>
      </c>
      <c r="F486" s="1" t="str">
        <f ca="1">IF(H486&lt;=I486,"Starter",IF(G486&gt;=LARGE(G:G,FlexOn*LeagueInfo!$F$2),"Starter","Bench"))</f>
        <v>Bench</v>
      </c>
      <c r="G486" s="1">
        <f ca="1">IF(H486&gt;I486,D486,0)</f>
        <v>7.7</v>
      </c>
      <c r="H486" s="1">
        <f ca="1">INDEX(INDIRECT(""&amp;C486&amp;"!A2:A489"),MATCH(B486,INDIRECT(""&amp;C486&amp;"!B2:B489"),0))</f>
        <v>193</v>
      </c>
      <c r="I486" s="1">
        <f>IF(C486="RB",LeagueInfo!$D$4*LeagueInfo!$F$2,IF(C486="WR",LeagueInfo!$D$5*LeagueInfo!$F$2,IF(C486="TE",LeagueInfo!$D$6*LeagueInfo!$F$2,LeagueInfo!$D$3*LeagueInfo!$F$2)))</f>
        <v>24</v>
      </c>
    </row>
    <row r="487" spans="1:9" x14ac:dyDescent="0.25">
      <c r="A487" s="1">
        <f ca="1">RANK(E487,E$2:E$619)</f>
        <v>499</v>
      </c>
      <c r="B487" s="1" t="s">
        <v>696</v>
      </c>
      <c r="C487" s="1" t="s">
        <v>39</v>
      </c>
      <c r="D487" s="1">
        <f ca="1">INDEX(INDIRECT($C487&amp;"!O:O"),MATCH($B487,INDIRECT($C487&amp;"!B:B"),0))</f>
        <v>7.2</v>
      </c>
      <c r="E487" s="254">
        <f ca="1">D487-LARGE(D$2:D$619,RBCount+WRCount+TECount+QBCount)</f>
        <v>-76.67</v>
      </c>
      <c r="F487" s="1" t="str">
        <f ca="1">IF(H487&lt;=I487,"Starter",IF(G487&gt;=LARGE(G:G,FlexOn*LeagueInfo!$F$2),"Starter","Bench"))</f>
        <v>Bench</v>
      </c>
      <c r="G487" s="1">
        <f ca="1">IF(H487&gt;I487,D487,0)</f>
        <v>7.2</v>
      </c>
      <c r="H487" s="1">
        <f ca="1">INDEX(INDIRECT(""&amp;C487&amp;"!A2:A489"),MATCH(B487,INDIRECT(""&amp;C487&amp;"!B2:B489"),0))</f>
        <v>201</v>
      </c>
      <c r="I487" s="1">
        <f>IF(C487="RB",LeagueInfo!$D$4*LeagueInfo!$F$2,IF(C487="WR",LeagueInfo!$D$5*LeagueInfo!$F$2,IF(C487="TE",LeagueInfo!$D$6*LeagueInfo!$F$2,LeagueInfo!$D$3*LeagueInfo!$F$2)))</f>
        <v>24</v>
      </c>
    </row>
    <row r="488" spans="1:9" x14ac:dyDescent="0.25">
      <c r="A488" s="1">
        <f ca="1">RANK(E488,E$2:E$619)</f>
        <v>506</v>
      </c>
      <c r="B488" s="1" t="s">
        <v>698</v>
      </c>
      <c r="C488" s="1" t="s">
        <v>39</v>
      </c>
      <c r="D488" s="1">
        <f ca="1">INDEX(INDIRECT($C488&amp;"!O:O"),MATCH($B488,INDIRECT($C488&amp;"!B:B"),0))</f>
        <v>7.03</v>
      </c>
      <c r="E488" s="254">
        <f ca="1">D488-LARGE(D$2:D$619,RBCount+WRCount+TECount+QBCount)</f>
        <v>-76.84</v>
      </c>
      <c r="F488" s="1" t="str">
        <f ca="1">IF(H488&lt;=I488,"Starter",IF(G488&gt;=LARGE(G:G,FlexOn*LeagueInfo!$F$2),"Starter","Bench"))</f>
        <v>Bench</v>
      </c>
      <c r="G488" s="1">
        <f ca="1">IF(H488&gt;I488,D488,0)</f>
        <v>7.03</v>
      </c>
      <c r="H488" s="1">
        <f ca="1">INDEX(INDIRECT(""&amp;C488&amp;"!A2:A489"),MATCH(B488,INDIRECT(""&amp;C488&amp;"!B2:B489"),0))</f>
        <v>204</v>
      </c>
      <c r="I488" s="1">
        <f>IF(C488="RB",LeagueInfo!$D$4*LeagueInfo!$F$2,IF(C488="WR",LeagueInfo!$D$5*LeagueInfo!$F$2,IF(C488="TE",LeagueInfo!$D$6*LeagueInfo!$F$2,LeagueInfo!$D$3*LeagueInfo!$F$2)))</f>
        <v>24</v>
      </c>
    </row>
    <row r="489" spans="1:9" x14ac:dyDescent="0.25">
      <c r="A489" s="1">
        <f ca="1">RANK(E489,E$2:E$619)</f>
        <v>451</v>
      </c>
      <c r="B489" s="1" t="s">
        <v>411</v>
      </c>
      <c r="C489" s="1" t="s">
        <v>33</v>
      </c>
      <c r="D489" s="1">
        <f ca="1">INDEX(INDIRECT($C489&amp;"!O:O"),MATCH($B489,INDIRECT($C489&amp;"!B:B"),0))</f>
        <v>8.4039999999999999</v>
      </c>
      <c r="E489" s="254">
        <f ca="1">D489-LARGE(D$2:D$619,RBCount+WRCount+TECount+QBCount)</f>
        <v>-75.466000000000008</v>
      </c>
      <c r="F489" s="1" t="str">
        <f ca="1">IF(H489&lt;=I489,"Starter",IF(G489&gt;=LARGE(G:G,FlexOn*LeagueInfo!$F$2),"Starter","Bench"))</f>
        <v>Bench</v>
      </c>
      <c r="G489" s="1">
        <f ca="1">IF(H489&gt;I489,D489,0)</f>
        <v>8.4039999999999999</v>
      </c>
      <c r="H489" s="1">
        <f ca="1">INDEX(INDIRECT(""&amp;C489&amp;"!A2:A489"),MATCH(B489,INDIRECT(""&amp;C489&amp;"!B2:B489"),0))</f>
        <v>57</v>
      </c>
      <c r="I489" s="1">
        <f>IF(C489="RB",LeagueInfo!$D$4*LeagueInfo!$F$2,IF(C489="WR",LeagueInfo!$D$5*LeagueInfo!$F$2,IF(C489="TE",LeagueInfo!$D$6*LeagueInfo!$F$2,LeagueInfo!$D$3*LeagueInfo!$F$2)))</f>
        <v>12</v>
      </c>
    </row>
    <row r="490" spans="1:9" x14ac:dyDescent="0.25">
      <c r="A490" s="1">
        <f ca="1">RANK(E490,E$2:E$619)</f>
        <v>500</v>
      </c>
      <c r="B490" s="1" t="s">
        <v>794</v>
      </c>
      <c r="C490" s="1" t="s">
        <v>47</v>
      </c>
      <c r="D490" s="1">
        <f ca="1">INDEX(INDIRECT($C490&amp;"!O:O"),MATCH($B490,INDIRECT($C490&amp;"!B:B"),0))</f>
        <v>7.19</v>
      </c>
      <c r="E490" s="254">
        <f ca="1">D490-LARGE(D$2:D$619,RBCount+WRCount+TECount+QBCount)</f>
        <v>-76.680000000000007</v>
      </c>
      <c r="F490" s="1" t="str">
        <f ca="1">IF(H490&lt;=I490,"Starter",IF(G490&gt;=LARGE(G:G,FlexOn*LeagueInfo!$F$2),"Starter","Bench"))</f>
        <v>Bench</v>
      </c>
      <c r="G490" s="1">
        <f ca="1">IF(H490&gt;I490,D490,0)</f>
        <v>7.19</v>
      </c>
      <c r="H490" s="1">
        <f ca="1">INDEX(INDIRECT(""&amp;C490&amp;"!A2:A489"),MATCH(B490,INDIRECT(""&amp;C490&amp;"!B2:B489"),0))</f>
        <v>101</v>
      </c>
      <c r="I490" s="1">
        <f>IF(C490="RB",LeagueInfo!$D$4*LeagueInfo!$F$2,IF(C490="WR",LeagueInfo!$D$5*LeagueInfo!$F$2,IF(C490="TE",LeagueInfo!$D$6*LeagueInfo!$F$2,LeagueInfo!$D$3*LeagueInfo!$F$2)))</f>
        <v>12</v>
      </c>
    </row>
    <row r="491" spans="1:9" x14ac:dyDescent="0.25">
      <c r="A491" s="1">
        <f ca="1">RANK(E491,E$2:E$619)</f>
        <v>483</v>
      </c>
      <c r="B491" s="1" t="s">
        <v>506</v>
      </c>
      <c r="C491" s="1" t="s">
        <v>32</v>
      </c>
      <c r="D491" s="1">
        <f ca="1">INDEX(INDIRECT($C491&amp;"!O:O"),MATCH($B491,INDIRECT($C491&amp;"!B:B"),0))</f>
        <v>7.6300000000000017</v>
      </c>
      <c r="E491" s="254">
        <f ca="1">D491-LARGE(D$2:D$619,RBCount+WRCount+TECount+QBCount)</f>
        <v>-76.240000000000009</v>
      </c>
      <c r="F491" s="1" t="str">
        <f ca="1">IF(H491&lt;=I491,"Starter",IF(G491&gt;=LARGE(G:G,FlexOn*LeagueInfo!$F$2),"Starter","Bench"))</f>
        <v>Bench</v>
      </c>
      <c r="G491" s="1">
        <f ca="1">IF(H491&gt;I491,D491,0)</f>
        <v>7.6300000000000017</v>
      </c>
      <c r="H491" s="1">
        <f ca="1">INDEX(INDIRECT(""&amp;C491&amp;"!A2:A489"),MATCH(B491,INDIRECT(""&amp;C491&amp;"!B2:B489"),0))</f>
        <v>132</v>
      </c>
      <c r="I491" s="1">
        <f>IF(C491="RB",LeagueInfo!$D$4*LeagueInfo!$F$2,IF(C491="WR",LeagueInfo!$D$5*LeagueInfo!$F$2,IF(C491="TE",LeagueInfo!$D$6*LeagueInfo!$F$2,LeagueInfo!$D$3*LeagueInfo!$F$2)))</f>
        <v>24</v>
      </c>
    </row>
    <row r="492" spans="1:9" x14ac:dyDescent="0.25">
      <c r="A492" s="1">
        <f ca="1">RANK(E492,E$2:E$619)</f>
        <v>455</v>
      </c>
      <c r="B492" s="1" t="s">
        <v>494</v>
      </c>
      <c r="C492" s="1" t="s">
        <v>32</v>
      </c>
      <c r="D492" s="1">
        <f ca="1">INDEX(INDIRECT($C492&amp;"!O:O"),MATCH($B492,INDIRECT($C492&amp;"!B:B"),0))</f>
        <v>8.2800000000000011</v>
      </c>
      <c r="E492" s="254">
        <f ca="1">D492-LARGE(D$2:D$619,RBCount+WRCount+TECount+QBCount)</f>
        <v>-75.59</v>
      </c>
      <c r="F492" s="1" t="str">
        <f ca="1">IF(H492&lt;=I492,"Starter",IF(G492&gt;=LARGE(G:G,FlexOn*LeagueInfo!$F$2),"Starter","Bench"))</f>
        <v>Bench</v>
      </c>
      <c r="G492" s="1">
        <f ca="1">IF(H492&gt;I492,D492,0)</f>
        <v>8.2800000000000011</v>
      </c>
      <c r="H492" s="1">
        <f ca="1">INDEX(INDIRECT(""&amp;C492&amp;"!A2:A489"),MATCH(B492,INDIRECT(""&amp;C492&amp;"!B2:B489"),0))</f>
        <v>128</v>
      </c>
      <c r="I492" s="1">
        <f>IF(C492="RB",LeagueInfo!$D$4*LeagueInfo!$F$2,IF(C492="WR",LeagueInfo!$D$5*LeagueInfo!$F$2,IF(C492="TE",LeagueInfo!$D$6*LeagueInfo!$F$2,LeagueInfo!$D$3*LeagueInfo!$F$2)))</f>
        <v>24</v>
      </c>
    </row>
    <row r="493" spans="1:9" x14ac:dyDescent="0.25">
      <c r="A493" s="1">
        <f ca="1">RANK(E493,E$2:E$619)</f>
        <v>509</v>
      </c>
      <c r="B493" s="1" t="s">
        <v>770</v>
      </c>
      <c r="C493" s="1" t="s">
        <v>47</v>
      </c>
      <c r="D493" s="1">
        <f ca="1">INDEX(INDIRECT($C493&amp;"!O:O"),MATCH($B493,INDIRECT($C493&amp;"!B:B"),0))</f>
        <v>7.0100000000000007</v>
      </c>
      <c r="E493" s="254">
        <f ca="1">D493-LARGE(D$2:D$619,RBCount+WRCount+TECount+QBCount)</f>
        <v>-76.86</v>
      </c>
      <c r="F493" s="1" t="str">
        <f ca="1">IF(H493&lt;=I493,"Starter",IF(G493&gt;=LARGE(G:G,FlexOn*LeagueInfo!$F$2),"Starter","Bench"))</f>
        <v>Bench</v>
      </c>
      <c r="G493" s="1">
        <f ca="1">IF(H493&gt;I493,D493,0)</f>
        <v>7.0100000000000007</v>
      </c>
      <c r="H493" s="1">
        <f ca="1">INDEX(INDIRECT(""&amp;C493&amp;"!A2:A489"),MATCH(B493,INDIRECT(""&amp;C493&amp;"!B2:B489"),0))</f>
        <v>102</v>
      </c>
      <c r="I493" s="1">
        <f>IF(C493="RB",LeagueInfo!$D$4*LeagueInfo!$F$2,IF(C493="WR",LeagueInfo!$D$5*LeagueInfo!$F$2,IF(C493="TE",LeagueInfo!$D$6*LeagueInfo!$F$2,LeagueInfo!$D$3*LeagueInfo!$F$2)))</f>
        <v>12</v>
      </c>
    </row>
    <row r="494" spans="1:9" x14ac:dyDescent="0.25">
      <c r="A494" s="1">
        <f ca="1">RANK(E494,E$2:E$619)</f>
        <v>511</v>
      </c>
      <c r="B494" s="1" t="s">
        <v>511</v>
      </c>
      <c r="C494" s="1" t="s">
        <v>32</v>
      </c>
      <c r="D494" s="1">
        <f ca="1">INDEX(INDIRECT($C494&amp;"!O:O"),MATCH($B494,INDIRECT($C494&amp;"!B:B"),0))</f>
        <v>6.9500000000000011</v>
      </c>
      <c r="E494" s="254">
        <f ca="1">D494-LARGE(D$2:D$619,RBCount+WRCount+TECount+QBCount)</f>
        <v>-76.92</v>
      </c>
      <c r="F494" s="1" t="str">
        <f ca="1">IF(H494&lt;=I494,"Starter",IF(G494&gt;=LARGE(G:G,FlexOn*LeagueInfo!$F$2),"Starter","Bench"))</f>
        <v>Bench</v>
      </c>
      <c r="G494" s="1">
        <f ca="1">IF(H494&gt;I494,D494,0)</f>
        <v>6.9500000000000011</v>
      </c>
      <c r="H494" s="1">
        <f ca="1">INDEX(INDIRECT(""&amp;C494&amp;"!A2:A489"),MATCH(B494,INDIRECT(""&amp;C494&amp;"!B2:B489"),0))</f>
        <v>139</v>
      </c>
      <c r="I494" s="1">
        <f>IF(C494="RB",LeagueInfo!$D$4*LeagueInfo!$F$2,IF(C494="WR",LeagueInfo!$D$5*LeagueInfo!$F$2,IF(C494="TE",LeagueInfo!$D$6*LeagueInfo!$F$2,LeagueInfo!$D$3*LeagueInfo!$F$2)))</f>
        <v>24</v>
      </c>
    </row>
    <row r="495" spans="1:9" x14ac:dyDescent="0.25">
      <c r="A495" s="1">
        <f ca="1">RANK(E495,E$2:E$619)</f>
        <v>505</v>
      </c>
      <c r="B495" s="1" t="s">
        <v>697</v>
      </c>
      <c r="C495" s="1" t="s">
        <v>39</v>
      </c>
      <c r="D495" s="1">
        <f ca="1">INDEX(INDIRECT($C495&amp;"!O:O"),MATCH($B495,INDIRECT($C495&amp;"!B:B"),0))</f>
        <v>7.05</v>
      </c>
      <c r="E495" s="254">
        <f ca="1">D495-LARGE(D$2:D$619,RBCount+WRCount+TECount+QBCount)</f>
        <v>-76.820000000000007</v>
      </c>
      <c r="F495" s="1" t="str">
        <f ca="1">IF(H495&lt;=I495,"Starter",IF(G495&gt;=LARGE(G:G,FlexOn*LeagueInfo!$F$2),"Starter","Bench"))</f>
        <v>Bench</v>
      </c>
      <c r="G495" s="1">
        <f ca="1">IF(H495&gt;I495,D495,0)</f>
        <v>7.05</v>
      </c>
      <c r="H495" s="1">
        <f ca="1">INDEX(INDIRECT(""&amp;C495&amp;"!A2:A489"),MATCH(B495,INDIRECT(""&amp;C495&amp;"!B2:B489"),0))</f>
        <v>203</v>
      </c>
      <c r="I495" s="1">
        <f>IF(C495="RB",LeagueInfo!$D$4*LeagueInfo!$F$2,IF(C495="WR",LeagueInfo!$D$5*LeagueInfo!$F$2,IF(C495="TE",LeagueInfo!$D$6*LeagueInfo!$F$2,LeagueInfo!$D$3*LeagueInfo!$F$2)))</f>
        <v>24</v>
      </c>
    </row>
    <row r="496" spans="1:9" x14ac:dyDescent="0.25">
      <c r="A496" s="1">
        <f ca="1">RANK(E496,E$2:E$619)</f>
        <v>524</v>
      </c>
      <c r="B496" s="1" t="s">
        <v>791</v>
      </c>
      <c r="C496" s="1" t="s">
        <v>47</v>
      </c>
      <c r="D496" s="1">
        <f ca="1">INDEX(INDIRECT($C496&amp;"!O:O"),MATCH($B496,INDIRECT($C496&amp;"!B:B"),0))</f>
        <v>6.5500000000000007</v>
      </c>
      <c r="E496" s="254">
        <f ca="1">D496-LARGE(D$2:D$619,RBCount+WRCount+TECount+QBCount)</f>
        <v>-77.320000000000007</v>
      </c>
      <c r="F496" s="1" t="str">
        <f ca="1">IF(H496&lt;=I496,"Starter",IF(G496&gt;=LARGE(G:G,FlexOn*LeagueInfo!$F$2),"Starter","Bench"))</f>
        <v>Bench</v>
      </c>
      <c r="G496" s="1">
        <f ca="1">IF(H496&gt;I496,D496,0)</f>
        <v>6.5500000000000007</v>
      </c>
      <c r="H496" s="1">
        <f ca="1">INDEX(INDIRECT(""&amp;C496&amp;"!A2:A489"),MATCH(B496,INDIRECT(""&amp;C496&amp;"!B2:B489"),0))</f>
        <v>107</v>
      </c>
      <c r="I496" s="1">
        <f>IF(C496="RB",LeagueInfo!$D$4*LeagueInfo!$F$2,IF(C496="WR",LeagueInfo!$D$5*LeagueInfo!$F$2,IF(C496="TE",LeagueInfo!$D$6*LeagueInfo!$F$2,LeagueInfo!$D$3*LeagueInfo!$F$2)))</f>
        <v>12</v>
      </c>
    </row>
    <row r="497" spans="1:9" x14ac:dyDescent="0.25">
      <c r="A497" s="1">
        <f ca="1">RANK(E497,E$2:E$619)</f>
        <v>510</v>
      </c>
      <c r="B497" s="1" t="s">
        <v>663</v>
      </c>
      <c r="C497" s="1" t="s">
        <v>39</v>
      </c>
      <c r="D497" s="1">
        <f ca="1">INDEX(INDIRECT($C497&amp;"!O:O"),MATCH($B497,INDIRECT($C497&amp;"!B:B"),0))</f>
        <v>6.9799999999999995</v>
      </c>
      <c r="E497" s="254">
        <f ca="1">D497-LARGE(D$2:D$619,RBCount+WRCount+TECount+QBCount)</f>
        <v>-76.89</v>
      </c>
      <c r="F497" s="1" t="str">
        <f ca="1">IF(H497&lt;=I497,"Starter",IF(G497&gt;=LARGE(G:G,FlexOn*LeagueInfo!$F$2),"Starter","Bench"))</f>
        <v>Bench</v>
      </c>
      <c r="G497" s="1">
        <f ca="1">IF(H497&gt;I497,D497,0)</f>
        <v>6.9799999999999995</v>
      </c>
      <c r="H497" s="1">
        <f ca="1">INDEX(INDIRECT(""&amp;C497&amp;"!A2:A489"),MATCH(B497,INDIRECT(""&amp;C497&amp;"!B2:B489"),0))</f>
        <v>206</v>
      </c>
      <c r="I497" s="1">
        <f>IF(C497="RB",LeagueInfo!$D$4*LeagueInfo!$F$2,IF(C497="WR",LeagueInfo!$D$5*LeagueInfo!$F$2,IF(C497="TE",LeagueInfo!$D$6*LeagueInfo!$F$2,LeagueInfo!$D$3*LeagueInfo!$F$2)))</f>
        <v>24</v>
      </c>
    </row>
    <row r="498" spans="1:9" x14ac:dyDescent="0.25">
      <c r="A498" s="1">
        <f ca="1">RANK(E498,E$2:E$619)</f>
        <v>498</v>
      </c>
      <c r="B498" s="1" t="s">
        <v>793</v>
      </c>
      <c r="C498" s="1" t="s">
        <v>47</v>
      </c>
      <c r="D498" s="1">
        <f ca="1">INDEX(INDIRECT($C498&amp;"!O:O"),MATCH($B498,INDIRECT($C498&amp;"!B:B"),0))</f>
        <v>7.32</v>
      </c>
      <c r="E498" s="254">
        <f ca="1">D498-LARGE(D$2:D$619,RBCount+WRCount+TECount+QBCount)</f>
        <v>-76.550000000000011</v>
      </c>
      <c r="F498" s="1" t="str">
        <f ca="1">IF(H498&lt;=I498,"Starter",IF(G498&gt;=LARGE(G:G,FlexOn*LeagueInfo!$F$2),"Starter","Bench"))</f>
        <v>Bench</v>
      </c>
      <c r="G498" s="1">
        <f ca="1">IF(H498&gt;I498,D498,0)</f>
        <v>7.32</v>
      </c>
      <c r="H498" s="1">
        <f ca="1">INDEX(INDIRECT(""&amp;C498&amp;"!A2:A489"),MATCH(B498,INDIRECT(""&amp;C498&amp;"!B2:B489"),0))</f>
        <v>100</v>
      </c>
      <c r="I498" s="1">
        <f>IF(C498="RB",LeagueInfo!$D$4*LeagueInfo!$F$2,IF(C498="WR",LeagueInfo!$D$5*LeagueInfo!$F$2,IF(C498="TE",LeagueInfo!$D$6*LeagueInfo!$F$2,LeagueInfo!$D$3*LeagueInfo!$F$2)))</f>
        <v>12</v>
      </c>
    </row>
    <row r="499" spans="1:9" x14ac:dyDescent="0.25">
      <c r="A499" s="1">
        <f ca="1">RANK(E499,E$2:E$619)</f>
        <v>512</v>
      </c>
      <c r="B499" s="1" t="s">
        <v>703</v>
      </c>
      <c r="C499" s="1" t="s">
        <v>39</v>
      </c>
      <c r="D499" s="1">
        <f ca="1">INDEX(INDIRECT($C499&amp;"!O:O"),MATCH($B499,INDIRECT($C499&amp;"!B:B"),0))</f>
        <v>6.83</v>
      </c>
      <c r="E499" s="254">
        <f ca="1">D499-LARGE(D$2:D$619,RBCount+WRCount+TECount+QBCount)</f>
        <v>-77.040000000000006</v>
      </c>
      <c r="F499" s="1" t="str">
        <f ca="1">IF(H499&lt;=I499,"Starter",IF(G499&gt;=LARGE(G:G,FlexOn*LeagueInfo!$F$2),"Starter","Bench"))</f>
        <v>Bench</v>
      </c>
      <c r="G499" s="1">
        <f ca="1">IF(H499&gt;I499,D499,0)</f>
        <v>6.83</v>
      </c>
      <c r="H499" s="1">
        <f ca="1">INDEX(INDIRECT(""&amp;C499&amp;"!A2:A489"),MATCH(B499,INDIRECT(""&amp;C499&amp;"!B2:B489"),0))</f>
        <v>207</v>
      </c>
      <c r="I499" s="1">
        <f>IF(C499="RB",LeagueInfo!$D$4*LeagueInfo!$F$2,IF(C499="WR",LeagueInfo!$D$5*LeagueInfo!$F$2,IF(C499="TE",LeagueInfo!$D$6*LeagueInfo!$F$2,LeagueInfo!$D$3*LeagueInfo!$F$2)))</f>
        <v>24</v>
      </c>
    </row>
    <row r="500" spans="1:9" x14ac:dyDescent="0.25">
      <c r="A500" s="1">
        <f ca="1">RANK(E500,E$2:E$619)</f>
        <v>514</v>
      </c>
      <c r="B500" s="1" t="s">
        <v>645</v>
      </c>
      <c r="C500" s="1" t="s">
        <v>39</v>
      </c>
      <c r="D500" s="1">
        <f ca="1">INDEX(INDIRECT($C500&amp;"!O:O"),MATCH($B500,INDIRECT($C500&amp;"!B:B"),0))</f>
        <v>6.7700000000000014</v>
      </c>
      <c r="E500" s="254">
        <f ca="1">D500-LARGE(D$2:D$619,RBCount+WRCount+TECount+QBCount)</f>
        <v>-77.100000000000009</v>
      </c>
      <c r="F500" s="1" t="str">
        <f ca="1">IF(H500&lt;=I500,"Starter",IF(G500&gt;=LARGE(G:G,FlexOn*LeagueInfo!$F$2),"Starter","Bench"))</f>
        <v>Bench</v>
      </c>
      <c r="G500" s="1">
        <f ca="1">IF(H500&gt;I500,D500,0)</f>
        <v>6.7700000000000014</v>
      </c>
      <c r="H500" s="1">
        <f ca="1">INDEX(INDIRECT(""&amp;C500&amp;"!A2:A489"),MATCH(B500,INDIRECT(""&amp;C500&amp;"!B2:B489"),0))</f>
        <v>208</v>
      </c>
      <c r="I500" s="1">
        <f>IF(C500="RB",LeagueInfo!$D$4*LeagueInfo!$F$2,IF(C500="WR",LeagueInfo!$D$5*LeagueInfo!$F$2,IF(C500="TE",LeagueInfo!$D$6*LeagueInfo!$F$2,LeagueInfo!$D$3*LeagueInfo!$F$2)))</f>
        <v>24</v>
      </c>
    </row>
    <row r="501" spans="1:9" x14ac:dyDescent="0.25">
      <c r="A501" s="1">
        <f ca="1">RANK(E501,E$2:E$619)</f>
        <v>458</v>
      </c>
      <c r="B501" s="1" t="s">
        <v>412</v>
      </c>
      <c r="C501" s="1" t="s">
        <v>33</v>
      </c>
      <c r="D501" s="1">
        <f ca="1">INDEX(INDIRECT($C501&amp;"!O:O"),MATCH($B501,INDIRECT($C501&amp;"!B:B"),0))</f>
        <v>8.2159999999999993</v>
      </c>
      <c r="E501" s="254">
        <f ca="1">D501-LARGE(D$2:D$619,RBCount+WRCount+TECount+QBCount)</f>
        <v>-75.654000000000011</v>
      </c>
      <c r="F501" s="1" t="str">
        <f ca="1">IF(H501&lt;=I501,"Starter",IF(G501&gt;=LARGE(G:G,FlexOn*LeagueInfo!$F$2),"Starter","Bench"))</f>
        <v>Bench</v>
      </c>
      <c r="G501" s="1">
        <f ca="1">IF(H501&gt;I501,D501,0)</f>
        <v>8.2159999999999993</v>
      </c>
      <c r="H501" s="1">
        <f ca="1">INDEX(INDIRECT(""&amp;C501&amp;"!A2:A489"),MATCH(B501,INDIRECT(""&amp;C501&amp;"!B2:B489"),0))</f>
        <v>58</v>
      </c>
      <c r="I501" s="1">
        <f>IF(C501="RB",LeagueInfo!$D$4*LeagueInfo!$F$2,IF(C501="WR",LeagueInfo!$D$5*LeagueInfo!$F$2,IF(C501="TE",LeagueInfo!$D$6*LeagueInfo!$F$2,LeagueInfo!$D$3*LeagueInfo!$F$2)))</f>
        <v>12</v>
      </c>
    </row>
    <row r="502" spans="1:9" x14ac:dyDescent="0.25">
      <c r="A502" s="1">
        <f ca="1">RANK(E502,E$2:E$619)</f>
        <v>492</v>
      </c>
      <c r="B502" s="1" t="s">
        <v>923</v>
      </c>
      <c r="C502" s="1" t="s">
        <v>32</v>
      </c>
      <c r="D502" s="1">
        <f ca="1">INDEX(INDIRECT($C502&amp;"!O:O"),MATCH($B502,INDIRECT($C502&amp;"!B:B"),0))</f>
        <v>7.4</v>
      </c>
      <c r="E502" s="254">
        <f ca="1">D502-LARGE(D$2:D$619,RBCount+WRCount+TECount+QBCount)</f>
        <v>-76.47</v>
      </c>
      <c r="F502" s="1" t="str">
        <f ca="1">IF(H502&lt;=I502,"Starter",IF(G502&gt;=LARGE(G:G,FlexOn*LeagueInfo!$F$2),"Starter","Bench"))</f>
        <v>Bench</v>
      </c>
      <c r="G502" s="1">
        <f ca="1">IF(H502&gt;I502,D502,0)</f>
        <v>7.4</v>
      </c>
      <c r="H502" s="1">
        <f ca="1">INDEX(INDIRECT(""&amp;C502&amp;"!A2:A489"),MATCH(B502,INDIRECT(""&amp;C502&amp;"!B2:B489"),0))</f>
        <v>134</v>
      </c>
      <c r="I502" s="1">
        <f>IF(C502="RB",LeagueInfo!$D$4*LeagueInfo!$F$2,IF(C502="WR",LeagueInfo!$D$5*LeagueInfo!$F$2,IF(C502="TE",LeagueInfo!$D$6*LeagueInfo!$F$2,LeagueInfo!$D$3*LeagueInfo!$F$2)))</f>
        <v>24</v>
      </c>
    </row>
    <row r="503" spans="1:9" x14ac:dyDescent="0.25">
      <c r="A503" s="1">
        <f ca="1">RANK(E503,E$2:E$619)</f>
        <v>521</v>
      </c>
      <c r="B503" s="1" t="s">
        <v>798</v>
      </c>
      <c r="C503" s="1" t="s">
        <v>47</v>
      </c>
      <c r="D503" s="1">
        <f ca="1">INDEX(INDIRECT($C503&amp;"!O:O"),MATCH($B503,INDIRECT($C503&amp;"!B:B"),0))</f>
        <v>6.63</v>
      </c>
      <c r="E503" s="254">
        <f ca="1">D503-LARGE(D$2:D$619,RBCount+WRCount+TECount+QBCount)</f>
        <v>-77.240000000000009</v>
      </c>
      <c r="F503" s="1" t="str">
        <f ca="1">IF(H503&lt;=I503,"Starter",IF(G503&gt;=LARGE(G:G,FlexOn*LeagueInfo!$F$2),"Starter","Bench"))</f>
        <v>Bench</v>
      </c>
      <c r="G503" s="1">
        <f ca="1">IF(H503&gt;I503,D503,0)</f>
        <v>6.63</v>
      </c>
      <c r="H503" s="1">
        <f ca="1">INDEX(INDIRECT(""&amp;C503&amp;"!A2:A489"),MATCH(B503,INDIRECT(""&amp;C503&amp;"!B2:B489"),0))</f>
        <v>104</v>
      </c>
      <c r="I503" s="1">
        <f>IF(C503="RB",LeagueInfo!$D$4*LeagueInfo!$F$2,IF(C503="WR",LeagueInfo!$D$5*LeagueInfo!$F$2,IF(C503="TE",LeagueInfo!$D$6*LeagueInfo!$F$2,LeagueInfo!$D$3*LeagueInfo!$F$2)))</f>
        <v>12</v>
      </c>
    </row>
    <row r="504" spans="1:9" x14ac:dyDescent="0.25">
      <c r="A504" s="1">
        <f ca="1">RANK(E504,E$2:E$619)</f>
        <v>506</v>
      </c>
      <c r="B504" s="1" t="s">
        <v>688</v>
      </c>
      <c r="C504" s="1" t="s">
        <v>39</v>
      </c>
      <c r="D504" s="1">
        <f ca="1">INDEX(INDIRECT($C504&amp;"!O:O"),MATCH($B504,INDIRECT($C504&amp;"!B:B"),0))</f>
        <v>7.03</v>
      </c>
      <c r="E504" s="254">
        <f ca="1">D504-LARGE(D$2:D$619,RBCount+WRCount+TECount+QBCount)</f>
        <v>-76.84</v>
      </c>
      <c r="F504" s="1" t="str">
        <f ca="1">IF(H504&lt;=I504,"Starter",IF(G504&gt;=LARGE(G:G,FlexOn*LeagueInfo!$F$2),"Starter","Bench"))</f>
        <v>Bench</v>
      </c>
      <c r="G504" s="1">
        <f ca="1">IF(H504&gt;I504,D504,0)</f>
        <v>7.03</v>
      </c>
      <c r="H504" s="1">
        <f ca="1">INDEX(INDIRECT(""&amp;C504&amp;"!A2:A489"),MATCH(B504,INDIRECT(""&amp;C504&amp;"!B2:B489"),0))</f>
        <v>204</v>
      </c>
      <c r="I504" s="1">
        <f>IF(C504="RB",LeagueInfo!$D$4*LeagueInfo!$F$2,IF(C504="WR",LeagueInfo!$D$5*LeagueInfo!$F$2,IF(C504="TE",LeagueInfo!$D$6*LeagueInfo!$F$2,LeagueInfo!$D$3*LeagueInfo!$F$2)))</f>
        <v>24</v>
      </c>
    </row>
    <row r="505" spans="1:9" x14ac:dyDescent="0.25">
      <c r="A505" s="1">
        <f ca="1">RANK(E505,E$2:E$619)</f>
        <v>523</v>
      </c>
      <c r="B505" s="1" t="s">
        <v>783</v>
      </c>
      <c r="C505" s="1" t="s">
        <v>47</v>
      </c>
      <c r="D505" s="1">
        <f ca="1">INDEX(INDIRECT($C505&amp;"!O:O"),MATCH($B505,INDIRECT($C505&amp;"!B:B"),0))</f>
        <v>6.58</v>
      </c>
      <c r="E505" s="254">
        <f ca="1">D505-LARGE(D$2:D$619,RBCount+WRCount+TECount+QBCount)</f>
        <v>-77.290000000000006</v>
      </c>
      <c r="F505" s="1" t="str">
        <f ca="1">IF(H505&lt;=I505,"Starter",IF(G505&gt;=LARGE(G:G,FlexOn*LeagueInfo!$F$2),"Starter","Bench"))</f>
        <v>Bench</v>
      </c>
      <c r="G505" s="1">
        <f ca="1">IF(H505&gt;I505,D505,0)</f>
        <v>6.58</v>
      </c>
      <c r="H505" s="1">
        <f ca="1">INDEX(INDIRECT(""&amp;C505&amp;"!A2:A489"),MATCH(B505,INDIRECT(""&amp;C505&amp;"!B2:B489"),0))</f>
        <v>106</v>
      </c>
      <c r="I505" s="1">
        <f>IF(C505="RB",LeagueInfo!$D$4*LeagueInfo!$F$2,IF(C505="WR",LeagueInfo!$D$5*LeagueInfo!$F$2,IF(C505="TE",LeagueInfo!$D$6*LeagueInfo!$F$2,LeagueInfo!$D$3*LeagueInfo!$F$2)))</f>
        <v>12</v>
      </c>
    </row>
    <row r="506" spans="1:9" x14ac:dyDescent="0.25">
      <c r="A506" s="1">
        <f ca="1">RANK(E506,E$2:E$619)</f>
        <v>517</v>
      </c>
      <c r="B506" s="1" t="s">
        <v>705</v>
      </c>
      <c r="C506" s="1" t="s">
        <v>39</v>
      </c>
      <c r="D506" s="1">
        <f ca="1">INDEX(INDIRECT($C506&amp;"!O:O"),MATCH($B506,INDIRECT($C506&amp;"!B:B"),0))</f>
        <v>6.7100000000000009</v>
      </c>
      <c r="E506" s="254">
        <f ca="1">D506-LARGE(D$2:D$619,RBCount+WRCount+TECount+QBCount)</f>
        <v>-77.16</v>
      </c>
      <c r="F506" s="1" t="str">
        <f ca="1">IF(H506&lt;=I506,"Starter",IF(G506&gt;=LARGE(G:G,FlexOn*LeagueInfo!$F$2),"Starter","Bench"))</f>
        <v>Bench</v>
      </c>
      <c r="G506" s="1">
        <f ca="1">IF(H506&gt;I506,D506,0)</f>
        <v>6.7100000000000009</v>
      </c>
      <c r="H506" s="1">
        <f ca="1">INDEX(INDIRECT(""&amp;C506&amp;"!A2:A489"),MATCH(B506,INDIRECT(""&amp;C506&amp;"!B2:B489"),0))</f>
        <v>209</v>
      </c>
      <c r="I506" s="1">
        <f>IF(C506="RB",LeagueInfo!$D$4*LeagueInfo!$F$2,IF(C506="WR",LeagueInfo!$D$5*LeagueInfo!$F$2,IF(C506="TE",LeagueInfo!$D$6*LeagueInfo!$F$2,LeagueInfo!$D$3*LeagueInfo!$F$2)))</f>
        <v>24</v>
      </c>
    </row>
    <row r="507" spans="1:9" x14ac:dyDescent="0.25">
      <c r="A507" s="1">
        <f ca="1">RANK(E507,E$2:E$619)</f>
        <v>474</v>
      </c>
      <c r="B507" s="1" t="s">
        <v>416</v>
      </c>
      <c r="C507" s="1" t="s">
        <v>33</v>
      </c>
      <c r="D507" s="1">
        <f ca="1">INDEX(INDIRECT($C507&amp;"!O:O"),MATCH($B507,INDIRECT($C507&amp;"!B:B"),0))</f>
        <v>7.8020000000000005</v>
      </c>
      <c r="E507" s="254">
        <f ca="1">D507-LARGE(D$2:D$619,RBCount+WRCount+TECount+QBCount)</f>
        <v>-76.067999999999998</v>
      </c>
      <c r="F507" s="1" t="str">
        <f ca="1">IF(H507&lt;=I507,"Starter",IF(G507&gt;=LARGE(G:G,FlexOn*LeagueInfo!$F$2),"Starter","Bench"))</f>
        <v>Bench</v>
      </c>
      <c r="G507" s="1">
        <f ca="1">IF(H507&gt;I507,D507,0)</f>
        <v>7.8020000000000005</v>
      </c>
      <c r="H507" s="1">
        <f ca="1">INDEX(INDIRECT(""&amp;C507&amp;"!A2:A489"),MATCH(B507,INDIRECT(""&amp;C507&amp;"!B2:B489"),0))</f>
        <v>61</v>
      </c>
      <c r="I507" s="1">
        <f>IF(C507="RB",LeagueInfo!$D$4*LeagueInfo!$F$2,IF(C507="WR",LeagueInfo!$D$5*LeagueInfo!$F$2,IF(C507="TE",LeagueInfo!$D$6*LeagueInfo!$F$2,LeagueInfo!$D$3*LeagueInfo!$F$2)))</f>
        <v>12</v>
      </c>
    </row>
    <row r="508" spans="1:9" x14ac:dyDescent="0.25">
      <c r="A508" s="1">
        <f ca="1">RANK(E508,E$2:E$619)</f>
        <v>522</v>
      </c>
      <c r="B508" s="1" t="s">
        <v>795</v>
      </c>
      <c r="C508" s="1" t="s">
        <v>47</v>
      </c>
      <c r="D508" s="1">
        <f ca="1">INDEX(INDIRECT($C508&amp;"!O:O"),MATCH($B508,INDIRECT($C508&amp;"!B:B"),0))</f>
        <v>6.6000000000000005</v>
      </c>
      <c r="E508" s="254">
        <f ca="1">D508-LARGE(D$2:D$619,RBCount+WRCount+TECount+QBCount)</f>
        <v>-77.27000000000001</v>
      </c>
      <c r="F508" s="1" t="str">
        <f ca="1">IF(H508&lt;=I508,"Starter",IF(G508&gt;=LARGE(G:G,FlexOn*LeagueInfo!$F$2),"Starter","Bench"))</f>
        <v>Bench</v>
      </c>
      <c r="G508" s="1">
        <f ca="1">IF(H508&gt;I508,D508,0)</f>
        <v>6.6000000000000005</v>
      </c>
      <c r="H508" s="1">
        <f ca="1">INDEX(INDIRECT(""&amp;C508&amp;"!A2:A489"),MATCH(B508,INDIRECT(""&amp;C508&amp;"!B2:B489"),0))</f>
        <v>105</v>
      </c>
      <c r="I508" s="1">
        <f>IF(C508="RB",LeagueInfo!$D$4*LeagueInfo!$F$2,IF(C508="WR",LeagueInfo!$D$5*LeagueInfo!$F$2,IF(C508="TE",LeagueInfo!$D$6*LeagueInfo!$F$2,LeagueInfo!$D$3*LeagueInfo!$F$2)))</f>
        <v>12</v>
      </c>
    </row>
    <row r="509" spans="1:9" x14ac:dyDescent="0.25">
      <c r="A509" s="1">
        <f ca="1">RANK(E509,E$2:E$619)</f>
        <v>465</v>
      </c>
      <c r="B509" s="1" t="s">
        <v>413</v>
      </c>
      <c r="C509" s="1" t="s">
        <v>33</v>
      </c>
      <c r="D509" s="1">
        <f ca="1">INDEX(INDIRECT($C509&amp;"!O:O"),MATCH($B509,INDIRECT($C509&amp;"!B:B"),0))</f>
        <v>7.9879999999999995</v>
      </c>
      <c r="E509" s="254">
        <f ca="1">D509-LARGE(D$2:D$619,RBCount+WRCount+TECount+QBCount)</f>
        <v>-75.882000000000005</v>
      </c>
      <c r="F509" s="1" t="str">
        <f ca="1">IF(H509&lt;=I509,"Starter",IF(G509&gt;=LARGE(G:G,FlexOn*LeagueInfo!$F$2),"Starter","Bench"))</f>
        <v>Bench</v>
      </c>
      <c r="G509" s="1">
        <f ca="1">IF(H509&gt;I509,D509,0)</f>
        <v>7.9879999999999995</v>
      </c>
      <c r="H509" s="1">
        <f ca="1">INDEX(INDIRECT(""&amp;C509&amp;"!A2:A489"),MATCH(B509,INDIRECT(""&amp;C509&amp;"!B2:B489"),0))</f>
        <v>60</v>
      </c>
      <c r="I509" s="1">
        <f>IF(C509="RB",LeagueInfo!$D$4*LeagueInfo!$F$2,IF(C509="WR",LeagueInfo!$D$5*LeagueInfo!$F$2,IF(C509="TE",LeagueInfo!$D$6*LeagueInfo!$F$2,LeagueInfo!$D$3*LeagueInfo!$F$2)))</f>
        <v>12</v>
      </c>
    </row>
    <row r="510" spans="1:9" x14ac:dyDescent="0.25">
      <c r="A510" s="1">
        <f ca="1">RANK(E510,E$2:E$619)</f>
        <v>462</v>
      </c>
      <c r="B510" s="1" t="s">
        <v>414</v>
      </c>
      <c r="C510" s="1" t="s">
        <v>33</v>
      </c>
      <c r="D510" s="1">
        <f ca="1">INDEX(INDIRECT($C510&amp;"!O:O"),MATCH($B510,INDIRECT($C510&amp;"!B:B"),0))</f>
        <v>8.1419999999999995</v>
      </c>
      <c r="E510" s="254">
        <f ca="1">D510-LARGE(D$2:D$619,RBCount+WRCount+TECount+QBCount)</f>
        <v>-75.728000000000009</v>
      </c>
      <c r="F510" s="1" t="str">
        <f ca="1">IF(H510&lt;=I510,"Starter",IF(G510&gt;=LARGE(G:G,FlexOn*LeagueInfo!$F$2),"Starter","Bench"))</f>
        <v>Bench</v>
      </c>
      <c r="G510" s="1">
        <f ca="1">IF(H510&gt;I510,D510,0)</f>
        <v>8.1419999999999995</v>
      </c>
      <c r="H510" s="1">
        <f ca="1">INDEX(INDIRECT(""&amp;C510&amp;"!A2:A489"),MATCH(B510,INDIRECT(""&amp;C510&amp;"!B2:B489"),0))</f>
        <v>59</v>
      </c>
      <c r="I510" s="1">
        <f>IF(C510="RB",LeagueInfo!$D$4*LeagueInfo!$F$2,IF(C510="WR",LeagueInfo!$D$5*LeagueInfo!$F$2,IF(C510="TE",LeagueInfo!$D$6*LeagueInfo!$F$2,LeagueInfo!$D$3*LeagueInfo!$F$2)))</f>
        <v>12</v>
      </c>
    </row>
    <row r="511" spans="1:9" ht="17.25" customHeight="1" x14ac:dyDescent="0.25">
      <c r="A511" s="1">
        <f ca="1">RANK(E511,E$2:E$619)</f>
        <v>481</v>
      </c>
      <c r="B511" s="1" t="s">
        <v>544</v>
      </c>
      <c r="C511" s="1" t="s">
        <v>32</v>
      </c>
      <c r="D511" s="1">
        <f ca="1">INDEX(INDIRECT($C511&amp;"!O:O"),MATCH($B511,INDIRECT($C511&amp;"!B:B"),0))</f>
        <v>7.65</v>
      </c>
      <c r="E511" s="254">
        <f ca="1">D511-LARGE(D$2:D$619,RBCount+WRCount+TECount+QBCount)</f>
        <v>-76.22</v>
      </c>
      <c r="F511" s="1" t="str">
        <f ca="1">IF(H511&lt;=I511,"Starter",IF(G511&gt;=LARGE(G:G,FlexOn*LeagueInfo!$F$2),"Starter","Bench"))</f>
        <v>Bench</v>
      </c>
      <c r="G511" s="1">
        <f ca="1">IF(H511&gt;I511,D511,0)</f>
        <v>7.65</v>
      </c>
      <c r="H511" s="1">
        <f ca="1">INDEX(INDIRECT(""&amp;C511&amp;"!A2:A489"),MATCH(B511,INDIRECT(""&amp;C511&amp;"!B2:B489"),0))</f>
        <v>131</v>
      </c>
      <c r="I511" s="1">
        <f>IF(C511="RB",LeagueInfo!$D$4*LeagueInfo!$F$2,IF(C511="WR",LeagueInfo!$D$5*LeagueInfo!$F$2,IF(C511="TE",LeagueInfo!$D$6*LeagueInfo!$F$2,LeagueInfo!$D$3*LeagueInfo!$F$2)))</f>
        <v>24</v>
      </c>
    </row>
    <row r="512" spans="1:9" x14ac:dyDescent="0.25">
      <c r="A512" s="1">
        <f ca="1">RANK(E512,E$2:E$619)</f>
        <v>525</v>
      </c>
      <c r="B512" s="1" t="s">
        <v>792</v>
      </c>
      <c r="C512" s="1" t="s">
        <v>47</v>
      </c>
      <c r="D512" s="1">
        <f ca="1">INDEX(INDIRECT($C512&amp;"!O:O"),MATCH($B512,INDIRECT($C512&amp;"!B:B"),0))</f>
        <v>6.4300000000000006</v>
      </c>
      <c r="E512" s="254">
        <f ca="1">D512-LARGE(D$2:D$619,RBCount+WRCount+TECount+QBCount)</f>
        <v>-77.44</v>
      </c>
      <c r="F512" s="1" t="str">
        <f ca="1">IF(H512&lt;=I512,"Starter",IF(G512&gt;=LARGE(G:G,FlexOn*LeagueInfo!$F$2),"Starter","Bench"))</f>
        <v>Bench</v>
      </c>
      <c r="G512" s="1">
        <f ca="1">IF(H512&gt;I512,D512,0)</f>
        <v>6.4300000000000006</v>
      </c>
      <c r="H512" s="1">
        <f ca="1">INDEX(INDIRECT(""&amp;C512&amp;"!A2:A489"),MATCH(B512,INDIRECT(""&amp;C512&amp;"!B2:B489"),0))</f>
        <v>108</v>
      </c>
      <c r="I512" s="1">
        <f>IF(C512="RB",LeagueInfo!$D$4*LeagueInfo!$F$2,IF(C512="WR",LeagueInfo!$D$5*LeagueInfo!$F$2,IF(C512="TE",LeagueInfo!$D$6*LeagueInfo!$F$2,LeagueInfo!$D$3*LeagueInfo!$F$2)))</f>
        <v>12</v>
      </c>
    </row>
    <row r="513" spans="1:9" x14ac:dyDescent="0.25">
      <c r="A513" s="1">
        <f ca="1">RANK(E513,E$2:E$619)</f>
        <v>525</v>
      </c>
      <c r="B513" s="1" t="s">
        <v>650</v>
      </c>
      <c r="C513" s="1" t="s">
        <v>39</v>
      </c>
      <c r="D513" s="1">
        <f ca="1">INDEX(INDIRECT($C513&amp;"!O:O"),MATCH($B513,INDIRECT($C513&amp;"!B:B"),0))</f>
        <v>6.4300000000000006</v>
      </c>
      <c r="E513" s="254">
        <f ca="1">D513-LARGE(D$2:D$619,RBCount+WRCount+TECount+QBCount)</f>
        <v>-77.44</v>
      </c>
      <c r="F513" s="1" t="str">
        <f ca="1">IF(H513&lt;=I513,"Starter",IF(G513&gt;=LARGE(G:G,FlexOn*LeagueInfo!$F$2),"Starter","Bench"))</f>
        <v>Bench</v>
      </c>
      <c r="G513" s="1">
        <f ca="1">IF(H513&gt;I513,D513,0)</f>
        <v>6.4300000000000006</v>
      </c>
      <c r="H513" s="1">
        <f ca="1">INDEX(INDIRECT(""&amp;C513&amp;"!A2:A489"),MATCH(B513,INDIRECT(""&amp;C513&amp;"!B2:B489"),0))</f>
        <v>210</v>
      </c>
      <c r="I513" s="1">
        <f>IF(C513="RB",LeagueInfo!$D$4*LeagueInfo!$F$2,IF(C513="WR",LeagueInfo!$D$5*LeagueInfo!$F$2,IF(C513="TE",LeagueInfo!$D$6*LeagueInfo!$F$2,LeagueInfo!$D$3*LeagueInfo!$F$2)))</f>
        <v>24</v>
      </c>
    </row>
    <row r="514" spans="1:9" x14ac:dyDescent="0.25">
      <c r="A514" s="1">
        <f ca="1">RANK(E514,E$2:E$619)</f>
        <v>508</v>
      </c>
      <c r="B514" s="1" t="s">
        <v>540</v>
      </c>
      <c r="C514" s="1" t="s">
        <v>32</v>
      </c>
      <c r="D514" s="1">
        <f ca="1">INDEX(INDIRECT($C514&amp;"!O:O"),MATCH($B514,INDIRECT($C514&amp;"!B:B"),0))</f>
        <v>7.02</v>
      </c>
      <c r="E514" s="254">
        <f ca="1">D514-LARGE(D$2:D$619,RBCount+WRCount+TECount+QBCount)</f>
        <v>-76.850000000000009</v>
      </c>
      <c r="F514" s="1" t="str">
        <f ca="1">IF(H514&lt;=I514,"Starter",IF(G514&gt;=LARGE(G:G,FlexOn*LeagueInfo!$F$2),"Starter","Bench"))</f>
        <v>Bench</v>
      </c>
      <c r="G514" s="1">
        <f ca="1">IF(H514&gt;I514,D514,0)</f>
        <v>7.02</v>
      </c>
      <c r="H514" s="1">
        <f ca="1">INDEX(INDIRECT(""&amp;C514&amp;"!A2:A489"),MATCH(B514,INDIRECT(""&amp;C514&amp;"!B2:B489"),0))</f>
        <v>138</v>
      </c>
      <c r="I514" s="1">
        <f>IF(C514="RB",LeagueInfo!$D$4*LeagueInfo!$F$2,IF(C514="WR",LeagueInfo!$D$5*LeagueInfo!$F$2,IF(C514="TE",LeagueInfo!$D$6*LeagueInfo!$F$2,LeagueInfo!$D$3*LeagueInfo!$F$2)))</f>
        <v>24</v>
      </c>
    </row>
    <row r="515" spans="1:9" x14ac:dyDescent="0.25">
      <c r="A515" s="1">
        <f ca="1">RANK(E515,E$2:E$619)</f>
        <v>469</v>
      </c>
      <c r="B515" s="1" t="s">
        <v>504</v>
      </c>
      <c r="C515" s="1" t="s">
        <v>32</v>
      </c>
      <c r="D515" s="1">
        <f ca="1">INDEX(INDIRECT($C515&amp;"!O:O"),MATCH($B515,INDIRECT($C515&amp;"!B:B"),0))</f>
        <v>7.8999999999999995</v>
      </c>
      <c r="E515" s="254">
        <f ca="1">D515-LARGE(D$2:D$619,RBCount+WRCount+TECount+QBCount)</f>
        <v>-75.97</v>
      </c>
      <c r="F515" s="1" t="str">
        <f ca="1">IF(H515&lt;=I515,"Starter",IF(G515&gt;=LARGE(G:G,FlexOn*LeagueInfo!$F$2),"Starter","Bench"))</f>
        <v>Bench</v>
      </c>
      <c r="G515" s="1">
        <f ca="1">IF(H515&gt;I515,D515,0)</f>
        <v>7.8999999999999995</v>
      </c>
      <c r="H515" s="1">
        <f ca="1">INDEX(INDIRECT(""&amp;C515&amp;"!A2:A489"),MATCH(B515,INDIRECT(""&amp;C515&amp;"!B2:B489"),0))</f>
        <v>130</v>
      </c>
      <c r="I515" s="1">
        <f>IF(C515="RB",LeagueInfo!$D$4*LeagueInfo!$F$2,IF(C515="WR",LeagueInfo!$D$5*LeagueInfo!$F$2,IF(C515="TE",LeagueInfo!$D$6*LeagueInfo!$F$2,LeagueInfo!$D$3*LeagueInfo!$F$2)))</f>
        <v>24</v>
      </c>
    </row>
    <row r="516" spans="1:9" x14ac:dyDescent="0.25">
      <c r="A516" s="1">
        <f ca="1">RANK(E516,E$2:E$619)</f>
        <v>464</v>
      </c>
      <c r="B516" s="1" t="s">
        <v>503</v>
      </c>
      <c r="C516" s="1" t="s">
        <v>32</v>
      </c>
      <c r="D516" s="1">
        <f ca="1">INDEX(INDIRECT($C516&amp;"!O:O"),MATCH($B516,INDIRECT($C516&amp;"!B:B"),0))</f>
        <v>8.06</v>
      </c>
      <c r="E516" s="254">
        <f ca="1">D516-LARGE(D$2:D$619,RBCount+WRCount+TECount+QBCount)</f>
        <v>-75.81</v>
      </c>
      <c r="F516" s="1" t="str">
        <f ca="1">IF(H516&lt;=I516,"Starter",IF(G516&gt;=LARGE(G:G,FlexOn*LeagueInfo!$F$2),"Starter","Bench"))</f>
        <v>Bench</v>
      </c>
      <c r="G516" s="1">
        <f ca="1">IF(H516&gt;I516,D516,0)</f>
        <v>8.06</v>
      </c>
      <c r="H516" s="1">
        <f ca="1">INDEX(INDIRECT(""&amp;C516&amp;"!A2:A489"),MATCH(B516,INDIRECT(""&amp;C516&amp;"!B2:B489"),0))</f>
        <v>129</v>
      </c>
      <c r="I516" s="1">
        <f>IF(C516="RB",LeagueInfo!$D$4*LeagueInfo!$F$2,IF(C516="WR",LeagueInfo!$D$5*LeagueInfo!$F$2,IF(C516="TE",LeagueInfo!$D$6*LeagueInfo!$F$2,LeagueInfo!$D$3*LeagueInfo!$F$2)))</f>
        <v>24</v>
      </c>
    </row>
    <row r="517" spans="1:9" x14ac:dyDescent="0.25">
      <c r="A517" s="1">
        <f ca="1">RANK(E517,E$2:E$619)</f>
        <v>486</v>
      </c>
      <c r="B517" s="1" t="s">
        <v>508</v>
      </c>
      <c r="C517" s="1" t="s">
        <v>32</v>
      </c>
      <c r="D517" s="1">
        <f ca="1">INDEX(INDIRECT($C517&amp;"!O:O"),MATCH($B517,INDIRECT($C517&amp;"!B:B"),0))</f>
        <v>7.5400000000000009</v>
      </c>
      <c r="E517" s="254">
        <f ca="1">D517-LARGE(D$2:D$619,RBCount+WRCount+TECount+QBCount)</f>
        <v>-76.33</v>
      </c>
      <c r="F517" s="1" t="str">
        <f ca="1">IF(H517&lt;=I517,"Starter",IF(G517&gt;=LARGE(G:G,FlexOn*LeagueInfo!$F$2),"Starter","Bench"))</f>
        <v>Bench</v>
      </c>
      <c r="G517" s="1">
        <f ca="1">IF(H517&gt;I517,D517,0)</f>
        <v>7.5400000000000009</v>
      </c>
      <c r="H517" s="1">
        <f ca="1">INDEX(INDIRECT(""&amp;C517&amp;"!A2:A489"),MATCH(B517,INDIRECT(""&amp;C517&amp;"!B2:B489"),0))</f>
        <v>133</v>
      </c>
      <c r="I517" s="1">
        <f>IF(C517="RB",LeagueInfo!$D$4*LeagueInfo!$F$2,IF(C517="WR",LeagueInfo!$D$5*LeagueInfo!$F$2,IF(C517="TE",LeagueInfo!$D$6*LeagueInfo!$F$2,LeagueInfo!$D$3*LeagueInfo!$F$2)))</f>
        <v>24</v>
      </c>
    </row>
    <row r="518" spans="1:9" x14ac:dyDescent="0.25">
      <c r="A518" s="1">
        <f ca="1">RANK(E518,E$2:E$619)</f>
        <v>517</v>
      </c>
      <c r="B518" s="1" t="s">
        <v>777</v>
      </c>
      <c r="C518" s="1" t="s">
        <v>47</v>
      </c>
      <c r="D518" s="1">
        <f ca="1">INDEX(INDIRECT($C518&amp;"!O:O"),MATCH($B518,INDIRECT($C518&amp;"!B:B"),0))</f>
        <v>6.7100000000000009</v>
      </c>
      <c r="E518" s="254">
        <f ca="1">D518-LARGE(D$2:D$619,RBCount+WRCount+TECount+QBCount)</f>
        <v>-77.16</v>
      </c>
      <c r="F518" s="1" t="str">
        <f ca="1">IF(H518&lt;=I518,"Starter",IF(G518&gt;=LARGE(G:G,FlexOn*LeagueInfo!$F$2),"Starter","Bench"))</f>
        <v>Bench</v>
      </c>
      <c r="G518" s="1">
        <f ca="1">IF(H518&gt;I518,D518,0)</f>
        <v>6.7100000000000009</v>
      </c>
      <c r="H518" s="1">
        <f ca="1">INDEX(INDIRECT(""&amp;C518&amp;"!A2:A489"),MATCH(B518,INDIRECT(""&amp;C518&amp;"!B2:B489"),0))</f>
        <v>103</v>
      </c>
      <c r="I518" s="1">
        <f>IF(C518="RB",LeagueInfo!$D$4*LeagueInfo!$F$2,IF(C518="WR",LeagueInfo!$D$5*LeagueInfo!$F$2,IF(C518="TE",LeagueInfo!$D$6*LeagueInfo!$F$2,LeagueInfo!$D$3*LeagueInfo!$F$2)))</f>
        <v>12</v>
      </c>
    </row>
    <row r="519" spans="1:9" x14ac:dyDescent="0.25">
      <c r="A519" s="1">
        <f ca="1">RANK(E519,E$2:E$619)</f>
        <v>482</v>
      </c>
      <c r="B519" s="1" t="s">
        <v>419</v>
      </c>
      <c r="C519" s="1" t="s">
        <v>33</v>
      </c>
      <c r="D519" s="1">
        <f ca="1">INDEX(INDIRECT($C519&amp;"!O:O"),MATCH($B519,INDIRECT($C519&amp;"!B:B"),0))</f>
        <v>7.6479999999999997</v>
      </c>
      <c r="E519" s="254">
        <f ca="1">D519-LARGE(D$2:D$619,RBCount+WRCount+TECount+QBCount)</f>
        <v>-76.222000000000008</v>
      </c>
      <c r="F519" s="1" t="str">
        <f ca="1">IF(H519&lt;=I519,"Starter",IF(G519&gt;=LARGE(G:G,FlexOn*LeagueInfo!$F$2),"Starter","Bench"))</f>
        <v>Bench</v>
      </c>
      <c r="G519" s="1">
        <f ca="1">IF(H519&gt;I519,D519,0)</f>
        <v>7.6479999999999997</v>
      </c>
      <c r="H519" s="1">
        <f ca="1">INDEX(INDIRECT(""&amp;C519&amp;"!A2:A489"),MATCH(B519,INDIRECT(""&amp;C519&amp;"!B2:B489"),0))</f>
        <v>62</v>
      </c>
      <c r="I519" s="1">
        <f>IF(C519="RB",LeagueInfo!$D$4*LeagueInfo!$F$2,IF(C519="WR",LeagueInfo!$D$5*LeagueInfo!$F$2,IF(C519="TE",LeagueInfo!$D$6*LeagueInfo!$F$2,LeagueInfo!$D$3*LeagueInfo!$F$2)))</f>
        <v>12</v>
      </c>
    </row>
    <row r="520" spans="1:9" x14ac:dyDescent="0.25">
      <c r="A520" s="1">
        <f ca="1">RANK(E520,E$2:E$619)</f>
        <v>541</v>
      </c>
      <c r="B520" s="1" t="s">
        <v>702</v>
      </c>
      <c r="C520" s="1" t="s">
        <v>39</v>
      </c>
      <c r="D520" s="1">
        <f ca="1">INDEX(INDIRECT($C520&amp;"!O:O"),MATCH($B520,INDIRECT($C520&amp;"!B:B"),0))</f>
        <v>5.7799999999999994</v>
      </c>
      <c r="E520" s="254">
        <f ca="1">D520-LARGE(D$2:D$619,RBCount+WRCount+TECount+QBCount)</f>
        <v>-78.09</v>
      </c>
      <c r="F520" s="1" t="str">
        <f ca="1">IF(H520&lt;=I520,"Starter",IF(G520&gt;=LARGE(G:G,FlexOn*LeagueInfo!$F$2),"Starter","Bench"))</f>
        <v>Bench</v>
      </c>
      <c r="G520" s="1">
        <f ca="1">IF(H520&gt;I520,D520,0)</f>
        <v>5.7799999999999994</v>
      </c>
      <c r="H520" s="1">
        <f ca="1">INDEX(INDIRECT(""&amp;C520&amp;"!A2:A489"),MATCH(B520,INDIRECT(""&amp;C520&amp;"!B2:B489"),0))</f>
        <v>217</v>
      </c>
      <c r="I520" s="1">
        <f>IF(C520="RB",LeagueInfo!$D$4*LeagueInfo!$F$2,IF(C520="WR",LeagueInfo!$D$5*LeagueInfo!$F$2,IF(C520="TE",LeagueInfo!$D$6*LeagueInfo!$F$2,LeagueInfo!$D$3*LeagueInfo!$F$2)))</f>
        <v>24</v>
      </c>
    </row>
    <row r="521" spans="1:9" x14ac:dyDescent="0.25">
      <c r="A521" s="1">
        <f ca="1">RANK(E521,E$2:E$619)</f>
        <v>520</v>
      </c>
      <c r="B521" s="1" t="s">
        <v>514</v>
      </c>
      <c r="C521" s="1" t="s">
        <v>32</v>
      </c>
      <c r="D521" s="1">
        <f ca="1">INDEX(INDIRECT($C521&amp;"!O:O"),MATCH($B521,INDIRECT($C521&amp;"!B:B"),0))</f>
        <v>6.65</v>
      </c>
      <c r="E521" s="254">
        <f ca="1">D521-LARGE(D$2:D$619,RBCount+WRCount+TECount+QBCount)</f>
        <v>-77.22</v>
      </c>
      <c r="F521" s="1" t="str">
        <f ca="1">IF(H521&lt;=I521,"Starter",IF(G521&gt;=LARGE(G:G,FlexOn*LeagueInfo!$F$2),"Starter","Bench"))</f>
        <v>Bench</v>
      </c>
      <c r="G521" s="1">
        <f ca="1">IF(H521&gt;I521,D521,0)</f>
        <v>6.65</v>
      </c>
      <c r="H521" s="1">
        <f ca="1">INDEX(INDIRECT(""&amp;C521&amp;"!A2:A489"),MATCH(B521,INDIRECT(""&amp;C521&amp;"!B2:B489"),0))</f>
        <v>143</v>
      </c>
      <c r="I521" s="1">
        <f>IF(C521="RB",LeagueInfo!$D$4*LeagueInfo!$F$2,IF(C521="WR",LeagueInfo!$D$5*LeagueInfo!$F$2,IF(C521="TE",LeagueInfo!$D$6*LeagueInfo!$F$2,LeagueInfo!$D$3*LeagueInfo!$F$2)))</f>
        <v>24</v>
      </c>
    </row>
    <row r="522" spans="1:9" x14ac:dyDescent="0.25">
      <c r="A522" s="1">
        <f ca="1">RANK(E522,E$2:E$619)</f>
        <v>528</v>
      </c>
      <c r="B522" s="1" t="s">
        <v>637</v>
      </c>
      <c r="C522" s="1" t="s">
        <v>39</v>
      </c>
      <c r="D522" s="1">
        <f ca="1">INDEX(INDIRECT($C522&amp;"!O:O"),MATCH($B522,INDIRECT($C522&amp;"!B:B"),0))</f>
        <v>6.3999999999999995</v>
      </c>
      <c r="E522" s="254">
        <f ca="1">D522-LARGE(D$2:D$619,RBCount+WRCount+TECount+QBCount)</f>
        <v>-77.47</v>
      </c>
      <c r="F522" s="1" t="str">
        <f ca="1">IF(H522&lt;=I522,"Starter",IF(G522&gt;=LARGE(G:G,FlexOn*LeagueInfo!$F$2),"Starter","Bench"))</f>
        <v>Bench</v>
      </c>
      <c r="G522" s="1">
        <f ca="1">IF(H522&gt;I522,D522,0)</f>
        <v>6.3999999999999995</v>
      </c>
      <c r="H522" s="1">
        <f ca="1">INDEX(INDIRECT(""&amp;C522&amp;"!A2:A489"),MATCH(B522,INDIRECT(""&amp;C522&amp;"!B2:B489"),0))</f>
        <v>211</v>
      </c>
      <c r="I522" s="1">
        <f>IF(C522="RB",LeagueInfo!$D$4*LeagueInfo!$F$2,IF(C522="WR",LeagueInfo!$D$5*LeagueInfo!$F$2,IF(C522="TE",LeagueInfo!$D$6*LeagueInfo!$F$2,LeagueInfo!$D$3*LeagueInfo!$F$2)))</f>
        <v>24</v>
      </c>
    </row>
    <row r="523" spans="1:9" x14ac:dyDescent="0.25">
      <c r="A523" s="1">
        <f ca="1">RANK(E523,E$2:E$619)</f>
        <v>548</v>
      </c>
      <c r="B523" s="1" t="s">
        <v>797</v>
      </c>
      <c r="C523" s="1" t="s">
        <v>47</v>
      </c>
      <c r="D523" s="1">
        <f ca="1">INDEX(INDIRECT($C523&amp;"!O:O"),MATCH($B523,INDIRECT($C523&amp;"!B:B"),0))</f>
        <v>5.3999999999999995</v>
      </c>
      <c r="E523" s="254">
        <f ca="1">D523-LARGE(D$2:D$619,RBCount+WRCount+TECount+QBCount)</f>
        <v>-78.47</v>
      </c>
      <c r="F523" s="1" t="str">
        <f ca="1">IF(H523&lt;=I523,"Starter",IF(G523&gt;=LARGE(G:G,FlexOn*LeagueInfo!$F$2),"Starter","Bench"))</f>
        <v>Bench</v>
      </c>
      <c r="G523" s="1">
        <f ca="1">IF(H523&gt;I523,D523,0)</f>
        <v>5.3999999999999995</v>
      </c>
      <c r="H523" s="1">
        <f ca="1">INDEX(INDIRECT(""&amp;C523&amp;"!A2:A489"),MATCH(B523,INDIRECT(""&amp;C523&amp;"!B2:B489"),0))</f>
        <v>112</v>
      </c>
      <c r="I523" s="1">
        <f>IF(C523="RB",LeagueInfo!$D$4*LeagueInfo!$F$2,IF(C523="WR",LeagueInfo!$D$5*LeagueInfo!$F$2,IF(C523="TE",LeagueInfo!$D$6*LeagueInfo!$F$2,LeagueInfo!$D$3*LeagueInfo!$F$2)))</f>
        <v>12</v>
      </c>
    </row>
    <row r="524" spans="1:9" x14ac:dyDescent="0.25">
      <c r="A524" s="1">
        <f ca="1">RANK(E524,E$2:E$619)</f>
        <v>529</v>
      </c>
      <c r="B524" s="1" t="s">
        <v>700</v>
      </c>
      <c r="C524" s="1" t="s">
        <v>39</v>
      </c>
      <c r="D524" s="1">
        <f ca="1">INDEX(INDIRECT($C524&amp;"!O:O"),MATCH($B524,INDIRECT($C524&amp;"!B:B"),0))</f>
        <v>6.24</v>
      </c>
      <c r="E524" s="254">
        <f ca="1">D524-LARGE(D$2:D$619,RBCount+WRCount+TECount+QBCount)</f>
        <v>-77.63000000000001</v>
      </c>
      <c r="F524" s="1" t="str">
        <f ca="1">IF(H524&lt;=I524,"Starter",IF(G524&gt;=LARGE(G:G,FlexOn*LeagueInfo!$F$2),"Starter","Bench"))</f>
        <v>Bench</v>
      </c>
      <c r="G524" s="1">
        <f ca="1">IF(H524&gt;I524,D524,0)</f>
        <v>6.24</v>
      </c>
      <c r="H524" s="1">
        <f ca="1">INDEX(INDIRECT(""&amp;C524&amp;"!A2:A489"),MATCH(B524,INDIRECT(""&amp;C524&amp;"!B2:B489"),0))</f>
        <v>212</v>
      </c>
      <c r="I524" s="1">
        <f>IF(C524="RB",LeagueInfo!$D$4*LeagueInfo!$F$2,IF(C524="WR",LeagueInfo!$D$5*LeagueInfo!$F$2,IF(C524="TE",LeagueInfo!$D$6*LeagueInfo!$F$2,LeagueInfo!$D$3*LeagueInfo!$F$2)))</f>
        <v>24</v>
      </c>
    </row>
    <row r="525" spans="1:9" x14ac:dyDescent="0.25">
      <c r="A525" s="1">
        <f ca="1">RANK(E525,E$2:E$619)</f>
        <v>497</v>
      </c>
      <c r="B525" s="1" t="s">
        <v>510</v>
      </c>
      <c r="C525" s="1" t="s">
        <v>32</v>
      </c>
      <c r="D525" s="1">
        <f ca="1">INDEX(INDIRECT($C525&amp;"!O:O"),MATCH($B525,INDIRECT($C525&amp;"!B:B"),0))</f>
        <v>7.33</v>
      </c>
      <c r="E525" s="254">
        <f ca="1">D525-LARGE(D$2:D$619,RBCount+WRCount+TECount+QBCount)</f>
        <v>-76.540000000000006</v>
      </c>
      <c r="F525" s="1" t="str">
        <f ca="1">IF(H525&lt;=I525,"Starter",IF(G525&gt;=LARGE(G:G,FlexOn*LeagueInfo!$F$2),"Starter","Bench"))</f>
        <v>Bench</v>
      </c>
      <c r="G525" s="1">
        <f ca="1">IF(H525&gt;I525,D525,0)</f>
        <v>7.33</v>
      </c>
      <c r="H525" s="1">
        <f ca="1">INDEX(INDIRECT(""&amp;C525&amp;"!A2:A489"),MATCH(B525,INDIRECT(""&amp;C525&amp;"!B2:B489"),0))</f>
        <v>135</v>
      </c>
      <c r="I525" s="1">
        <f>IF(C525="RB",LeagueInfo!$D$4*LeagueInfo!$F$2,IF(C525="WR",LeagueInfo!$D$5*LeagueInfo!$F$2,IF(C525="TE",LeagueInfo!$D$6*LeagueInfo!$F$2,LeagueInfo!$D$3*LeagueInfo!$F$2)))</f>
        <v>24</v>
      </c>
    </row>
    <row r="526" spans="1:9" x14ac:dyDescent="0.25">
      <c r="A526" s="1">
        <f ca="1">RANK(E526,E$2:E$619)</f>
        <v>516</v>
      </c>
      <c r="B526" s="1" t="s">
        <v>543</v>
      </c>
      <c r="C526" s="1" t="s">
        <v>32</v>
      </c>
      <c r="D526" s="1">
        <f ca="1">INDEX(INDIRECT($C526&amp;"!O:O"),MATCH($B526,INDIRECT($C526&amp;"!B:B"),0))</f>
        <v>6.7200000000000006</v>
      </c>
      <c r="E526" s="254">
        <f ca="1">D526-LARGE(D$2:D$619,RBCount+WRCount+TECount+QBCount)</f>
        <v>-77.150000000000006</v>
      </c>
      <c r="F526" s="1" t="str">
        <f ca="1">IF(H526&lt;=I526,"Starter",IF(G526&gt;=LARGE(G:G,FlexOn*LeagueInfo!$F$2),"Starter","Bench"))</f>
        <v>Bench</v>
      </c>
      <c r="G526" s="1">
        <f ca="1">IF(H526&gt;I526,D526,0)</f>
        <v>6.7200000000000006</v>
      </c>
      <c r="H526" s="1">
        <f ca="1">INDEX(INDIRECT(""&amp;C526&amp;"!A2:A489"),MATCH(B526,INDIRECT(""&amp;C526&amp;"!B2:B489"),0))</f>
        <v>142</v>
      </c>
      <c r="I526" s="1">
        <f>IF(C526="RB",LeagueInfo!$D$4*LeagueInfo!$F$2,IF(C526="WR",LeagueInfo!$D$5*LeagueInfo!$F$2,IF(C526="TE",LeagueInfo!$D$6*LeagueInfo!$F$2,LeagueInfo!$D$3*LeagueInfo!$F$2)))</f>
        <v>24</v>
      </c>
    </row>
    <row r="527" spans="1:9" x14ac:dyDescent="0.25">
      <c r="A527" s="1">
        <f ca="1">RANK(E527,E$2:E$619)</f>
        <v>502</v>
      </c>
      <c r="B527" s="1" t="s">
        <v>420</v>
      </c>
      <c r="C527" s="1" t="s">
        <v>33</v>
      </c>
      <c r="D527" s="1">
        <f ca="1">INDEX(INDIRECT($C527&amp;"!O:O"),MATCH($B527,INDIRECT($C527&amp;"!B:B"),0))</f>
        <v>7.12</v>
      </c>
      <c r="E527" s="254">
        <f ca="1">D527-LARGE(D$2:D$619,RBCount+WRCount+TECount+QBCount)</f>
        <v>-76.75</v>
      </c>
      <c r="F527" s="1" t="str">
        <f ca="1">IF(H527&lt;=I527,"Starter",IF(G527&gt;=LARGE(G:G,FlexOn*LeagueInfo!$F$2),"Starter","Bench"))</f>
        <v>Bench</v>
      </c>
      <c r="G527" s="1">
        <f ca="1">IF(H527&gt;I527,D527,0)</f>
        <v>7.12</v>
      </c>
      <c r="H527" s="1">
        <f ca="1">INDEX(INDIRECT(""&amp;C527&amp;"!A2:A489"),MATCH(B527,INDIRECT(""&amp;C527&amp;"!B2:B489"),0))</f>
        <v>64</v>
      </c>
      <c r="I527" s="1">
        <f>IF(C527="RB",LeagueInfo!$D$4*LeagueInfo!$F$2,IF(C527="WR",LeagueInfo!$D$5*LeagueInfo!$F$2,IF(C527="TE",LeagueInfo!$D$6*LeagueInfo!$F$2,LeagueInfo!$D$3*LeagueInfo!$F$2)))</f>
        <v>12</v>
      </c>
    </row>
    <row r="528" spans="1:9" x14ac:dyDescent="0.25">
      <c r="A528" s="1">
        <f ca="1">RANK(E528,E$2:E$619)</f>
        <v>491</v>
      </c>
      <c r="B528" s="1" t="s">
        <v>418</v>
      </c>
      <c r="C528" s="1" t="s">
        <v>33</v>
      </c>
      <c r="D528" s="1">
        <f ca="1">INDEX(INDIRECT($C528&amp;"!O:O"),MATCH($B528,INDIRECT($C528&amp;"!B:B"),0))</f>
        <v>7.4220000000000006</v>
      </c>
      <c r="E528" s="254">
        <f ca="1">D528-LARGE(D$2:D$619,RBCount+WRCount+TECount+QBCount)</f>
        <v>-76.448000000000008</v>
      </c>
      <c r="F528" s="1" t="str">
        <f ca="1">IF(H528&lt;=I528,"Starter",IF(G528&gt;=LARGE(G:G,FlexOn*LeagueInfo!$F$2),"Starter","Bench"))</f>
        <v>Bench</v>
      </c>
      <c r="G528" s="1">
        <f ca="1">IF(H528&gt;I528,D528,0)</f>
        <v>7.4220000000000006</v>
      </c>
      <c r="H528" s="1">
        <f ca="1">INDEX(INDIRECT(""&amp;C528&amp;"!A2:A489"),MATCH(B528,INDIRECT(""&amp;C528&amp;"!B2:B489"),0))</f>
        <v>63</v>
      </c>
      <c r="I528" s="1">
        <f>IF(C528="RB",LeagueInfo!$D$4*LeagueInfo!$F$2,IF(C528="WR",LeagueInfo!$D$5*LeagueInfo!$F$2,IF(C528="TE",LeagueInfo!$D$6*LeagueInfo!$F$2,LeagueInfo!$D$3*LeagueInfo!$F$2)))</f>
        <v>12</v>
      </c>
    </row>
    <row r="529" spans="1:9" x14ac:dyDescent="0.25">
      <c r="A529" s="1">
        <f ca="1">RANK(E529,E$2:E$619)</f>
        <v>534</v>
      </c>
      <c r="B529" s="1" t="s">
        <v>622</v>
      </c>
      <c r="C529" s="1" t="s">
        <v>39</v>
      </c>
      <c r="D529" s="1">
        <f ca="1">INDEX(INDIRECT($C529&amp;"!O:O"),MATCH($B529,INDIRECT($C529&amp;"!B:B"),0))</f>
        <v>6.0700000000000012</v>
      </c>
      <c r="E529" s="254">
        <f ca="1">D529-LARGE(D$2:D$619,RBCount+WRCount+TECount+QBCount)</f>
        <v>-77.8</v>
      </c>
      <c r="F529" s="1" t="str">
        <f ca="1">IF(H529&lt;=I529,"Starter",IF(G529&gt;=LARGE(G:G,FlexOn*LeagueInfo!$F$2),"Starter","Bench"))</f>
        <v>Bench</v>
      </c>
      <c r="G529" s="1">
        <f ca="1">IF(H529&gt;I529,D529,0)</f>
        <v>6.0700000000000012</v>
      </c>
      <c r="H529" s="1">
        <f ca="1">INDEX(INDIRECT(""&amp;C529&amp;"!A2:A489"),MATCH(B529,INDIRECT(""&amp;C529&amp;"!B2:B489"),0))</f>
        <v>214</v>
      </c>
      <c r="I529" s="1">
        <f>IF(C529="RB",LeagueInfo!$D$4*LeagueInfo!$F$2,IF(C529="WR",LeagueInfo!$D$5*LeagueInfo!$F$2,IF(C529="TE",LeagueInfo!$D$6*LeagueInfo!$F$2,LeagueInfo!$D$3*LeagueInfo!$F$2)))</f>
        <v>24</v>
      </c>
    </row>
    <row r="530" spans="1:9" x14ac:dyDescent="0.25">
      <c r="A530" s="1">
        <f ca="1">RANK(E530,E$2:E$619)</f>
        <v>533</v>
      </c>
      <c r="B530" s="1" t="s">
        <v>701</v>
      </c>
      <c r="C530" s="1" t="s">
        <v>39</v>
      </c>
      <c r="D530" s="1">
        <f ca="1">INDEX(INDIRECT($C530&amp;"!O:O"),MATCH($B530,INDIRECT($C530&amp;"!B:B"),0))</f>
        <v>6.1000000000000005</v>
      </c>
      <c r="E530" s="254">
        <f ca="1">D530-LARGE(D$2:D$619,RBCount+WRCount+TECount+QBCount)</f>
        <v>-77.77000000000001</v>
      </c>
      <c r="F530" s="1" t="str">
        <f ca="1">IF(H530&lt;=I530,"Starter",IF(G530&gt;=LARGE(G:G,FlexOn*LeagueInfo!$F$2),"Starter","Bench"))</f>
        <v>Bench</v>
      </c>
      <c r="G530" s="1">
        <f ca="1">IF(H530&gt;I530,D530,0)</f>
        <v>6.1000000000000005</v>
      </c>
      <c r="H530" s="1">
        <f ca="1">INDEX(INDIRECT(""&amp;C530&amp;"!A2:A489"),MATCH(B530,INDIRECT(""&amp;C530&amp;"!B2:B489"),0))</f>
        <v>213</v>
      </c>
      <c r="I530" s="1">
        <f>IF(C530="RB",LeagueInfo!$D$4*LeagueInfo!$F$2,IF(C530="WR",LeagueInfo!$D$5*LeagueInfo!$F$2,IF(C530="TE",LeagueInfo!$D$6*LeagueInfo!$F$2,LeagueInfo!$D$3*LeagueInfo!$F$2)))</f>
        <v>24</v>
      </c>
    </row>
    <row r="531" spans="1:9" x14ac:dyDescent="0.25">
      <c r="A531" s="1">
        <f ca="1">RANK(E531,E$2:E$619)</f>
        <v>527</v>
      </c>
      <c r="B531" s="1" t="s">
        <v>545</v>
      </c>
      <c r="C531" s="1" t="s">
        <v>32</v>
      </c>
      <c r="D531" s="1">
        <f ca="1">INDEX(INDIRECT($C531&amp;"!O:O"),MATCH($B531,INDIRECT($C531&amp;"!B:B"),0))</f>
        <v>6.42</v>
      </c>
      <c r="E531" s="254">
        <f ca="1">D531-LARGE(D$2:D$619,RBCount+WRCount+TECount+QBCount)</f>
        <v>-77.45</v>
      </c>
      <c r="F531" s="1" t="str">
        <f ca="1">IF(H531&lt;=I531,"Starter",IF(G531&gt;=LARGE(G:G,FlexOn*LeagueInfo!$F$2),"Starter","Bench"))</f>
        <v>Bench</v>
      </c>
      <c r="G531" s="1">
        <f ca="1">IF(H531&gt;I531,D531,0)</f>
        <v>6.42</v>
      </c>
      <c r="H531" s="1">
        <f ca="1">INDEX(INDIRECT(""&amp;C531&amp;"!A2:A489"),MATCH(B531,INDIRECT(""&amp;C531&amp;"!B2:B489"),0))</f>
        <v>144</v>
      </c>
      <c r="I531" s="1">
        <f>IF(C531="RB",LeagueInfo!$D$4*LeagueInfo!$F$2,IF(C531="WR",LeagueInfo!$D$5*LeagueInfo!$F$2,IF(C531="TE",LeagueInfo!$D$6*LeagueInfo!$F$2,LeagueInfo!$D$3*LeagueInfo!$F$2)))</f>
        <v>24</v>
      </c>
    </row>
    <row r="532" spans="1:9" x14ac:dyDescent="0.25">
      <c r="A532" s="1">
        <f ca="1">RANK(E532,E$2:E$619)</f>
        <v>531</v>
      </c>
      <c r="B532" s="1" t="s">
        <v>535</v>
      </c>
      <c r="C532" s="1" t="s">
        <v>32</v>
      </c>
      <c r="D532" s="1">
        <f ca="1">INDEX(INDIRECT($C532&amp;"!O:O"),MATCH($B532,INDIRECT($C532&amp;"!B:B"),0))</f>
        <v>6.1400000000000006</v>
      </c>
      <c r="E532" s="254">
        <f ca="1">D532-LARGE(D$2:D$619,RBCount+WRCount+TECount+QBCount)</f>
        <v>-77.73</v>
      </c>
      <c r="F532" s="1" t="str">
        <f ca="1">IF(H532&lt;=I532,"Starter",IF(G532&gt;=LARGE(G:G,FlexOn*LeagueInfo!$F$2),"Starter","Bench"))</f>
        <v>Bench</v>
      </c>
      <c r="G532" s="1">
        <f ca="1">IF(H532&gt;I532,D532,0)</f>
        <v>6.1400000000000006</v>
      </c>
      <c r="H532" s="1">
        <f ca="1">INDEX(INDIRECT(""&amp;C532&amp;"!A2:A489"),MATCH(B532,INDIRECT(""&amp;C532&amp;"!B2:B489"),0))</f>
        <v>145</v>
      </c>
      <c r="I532" s="1">
        <f>IF(C532="RB",LeagueInfo!$D$4*LeagueInfo!$F$2,IF(C532="WR",LeagueInfo!$D$5*LeagueInfo!$F$2,IF(C532="TE",LeagueInfo!$D$6*LeagueInfo!$F$2,LeagueInfo!$D$3*LeagueInfo!$F$2)))</f>
        <v>24</v>
      </c>
    </row>
    <row r="533" spans="1:9" x14ac:dyDescent="0.25">
      <c r="A533" s="1">
        <f ca="1">RANK(E533,E$2:E$619)</f>
        <v>539</v>
      </c>
      <c r="B533" s="1" t="s">
        <v>659</v>
      </c>
      <c r="C533" s="1" t="s">
        <v>39</v>
      </c>
      <c r="D533" s="1">
        <f ca="1">INDEX(INDIRECT($C533&amp;"!O:O"),MATCH($B533,INDIRECT($C533&amp;"!B:B"),0))</f>
        <v>5.83</v>
      </c>
      <c r="E533" s="254">
        <f ca="1">D533-LARGE(D$2:D$619,RBCount+WRCount+TECount+QBCount)</f>
        <v>-78.040000000000006</v>
      </c>
      <c r="F533" s="1" t="str">
        <f ca="1">IF(H533&lt;=I533,"Starter",IF(G533&gt;=LARGE(G:G,FlexOn*LeagueInfo!$F$2),"Starter","Bench"))</f>
        <v>Bench</v>
      </c>
      <c r="G533" s="1">
        <f ca="1">IF(H533&gt;I533,D533,0)</f>
        <v>5.83</v>
      </c>
      <c r="H533" s="1">
        <f ca="1">INDEX(INDIRECT(""&amp;C533&amp;"!A2:A489"),MATCH(B533,INDIRECT(""&amp;C533&amp;"!B2:B489"),0))</f>
        <v>216</v>
      </c>
      <c r="I533" s="1">
        <f>IF(C533="RB",LeagueInfo!$D$4*LeagueInfo!$F$2,IF(C533="WR",LeagueInfo!$D$5*LeagueInfo!$F$2,IF(C533="TE",LeagueInfo!$D$6*LeagueInfo!$F$2,LeagueInfo!$D$3*LeagueInfo!$F$2)))</f>
        <v>24</v>
      </c>
    </row>
    <row r="534" spans="1:9" x14ac:dyDescent="0.25">
      <c r="A534" s="1">
        <f ca="1">RANK(E534,E$2:E$619)</f>
        <v>557</v>
      </c>
      <c r="B534" s="1" t="s">
        <v>785</v>
      </c>
      <c r="C534" s="1" t="s">
        <v>47</v>
      </c>
      <c r="D534" s="1">
        <f ca="1">INDEX(INDIRECT($C534&amp;"!O:O"),MATCH($B534,INDIRECT($C534&amp;"!B:B"),0))</f>
        <v>5.09</v>
      </c>
      <c r="E534" s="254">
        <f ca="1">D534-LARGE(D$2:D$619,RBCount+WRCount+TECount+QBCount)</f>
        <v>-78.78</v>
      </c>
      <c r="F534" s="1" t="str">
        <f ca="1">IF(H534&lt;=I534,"Starter",IF(G534&gt;=LARGE(G:G,FlexOn*LeagueInfo!$F$2),"Starter","Bench"))</f>
        <v>Bench</v>
      </c>
      <c r="G534" s="1">
        <f ca="1">IF(H534&gt;I534,D534,0)</f>
        <v>5.09</v>
      </c>
      <c r="H534" s="1">
        <f ca="1">INDEX(INDIRECT(""&amp;C534&amp;"!A2:A489"),MATCH(B534,INDIRECT(""&amp;C534&amp;"!B2:B489"),0))</f>
        <v>117</v>
      </c>
      <c r="I534" s="1">
        <f>IF(C534="RB",LeagueInfo!$D$4*LeagueInfo!$F$2,IF(C534="WR",LeagueInfo!$D$5*LeagueInfo!$F$2,IF(C534="TE",LeagueInfo!$D$6*LeagueInfo!$F$2,LeagueInfo!$D$3*LeagueInfo!$F$2)))</f>
        <v>12</v>
      </c>
    </row>
    <row r="535" spans="1:9" x14ac:dyDescent="0.25">
      <c r="A535" s="1">
        <f ca="1">RANK(E535,E$2:E$619)</f>
        <v>538</v>
      </c>
      <c r="B535" s="1" t="s">
        <v>686</v>
      </c>
      <c r="C535" s="1" t="s">
        <v>39</v>
      </c>
      <c r="D535" s="1">
        <f ca="1">INDEX(INDIRECT($C535&amp;"!O:O"),MATCH($B535,INDIRECT($C535&amp;"!B:B"),0))</f>
        <v>5.870000000000001</v>
      </c>
      <c r="E535" s="254">
        <f ca="1">D535-LARGE(D$2:D$619,RBCount+WRCount+TECount+QBCount)</f>
        <v>-78</v>
      </c>
      <c r="F535" s="1" t="str">
        <f ca="1">IF(H535&lt;=I535,"Starter",IF(G535&gt;=LARGE(G:G,FlexOn*LeagueInfo!$F$2),"Starter","Bench"))</f>
        <v>Bench</v>
      </c>
      <c r="G535" s="1">
        <f ca="1">IF(H535&gt;I535,D535,0)</f>
        <v>5.870000000000001</v>
      </c>
      <c r="H535" s="1">
        <f ca="1">INDEX(INDIRECT(""&amp;C535&amp;"!A2:A489"),MATCH(B535,INDIRECT(""&amp;C535&amp;"!B2:B489"),0))</f>
        <v>215</v>
      </c>
      <c r="I535" s="1">
        <f>IF(C535="RB",LeagueInfo!$D$4*LeagueInfo!$F$2,IF(C535="WR",LeagueInfo!$D$5*LeagueInfo!$F$2,IF(C535="TE",LeagueInfo!$D$6*LeagueInfo!$F$2,LeagueInfo!$D$3*LeagueInfo!$F$2)))</f>
        <v>24</v>
      </c>
    </row>
    <row r="536" spans="1:9" x14ac:dyDescent="0.25">
      <c r="A536" s="1">
        <f ca="1">RANK(E536,E$2:E$619)</f>
        <v>549</v>
      </c>
      <c r="B536" s="1" t="s">
        <v>780</v>
      </c>
      <c r="C536" s="1" t="s">
        <v>47</v>
      </c>
      <c r="D536" s="1">
        <f ca="1">INDEX(INDIRECT($C536&amp;"!O:O"),MATCH($B536,INDIRECT($C536&amp;"!B:B"),0))</f>
        <v>5.37</v>
      </c>
      <c r="E536" s="254">
        <f ca="1">D536-LARGE(D$2:D$619,RBCount+WRCount+TECount+QBCount)</f>
        <v>-78.5</v>
      </c>
      <c r="F536" s="1" t="str">
        <f ca="1">IF(H536&lt;=I536,"Starter",IF(G536&gt;=LARGE(G:G,FlexOn*LeagueInfo!$F$2),"Starter","Bench"))</f>
        <v>Bench</v>
      </c>
      <c r="G536" s="1">
        <f ca="1">IF(H536&gt;I536,D536,0)</f>
        <v>5.37</v>
      </c>
      <c r="H536" s="1">
        <f ca="1">INDEX(INDIRECT(""&amp;C536&amp;"!A2:A489"),MATCH(B536,INDIRECT(""&amp;C536&amp;"!B2:B489"),0))</f>
        <v>113</v>
      </c>
      <c r="I536" s="1">
        <f>IF(C536="RB",LeagueInfo!$D$4*LeagueInfo!$F$2,IF(C536="WR",LeagueInfo!$D$5*LeagueInfo!$F$2,IF(C536="TE",LeagueInfo!$D$6*LeagueInfo!$F$2,LeagueInfo!$D$3*LeagueInfo!$F$2)))</f>
        <v>12</v>
      </c>
    </row>
    <row r="537" spans="1:9" x14ac:dyDescent="0.25">
      <c r="A537" s="1">
        <f ca="1">RANK(E537,E$2:E$619)</f>
        <v>537</v>
      </c>
      <c r="B537" s="1" t="s">
        <v>800</v>
      </c>
      <c r="C537" s="1" t="s">
        <v>47</v>
      </c>
      <c r="D537" s="1">
        <f ca="1">INDEX(INDIRECT($C537&amp;"!O:O"),MATCH($B537,INDIRECT($C537&amp;"!B:B"),0))</f>
        <v>5.9</v>
      </c>
      <c r="E537" s="254">
        <f ca="1">D537-LARGE(D$2:D$619,RBCount+WRCount+TECount+QBCount)</f>
        <v>-77.97</v>
      </c>
      <c r="F537" s="1" t="str">
        <f ca="1">IF(H537&lt;=I537,"Starter",IF(G537&gt;=LARGE(G:G,FlexOn*LeagueInfo!$F$2),"Starter","Bench"))</f>
        <v>Bench</v>
      </c>
      <c r="G537" s="1">
        <f ca="1">IF(H537&gt;I537,D537,0)</f>
        <v>5.9</v>
      </c>
      <c r="H537" s="1">
        <f ca="1">INDEX(INDIRECT(""&amp;C537&amp;"!A2:A489"),MATCH(B537,INDIRECT(""&amp;C537&amp;"!B2:B489"),0))</f>
        <v>109</v>
      </c>
      <c r="I537" s="1">
        <f>IF(C537="RB",LeagueInfo!$D$4*LeagueInfo!$F$2,IF(C537="WR",LeagueInfo!$D$5*LeagueInfo!$F$2,IF(C537="TE",LeagueInfo!$D$6*LeagueInfo!$F$2,LeagueInfo!$D$3*LeagueInfo!$F$2)))</f>
        <v>12</v>
      </c>
    </row>
    <row r="538" spans="1:9" x14ac:dyDescent="0.25">
      <c r="A538" s="1">
        <f ca="1">RANK(E538,E$2:E$619)</f>
        <v>543</v>
      </c>
      <c r="B538" s="1" t="s">
        <v>694</v>
      </c>
      <c r="C538" s="1" t="s">
        <v>39</v>
      </c>
      <c r="D538" s="1">
        <f ca="1">INDEX(INDIRECT($C538&amp;"!O:O"),MATCH($B538,INDIRECT($C538&amp;"!B:B"),0))</f>
        <v>5.6000000000000005</v>
      </c>
      <c r="E538" s="254">
        <f ca="1">D538-LARGE(D$2:D$619,RBCount+WRCount+TECount+QBCount)</f>
        <v>-78.27000000000001</v>
      </c>
      <c r="F538" s="1" t="str">
        <f ca="1">IF(H538&lt;=I538,"Starter",IF(G538&gt;=LARGE(G:G,FlexOn*LeagueInfo!$F$2),"Starter","Bench"))</f>
        <v>Bench</v>
      </c>
      <c r="G538" s="1">
        <f ca="1">IF(H538&gt;I538,D538,0)</f>
        <v>5.6000000000000005</v>
      </c>
      <c r="H538" s="1">
        <f ca="1">INDEX(INDIRECT(""&amp;C538&amp;"!A2:A489"),MATCH(B538,INDIRECT(""&amp;C538&amp;"!B2:B489"),0))</f>
        <v>218</v>
      </c>
      <c r="I538" s="1">
        <f>IF(C538="RB",LeagueInfo!$D$4*LeagueInfo!$F$2,IF(C538="WR",LeagueInfo!$D$5*LeagueInfo!$F$2,IF(C538="TE",LeagueInfo!$D$6*LeagueInfo!$F$2,LeagueInfo!$D$3*LeagueInfo!$F$2)))</f>
        <v>24</v>
      </c>
    </row>
    <row r="539" spans="1:9" x14ac:dyDescent="0.25">
      <c r="A539" s="1">
        <f ca="1">RANK(E539,E$2:E$619)</f>
        <v>545</v>
      </c>
      <c r="B539" s="1" t="s">
        <v>782</v>
      </c>
      <c r="C539" s="1" t="s">
        <v>47</v>
      </c>
      <c r="D539" s="1">
        <f ca="1">INDEX(INDIRECT($C539&amp;"!O:O"),MATCH($B539,INDIRECT($C539&amp;"!B:B"),0))</f>
        <v>5.58</v>
      </c>
      <c r="E539" s="254">
        <f ca="1">D539-LARGE(D$2:D$619,RBCount+WRCount+TECount+QBCount)</f>
        <v>-78.290000000000006</v>
      </c>
      <c r="F539" s="1" t="str">
        <f ca="1">IF(H539&lt;=I539,"Starter",IF(G539&gt;=LARGE(G:G,FlexOn*LeagueInfo!$F$2),"Starter","Bench"))</f>
        <v>Bench</v>
      </c>
      <c r="G539" s="1">
        <f ca="1">IF(H539&gt;I539,D539,0)</f>
        <v>5.58</v>
      </c>
      <c r="H539" s="1">
        <f ca="1">INDEX(INDIRECT(""&amp;C539&amp;"!A2:A489"),MATCH(B539,INDIRECT(""&amp;C539&amp;"!B2:B489"),0))</f>
        <v>111</v>
      </c>
      <c r="I539" s="1">
        <f>IF(C539="RB",LeagueInfo!$D$4*LeagueInfo!$F$2,IF(C539="WR",LeagueInfo!$D$5*LeagueInfo!$F$2,IF(C539="TE",LeagueInfo!$D$6*LeagueInfo!$F$2,LeagueInfo!$D$3*LeagueInfo!$F$2)))</f>
        <v>12</v>
      </c>
    </row>
    <row r="540" spans="1:9" x14ac:dyDescent="0.25">
      <c r="A540" s="1">
        <f ca="1">RANK(E540,E$2:E$619)</f>
        <v>513</v>
      </c>
      <c r="B540" s="1" t="s">
        <v>513</v>
      </c>
      <c r="C540" s="1" t="s">
        <v>32</v>
      </c>
      <c r="D540" s="1">
        <f ca="1">INDEX(INDIRECT($C540&amp;"!O:O"),MATCH($B540,INDIRECT($C540&amp;"!B:B"),0))</f>
        <v>6.8</v>
      </c>
      <c r="E540" s="254">
        <f ca="1">D540-LARGE(D$2:D$619,RBCount+WRCount+TECount+QBCount)</f>
        <v>-77.070000000000007</v>
      </c>
      <c r="F540" s="1" t="str">
        <f ca="1">IF(H540&lt;=I540,"Starter",IF(G540&gt;=LARGE(G:G,FlexOn*LeagueInfo!$F$2),"Starter","Bench"))</f>
        <v>Bench</v>
      </c>
      <c r="G540" s="1">
        <f ca="1">IF(H540&gt;I540,D540,0)</f>
        <v>6.8</v>
      </c>
      <c r="H540" s="1">
        <f ca="1">INDEX(INDIRECT(""&amp;C540&amp;"!A2:A489"),MATCH(B540,INDIRECT(""&amp;C540&amp;"!B2:B489"),0))</f>
        <v>140</v>
      </c>
      <c r="I540" s="1">
        <f>IF(C540="RB",LeagueInfo!$D$4*LeagueInfo!$F$2,IF(C540="WR",LeagueInfo!$D$5*LeagueInfo!$F$2,IF(C540="TE",LeagueInfo!$D$6*LeagueInfo!$F$2,LeagueInfo!$D$3*LeagueInfo!$F$2)))</f>
        <v>24</v>
      </c>
    </row>
    <row r="541" spans="1:9" x14ac:dyDescent="0.25">
      <c r="A541" s="1">
        <f ca="1">RANK(E541,E$2:E$619)</f>
        <v>544</v>
      </c>
      <c r="B541" s="1" t="s">
        <v>801</v>
      </c>
      <c r="C541" s="1" t="s">
        <v>47</v>
      </c>
      <c r="D541" s="1">
        <f ca="1">INDEX(INDIRECT($C541&amp;"!O:O"),MATCH($B541,INDIRECT($C541&amp;"!B:B"),0))</f>
        <v>5.59</v>
      </c>
      <c r="E541" s="254">
        <f ca="1">D541-LARGE(D$2:D$619,RBCount+WRCount+TECount+QBCount)</f>
        <v>-78.28</v>
      </c>
      <c r="F541" s="1" t="str">
        <f ca="1">IF(H541&lt;=I541,"Starter",IF(G541&gt;=LARGE(G:G,FlexOn*LeagueInfo!$F$2),"Starter","Bench"))</f>
        <v>Bench</v>
      </c>
      <c r="G541" s="1">
        <f ca="1">IF(H541&gt;I541,D541,0)</f>
        <v>5.59</v>
      </c>
      <c r="H541" s="1">
        <f ca="1">INDEX(INDIRECT(""&amp;C541&amp;"!A2:A489"),MATCH(B541,INDIRECT(""&amp;C541&amp;"!B2:B489"),0))</f>
        <v>110</v>
      </c>
      <c r="I541" s="1">
        <f>IF(C541="RB",LeagueInfo!$D$4*LeagueInfo!$F$2,IF(C541="WR",LeagueInfo!$D$5*LeagueInfo!$F$2,IF(C541="TE",LeagueInfo!$D$6*LeagueInfo!$F$2,LeagueInfo!$D$3*LeagueInfo!$F$2)))</f>
        <v>12</v>
      </c>
    </row>
    <row r="542" spans="1:9" x14ac:dyDescent="0.25">
      <c r="A542" s="1">
        <f ca="1">RANK(E542,E$2:E$619)</f>
        <v>554</v>
      </c>
      <c r="B542" s="1" t="s">
        <v>898</v>
      </c>
      <c r="C542" s="1" t="s">
        <v>47</v>
      </c>
      <c r="D542" s="1">
        <f ca="1">INDEX(INDIRECT($C542&amp;"!O:O"),MATCH($B542,INDIRECT($C542&amp;"!B:B"),0))</f>
        <v>5.13</v>
      </c>
      <c r="E542" s="254">
        <f ca="1">D542-LARGE(D$2:D$619,RBCount+WRCount+TECount+QBCount)</f>
        <v>-78.740000000000009</v>
      </c>
      <c r="F542" s="1" t="str">
        <f ca="1">IF(H542&lt;=I542,"Starter",IF(G542&gt;=LARGE(G:G,FlexOn*LeagueInfo!$F$2),"Starter","Bench"))</f>
        <v>Bench</v>
      </c>
      <c r="G542" s="1">
        <f ca="1">IF(H542&gt;I542,D542,0)</f>
        <v>5.13</v>
      </c>
      <c r="H542" s="1">
        <f ca="1">INDEX(INDIRECT(""&amp;C542&amp;"!A2:A489"),MATCH(B542,INDIRECT(""&amp;C542&amp;"!B2:B489"),0))</f>
        <v>115</v>
      </c>
      <c r="I542" s="1">
        <f>IF(C542="RB",LeagueInfo!$D$4*LeagueInfo!$F$2,IF(C542="WR",LeagueInfo!$D$5*LeagueInfo!$F$2,IF(C542="TE",LeagueInfo!$D$6*LeagueInfo!$F$2,LeagueInfo!$D$3*LeagueInfo!$F$2)))</f>
        <v>12</v>
      </c>
    </row>
    <row r="543" spans="1:9" x14ac:dyDescent="0.25">
      <c r="A543" s="1">
        <f ca="1">RANK(E543,E$2:E$619)</f>
        <v>515</v>
      </c>
      <c r="B543" s="1" t="s">
        <v>505</v>
      </c>
      <c r="C543" s="1" t="s">
        <v>32</v>
      </c>
      <c r="D543" s="1">
        <f ca="1">INDEX(INDIRECT($C543&amp;"!O:O"),MATCH($B543,INDIRECT($C543&amp;"!B:B"),0))</f>
        <v>6.7600000000000007</v>
      </c>
      <c r="E543" s="254">
        <f ca="1">D543-LARGE(D$2:D$619,RBCount+WRCount+TECount+QBCount)</f>
        <v>-77.11</v>
      </c>
      <c r="F543" s="1" t="str">
        <f ca="1">IF(H543&lt;=I543,"Starter",IF(G543&gt;=LARGE(G:G,FlexOn*LeagueInfo!$F$2),"Starter","Bench"))</f>
        <v>Bench</v>
      </c>
      <c r="G543" s="1">
        <f ca="1">IF(H543&gt;I543,D543,0)</f>
        <v>6.7600000000000007</v>
      </c>
      <c r="H543" s="1">
        <f ca="1">INDEX(INDIRECT(""&amp;C543&amp;"!A2:A489"),MATCH(B543,INDIRECT(""&amp;C543&amp;"!B2:B489"),0))</f>
        <v>141</v>
      </c>
      <c r="I543" s="1">
        <f>IF(C543="RB",LeagueInfo!$D$4*LeagueInfo!$F$2,IF(C543="WR",LeagueInfo!$D$5*LeagueInfo!$F$2,IF(C543="TE",LeagueInfo!$D$6*LeagueInfo!$F$2,LeagueInfo!$D$3*LeagueInfo!$F$2)))</f>
        <v>24</v>
      </c>
    </row>
    <row r="544" spans="1:9" x14ac:dyDescent="0.25">
      <c r="A544" s="1">
        <f ca="1">RANK(E544,E$2:E$619)</f>
        <v>559</v>
      </c>
      <c r="B544" s="1" t="s">
        <v>706</v>
      </c>
      <c r="C544" s="1" t="s">
        <v>39</v>
      </c>
      <c r="D544" s="1">
        <f ca="1">INDEX(INDIRECT($C544&amp;"!O:O"),MATCH($B544,INDIRECT($C544&amp;"!B:B"),0))</f>
        <v>5.0400000000000009</v>
      </c>
      <c r="E544" s="254">
        <f ca="1">D544-LARGE(D$2:D$619,RBCount+WRCount+TECount+QBCount)</f>
        <v>-78.83</v>
      </c>
      <c r="F544" s="1" t="str">
        <f ca="1">IF(H544&lt;=I544,"Starter",IF(G544&gt;=LARGE(G:G,FlexOn*LeagueInfo!$F$2),"Starter","Bench"))</f>
        <v>Bench</v>
      </c>
      <c r="G544" s="1">
        <f ca="1">IF(H544&gt;I544,D544,0)</f>
        <v>5.0400000000000009</v>
      </c>
      <c r="H544" s="1">
        <f ca="1">INDEX(INDIRECT(""&amp;C544&amp;"!A2:A489"),MATCH(B544,INDIRECT(""&amp;C544&amp;"!B2:B489"),0))</f>
        <v>222</v>
      </c>
      <c r="I544" s="1">
        <f>IF(C544="RB",LeagueInfo!$D$4*LeagueInfo!$F$2,IF(C544="WR",LeagueInfo!$D$5*LeagueInfo!$F$2,IF(C544="TE",LeagueInfo!$D$6*LeagueInfo!$F$2,LeagueInfo!$D$3*LeagueInfo!$F$2)))</f>
        <v>24</v>
      </c>
    </row>
    <row r="545" spans="1:9" x14ac:dyDescent="0.25">
      <c r="A545" s="1">
        <f ca="1">RANK(E545,E$2:E$619)</f>
        <v>555</v>
      </c>
      <c r="B545" s="1" t="s">
        <v>802</v>
      </c>
      <c r="C545" s="1" t="s">
        <v>47</v>
      </c>
      <c r="D545" s="1">
        <f ca="1">INDEX(INDIRECT($C545&amp;"!O:O"),MATCH($B545,INDIRECT($C545&amp;"!B:B"),0))</f>
        <v>5.12</v>
      </c>
      <c r="E545" s="254">
        <f ca="1">D545-LARGE(D$2:D$619,RBCount+WRCount+TECount+QBCount)</f>
        <v>-78.75</v>
      </c>
      <c r="F545" s="1" t="str">
        <f ca="1">IF(H545&lt;=I545,"Starter",IF(G545&gt;=LARGE(G:G,FlexOn*LeagueInfo!$F$2),"Starter","Bench"))</f>
        <v>Bench</v>
      </c>
      <c r="G545" s="1">
        <f ca="1">IF(H545&gt;I545,D545,0)</f>
        <v>5.12</v>
      </c>
      <c r="H545" s="1">
        <f ca="1">INDEX(INDIRECT(""&amp;C545&amp;"!A2:A489"),MATCH(B545,INDIRECT(""&amp;C545&amp;"!B2:B489"),0))</f>
        <v>116</v>
      </c>
      <c r="I545" s="1">
        <f>IF(C545="RB",LeagueInfo!$D$4*LeagueInfo!$F$2,IF(C545="WR",LeagueInfo!$D$5*LeagueInfo!$F$2,IF(C545="TE",LeagueInfo!$D$6*LeagueInfo!$F$2,LeagueInfo!$D$3*LeagueInfo!$F$2)))</f>
        <v>12</v>
      </c>
    </row>
    <row r="546" spans="1:9" x14ac:dyDescent="0.25">
      <c r="A546" s="1">
        <f ca="1">RANK(E546,E$2:E$619)</f>
        <v>535</v>
      </c>
      <c r="B546" s="1" t="s">
        <v>517</v>
      </c>
      <c r="C546" s="1" t="s">
        <v>32</v>
      </c>
      <c r="D546" s="1">
        <f ca="1">INDEX(INDIRECT($C546&amp;"!O:O"),MATCH($B546,INDIRECT($C546&amp;"!B:B"),0))</f>
        <v>5.9799999999999995</v>
      </c>
      <c r="E546" s="254">
        <f ca="1">D546-LARGE(D$2:D$619,RBCount+WRCount+TECount+QBCount)</f>
        <v>-77.89</v>
      </c>
      <c r="F546" s="1" t="str">
        <f ca="1">IF(H546&lt;=I546,"Starter",IF(G546&gt;=LARGE(G:G,FlexOn*LeagueInfo!$F$2),"Starter","Bench"))</f>
        <v>Bench</v>
      </c>
      <c r="G546" s="1">
        <f ca="1">IF(H546&gt;I546,D546,0)</f>
        <v>5.9799999999999995</v>
      </c>
      <c r="H546" s="1">
        <f ca="1">INDEX(INDIRECT(""&amp;C546&amp;"!A2:A489"),MATCH(B546,INDIRECT(""&amp;C546&amp;"!B2:B489"),0))</f>
        <v>146</v>
      </c>
      <c r="I546" s="1">
        <f>IF(C546="RB",LeagueInfo!$D$4*LeagueInfo!$F$2,IF(C546="WR",LeagueInfo!$D$5*LeagueInfo!$F$2,IF(C546="TE",LeagueInfo!$D$6*LeagueInfo!$F$2,LeagueInfo!$D$3*LeagueInfo!$F$2)))</f>
        <v>24</v>
      </c>
    </row>
    <row r="547" spans="1:9" x14ac:dyDescent="0.25">
      <c r="A547" s="1">
        <f ca="1">RANK(E547,E$2:E$619)</f>
        <v>551</v>
      </c>
      <c r="B547" s="1" t="s">
        <v>787</v>
      </c>
      <c r="C547" s="1" t="s">
        <v>47</v>
      </c>
      <c r="D547" s="1">
        <f ca="1">INDEX(INDIRECT($C547&amp;"!O:O"),MATCH($B547,INDIRECT($C547&amp;"!B:B"),0))</f>
        <v>5.2700000000000005</v>
      </c>
      <c r="E547" s="254">
        <f ca="1">D547-LARGE(D$2:D$619,RBCount+WRCount+TECount+QBCount)</f>
        <v>-78.600000000000009</v>
      </c>
      <c r="F547" s="1" t="str">
        <f ca="1">IF(H547&lt;=I547,"Starter",IF(G547&gt;=LARGE(G:G,FlexOn*LeagueInfo!$F$2),"Starter","Bench"))</f>
        <v>Bench</v>
      </c>
      <c r="G547" s="1">
        <f ca="1">IF(H547&gt;I547,D547,0)</f>
        <v>5.2700000000000005</v>
      </c>
      <c r="H547" s="1">
        <f ca="1">INDEX(INDIRECT(""&amp;C547&amp;"!A2:A489"),MATCH(B547,INDIRECT(""&amp;C547&amp;"!B2:B489"),0))</f>
        <v>114</v>
      </c>
      <c r="I547" s="1">
        <f>IF(C547="RB",LeagueInfo!$D$4*LeagueInfo!$F$2,IF(C547="WR",LeagueInfo!$D$5*LeagueInfo!$F$2,IF(C547="TE",LeagueInfo!$D$6*LeagueInfo!$F$2,LeagueInfo!$D$3*LeagueInfo!$F$2)))</f>
        <v>12</v>
      </c>
    </row>
    <row r="548" spans="1:9" x14ac:dyDescent="0.25">
      <c r="A548" s="1">
        <f ca="1">RANK(E548,E$2:E$619)</f>
        <v>556</v>
      </c>
      <c r="B548" s="1" t="s">
        <v>641</v>
      </c>
      <c r="C548" s="1" t="s">
        <v>39</v>
      </c>
      <c r="D548" s="1">
        <f ca="1">INDEX(INDIRECT($C548&amp;"!O:O"),MATCH($B548,INDIRECT($C548&amp;"!B:B"),0))</f>
        <v>5.1000000000000005</v>
      </c>
      <c r="E548" s="254">
        <f ca="1">D548-LARGE(D$2:D$619,RBCount+WRCount+TECount+QBCount)</f>
        <v>-78.77000000000001</v>
      </c>
      <c r="F548" s="1" t="str">
        <f ca="1">IF(H548&lt;=I548,"Starter",IF(G548&gt;=LARGE(G:G,FlexOn*LeagueInfo!$F$2),"Starter","Bench"))</f>
        <v>Bench</v>
      </c>
      <c r="G548" s="1">
        <f ca="1">IF(H548&gt;I548,D548,0)</f>
        <v>5.1000000000000005</v>
      </c>
      <c r="H548" s="1">
        <f ca="1">INDEX(INDIRECT(""&amp;C548&amp;"!A2:A489"),MATCH(B548,INDIRECT(""&amp;C548&amp;"!B2:B489"),0))</f>
        <v>221</v>
      </c>
      <c r="I548" s="1">
        <f>IF(C548="RB",LeagueInfo!$D$4*LeagueInfo!$F$2,IF(C548="WR",LeagueInfo!$D$5*LeagueInfo!$F$2,IF(C548="TE",LeagueInfo!$D$6*LeagueInfo!$F$2,LeagueInfo!$D$3*LeagueInfo!$F$2)))</f>
        <v>24</v>
      </c>
    </row>
    <row r="549" spans="1:9" x14ac:dyDescent="0.25">
      <c r="A549" s="1">
        <f ca="1">RANK(E549,E$2:E$619)</f>
        <v>565</v>
      </c>
      <c r="B549" s="1" t="s">
        <v>796</v>
      </c>
      <c r="C549" s="1" t="s">
        <v>47</v>
      </c>
      <c r="D549" s="1">
        <f ca="1">INDEX(INDIRECT($C549&amp;"!O:O"),MATCH($B549,INDIRECT($C549&amp;"!B:B"),0))</f>
        <v>4.71</v>
      </c>
      <c r="E549" s="254">
        <f ca="1">D549-LARGE(D$2:D$619,RBCount+WRCount+TECount+QBCount)</f>
        <v>-79.160000000000011</v>
      </c>
      <c r="F549" s="1" t="str">
        <f ca="1">IF(H549&lt;=I549,"Starter",IF(G549&gt;=LARGE(G:G,FlexOn*LeagueInfo!$F$2),"Starter","Bench"))</f>
        <v>Bench</v>
      </c>
      <c r="G549" s="1">
        <f ca="1">IF(H549&gt;I549,D549,0)</f>
        <v>4.71</v>
      </c>
      <c r="H549" s="1">
        <f ca="1">INDEX(INDIRECT(""&amp;C549&amp;"!A2:A489"),MATCH(B549,INDIRECT(""&amp;C549&amp;"!B2:B489"),0))</f>
        <v>120</v>
      </c>
      <c r="I549" s="1">
        <f>IF(C549="RB",LeagueInfo!$D$4*LeagueInfo!$F$2,IF(C549="WR",LeagueInfo!$D$5*LeagueInfo!$F$2,IF(C549="TE",LeagueInfo!$D$6*LeagueInfo!$F$2,LeagueInfo!$D$3*LeagueInfo!$F$2)))</f>
        <v>12</v>
      </c>
    </row>
    <row r="550" spans="1:9" x14ac:dyDescent="0.25">
      <c r="A550" s="1">
        <f ca="1">RANK(E550,E$2:E$619)</f>
        <v>519</v>
      </c>
      <c r="B550" s="1" t="s">
        <v>417</v>
      </c>
      <c r="C550" s="1" t="s">
        <v>33</v>
      </c>
      <c r="D550" s="1">
        <f ca="1">INDEX(INDIRECT($C550&amp;"!O:O"),MATCH($B550,INDIRECT($C550&amp;"!B:B"),0))</f>
        <v>6.71</v>
      </c>
      <c r="E550" s="254">
        <f ca="1">D550-LARGE(D$2:D$619,RBCount+WRCount+TECount+QBCount)</f>
        <v>-77.160000000000011</v>
      </c>
      <c r="F550" s="1" t="str">
        <f ca="1">IF(H550&lt;=I550,"Starter",IF(G550&gt;=LARGE(G:G,FlexOn*LeagueInfo!$F$2),"Starter","Bench"))</f>
        <v>Bench</v>
      </c>
      <c r="G550" s="1">
        <f ca="1">IF(H550&gt;I550,D550,0)</f>
        <v>6.71</v>
      </c>
      <c r="H550" s="1">
        <f ca="1">INDEX(INDIRECT(""&amp;C550&amp;"!A2:A489"),MATCH(B550,INDIRECT(""&amp;C550&amp;"!B2:B489"),0))</f>
        <v>65</v>
      </c>
      <c r="I550" s="1">
        <f>IF(C550="RB",LeagueInfo!$D$4*LeagueInfo!$F$2,IF(C550="WR",LeagueInfo!$D$5*LeagueInfo!$F$2,IF(C550="TE",LeagueInfo!$D$6*LeagueInfo!$F$2,LeagueInfo!$D$3*LeagueInfo!$F$2)))</f>
        <v>12</v>
      </c>
    </row>
    <row r="551" spans="1:9" x14ac:dyDescent="0.25">
      <c r="A551" s="1">
        <f ca="1">RANK(E551,E$2:E$619)</f>
        <v>547</v>
      </c>
      <c r="B551" s="1" t="s">
        <v>695</v>
      </c>
      <c r="C551" s="1" t="s">
        <v>39</v>
      </c>
      <c r="D551" s="1">
        <f ca="1">INDEX(INDIRECT($C551&amp;"!O:O"),MATCH($B551,INDIRECT($C551&amp;"!B:B"),0))</f>
        <v>5.45</v>
      </c>
      <c r="E551" s="254">
        <f ca="1">D551-LARGE(D$2:D$619,RBCount+WRCount+TECount+QBCount)</f>
        <v>-78.42</v>
      </c>
      <c r="F551" s="1" t="str">
        <f ca="1">IF(H551&lt;=I551,"Starter",IF(G551&gt;=LARGE(G:G,FlexOn*LeagueInfo!$F$2),"Starter","Bench"))</f>
        <v>Bench</v>
      </c>
      <c r="G551" s="1">
        <f ca="1">IF(H551&gt;I551,D551,0)</f>
        <v>5.45</v>
      </c>
      <c r="H551" s="1">
        <f ca="1">INDEX(INDIRECT(""&amp;C551&amp;"!A2:A489"),MATCH(B551,INDIRECT(""&amp;C551&amp;"!B2:B489"),0))</f>
        <v>219</v>
      </c>
      <c r="I551" s="1">
        <f>IF(C551="RB",LeagueInfo!$D$4*LeagueInfo!$F$2,IF(C551="WR",LeagueInfo!$D$5*LeagueInfo!$F$2,IF(C551="TE",LeagueInfo!$D$6*LeagueInfo!$F$2,LeagueInfo!$D$3*LeagueInfo!$F$2)))</f>
        <v>24</v>
      </c>
    </row>
    <row r="552" spans="1:9" x14ac:dyDescent="0.25">
      <c r="A552" s="1">
        <f ca="1">RANK(E552,E$2:E$619)</f>
        <v>564</v>
      </c>
      <c r="B552" s="1" t="s">
        <v>778</v>
      </c>
      <c r="C552" s="1" t="s">
        <v>47</v>
      </c>
      <c r="D552" s="1">
        <f ca="1">INDEX(INDIRECT($C552&amp;"!O:O"),MATCH($B552,INDIRECT($C552&amp;"!B:B"),0))</f>
        <v>4.76</v>
      </c>
      <c r="E552" s="254">
        <f ca="1">D552-LARGE(D$2:D$619,RBCount+WRCount+TECount+QBCount)</f>
        <v>-79.11</v>
      </c>
      <c r="F552" s="1" t="str">
        <f ca="1">IF(H552&lt;=I552,"Starter",IF(G552&gt;=LARGE(G:G,FlexOn*LeagueInfo!$F$2),"Starter","Bench"))</f>
        <v>Bench</v>
      </c>
      <c r="G552" s="1">
        <f ca="1">IF(H552&gt;I552,D552,0)</f>
        <v>4.76</v>
      </c>
      <c r="H552" s="1">
        <f ca="1">INDEX(INDIRECT(""&amp;C552&amp;"!A2:A489"),MATCH(B552,INDIRECT(""&amp;C552&amp;"!B2:B489"),0))</f>
        <v>119</v>
      </c>
      <c r="I552" s="1">
        <f>IF(C552="RB",LeagueInfo!$D$4*LeagueInfo!$F$2,IF(C552="WR",LeagueInfo!$D$5*LeagueInfo!$F$2,IF(C552="TE",LeagueInfo!$D$6*LeagueInfo!$F$2,LeagueInfo!$D$3*LeagueInfo!$F$2)))</f>
        <v>12</v>
      </c>
    </row>
    <row r="553" spans="1:9" x14ac:dyDescent="0.25">
      <c r="A553" s="1">
        <f ca="1">RANK(E553,E$2:E$619)</f>
        <v>562</v>
      </c>
      <c r="B553" s="1" t="s">
        <v>626</v>
      </c>
      <c r="C553" s="1" t="s">
        <v>39</v>
      </c>
      <c r="D553" s="1">
        <f ca="1">INDEX(INDIRECT($C553&amp;"!O:O"),MATCH($B553,INDIRECT($C553&amp;"!B:B"),0))</f>
        <v>4.9700000000000006</v>
      </c>
      <c r="E553" s="254">
        <f ca="1">D553-LARGE(D$2:D$619,RBCount+WRCount+TECount+QBCount)</f>
        <v>-78.900000000000006</v>
      </c>
      <c r="F553" s="1" t="str">
        <f ca="1">IF(H553&lt;=I553,"Starter",IF(G553&gt;=LARGE(G:G,FlexOn*LeagueInfo!$F$2),"Starter","Bench"))</f>
        <v>Bench</v>
      </c>
      <c r="G553" s="1">
        <f ca="1">IF(H553&gt;I553,D553,0)</f>
        <v>4.9700000000000006</v>
      </c>
      <c r="H553" s="1">
        <f ca="1">INDEX(INDIRECT(""&amp;C553&amp;"!A2:A489"),MATCH(B553,INDIRECT(""&amp;C553&amp;"!B2:B489"),0))</f>
        <v>223</v>
      </c>
      <c r="I553" s="1">
        <f>IF(C553="RB",LeagueInfo!$D$4*LeagueInfo!$F$2,IF(C553="WR",LeagueInfo!$D$5*LeagueInfo!$F$2,IF(C553="TE",LeagueInfo!$D$6*LeagueInfo!$F$2,LeagueInfo!$D$3*LeagueInfo!$F$2)))</f>
        <v>24</v>
      </c>
    </row>
    <row r="554" spans="1:9" x14ac:dyDescent="0.25">
      <c r="A554" s="1">
        <f ca="1">RANK(E554,E$2:E$619)</f>
        <v>552</v>
      </c>
      <c r="B554" s="1" t="s">
        <v>689</v>
      </c>
      <c r="C554" s="1" t="s">
        <v>39</v>
      </c>
      <c r="D554" s="1">
        <f ca="1">INDEX(INDIRECT($C554&amp;"!O:O"),MATCH($B554,INDIRECT($C554&amp;"!B:B"),0))</f>
        <v>5.25</v>
      </c>
      <c r="E554" s="254">
        <f ca="1">D554-LARGE(D$2:D$619,RBCount+WRCount+TECount+QBCount)</f>
        <v>-78.62</v>
      </c>
      <c r="F554" s="1" t="str">
        <f ca="1">IF(H554&lt;=I554,"Starter",IF(G554&gt;=LARGE(G:G,FlexOn*LeagueInfo!$F$2),"Starter","Bench"))</f>
        <v>Bench</v>
      </c>
      <c r="G554" s="1">
        <f ca="1">IF(H554&gt;I554,D554,0)</f>
        <v>5.25</v>
      </c>
      <c r="H554" s="1">
        <f ca="1">INDEX(INDIRECT(""&amp;C554&amp;"!A2:A489"),MATCH(B554,INDIRECT(""&amp;C554&amp;"!B2:B489"),0))</f>
        <v>220</v>
      </c>
      <c r="I554" s="1">
        <f>IF(C554="RB",LeagueInfo!$D$4*LeagueInfo!$F$2,IF(C554="WR",LeagueInfo!$D$5*LeagueInfo!$F$2,IF(C554="TE",LeagueInfo!$D$6*LeagueInfo!$F$2,LeagueInfo!$D$3*LeagueInfo!$F$2)))</f>
        <v>24</v>
      </c>
    </row>
    <row r="555" spans="1:9" x14ac:dyDescent="0.25">
      <c r="A555" s="1">
        <f ca="1">RANK(E555,E$2:E$619)</f>
        <v>566</v>
      </c>
      <c r="B555" s="1" t="s">
        <v>803</v>
      </c>
      <c r="C555" s="1" t="s">
        <v>47</v>
      </c>
      <c r="D555" s="1">
        <f ca="1">INDEX(INDIRECT($C555&amp;"!O:O"),MATCH($B555,INDIRECT($C555&amp;"!B:B"),0))</f>
        <v>4.7</v>
      </c>
      <c r="E555" s="254">
        <f ca="1">D555-LARGE(D$2:D$619,RBCount+WRCount+TECount+QBCount)</f>
        <v>-79.17</v>
      </c>
      <c r="F555" s="1" t="str">
        <f ca="1">IF(H555&lt;=I555,"Starter",IF(G555&gt;=LARGE(G:G,FlexOn*LeagueInfo!$F$2),"Starter","Bench"))</f>
        <v>Bench</v>
      </c>
      <c r="G555" s="1">
        <f ca="1">IF(H555&gt;I555,D555,0)</f>
        <v>4.7</v>
      </c>
      <c r="H555" s="1">
        <f ca="1">INDEX(INDIRECT(""&amp;C555&amp;"!A2:A489"),MATCH(B555,INDIRECT(""&amp;C555&amp;"!B2:B489"),0))</f>
        <v>121</v>
      </c>
      <c r="I555" s="1">
        <f>IF(C555="RB",LeagueInfo!$D$4*LeagueInfo!$F$2,IF(C555="WR",LeagueInfo!$D$5*LeagueInfo!$F$2,IF(C555="TE",LeagueInfo!$D$6*LeagueInfo!$F$2,LeagueInfo!$D$3*LeagueInfo!$F$2)))</f>
        <v>12</v>
      </c>
    </row>
    <row r="556" spans="1:9" x14ac:dyDescent="0.25">
      <c r="A556" s="1">
        <f ca="1">RANK(E556,E$2:E$619)</f>
        <v>530</v>
      </c>
      <c r="B556" s="1" t="s">
        <v>426</v>
      </c>
      <c r="C556" s="1" t="s">
        <v>33</v>
      </c>
      <c r="D556" s="1">
        <f ca="1">INDEX(INDIRECT($C556&amp;"!O:O"),MATCH($B556,INDIRECT($C556&amp;"!B:B"),0))</f>
        <v>6.1920000000000002</v>
      </c>
      <c r="E556" s="254">
        <f ca="1">D556-LARGE(D$2:D$619,RBCount+WRCount+TECount+QBCount)</f>
        <v>-77.677999999999997</v>
      </c>
      <c r="F556" s="1" t="str">
        <f ca="1">IF(H556&lt;=I556,"Starter",IF(G556&gt;=LARGE(G:G,FlexOn*LeagueInfo!$F$2),"Starter","Bench"))</f>
        <v>Bench</v>
      </c>
      <c r="G556" s="1">
        <f ca="1">IF(H556&gt;I556,D556,0)</f>
        <v>6.1920000000000002</v>
      </c>
      <c r="H556" s="1">
        <f ca="1">INDEX(INDIRECT(""&amp;C556&amp;"!A2:A489"),MATCH(B556,INDIRECT(""&amp;C556&amp;"!B2:B489"),0))</f>
        <v>66</v>
      </c>
      <c r="I556" s="1">
        <f>IF(C556="RB",LeagueInfo!$D$4*LeagueInfo!$F$2,IF(C556="WR",LeagueInfo!$D$5*LeagueInfo!$F$2,IF(C556="TE",LeagueInfo!$D$6*LeagueInfo!$F$2,LeagueInfo!$D$3*LeagueInfo!$F$2)))</f>
        <v>12</v>
      </c>
    </row>
    <row r="557" spans="1:9" x14ac:dyDescent="0.25">
      <c r="A557" s="1">
        <f ca="1">RANK(E557,E$2:E$619)</f>
        <v>563</v>
      </c>
      <c r="B557" s="1" t="s">
        <v>804</v>
      </c>
      <c r="C557" s="1" t="s">
        <v>47</v>
      </c>
      <c r="D557" s="1">
        <f ca="1">INDEX(INDIRECT($C557&amp;"!O:O"),MATCH($B557,INDIRECT($C557&amp;"!B:B"),0))</f>
        <v>4.82</v>
      </c>
      <c r="E557" s="254">
        <f ca="1">D557-LARGE(D$2:D$619,RBCount+WRCount+TECount+QBCount)</f>
        <v>-79.050000000000011</v>
      </c>
      <c r="F557" s="1" t="str">
        <f ca="1">IF(H557&lt;=I557,"Starter",IF(G557&gt;=LARGE(G:G,FlexOn*LeagueInfo!$F$2),"Starter","Bench"))</f>
        <v>Bench</v>
      </c>
      <c r="G557" s="1">
        <f ca="1">IF(H557&gt;I557,D557,0)</f>
        <v>4.82</v>
      </c>
      <c r="H557" s="1">
        <f ca="1">INDEX(INDIRECT(""&amp;C557&amp;"!A2:A489"),MATCH(B557,INDIRECT(""&amp;C557&amp;"!B2:B489"),0))</f>
        <v>118</v>
      </c>
      <c r="I557" s="1">
        <f>IF(C557="RB",LeagueInfo!$D$4*LeagueInfo!$F$2,IF(C557="WR",LeagueInfo!$D$5*LeagueInfo!$F$2,IF(C557="TE",LeagueInfo!$D$6*LeagueInfo!$F$2,LeagueInfo!$D$3*LeagueInfo!$F$2)))</f>
        <v>12</v>
      </c>
    </row>
    <row r="558" spans="1:9" x14ac:dyDescent="0.25">
      <c r="A558" s="1">
        <f ca="1">RANK(E558,E$2:E$619)</f>
        <v>542</v>
      </c>
      <c r="B558" s="1" t="s">
        <v>499</v>
      </c>
      <c r="C558" s="1" t="s">
        <v>32</v>
      </c>
      <c r="D558" s="1">
        <f ca="1">INDEX(INDIRECT($C558&amp;"!O:O"),MATCH($B558,INDIRECT($C558&amp;"!B:B"),0))</f>
        <v>5.7</v>
      </c>
      <c r="E558" s="254">
        <f ca="1">D558-LARGE(D$2:D$619,RBCount+WRCount+TECount+QBCount)</f>
        <v>-78.17</v>
      </c>
      <c r="F558" s="1" t="str">
        <f ca="1">IF(H558&lt;=I558,"Starter",IF(G558&gt;=LARGE(G:G,FlexOn*LeagueInfo!$F$2),"Starter","Bench"))</f>
        <v>Bench</v>
      </c>
      <c r="G558" s="1">
        <f ca="1">IF(H558&gt;I558,D558,0)</f>
        <v>5.7</v>
      </c>
      <c r="H558" s="1">
        <f ca="1">INDEX(INDIRECT(""&amp;C558&amp;"!A2:A489"),MATCH(B558,INDIRECT(""&amp;C558&amp;"!B2:B489"),0))</f>
        <v>147</v>
      </c>
      <c r="I558" s="1">
        <f>IF(C558="RB",LeagueInfo!$D$4*LeagueInfo!$F$2,IF(C558="WR",LeagueInfo!$D$5*LeagueInfo!$F$2,IF(C558="TE",LeagueInfo!$D$6*LeagueInfo!$F$2,LeagueInfo!$D$3*LeagueInfo!$F$2)))</f>
        <v>24</v>
      </c>
    </row>
    <row r="559" spans="1:9" x14ac:dyDescent="0.25">
      <c r="A559" s="1">
        <f ca="1">RANK(E559,E$2:E$619)</f>
        <v>536</v>
      </c>
      <c r="B559" s="1" t="s">
        <v>425</v>
      </c>
      <c r="C559" s="1" t="s">
        <v>33</v>
      </c>
      <c r="D559" s="1">
        <f ca="1">INDEX(INDIRECT($C559&amp;"!O:O"),MATCH($B559,INDIRECT($C559&amp;"!B:B"),0))</f>
        <v>5.9379999999999997</v>
      </c>
      <c r="E559" s="254">
        <f ca="1">D559-LARGE(D$2:D$619,RBCount+WRCount+TECount+QBCount)</f>
        <v>-77.932000000000002</v>
      </c>
      <c r="F559" s="1" t="str">
        <f ca="1">IF(H559&lt;=I559,"Starter",IF(G559&gt;=LARGE(G:G,FlexOn*LeagueInfo!$F$2),"Starter","Bench"))</f>
        <v>Bench</v>
      </c>
      <c r="G559" s="1">
        <f ca="1">IF(H559&gt;I559,D559,0)</f>
        <v>5.9379999999999997</v>
      </c>
      <c r="H559" s="1">
        <f ca="1">INDEX(INDIRECT(""&amp;C559&amp;"!A2:A489"),MATCH(B559,INDIRECT(""&amp;C559&amp;"!B2:B489"),0))</f>
        <v>68</v>
      </c>
      <c r="I559" s="1">
        <f>IF(C559="RB",LeagueInfo!$D$4*LeagueInfo!$F$2,IF(C559="WR",LeagueInfo!$D$5*LeagueInfo!$F$2,IF(C559="TE",LeagueInfo!$D$6*LeagueInfo!$F$2,LeagueInfo!$D$3*LeagueInfo!$F$2)))</f>
        <v>12</v>
      </c>
    </row>
    <row r="560" spans="1:9" x14ac:dyDescent="0.25">
      <c r="A560" s="1">
        <f ca="1">RANK(E560,E$2:E$619)</f>
        <v>553</v>
      </c>
      <c r="B560" s="1" t="s">
        <v>516</v>
      </c>
      <c r="C560" s="1" t="s">
        <v>32</v>
      </c>
      <c r="D560" s="1">
        <f ca="1">INDEX(INDIRECT($C560&amp;"!O:O"),MATCH($B560,INDIRECT($C560&amp;"!B:B"),0))</f>
        <v>5.18</v>
      </c>
      <c r="E560" s="254">
        <f ca="1">D560-LARGE(D$2:D$619,RBCount+WRCount+TECount+QBCount)</f>
        <v>-78.69</v>
      </c>
      <c r="F560" s="1" t="str">
        <f ca="1">IF(H560&lt;=I560,"Starter",IF(G560&gt;=LARGE(G:G,FlexOn*LeagueInfo!$F$2),"Starter","Bench"))</f>
        <v>Bench</v>
      </c>
      <c r="G560" s="1">
        <f ca="1">IF(H560&gt;I560,D560,0)</f>
        <v>5.18</v>
      </c>
      <c r="H560" s="1">
        <f ca="1">INDEX(INDIRECT(""&amp;C560&amp;"!A2:A489"),MATCH(B560,INDIRECT(""&amp;C560&amp;"!B2:B489"),0))</f>
        <v>148</v>
      </c>
      <c r="I560" s="1">
        <f>IF(C560="RB",LeagueInfo!$D$4*LeagueInfo!$F$2,IF(C560="WR",LeagueInfo!$D$5*LeagueInfo!$F$2,IF(C560="TE",LeagueInfo!$D$6*LeagueInfo!$F$2,LeagueInfo!$D$3*LeagueInfo!$F$2)))</f>
        <v>24</v>
      </c>
    </row>
    <row r="561" spans="1:9" x14ac:dyDescent="0.25">
      <c r="A561" s="1">
        <f ca="1">RANK(E561,E$2:E$619)</f>
        <v>532</v>
      </c>
      <c r="B561" s="1" t="s">
        <v>424</v>
      </c>
      <c r="C561" s="1" t="s">
        <v>33</v>
      </c>
      <c r="D561" s="1">
        <f ca="1">INDEX(INDIRECT($C561&amp;"!O:O"),MATCH($B561,INDIRECT($C561&amp;"!B:B"),0))</f>
        <v>6.1080000000000005</v>
      </c>
      <c r="E561" s="254">
        <f ca="1">D561-LARGE(D$2:D$619,RBCount+WRCount+TECount+QBCount)</f>
        <v>-77.762</v>
      </c>
      <c r="F561" s="1" t="str">
        <f ca="1">IF(H561&lt;=I561,"Starter",IF(G561&gt;=LARGE(G:G,FlexOn*LeagueInfo!$F$2),"Starter","Bench"))</f>
        <v>Bench</v>
      </c>
      <c r="G561" s="1">
        <f ca="1">IF(H561&gt;I561,D561,0)</f>
        <v>6.1080000000000005</v>
      </c>
      <c r="H561" s="1">
        <f ca="1">INDEX(INDIRECT(""&amp;C561&amp;"!A2:A489"),MATCH(B561,INDIRECT(""&amp;C561&amp;"!B2:B489"),0))</f>
        <v>67</v>
      </c>
      <c r="I561" s="1">
        <f>IF(C561="RB",LeagueInfo!$D$4*LeagueInfo!$F$2,IF(C561="WR",LeagueInfo!$D$5*LeagueInfo!$F$2,IF(C561="TE",LeagueInfo!$D$6*LeagueInfo!$F$2,LeagueInfo!$D$3*LeagueInfo!$F$2)))</f>
        <v>12</v>
      </c>
    </row>
    <row r="562" spans="1:9" x14ac:dyDescent="0.25">
      <c r="A562" s="1">
        <f ca="1">RANK(E562,E$2:E$619)</f>
        <v>558</v>
      </c>
      <c r="B562" s="1" t="s">
        <v>542</v>
      </c>
      <c r="C562" s="1" t="s">
        <v>32</v>
      </c>
      <c r="D562" s="1">
        <f ca="1">INDEX(INDIRECT($C562&amp;"!O:O"),MATCH($B562,INDIRECT($C562&amp;"!B:B"),0))</f>
        <v>5.07</v>
      </c>
      <c r="E562" s="254">
        <f ca="1">D562-LARGE(D$2:D$619,RBCount+WRCount+TECount+QBCount)</f>
        <v>-78.800000000000011</v>
      </c>
      <c r="F562" s="1" t="str">
        <f ca="1">IF(H562&lt;=I562,"Starter",IF(G562&gt;=LARGE(G:G,FlexOn*LeagueInfo!$F$2),"Starter","Bench"))</f>
        <v>Bench</v>
      </c>
      <c r="G562" s="1">
        <f ca="1">IF(H562&gt;I562,D562,0)</f>
        <v>5.07</v>
      </c>
      <c r="H562" s="1">
        <f ca="1">INDEX(INDIRECT(""&amp;C562&amp;"!A2:A489"),MATCH(B562,INDIRECT(""&amp;C562&amp;"!B2:B489"),0))</f>
        <v>149</v>
      </c>
      <c r="I562" s="1">
        <f>IF(C562="RB",LeagueInfo!$D$4*LeagueInfo!$F$2,IF(C562="WR",LeagueInfo!$D$5*LeagueInfo!$F$2,IF(C562="TE",LeagueInfo!$D$6*LeagueInfo!$F$2,LeagueInfo!$D$3*LeagueInfo!$F$2)))</f>
        <v>24</v>
      </c>
    </row>
    <row r="563" spans="1:9" x14ac:dyDescent="0.25">
      <c r="A563" s="1">
        <f ca="1">RANK(E563,E$2:E$619)</f>
        <v>561</v>
      </c>
      <c r="B563" s="1" t="s">
        <v>518</v>
      </c>
      <c r="C563" s="1" t="s">
        <v>32</v>
      </c>
      <c r="D563" s="1">
        <f ca="1">INDEX(INDIRECT($C563&amp;"!O:O"),MATCH($B563,INDIRECT($C563&amp;"!B:B"),0))</f>
        <v>5</v>
      </c>
      <c r="E563" s="254">
        <f ca="1">D563-LARGE(D$2:D$619,RBCount+WRCount+TECount+QBCount)</f>
        <v>-78.87</v>
      </c>
      <c r="F563" s="1" t="str">
        <f ca="1">IF(H563&lt;=I563,"Starter",IF(G563&gt;=LARGE(G:G,FlexOn*LeagueInfo!$F$2),"Starter","Bench"))</f>
        <v>Bench</v>
      </c>
      <c r="G563" s="1">
        <f ca="1">IF(H563&gt;I563,D563,0)</f>
        <v>5</v>
      </c>
      <c r="H563" s="1">
        <f ca="1">INDEX(INDIRECT(""&amp;C563&amp;"!A2:A489"),MATCH(B563,INDIRECT(""&amp;C563&amp;"!B2:B489"),0))</f>
        <v>151</v>
      </c>
      <c r="I563" s="1">
        <f>IF(C563="RB",LeagueInfo!$D$4*LeagueInfo!$F$2,IF(C563="WR",LeagueInfo!$D$5*LeagueInfo!$F$2,IF(C563="TE",LeagueInfo!$D$6*LeagueInfo!$F$2,LeagueInfo!$D$3*LeagueInfo!$F$2)))</f>
        <v>24</v>
      </c>
    </row>
    <row r="564" spans="1:9" x14ac:dyDescent="0.25">
      <c r="A564" s="1">
        <f ca="1">RANK(E564,E$2:E$619)</f>
        <v>571</v>
      </c>
      <c r="B564" s="1" t="s">
        <v>642</v>
      </c>
      <c r="C564" s="1" t="s">
        <v>39</v>
      </c>
      <c r="D564" s="1">
        <f ca="1">INDEX(INDIRECT($C564&amp;"!O:O"),MATCH($B564,INDIRECT($C564&amp;"!B:B"),0))</f>
        <v>4.4200000000000017</v>
      </c>
      <c r="E564" s="254">
        <f ca="1">D564-LARGE(D$2:D$619,RBCount+WRCount+TECount+QBCount)</f>
        <v>-79.45</v>
      </c>
      <c r="F564" s="1" t="str">
        <f ca="1">IF(H564&lt;=I564,"Starter",IF(G564&gt;=LARGE(G:G,FlexOn*LeagueInfo!$F$2),"Starter","Bench"))</f>
        <v>Bench</v>
      </c>
      <c r="G564" s="1">
        <f ca="1">IF(H564&gt;I564,D564,0)</f>
        <v>4.4200000000000017</v>
      </c>
      <c r="H564" s="1">
        <f ca="1">INDEX(INDIRECT(""&amp;C564&amp;"!A2:A489"),MATCH(B564,INDIRECT(""&amp;C564&amp;"!B2:B489"),0))</f>
        <v>225</v>
      </c>
      <c r="I564" s="1">
        <f>IF(C564="RB",LeagueInfo!$D$4*LeagueInfo!$F$2,IF(C564="WR",LeagueInfo!$D$5*LeagueInfo!$F$2,IF(C564="TE",LeagueInfo!$D$6*LeagueInfo!$F$2,LeagueInfo!$D$3*LeagueInfo!$F$2)))</f>
        <v>24</v>
      </c>
    </row>
    <row r="565" spans="1:9" x14ac:dyDescent="0.25">
      <c r="A565" s="1">
        <f ca="1">RANK(E565,E$2:E$619)</f>
        <v>540</v>
      </c>
      <c r="B565" s="1" t="s">
        <v>421</v>
      </c>
      <c r="C565" s="1" t="s">
        <v>33</v>
      </c>
      <c r="D565" s="1">
        <f ca="1">INDEX(INDIRECT($C565&amp;"!O:O"),MATCH($B565,INDIRECT($C565&amp;"!B:B"),0))</f>
        <v>5.8079999999999998</v>
      </c>
      <c r="E565" s="254">
        <f ca="1">D565-LARGE(D$2:D$619,RBCount+WRCount+TECount+QBCount)</f>
        <v>-78.062000000000012</v>
      </c>
      <c r="F565" s="1" t="str">
        <f ca="1">IF(H565&lt;=I565,"Starter",IF(G565&gt;=LARGE(G:G,FlexOn*LeagueInfo!$F$2),"Starter","Bench"))</f>
        <v>Bench</v>
      </c>
      <c r="G565" s="1">
        <f ca="1">IF(H565&gt;I565,D565,0)</f>
        <v>5.8079999999999998</v>
      </c>
      <c r="H565" s="1">
        <f ca="1">INDEX(INDIRECT(""&amp;C565&amp;"!A2:A489"),MATCH(B565,INDIRECT(""&amp;C565&amp;"!B2:B489"),0))</f>
        <v>69</v>
      </c>
      <c r="I565" s="1">
        <f>IF(C565="RB",LeagueInfo!$D$4*LeagueInfo!$F$2,IF(C565="WR",LeagueInfo!$D$5*LeagueInfo!$F$2,IF(C565="TE",LeagueInfo!$D$6*LeagueInfo!$F$2,LeagueInfo!$D$3*LeagueInfo!$F$2)))</f>
        <v>12</v>
      </c>
    </row>
    <row r="566" spans="1:9" x14ac:dyDescent="0.25">
      <c r="A566" s="1">
        <f ca="1">RANK(E566,E$2:E$619)</f>
        <v>566</v>
      </c>
      <c r="B566" s="1" t="s">
        <v>779</v>
      </c>
      <c r="C566" s="1" t="s">
        <v>47</v>
      </c>
      <c r="D566" s="1">
        <f ca="1">INDEX(INDIRECT($C566&amp;"!O:O"),MATCH($B566,INDIRECT($C566&amp;"!B:B"),0))</f>
        <v>4.7</v>
      </c>
      <c r="E566" s="254">
        <f ca="1">D566-LARGE(D$2:D$619,RBCount+WRCount+TECount+QBCount)</f>
        <v>-79.17</v>
      </c>
      <c r="F566" s="1" t="str">
        <f ca="1">IF(H566&lt;=I566,"Starter",IF(G566&gt;=LARGE(G:G,FlexOn*LeagueInfo!$F$2),"Starter","Bench"))</f>
        <v>Bench</v>
      </c>
      <c r="G566" s="1">
        <f ca="1">IF(H566&gt;I566,D566,0)</f>
        <v>4.7</v>
      </c>
      <c r="H566" s="1">
        <f ca="1">INDEX(INDIRECT(""&amp;C566&amp;"!A2:A489"),MATCH(B566,INDIRECT(""&amp;C566&amp;"!B2:B489"),0))</f>
        <v>121</v>
      </c>
      <c r="I566" s="1">
        <f>IF(C566="RB",LeagueInfo!$D$4*LeagueInfo!$F$2,IF(C566="WR",LeagueInfo!$D$5*LeagueInfo!$F$2,IF(C566="TE",LeagueInfo!$D$6*LeagueInfo!$F$2,LeagueInfo!$D$3*LeagueInfo!$F$2)))</f>
        <v>12</v>
      </c>
    </row>
    <row r="567" spans="1:9" x14ac:dyDescent="0.25">
      <c r="A567" s="1">
        <f ca="1">RANK(E567,E$2:E$619)</f>
        <v>570</v>
      </c>
      <c r="B567" s="1" t="s">
        <v>649</v>
      </c>
      <c r="C567" s="1" t="s">
        <v>39</v>
      </c>
      <c r="D567" s="1">
        <f ca="1">INDEX(INDIRECT($C567&amp;"!O:O"),MATCH($B567,INDIRECT($C567&amp;"!B:B"),0))</f>
        <v>4.4600000000000009</v>
      </c>
      <c r="E567" s="254">
        <f ca="1">D567-LARGE(D$2:D$619,RBCount+WRCount+TECount+QBCount)</f>
        <v>-79.41</v>
      </c>
      <c r="F567" s="1" t="str">
        <f ca="1">IF(H567&lt;=I567,"Starter",IF(G567&gt;=LARGE(G:G,FlexOn*LeagueInfo!$F$2),"Starter","Bench"))</f>
        <v>Bench</v>
      </c>
      <c r="G567" s="1">
        <f ca="1">IF(H567&gt;I567,D567,0)</f>
        <v>4.4600000000000009</v>
      </c>
      <c r="H567" s="1">
        <f ca="1">INDEX(INDIRECT(""&amp;C567&amp;"!A2:A489"),MATCH(B567,INDIRECT(""&amp;C567&amp;"!B2:B489"),0))</f>
        <v>224</v>
      </c>
      <c r="I567" s="1">
        <f>IF(C567="RB",LeagueInfo!$D$4*LeagueInfo!$F$2,IF(C567="WR",LeagueInfo!$D$5*LeagueInfo!$F$2,IF(C567="TE",LeagueInfo!$D$6*LeagueInfo!$F$2,LeagueInfo!$D$3*LeagueInfo!$F$2)))</f>
        <v>24</v>
      </c>
    </row>
    <row r="568" spans="1:9" x14ac:dyDescent="0.25">
      <c r="A568" s="1">
        <f ca="1">RANK(E568,E$2:E$619)</f>
        <v>550</v>
      </c>
      <c r="B568" s="1" t="s">
        <v>427</v>
      </c>
      <c r="C568" s="1" t="s">
        <v>33</v>
      </c>
      <c r="D568" s="1">
        <f ca="1">INDEX(INDIRECT($C568&amp;"!O:O"),MATCH($B568,INDIRECT($C568&amp;"!B:B"),0))</f>
        <v>5.3159999999999998</v>
      </c>
      <c r="E568" s="254">
        <f ca="1">D568-LARGE(D$2:D$619,RBCount+WRCount+TECount+QBCount)</f>
        <v>-78.554000000000002</v>
      </c>
      <c r="F568" s="1" t="str">
        <f ca="1">IF(H568&lt;=I568,"Starter",IF(G568&gt;=LARGE(G:G,FlexOn*LeagueInfo!$F$2),"Starter","Bench"))</f>
        <v>Bench</v>
      </c>
      <c r="G568" s="1">
        <f ca="1">IF(H568&gt;I568,D568,0)</f>
        <v>5.3159999999999998</v>
      </c>
      <c r="H568" s="1">
        <f ca="1">INDEX(INDIRECT(""&amp;C568&amp;"!A2:A489"),MATCH(B568,INDIRECT(""&amp;C568&amp;"!B2:B489"),0))</f>
        <v>71</v>
      </c>
      <c r="I568" s="1">
        <f>IF(C568="RB",LeagueInfo!$D$4*LeagueInfo!$F$2,IF(C568="WR",LeagueInfo!$D$5*LeagueInfo!$F$2,IF(C568="TE",LeagueInfo!$D$6*LeagueInfo!$F$2,LeagueInfo!$D$3*LeagueInfo!$F$2)))</f>
        <v>12</v>
      </c>
    </row>
    <row r="569" spans="1:9" x14ac:dyDescent="0.25">
      <c r="A569" s="1">
        <f ca="1">RANK(E569,E$2:E$619)</f>
        <v>569</v>
      </c>
      <c r="B569" s="1" t="s">
        <v>496</v>
      </c>
      <c r="C569" s="1" t="s">
        <v>32</v>
      </c>
      <c r="D569" s="1">
        <f ca="1">INDEX(INDIRECT($C569&amp;"!O:O"),MATCH($B569,INDIRECT($C569&amp;"!B:B"),0))</f>
        <v>4.4899999999999993</v>
      </c>
      <c r="E569" s="254">
        <f ca="1">D569-LARGE(D$2:D$619,RBCount+WRCount+TECount+QBCount)</f>
        <v>-79.38000000000001</v>
      </c>
      <c r="F569" s="1" t="str">
        <f ca="1">IF(H569&lt;=I569,"Starter",IF(G569&gt;=LARGE(G:G,FlexOn*LeagueInfo!$F$2),"Starter","Bench"))</f>
        <v>Bench</v>
      </c>
      <c r="G569" s="1">
        <f ca="1">IF(H569&gt;I569,D569,0)</f>
        <v>4.4899999999999993</v>
      </c>
      <c r="H569" s="1">
        <f ca="1">INDEX(INDIRECT(""&amp;C569&amp;"!A2:A489"),MATCH(B569,INDIRECT(""&amp;C569&amp;"!B2:B489"),0))</f>
        <v>153</v>
      </c>
      <c r="I569" s="1">
        <f>IF(C569="RB",LeagueInfo!$D$4*LeagueInfo!$F$2,IF(C569="WR",LeagueInfo!$D$5*LeagueInfo!$F$2,IF(C569="TE",LeagueInfo!$D$6*LeagueInfo!$F$2,LeagueInfo!$D$3*LeagueInfo!$F$2)))</f>
        <v>24</v>
      </c>
    </row>
    <row r="570" spans="1:9" x14ac:dyDescent="0.25">
      <c r="A570" s="1">
        <f ca="1">RANK(E570,E$2:E$619)</f>
        <v>575</v>
      </c>
      <c r="B570" s="1" t="s">
        <v>805</v>
      </c>
      <c r="C570" s="1" t="s">
        <v>47</v>
      </c>
      <c r="D570" s="1">
        <f ca="1">INDEX(INDIRECT($C570&amp;"!O:O"),MATCH($B570,INDIRECT($C570&amp;"!B:B"),0))</f>
        <v>4.0299999999999994</v>
      </c>
      <c r="E570" s="254">
        <f ca="1">D570-LARGE(D$2:D$619,RBCount+WRCount+TECount+QBCount)</f>
        <v>-79.84</v>
      </c>
      <c r="F570" s="1" t="str">
        <f ca="1">IF(H570&lt;=I570,"Starter",IF(G570&gt;=LARGE(G:G,FlexOn*LeagueInfo!$F$2),"Starter","Bench"))</f>
        <v>Bench</v>
      </c>
      <c r="G570" s="1">
        <f ca="1">IF(H570&gt;I570,D570,0)</f>
        <v>4.0299999999999994</v>
      </c>
      <c r="H570" s="1">
        <f ca="1">INDEX(INDIRECT(""&amp;C570&amp;"!A2:A489"),MATCH(B570,INDIRECT(""&amp;C570&amp;"!B2:B489"),0))</f>
        <v>123</v>
      </c>
      <c r="I570" s="1">
        <f>IF(C570="RB",LeagueInfo!$D$4*LeagueInfo!$F$2,IF(C570="WR",LeagueInfo!$D$5*LeagueInfo!$F$2,IF(C570="TE",LeagueInfo!$D$6*LeagueInfo!$F$2,LeagueInfo!$D$3*LeagueInfo!$F$2)))</f>
        <v>12</v>
      </c>
    </row>
    <row r="571" spans="1:9" x14ac:dyDescent="0.25">
      <c r="A571" s="1">
        <f ca="1">RANK(E571,E$2:E$619)</f>
        <v>559</v>
      </c>
      <c r="B571" s="1" t="s">
        <v>515</v>
      </c>
      <c r="C571" s="1" t="s">
        <v>32</v>
      </c>
      <c r="D571" s="1">
        <f ca="1">INDEX(INDIRECT($C571&amp;"!O:O"),MATCH($B571,INDIRECT($C571&amp;"!B:B"),0))</f>
        <v>5.04</v>
      </c>
      <c r="E571" s="254">
        <f ca="1">D571-LARGE(D$2:D$619,RBCount+WRCount+TECount+QBCount)</f>
        <v>-78.83</v>
      </c>
      <c r="F571" s="1" t="str">
        <f ca="1">IF(H571&lt;=I571,"Starter",IF(G571&gt;=LARGE(G:G,FlexOn*LeagueInfo!$F$2),"Starter","Bench"))</f>
        <v>Bench</v>
      </c>
      <c r="G571" s="1">
        <f ca="1">IF(H571&gt;I571,D571,0)</f>
        <v>5.04</v>
      </c>
      <c r="H571" s="1">
        <f ca="1">INDEX(INDIRECT(""&amp;C571&amp;"!A2:A489"),MATCH(B571,INDIRECT(""&amp;C571&amp;"!B2:B489"),0))</f>
        <v>150</v>
      </c>
      <c r="I571" s="1">
        <f>IF(C571="RB",LeagueInfo!$D$4*LeagueInfo!$F$2,IF(C571="WR",LeagueInfo!$D$5*LeagueInfo!$F$2,IF(C571="TE",LeagueInfo!$D$6*LeagueInfo!$F$2,LeagueInfo!$D$3*LeagueInfo!$F$2)))</f>
        <v>24</v>
      </c>
    </row>
    <row r="572" spans="1:9" x14ac:dyDescent="0.25">
      <c r="A572" s="1">
        <f ca="1">RANK(E572,E$2:E$619)</f>
        <v>546</v>
      </c>
      <c r="B572" s="1" t="s">
        <v>422</v>
      </c>
      <c r="C572" s="1" t="s">
        <v>33</v>
      </c>
      <c r="D572" s="1">
        <f ca="1">INDEX(INDIRECT($C572&amp;"!O:O"),MATCH($B572,INDIRECT($C572&amp;"!B:B"),0))</f>
        <v>5.5380000000000003</v>
      </c>
      <c r="E572" s="254">
        <f ca="1">D572-LARGE(D$2:D$619,RBCount+WRCount+TECount+QBCount)</f>
        <v>-78.332000000000008</v>
      </c>
      <c r="F572" s="1" t="str">
        <f ca="1">IF(H572&lt;=I572,"Starter",IF(G572&gt;=LARGE(G:G,FlexOn*LeagueInfo!$F$2),"Starter","Bench"))</f>
        <v>Bench</v>
      </c>
      <c r="G572" s="1">
        <f ca="1">IF(H572&gt;I572,D572,0)</f>
        <v>5.5380000000000003</v>
      </c>
      <c r="H572" s="1">
        <f ca="1">INDEX(INDIRECT(""&amp;C572&amp;"!A2:A489"),MATCH(B572,INDIRECT(""&amp;C572&amp;"!B2:B489"),0))</f>
        <v>70</v>
      </c>
      <c r="I572" s="1">
        <f>IF(C572="RB",LeagueInfo!$D$4*LeagueInfo!$F$2,IF(C572="WR",LeagueInfo!$D$5*LeagueInfo!$F$2,IF(C572="TE",LeagueInfo!$D$6*LeagueInfo!$F$2,LeagueInfo!$D$3*LeagueInfo!$F$2)))</f>
        <v>12</v>
      </c>
    </row>
    <row r="573" spans="1:9" x14ac:dyDescent="0.25">
      <c r="A573" s="1">
        <f ca="1">RANK(E573,E$2:E$619)</f>
        <v>583</v>
      </c>
      <c r="B573" s="1" t="s">
        <v>324</v>
      </c>
      <c r="C573" s="1" t="s">
        <v>39</v>
      </c>
      <c r="D573" s="1">
        <f ca="1">INDEX(INDIRECT($C573&amp;"!O:O"),MATCH($B573,INDIRECT($C573&amp;"!B:B"),0))</f>
        <v>3.6300000000000003</v>
      </c>
      <c r="E573" s="254">
        <f ca="1">D573-LARGE(D$2:D$619,RBCount+WRCount+TECount+QBCount)</f>
        <v>-80.240000000000009</v>
      </c>
      <c r="F573" s="1" t="str">
        <f ca="1">IF(H573&lt;=I573,"Starter",IF(G573&gt;=LARGE(G:G,FlexOn*LeagueInfo!$F$2),"Starter","Bench"))</f>
        <v>Bench</v>
      </c>
      <c r="G573" s="1">
        <f ca="1">IF(H573&gt;I573,D573,0)</f>
        <v>3.6300000000000003</v>
      </c>
      <c r="H573" s="1">
        <f ca="1">INDEX(INDIRECT(""&amp;C573&amp;"!A2:A489"),MATCH(B573,INDIRECT(""&amp;C573&amp;"!B2:B489"),0))</f>
        <v>226</v>
      </c>
      <c r="I573" s="1">
        <f>IF(C573="RB",LeagueInfo!$D$4*LeagueInfo!$F$2,IF(C573="WR",LeagueInfo!$D$5*LeagueInfo!$F$2,IF(C573="TE",LeagueInfo!$D$6*LeagueInfo!$F$2,LeagueInfo!$D$3*LeagueInfo!$F$2)))</f>
        <v>24</v>
      </c>
    </row>
    <row r="574" spans="1:9" x14ac:dyDescent="0.25">
      <c r="A574" s="1">
        <f ca="1">RANK(E574,E$2:E$619)</f>
        <v>573</v>
      </c>
      <c r="B574" s="1" t="s">
        <v>521</v>
      </c>
      <c r="C574" s="1" t="s">
        <v>32</v>
      </c>
      <c r="D574" s="1">
        <f ca="1">INDEX(INDIRECT($C574&amp;"!O:O"),MATCH($B574,INDIRECT($C574&amp;"!B:B"),0))</f>
        <v>4.2</v>
      </c>
      <c r="E574" s="254">
        <f ca="1">D574-LARGE(D$2:D$619,RBCount+WRCount+TECount+QBCount)</f>
        <v>-79.67</v>
      </c>
      <c r="F574" s="1" t="str">
        <f ca="1">IF(H574&lt;=I574,"Starter",IF(G574&gt;=LARGE(G:G,FlexOn*LeagueInfo!$F$2),"Starter","Bench"))</f>
        <v>Bench</v>
      </c>
      <c r="G574" s="1">
        <f ca="1">IF(H574&gt;I574,D574,0)</f>
        <v>4.2</v>
      </c>
      <c r="H574" s="1">
        <f ca="1">INDEX(INDIRECT(""&amp;C574&amp;"!A2:A489"),MATCH(B574,INDIRECT(""&amp;C574&amp;"!B2:B489"),0))</f>
        <v>155</v>
      </c>
      <c r="I574" s="1">
        <f>IF(C574="RB",LeagueInfo!$D$4*LeagueInfo!$F$2,IF(C574="WR",LeagueInfo!$D$5*LeagueInfo!$F$2,IF(C574="TE",LeagueInfo!$D$6*LeagueInfo!$F$2,LeagueInfo!$D$3*LeagueInfo!$F$2)))</f>
        <v>24</v>
      </c>
    </row>
    <row r="575" spans="1:9" x14ac:dyDescent="0.25">
      <c r="A575" s="1">
        <f ca="1">RANK(E575,E$2:E$619)</f>
        <v>579</v>
      </c>
      <c r="B575" s="1" t="s">
        <v>930</v>
      </c>
      <c r="C575" s="1" t="s">
        <v>47</v>
      </c>
      <c r="D575" s="1">
        <f ca="1">INDEX(INDIRECT($C575&amp;"!O:O"),MATCH($B575,INDIRECT($C575&amp;"!B:B"),0))</f>
        <v>3.9000000000000004</v>
      </c>
      <c r="E575" s="254">
        <f ca="1">D575-LARGE(D$2:D$619,RBCount+WRCount+TECount+QBCount)</f>
        <v>-79.97</v>
      </c>
      <c r="F575" s="1" t="str">
        <f ca="1">IF(H575&lt;=I575,"Starter",IF(G575&gt;=LARGE(G:G,FlexOn*LeagueInfo!$F$2),"Starter","Bench"))</f>
        <v>Bench</v>
      </c>
      <c r="G575" s="1">
        <f ca="1">IF(H575&gt;I575,D575,0)</f>
        <v>3.9000000000000004</v>
      </c>
      <c r="H575" s="1">
        <f ca="1">INDEX(INDIRECT(""&amp;C575&amp;"!A2:A489"),MATCH(B575,INDIRECT(""&amp;C575&amp;"!B2:B489"),0))</f>
        <v>124</v>
      </c>
      <c r="I575" s="1">
        <f>IF(C575="RB",LeagueInfo!$D$4*LeagueInfo!$F$2,IF(C575="WR",LeagueInfo!$D$5*LeagueInfo!$F$2,IF(C575="TE",LeagueInfo!$D$6*LeagueInfo!$F$2,LeagueInfo!$D$3*LeagueInfo!$F$2)))</f>
        <v>12</v>
      </c>
    </row>
    <row r="576" spans="1:9" x14ac:dyDescent="0.25">
      <c r="A576" s="1">
        <f ca="1">RANK(E576,E$2:E$619)</f>
        <v>572</v>
      </c>
      <c r="B576" s="1" t="s">
        <v>524</v>
      </c>
      <c r="C576" s="1" t="s">
        <v>32</v>
      </c>
      <c r="D576" s="1">
        <f ca="1">INDEX(INDIRECT($C576&amp;"!O:O"),MATCH($B576,INDIRECT($C576&amp;"!B:B"),0))</f>
        <v>4.2300000000000004</v>
      </c>
      <c r="E576" s="254">
        <f ca="1">D576-LARGE(D$2:D$619,RBCount+WRCount+TECount+QBCount)</f>
        <v>-79.64</v>
      </c>
      <c r="F576" s="1" t="str">
        <f ca="1">IF(H576&lt;=I576,"Starter",IF(G576&gt;=LARGE(G:G,FlexOn*LeagueInfo!$F$2),"Starter","Bench"))</f>
        <v>Bench</v>
      </c>
      <c r="G576" s="1">
        <f ca="1">IF(H576&gt;I576,D576,0)</f>
        <v>4.2300000000000004</v>
      </c>
      <c r="H576" s="1">
        <f ca="1">INDEX(INDIRECT(""&amp;C576&amp;"!A2:A489"),MATCH(B576,INDIRECT(""&amp;C576&amp;"!B2:B489"),0))</f>
        <v>154</v>
      </c>
      <c r="I576" s="1">
        <f>IF(C576="RB",LeagueInfo!$D$4*LeagueInfo!$F$2,IF(C576="WR",LeagueInfo!$D$5*LeagueInfo!$F$2,IF(C576="TE",LeagueInfo!$D$6*LeagueInfo!$F$2,LeagueInfo!$D$3*LeagueInfo!$F$2)))</f>
        <v>24</v>
      </c>
    </row>
    <row r="577" spans="1:9" x14ac:dyDescent="0.25">
      <c r="A577" s="1">
        <f ca="1">RANK(E577,E$2:E$619)</f>
        <v>580</v>
      </c>
      <c r="B577" s="1" t="s">
        <v>525</v>
      </c>
      <c r="C577" s="1" t="s">
        <v>32</v>
      </c>
      <c r="D577" s="1">
        <f ca="1">INDEX(INDIRECT($C577&amp;"!O:O"),MATCH($B577,INDIRECT($C577&amp;"!B:B"),0))</f>
        <v>3.87</v>
      </c>
      <c r="E577" s="254">
        <f ca="1">D577-LARGE(D$2:D$619,RBCount+WRCount+TECount+QBCount)</f>
        <v>-80</v>
      </c>
      <c r="F577" s="1" t="str">
        <f ca="1">IF(H577&lt;=I577,"Starter",IF(G577&gt;=LARGE(G:G,FlexOn*LeagueInfo!$F$2),"Starter","Bench"))</f>
        <v>Bench</v>
      </c>
      <c r="G577" s="1">
        <f ca="1">IF(H577&gt;I577,D577,0)</f>
        <v>3.87</v>
      </c>
      <c r="H577" s="1">
        <f ca="1">INDEX(INDIRECT(""&amp;C577&amp;"!A2:A489"),MATCH(B577,INDIRECT(""&amp;C577&amp;"!B2:B489"),0))</f>
        <v>160</v>
      </c>
      <c r="I577" s="1">
        <f>IF(C577="RB",LeagueInfo!$D$4*LeagueInfo!$F$2,IF(C577="WR",LeagueInfo!$D$5*LeagueInfo!$F$2,IF(C577="TE",LeagueInfo!$D$6*LeagueInfo!$F$2,LeagueInfo!$D$3*LeagueInfo!$F$2)))</f>
        <v>24</v>
      </c>
    </row>
    <row r="578" spans="1:9" x14ac:dyDescent="0.25">
      <c r="A578" s="1">
        <f ca="1">RANK(E578,E$2:E$619)</f>
        <v>574</v>
      </c>
      <c r="B578" s="1" t="s">
        <v>528</v>
      </c>
      <c r="C578" s="1" t="s">
        <v>32</v>
      </c>
      <c r="D578" s="1">
        <f ca="1">INDEX(INDIRECT($C578&amp;"!O:O"),MATCH($B578,INDIRECT($C578&amp;"!B:B"),0))</f>
        <v>4.0500000000000007</v>
      </c>
      <c r="E578" s="254">
        <f ca="1">D578-LARGE(D$2:D$619,RBCount+WRCount+TECount+QBCount)</f>
        <v>-79.820000000000007</v>
      </c>
      <c r="F578" s="1" t="str">
        <f ca="1">IF(H578&lt;=I578,"Starter",IF(G578&gt;=LARGE(G:G,FlexOn*LeagueInfo!$F$2),"Starter","Bench"))</f>
        <v>Bench</v>
      </c>
      <c r="G578" s="1">
        <f ca="1">IF(H578&gt;I578,D578,0)</f>
        <v>4.0500000000000007</v>
      </c>
      <c r="H578" s="1">
        <f ca="1">INDEX(INDIRECT(""&amp;C578&amp;"!A2:A489"),MATCH(B578,INDIRECT(""&amp;C578&amp;"!B2:B489"),0))</f>
        <v>156</v>
      </c>
      <c r="I578" s="1">
        <f>IF(C578="RB",LeagueInfo!$D$4*LeagueInfo!$F$2,IF(C578="WR",LeagueInfo!$D$5*LeagueInfo!$F$2,IF(C578="TE",LeagueInfo!$D$6*LeagueInfo!$F$2,LeagueInfo!$D$3*LeagueInfo!$F$2)))</f>
        <v>24</v>
      </c>
    </row>
    <row r="579" spans="1:9" x14ac:dyDescent="0.25">
      <c r="A579" s="1">
        <f ca="1">RANK(E579,E$2:E$619)</f>
        <v>582</v>
      </c>
      <c r="B579" s="1" t="s">
        <v>546</v>
      </c>
      <c r="C579" s="1" t="s">
        <v>32</v>
      </c>
      <c r="D579" s="1">
        <f ca="1">INDEX(INDIRECT($C579&amp;"!O:O"),MATCH($B579,INDIRECT($C579&amp;"!B:B"),0))</f>
        <v>3.7300000000000004</v>
      </c>
      <c r="E579" s="254">
        <f ca="1">D579-LARGE(D$2:D$619,RBCount+WRCount+TECount+QBCount)</f>
        <v>-80.14</v>
      </c>
      <c r="F579" s="1" t="str">
        <f ca="1">IF(H579&lt;=I579,"Starter",IF(G579&gt;=LARGE(G:G,FlexOn*LeagueInfo!$F$2),"Starter","Bench"))</f>
        <v>Bench</v>
      </c>
      <c r="G579" s="1">
        <f ca="1">IF(H579&gt;I579,D579,0)</f>
        <v>3.7300000000000004</v>
      </c>
      <c r="H579" s="1">
        <f ca="1">INDEX(INDIRECT(""&amp;C579&amp;"!A2:A489"),MATCH(B579,INDIRECT(""&amp;C579&amp;"!B2:B489"),0))</f>
        <v>162</v>
      </c>
      <c r="I579" s="1">
        <f>IF(C579="RB",LeagueInfo!$D$4*LeagueInfo!$F$2,IF(C579="WR",LeagueInfo!$D$5*LeagueInfo!$F$2,IF(C579="TE",LeagueInfo!$D$6*LeagueInfo!$F$2,LeagueInfo!$D$3*LeagueInfo!$F$2)))</f>
        <v>24</v>
      </c>
    </row>
    <row r="580" spans="1:9" x14ac:dyDescent="0.25">
      <c r="A580" s="1">
        <f ca="1">RANK(E580,E$2:E$619)</f>
        <v>578</v>
      </c>
      <c r="B580" s="1" t="s">
        <v>522</v>
      </c>
      <c r="C580" s="1" t="s">
        <v>32</v>
      </c>
      <c r="D580" s="1">
        <f ca="1">INDEX(INDIRECT($C580&amp;"!O:O"),MATCH($B580,INDIRECT($C580&amp;"!B:B"),0))</f>
        <v>3.9299999999999997</v>
      </c>
      <c r="E580" s="254">
        <f ca="1">D580-LARGE(D$2:D$619,RBCount+WRCount+TECount+QBCount)</f>
        <v>-79.94</v>
      </c>
      <c r="F580" s="1" t="str">
        <f ca="1">IF(H580&lt;=I580,"Starter",IF(G580&gt;=LARGE(G:G,FlexOn*LeagueInfo!$F$2),"Starter","Bench"))</f>
        <v>Bench</v>
      </c>
      <c r="G580" s="1">
        <f ca="1">IF(H580&gt;I580,D580,0)</f>
        <v>3.9299999999999997</v>
      </c>
      <c r="H580" s="1">
        <f ca="1">INDEX(INDIRECT(""&amp;C580&amp;"!A2:A489"),MATCH(B580,INDIRECT(""&amp;C580&amp;"!B2:B489"),0))</f>
        <v>159</v>
      </c>
      <c r="I580" s="1">
        <f>IF(C580="RB",LeagueInfo!$D$4*LeagueInfo!$F$2,IF(C580="WR",LeagueInfo!$D$5*LeagueInfo!$F$2,IF(C580="TE",LeagueInfo!$D$6*LeagueInfo!$F$2,LeagueInfo!$D$3*LeagueInfo!$F$2)))</f>
        <v>24</v>
      </c>
    </row>
    <row r="581" spans="1:9" x14ac:dyDescent="0.25">
      <c r="A581" s="1">
        <f ca="1">RANK(E581,E$2:E$619)</f>
        <v>585</v>
      </c>
      <c r="B581" s="1" t="s">
        <v>773</v>
      </c>
      <c r="C581" s="1" t="s">
        <v>47</v>
      </c>
      <c r="D581" s="1">
        <f ca="1">INDEX(INDIRECT($C581&amp;"!O:O"),MATCH($B581,INDIRECT($C581&amp;"!B:B"),0))</f>
        <v>3.5300000000000002</v>
      </c>
      <c r="E581" s="254">
        <f ca="1">D581-LARGE(D$2:D$619,RBCount+WRCount+TECount+QBCount)</f>
        <v>-80.34</v>
      </c>
      <c r="F581" s="1" t="str">
        <f ca="1">IF(H581&lt;=I581,"Starter",IF(G581&gt;=LARGE(G:G,FlexOn*LeagueInfo!$F$2),"Starter","Bench"))</f>
        <v>Bench</v>
      </c>
      <c r="G581" s="1">
        <f ca="1">IF(H581&gt;I581,D581,0)</f>
        <v>3.5300000000000002</v>
      </c>
      <c r="H581" s="1">
        <f ca="1">INDEX(INDIRECT(""&amp;C581&amp;"!A2:A489"),MATCH(B581,INDIRECT(""&amp;C581&amp;"!B2:B489"),0))</f>
        <v>125</v>
      </c>
      <c r="I581" s="1">
        <f>IF(C581="RB",LeagueInfo!$D$4*LeagueInfo!$F$2,IF(C581="WR",LeagueInfo!$D$5*LeagueInfo!$F$2,IF(C581="TE",LeagueInfo!$D$6*LeagueInfo!$F$2,LeagueInfo!$D$3*LeagueInfo!$F$2)))</f>
        <v>12</v>
      </c>
    </row>
    <row r="582" spans="1:9" x14ac:dyDescent="0.25">
      <c r="A582" s="1">
        <f ca="1">RANK(E582,E$2:E$619)</f>
        <v>581</v>
      </c>
      <c r="B582" s="1" t="s">
        <v>325</v>
      </c>
      <c r="C582" s="1" t="s">
        <v>32</v>
      </c>
      <c r="D582" s="1">
        <f ca="1">INDEX(INDIRECT($C582&amp;"!O:O"),MATCH($B582,INDIRECT($C582&amp;"!B:B"),0))</f>
        <v>3.7600000000000002</v>
      </c>
      <c r="E582" s="254">
        <f ca="1">D582-LARGE(D$2:D$619,RBCount+WRCount+TECount+QBCount)</f>
        <v>-80.11</v>
      </c>
      <c r="F582" s="1" t="str">
        <f ca="1">IF(H582&lt;=I582,"Starter",IF(G582&gt;=LARGE(G:G,FlexOn*LeagueInfo!$F$2),"Starter","Bench"))</f>
        <v>Bench</v>
      </c>
      <c r="G582" s="1">
        <f ca="1">IF(H582&gt;I582,D582,0)</f>
        <v>3.7600000000000002</v>
      </c>
      <c r="H582" s="1">
        <f ca="1">INDEX(INDIRECT(""&amp;C582&amp;"!A2:A489"),MATCH(B582,INDIRECT(""&amp;C582&amp;"!B2:B489"),0))</f>
        <v>161</v>
      </c>
      <c r="I582" s="1">
        <f>IF(C582="RB",LeagueInfo!$D$4*LeagueInfo!$F$2,IF(C582="WR",LeagueInfo!$D$5*LeagueInfo!$F$2,IF(C582="TE",LeagueInfo!$D$6*LeagueInfo!$F$2,LeagueInfo!$D$3*LeagueInfo!$F$2)))</f>
        <v>24</v>
      </c>
    </row>
    <row r="583" spans="1:9" x14ac:dyDescent="0.25">
      <c r="A583" s="1">
        <f ca="1">RANK(E583,E$2:E$619)</f>
        <v>568</v>
      </c>
      <c r="B583" s="1" t="s">
        <v>924</v>
      </c>
      <c r="C583" s="1" t="s">
        <v>32</v>
      </c>
      <c r="D583" s="1">
        <f ca="1">INDEX(INDIRECT($C583&amp;"!O:O"),MATCH($B583,INDIRECT($C583&amp;"!B:B"),0))</f>
        <v>4.5000000000000009</v>
      </c>
      <c r="E583" s="254">
        <f ca="1">D583-LARGE(D$2:D$619,RBCount+WRCount+TECount+QBCount)</f>
        <v>-79.37</v>
      </c>
      <c r="F583" s="1" t="str">
        <f ca="1">IF(H583&lt;=I583,"Starter",IF(G583&gt;=LARGE(G:G,FlexOn*LeagueInfo!$F$2),"Starter","Bench"))</f>
        <v>Bench</v>
      </c>
      <c r="G583" s="1">
        <f ca="1">IF(H583&gt;I583,D583,0)</f>
        <v>4.5000000000000009</v>
      </c>
      <c r="H583" s="1">
        <f ca="1">INDEX(INDIRECT(""&amp;C583&amp;"!A2:A489"),MATCH(B583,INDIRECT(""&amp;C583&amp;"!B2:B489"),0))</f>
        <v>152</v>
      </c>
      <c r="I583" s="1">
        <f>IF(C583="RB",LeagueInfo!$D$4*LeagueInfo!$F$2,IF(C583="WR",LeagueInfo!$D$5*LeagueInfo!$F$2,IF(C583="TE",LeagueInfo!$D$6*LeagueInfo!$F$2,LeagueInfo!$D$3*LeagueInfo!$F$2)))</f>
        <v>24</v>
      </c>
    </row>
    <row r="584" spans="1:9" x14ac:dyDescent="0.25">
      <c r="A584" s="1">
        <f ca="1">RANK(E584,E$2:E$619)</f>
        <v>576</v>
      </c>
      <c r="B584" s="1" t="s">
        <v>520</v>
      </c>
      <c r="C584" s="1" t="s">
        <v>32</v>
      </c>
      <c r="D584" s="1">
        <f ca="1">INDEX(INDIRECT($C584&amp;"!O:O"),MATCH($B584,INDIRECT($C584&amp;"!B:B"),0))</f>
        <v>4.0200000000000005</v>
      </c>
      <c r="E584" s="254">
        <f ca="1">D584-LARGE(D$2:D$619,RBCount+WRCount+TECount+QBCount)</f>
        <v>-79.850000000000009</v>
      </c>
      <c r="F584" s="1" t="str">
        <f ca="1">IF(H584&lt;=I584,"Starter",IF(G584&gt;=LARGE(G:G,FlexOn*LeagueInfo!$F$2),"Starter","Bench"))</f>
        <v>Bench</v>
      </c>
      <c r="G584" s="1">
        <f ca="1">IF(H584&gt;I584,D584,0)</f>
        <v>4.0200000000000005</v>
      </c>
      <c r="H584" s="1">
        <f ca="1">INDEX(INDIRECT(""&amp;C584&amp;"!A2:A489"),MATCH(B584,INDIRECT(""&amp;C584&amp;"!B2:B489"),0))</f>
        <v>157</v>
      </c>
      <c r="I584" s="1">
        <f>IF(C584="RB",LeagueInfo!$D$4*LeagueInfo!$F$2,IF(C584="WR",LeagueInfo!$D$5*LeagueInfo!$F$2,IF(C584="TE",LeagueInfo!$D$6*LeagueInfo!$F$2,LeagueInfo!$D$3*LeagueInfo!$F$2)))</f>
        <v>24</v>
      </c>
    </row>
    <row r="585" spans="1:9" x14ac:dyDescent="0.25">
      <c r="A585" s="1">
        <f ca="1">RANK(E585,E$2:E$619)</f>
        <v>587</v>
      </c>
      <c r="B585" s="1" t="s">
        <v>806</v>
      </c>
      <c r="C585" s="1" t="s">
        <v>47</v>
      </c>
      <c r="D585" s="1">
        <f ca="1">INDEX(INDIRECT($C585&amp;"!O:O"),MATCH($B585,INDIRECT($C585&amp;"!B:B"),0))</f>
        <v>3.1</v>
      </c>
      <c r="E585" s="254">
        <f ca="1">D585-LARGE(D$2:D$619,RBCount+WRCount+TECount+QBCount)</f>
        <v>-80.77000000000001</v>
      </c>
      <c r="F585" s="1" t="str">
        <f ca="1">IF(H585&lt;=I585,"Starter",IF(G585&gt;=LARGE(G:G,FlexOn*LeagueInfo!$F$2),"Starter","Bench"))</f>
        <v>Bench</v>
      </c>
      <c r="G585" s="1">
        <f ca="1">IF(H585&gt;I585,D585,0)</f>
        <v>3.1</v>
      </c>
      <c r="H585" s="1">
        <f ca="1">INDEX(INDIRECT(""&amp;C585&amp;"!A2:A489"),MATCH(B585,INDIRECT(""&amp;C585&amp;"!B2:B489"),0))</f>
        <v>126</v>
      </c>
      <c r="I585" s="1">
        <f>IF(C585="RB",LeagueInfo!$D$4*LeagueInfo!$F$2,IF(C585="WR",LeagueInfo!$D$5*LeagueInfo!$F$2,IF(C585="TE",LeagueInfo!$D$6*LeagueInfo!$F$2,LeagueInfo!$D$3*LeagueInfo!$F$2)))</f>
        <v>12</v>
      </c>
    </row>
    <row r="586" spans="1:9" x14ac:dyDescent="0.25">
      <c r="A586" s="1">
        <f ca="1">RANK(E586,E$2:E$619)</f>
        <v>586</v>
      </c>
      <c r="B586" s="1" t="s">
        <v>527</v>
      </c>
      <c r="C586" s="1" t="s">
        <v>32</v>
      </c>
      <c r="D586" s="1">
        <f ca="1">INDEX(INDIRECT($C586&amp;"!O:O"),MATCH($B586,INDIRECT($C586&amp;"!B:B"),0))</f>
        <v>3.33</v>
      </c>
      <c r="E586" s="254">
        <f ca="1">D586-LARGE(D$2:D$619,RBCount+WRCount+TECount+QBCount)</f>
        <v>-80.540000000000006</v>
      </c>
      <c r="F586" s="1" t="str">
        <f ca="1">IF(H586&lt;=I586,"Starter",IF(G586&gt;=LARGE(G:G,FlexOn*LeagueInfo!$F$2),"Starter","Bench"))</f>
        <v>Bench</v>
      </c>
      <c r="G586" s="1">
        <f ca="1">IF(H586&gt;I586,D586,0)</f>
        <v>3.33</v>
      </c>
      <c r="H586" s="1">
        <f ca="1">INDEX(INDIRECT(""&amp;C586&amp;"!A2:A489"),MATCH(B586,INDIRECT(""&amp;C586&amp;"!B2:B489"),0))</f>
        <v>163</v>
      </c>
      <c r="I586" s="1">
        <f>IF(C586="RB",LeagueInfo!$D$4*LeagueInfo!$F$2,IF(C586="WR",LeagueInfo!$D$5*LeagueInfo!$F$2,IF(C586="TE",LeagueInfo!$D$6*LeagueInfo!$F$2,LeagueInfo!$D$3*LeagueInfo!$F$2)))</f>
        <v>24</v>
      </c>
    </row>
    <row r="587" spans="1:9" x14ac:dyDescent="0.25">
      <c r="A587" s="1">
        <f ca="1">RANK(E587,E$2:E$619)</f>
        <v>577</v>
      </c>
      <c r="B587" s="1" t="s">
        <v>523</v>
      </c>
      <c r="C587" s="1" t="s">
        <v>32</v>
      </c>
      <c r="D587" s="1">
        <f ca="1">INDEX(INDIRECT($C587&amp;"!O:O"),MATCH($B587,INDIRECT($C587&amp;"!B:B"),0))</f>
        <v>4</v>
      </c>
      <c r="E587" s="254">
        <f ca="1">D587-LARGE(D$2:D$619,RBCount+WRCount+TECount+QBCount)</f>
        <v>-79.87</v>
      </c>
      <c r="F587" s="1" t="str">
        <f ca="1">IF(H587&lt;=I587,"Starter",IF(G587&gt;=LARGE(G:G,FlexOn*LeagueInfo!$F$2),"Starter","Bench"))</f>
        <v>Bench</v>
      </c>
      <c r="G587" s="1">
        <f ca="1">IF(H587&gt;I587,D587,0)</f>
        <v>4</v>
      </c>
      <c r="H587" s="1">
        <f ca="1">INDEX(INDIRECT(""&amp;C587&amp;"!A2:A489"),MATCH(B587,INDIRECT(""&amp;C587&amp;"!B2:B489"),0))</f>
        <v>158</v>
      </c>
      <c r="I587" s="1">
        <f>IF(C587="RB",LeagueInfo!$D$4*LeagueInfo!$F$2,IF(C587="WR",LeagueInfo!$D$5*LeagueInfo!$F$2,IF(C587="TE",LeagueInfo!$D$6*LeagueInfo!$F$2,LeagueInfo!$D$3*LeagueInfo!$F$2)))</f>
        <v>24</v>
      </c>
    </row>
    <row r="588" spans="1:9" x14ac:dyDescent="0.25">
      <c r="A588" s="1">
        <f ca="1">RANK(E588,E$2:E$619)</f>
        <v>588</v>
      </c>
      <c r="B588" s="1" t="s">
        <v>538</v>
      </c>
      <c r="C588" s="1" t="s">
        <v>32</v>
      </c>
      <c r="D588" s="1">
        <f ca="1">INDEX(INDIRECT($C588&amp;"!O:O"),MATCH($B588,INDIRECT($C588&amp;"!B:B"),0))</f>
        <v>2.9600000000000004</v>
      </c>
      <c r="E588" s="254">
        <f ca="1">D588-LARGE(D$2:D$619,RBCount+WRCount+TECount+QBCount)</f>
        <v>-80.910000000000011</v>
      </c>
      <c r="F588" s="1" t="str">
        <f ca="1">IF(H588&lt;=I588,"Starter",IF(G588&gt;=LARGE(G:G,FlexOn*LeagueInfo!$F$2),"Starter","Bench"))</f>
        <v>Bench</v>
      </c>
      <c r="G588" s="1">
        <f ca="1">IF(H588&gt;I588,D588,0)</f>
        <v>2.9600000000000004</v>
      </c>
      <c r="H588" s="1">
        <f ca="1">INDEX(INDIRECT(""&amp;C588&amp;"!A2:A489"),MATCH(B588,INDIRECT(""&amp;C588&amp;"!B2:B489"),0))</f>
        <v>164</v>
      </c>
      <c r="I588" s="1">
        <f>IF(C588="RB",LeagueInfo!$D$4*LeagueInfo!$F$2,IF(C588="WR",LeagueInfo!$D$5*LeagueInfo!$F$2,IF(C588="TE",LeagueInfo!$D$6*LeagueInfo!$F$2,LeagueInfo!$D$3*LeagueInfo!$F$2)))</f>
        <v>24</v>
      </c>
    </row>
    <row r="589" spans="1:9" x14ac:dyDescent="0.25">
      <c r="A589" s="1">
        <f ca="1">RANK(E589,E$2:E$619)</f>
        <v>590</v>
      </c>
      <c r="B589" s="1" t="s">
        <v>538</v>
      </c>
      <c r="C589" s="1" t="s">
        <v>47</v>
      </c>
      <c r="D589" s="1">
        <f ca="1">INDEX(INDIRECT($C589&amp;"!O:O"),MATCH($B589,INDIRECT($C589&amp;"!B:B"),0))</f>
        <v>2.25</v>
      </c>
      <c r="E589" s="254">
        <f ca="1">D589-LARGE(D$2:D$619,RBCount+WRCount+TECount+QBCount)</f>
        <v>-81.62</v>
      </c>
      <c r="F589" s="1" t="str">
        <f ca="1">IF(H589&lt;=I589,"Starter",IF(G589&gt;=LARGE(G:G,FlexOn*LeagueInfo!$F$2),"Starter","Bench"))</f>
        <v>Bench</v>
      </c>
      <c r="G589" s="1">
        <f ca="1">IF(H589&gt;I589,D589,0)</f>
        <v>2.25</v>
      </c>
      <c r="H589" s="1">
        <f ca="1">INDEX(INDIRECT(""&amp;C589&amp;"!A2:A489"),MATCH(B589,INDIRECT(""&amp;C589&amp;"!B2:B489"),0))</f>
        <v>127</v>
      </c>
      <c r="I589" s="1">
        <f>IF(C589="RB",LeagueInfo!$D$4*LeagueInfo!$F$2,IF(C589="WR",LeagueInfo!$D$5*LeagueInfo!$F$2,IF(C589="TE",LeagueInfo!$D$6*LeagueInfo!$F$2,LeagueInfo!$D$3*LeagueInfo!$F$2)))</f>
        <v>12</v>
      </c>
    </row>
    <row r="590" spans="1:9" x14ac:dyDescent="0.25">
      <c r="A590" s="1">
        <f ca="1">RANK(E590,E$2:E$619)</f>
        <v>584</v>
      </c>
      <c r="B590" s="1" t="s">
        <v>428</v>
      </c>
      <c r="C590" s="1" t="s">
        <v>33</v>
      </c>
      <c r="D590" s="1">
        <f ca="1">INDEX(INDIRECT($C590&amp;"!O:O"),MATCH($B590,INDIRECT($C590&amp;"!B:B"),0))</f>
        <v>3.5740000000000003</v>
      </c>
      <c r="E590" s="254">
        <f ca="1">D590-LARGE(D$2:D$619,RBCount+WRCount+TECount+QBCount)</f>
        <v>-80.296000000000006</v>
      </c>
      <c r="F590" s="1" t="str">
        <f ca="1">IF(H590&lt;=I590,"Starter",IF(G590&gt;=LARGE(G:G,FlexOn*LeagueInfo!$F$2),"Starter","Bench"))</f>
        <v>Bench</v>
      </c>
      <c r="G590" s="1">
        <f ca="1">IF(H590&gt;I590,D590,0)</f>
        <v>3.5740000000000003</v>
      </c>
      <c r="H590" s="1">
        <f ca="1">INDEX(INDIRECT(""&amp;C590&amp;"!A2:A489"),MATCH(B590,INDIRECT(""&amp;C590&amp;"!B2:B489"),0))</f>
        <v>72</v>
      </c>
      <c r="I590" s="1">
        <f>IF(C590="RB",LeagueInfo!$D$4*LeagueInfo!$F$2,IF(C590="WR",LeagueInfo!$D$5*LeagueInfo!$F$2,IF(C590="TE",LeagueInfo!$D$6*LeagueInfo!$F$2,LeagueInfo!$D$3*LeagueInfo!$F$2)))</f>
        <v>12</v>
      </c>
    </row>
    <row r="591" spans="1:9" x14ac:dyDescent="0.25">
      <c r="A591" s="1">
        <f ca="1">RANK(E591,E$2:E$619)</f>
        <v>589</v>
      </c>
      <c r="B591" s="1" t="s">
        <v>532</v>
      </c>
      <c r="C591" s="1" t="s">
        <v>32</v>
      </c>
      <c r="D591" s="1">
        <f ca="1">INDEX(INDIRECT($C591&amp;"!O:O"),MATCH($B591,INDIRECT($C591&amp;"!B:B"),0))</f>
        <v>2.8000000000000003</v>
      </c>
      <c r="E591" s="254">
        <f ca="1">D591-LARGE(D$2:D$619,RBCount+WRCount+TECount+QBCount)</f>
        <v>-81.070000000000007</v>
      </c>
      <c r="F591" s="1" t="str">
        <f ca="1">IF(H591&lt;=I591,"Starter",IF(G591&gt;=LARGE(G:G,FlexOn*LeagueInfo!$F$2),"Starter","Bench"))</f>
        <v>Bench</v>
      </c>
      <c r="G591" s="1">
        <f ca="1">IF(H591&gt;I591,D591,0)</f>
        <v>2.8000000000000003</v>
      </c>
      <c r="H591" s="1">
        <f ca="1">INDEX(INDIRECT(""&amp;C591&amp;"!A2:A489"),MATCH(B591,INDIRECT(""&amp;C591&amp;"!B2:B489"),0))</f>
        <v>165</v>
      </c>
      <c r="I591" s="1">
        <f>IF(C591="RB",LeagueInfo!$D$4*LeagueInfo!$F$2,IF(C591="WR",LeagueInfo!$D$5*LeagueInfo!$F$2,IF(C591="TE",LeagueInfo!$D$6*LeagueInfo!$F$2,LeagueInfo!$D$3*LeagueInfo!$F$2)))</f>
        <v>24</v>
      </c>
    </row>
    <row r="592" spans="1:9" x14ac:dyDescent="0.25">
      <c r="A592" s="1">
        <f ca="1">RANK(E592,E$2:E$619)</f>
        <v>591</v>
      </c>
      <c r="B592" s="1" t="s">
        <v>529</v>
      </c>
      <c r="C592" s="1" t="s">
        <v>32</v>
      </c>
      <c r="D592" s="1">
        <f ca="1">INDEX(INDIRECT($C592&amp;"!O:O"),MATCH($B592,INDIRECT($C592&amp;"!B:B"),0))</f>
        <v>2.2400000000000002</v>
      </c>
      <c r="E592" s="254">
        <f ca="1">D592-LARGE(D$2:D$619,RBCount+WRCount+TECount+QBCount)</f>
        <v>-81.63000000000001</v>
      </c>
      <c r="F592" s="1" t="str">
        <f ca="1">IF(H592&lt;=I592,"Starter",IF(G592&gt;=LARGE(G:G,FlexOn*LeagueInfo!$F$2),"Starter","Bench"))</f>
        <v>Bench</v>
      </c>
      <c r="G592" s="1">
        <f ca="1">IF(H592&gt;I592,D592,0)</f>
        <v>2.2400000000000002</v>
      </c>
      <c r="H592" s="1">
        <f ca="1">INDEX(INDIRECT(""&amp;C592&amp;"!A2:A489"),MATCH(B592,INDIRECT(""&amp;C592&amp;"!B2:B489"),0))</f>
        <v>166</v>
      </c>
      <c r="I592" s="1">
        <f>IF(C592="RB",LeagueInfo!$D$4*LeagueInfo!$F$2,IF(C592="WR",LeagueInfo!$D$5*LeagueInfo!$F$2,IF(C592="TE",LeagueInfo!$D$6*LeagueInfo!$F$2,LeagueInfo!$D$3*LeagueInfo!$F$2)))</f>
        <v>24</v>
      </c>
    </row>
    <row r="593" spans="1:9" x14ac:dyDescent="0.25">
      <c r="A593" s="1">
        <f ca="1">RANK(E593,E$2:E$619)</f>
        <v>593</v>
      </c>
      <c r="B593" s="1" t="s">
        <v>526</v>
      </c>
      <c r="C593" s="1" t="s">
        <v>32</v>
      </c>
      <c r="D593" s="1">
        <f ca="1">INDEX(INDIRECT($C593&amp;"!O:O"),MATCH($B593,INDIRECT($C593&amp;"!B:B"),0))</f>
        <v>2.1</v>
      </c>
      <c r="E593" s="254">
        <f ca="1">D593-LARGE(D$2:D$619,RBCount+WRCount+TECount+QBCount)</f>
        <v>-81.77000000000001</v>
      </c>
      <c r="F593" s="1" t="str">
        <f ca="1">IF(H593&lt;=I593,"Starter",IF(G593&gt;=LARGE(G:G,FlexOn*LeagueInfo!$F$2),"Starter","Bench"))</f>
        <v>Bench</v>
      </c>
      <c r="G593" s="1">
        <f ca="1">IF(H593&gt;I593,D593,0)</f>
        <v>2.1</v>
      </c>
      <c r="H593" s="1">
        <f ca="1">INDEX(INDIRECT(""&amp;C593&amp;"!A2:A489"),MATCH(B593,INDIRECT(""&amp;C593&amp;"!B2:B489"),0))</f>
        <v>167</v>
      </c>
      <c r="I593" s="1">
        <f>IF(C593="RB",LeagueInfo!$D$4*LeagueInfo!$F$2,IF(C593="WR",LeagueInfo!$D$5*LeagueInfo!$F$2,IF(C593="TE",LeagueInfo!$D$6*LeagueInfo!$F$2,LeagueInfo!$D$3*LeagueInfo!$F$2)))</f>
        <v>24</v>
      </c>
    </row>
    <row r="594" spans="1:9" x14ac:dyDescent="0.25">
      <c r="A594" s="1">
        <f ca="1">RANK(E594,E$2:E$619)</f>
        <v>598</v>
      </c>
      <c r="B594" s="1" t="s">
        <v>530</v>
      </c>
      <c r="C594" s="1" t="s">
        <v>32</v>
      </c>
      <c r="D594" s="1">
        <f ca="1">INDEX(INDIRECT($C594&amp;"!O:O"),MATCH($B594,INDIRECT($C594&amp;"!B:B"),0))</f>
        <v>1.5100000000000002</v>
      </c>
      <c r="E594" s="254">
        <f ca="1">D594-LARGE(D$2:D$619,RBCount+WRCount+TECount+QBCount)</f>
        <v>-82.36</v>
      </c>
      <c r="F594" s="1" t="str">
        <f ca="1">IF(H594&lt;=I594,"Starter",IF(G594&gt;=LARGE(G:G,FlexOn*LeagueInfo!$F$2),"Starter","Bench"))</f>
        <v>Bench</v>
      </c>
      <c r="G594" s="1">
        <f ca="1">IF(H594&gt;I594,D594,0)</f>
        <v>1.5100000000000002</v>
      </c>
      <c r="H594" s="1">
        <f ca="1">INDEX(INDIRECT(""&amp;C594&amp;"!A2:A489"),MATCH(B594,INDIRECT(""&amp;C594&amp;"!B2:B489"),0))</f>
        <v>169</v>
      </c>
      <c r="I594" s="1">
        <f>IF(C594="RB",LeagueInfo!$D$4*LeagueInfo!$F$2,IF(C594="WR",LeagueInfo!$D$5*LeagueInfo!$F$2,IF(C594="TE",LeagueInfo!$D$6*LeagueInfo!$F$2,LeagueInfo!$D$3*LeagueInfo!$F$2)))</f>
        <v>24</v>
      </c>
    </row>
    <row r="595" spans="1:9" x14ac:dyDescent="0.25">
      <c r="A595" s="1">
        <f ca="1">RANK(E595,E$2:E$619)</f>
        <v>592</v>
      </c>
      <c r="B595" s="1" t="s">
        <v>400</v>
      </c>
      <c r="C595" s="1" t="s">
        <v>33</v>
      </c>
      <c r="D595" s="1">
        <f ca="1">INDEX(INDIRECT($C595&amp;"!O:O"),MATCH($B595,INDIRECT($C595&amp;"!B:B"),0))</f>
        <v>2.16</v>
      </c>
      <c r="E595" s="254">
        <f ca="1">D595-LARGE(D$2:D$619,RBCount+WRCount+TECount+QBCount)</f>
        <v>-81.710000000000008</v>
      </c>
      <c r="F595" s="1" t="str">
        <f ca="1">IF(H595&lt;=I595,"Starter",IF(G595&gt;=LARGE(G:G,FlexOn*LeagueInfo!$F$2),"Starter","Bench"))</f>
        <v>Bench</v>
      </c>
      <c r="G595" s="1">
        <f ca="1">IF(H595&gt;I595,D595,0)</f>
        <v>2.16</v>
      </c>
      <c r="H595" s="1">
        <f ca="1">INDEX(INDIRECT(""&amp;C595&amp;"!A2:A489"),MATCH(B595,INDIRECT(""&amp;C595&amp;"!B2:B489"),0))</f>
        <v>73</v>
      </c>
      <c r="I595" s="1">
        <f>IF(C595="RB",LeagueInfo!$D$4*LeagueInfo!$F$2,IF(C595="WR",LeagueInfo!$D$5*LeagueInfo!$F$2,IF(C595="TE",LeagueInfo!$D$6*LeagueInfo!$F$2,LeagueInfo!$D$3*LeagueInfo!$F$2)))</f>
        <v>12</v>
      </c>
    </row>
    <row r="596" spans="1:9" x14ac:dyDescent="0.25">
      <c r="A596" s="1">
        <f ca="1">RANK(E596,E$2:E$619)</f>
        <v>594</v>
      </c>
      <c r="B596" s="1" t="s">
        <v>925</v>
      </c>
      <c r="C596" s="1" t="s">
        <v>32</v>
      </c>
      <c r="D596" s="1">
        <f ca="1">INDEX(INDIRECT($C596&amp;"!O:O"),MATCH($B596,INDIRECT($C596&amp;"!B:B"),0))</f>
        <v>1.6</v>
      </c>
      <c r="E596" s="254">
        <f ca="1">D596-LARGE(D$2:D$619,RBCount+WRCount+TECount+QBCount)</f>
        <v>-82.27000000000001</v>
      </c>
      <c r="F596" s="1" t="str">
        <f ca="1">IF(H596&lt;=I596,"Starter",IF(G596&gt;=LARGE(G:G,FlexOn*LeagueInfo!$F$2),"Starter","Bench"))</f>
        <v>Bench</v>
      </c>
      <c r="G596" s="1">
        <f ca="1">IF(H596&gt;I596,D596,0)</f>
        <v>1.6</v>
      </c>
      <c r="H596" s="1">
        <f ca="1">INDEX(INDIRECT(""&amp;C596&amp;"!A2:A489"),MATCH(B596,INDIRECT(""&amp;C596&amp;"!B2:B489"),0))</f>
        <v>168</v>
      </c>
      <c r="I596" s="1">
        <f>IF(C596="RB",LeagueInfo!$D$4*LeagueInfo!$F$2,IF(C596="WR",LeagueInfo!$D$5*LeagueInfo!$F$2,IF(C596="TE",LeagueInfo!$D$6*LeagueInfo!$F$2,LeagueInfo!$D$3*LeagueInfo!$F$2)))</f>
        <v>24</v>
      </c>
    </row>
    <row r="597" spans="1:9" x14ac:dyDescent="0.25">
      <c r="A597" s="1">
        <f ca="1">RANK(E597,E$2:E$619)</f>
        <v>600</v>
      </c>
      <c r="B597" s="1" t="s">
        <v>545</v>
      </c>
      <c r="C597" s="1" t="s">
        <v>39</v>
      </c>
      <c r="D597" s="1">
        <f ca="1">INDEX(INDIRECT($C597&amp;"!O:O"),MATCH($B597,INDIRECT($C597&amp;"!B:B"),0))</f>
        <v>1.1000000000000001</v>
      </c>
      <c r="E597" s="254">
        <f ca="1">D597-LARGE(D$2:D$619,RBCount+WRCount+TECount+QBCount)</f>
        <v>-82.77000000000001</v>
      </c>
      <c r="F597" s="1" t="str">
        <f ca="1">IF(H597&lt;=I597,"Starter",IF(G597&gt;=LARGE(G:G,FlexOn*LeagueInfo!$F$2),"Starter","Bench"))</f>
        <v>Bench</v>
      </c>
      <c r="G597" s="1">
        <f ca="1">IF(H597&gt;I597,D597,0)</f>
        <v>1.1000000000000001</v>
      </c>
      <c r="H597" s="1">
        <f ca="1">INDEX(INDIRECT(""&amp;C597&amp;"!A2:A489"),MATCH(B597,INDIRECT(""&amp;C597&amp;"!B2:B489"),0))</f>
        <v>227</v>
      </c>
      <c r="I597" s="1">
        <f>IF(C597="RB",LeagueInfo!$D$4*LeagueInfo!$F$2,IF(C597="WR",LeagueInfo!$D$5*LeagueInfo!$F$2,IF(C597="TE",LeagueInfo!$D$6*LeagueInfo!$F$2,LeagueInfo!$D$3*LeagueInfo!$F$2)))</f>
        <v>24</v>
      </c>
    </row>
    <row r="598" spans="1:9" x14ac:dyDescent="0.25">
      <c r="A598" s="1">
        <f ca="1">RANK(E598,E$2:E$619)</f>
        <v>599</v>
      </c>
      <c r="B598" s="1" t="s">
        <v>531</v>
      </c>
      <c r="C598" s="1" t="s">
        <v>32</v>
      </c>
      <c r="D598" s="1">
        <f ca="1">INDEX(INDIRECT($C598&amp;"!O:O"),MATCH($B598,INDIRECT($C598&amp;"!B:B"),0))</f>
        <v>1.4000000000000001</v>
      </c>
      <c r="E598" s="254">
        <f ca="1">D598-LARGE(D$2:D$619,RBCount+WRCount+TECount+QBCount)</f>
        <v>-82.47</v>
      </c>
      <c r="F598" s="1" t="str">
        <f ca="1">IF(H598&lt;=I598,"Starter",IF(G598&gt;=LARGE(G:G,FlexOn*LeagueInfo!$F$2),"Starter","Bench"))</f>
        <v>Bench</v>
      </c>
      <c r="G598" s="1">
        <f ca="1">IF(H598&gt;I598,D598,0)</f>
        <v>1.4000000000000001</v>
      </c>
      <c r="H598" s="1">
        <f ca="1">INDEX(INDIRECT(""&amp;C598&amp;"!A2:A489"),MATCH(B598,INDIRECT(""&amp;C598&amp;"!B2:B489"),0))</f>
        <v>170</v>
      </c>
      <c r="I598" s="1">
        <f>IF(C598="RB",LeagueInfo!$D$4*LeagueInfo!$F$2,IF(C598="WR",LeagueInfo!$D$5*LeagueInfo!$F$2,IF(C598="TE",LeagueInfo!$D$6*LeagueInfo!$F$2,LeagueInfo!$D$3*LeagueInfo!$F$2)))</f>
        <v>24</v>
      </c>
    </row>
    <row r="599" spans="1:9" x14ac:dyDescent="0.25">
      <c r="A599" s="1">
        <f ca="1">RANK(E599,E$2:E$619)</f>
        <v>600</v>
      </c>
      <c r="B599" s="1" t="s">
        <v>533</v>
      </c>
      <c r="C599" s="1" t="s">
        <v>32</v>
      </c>
      <c r="D599" s="1">
        <f ca="1">INDEX(INDIRECT($C599&amp;"!O:O"),MATCH($B599,INDIRECT($C599&amp;"!B:B"),0))</f>
        <v>1.1000000000000001</v>
      </c>
      <c r="E599" s="254">
        <f ca="1">D599-LARGE(D$2:D$619,RBCount+WRCount+TECount+QBCount)</f>
        <v>-82.77000000000001</v>
      </c>
      <c r="F599" s="1" t="str">
        <f ca="1">IF(H599&lt;=I599,"Starter",IF(G599&gt;=LARGE(G:G,FlexOn*LeagueInfo!$F$2),"Starter","Bench"))</f>
        <v>Bench</v>
      </c>
      <c r="G599" s="1">
        <f ca="1">IF(H599&gt;I599,D599,0)</f>
        <v>1.1000000000000001</v>
      </c>
      <c r="H599" s="1">
        <f ca="1">INDEX(INDIRECT(""&amp;C599&amp;"!A2:A489"),MATCH(B599,INDIRECT(""&amp;C599&amp;"!B2:B489"),0))</f>
        <v>171</v>
      </c>
      <c r="I599" s="1">
        <f>IF(C599="RB",LeagueInfo!$D$4*LeagueInfo!$F$2,IF(C599="WR",LeagueInfo!$D$5*LeagueInfo!$F$2,IF(C599="TE",LeagueInfo!$D$6*LeagueInfo!$F$2,LeagueInfo!$D$3*LeagueInfo!$F$2)))</f>
        <v>24</v>
      </c>
    </row>
    <row r="600" spans="1:9" x14ac:dyDescent="0.25">
      <c r="A600" s="1">
        <f ca="1">RANK(E600,E$2:E$619)</f>
        <v>600</v>
      </c>
      <c r="B600" s="1" t="s">
        <v>534</v>
      </c>
      <c r="C600" s="1" t="s">
        <v>32</v>
      </c>
      <c r="D600" s="1">
        <f ca="1">INDEX(INDIRECT($C600&amp;"!O:O"),MATCH($B600,INDIRECT($C600&amp;"!B:B"),0))</f>
        <v>1.1000000000000001</v>
      </c>
      <c r="E600" s="254">
        <f ca="1">D600-LARGE(D$2:D$619,RBCount+WRCount+TECount+QBCount)</f>
        <v>-82.77000000000001</v>
      </c>
      <c r="F600" s="1" t="str">
        <f ca="1">IF(H600&lt;=I600,"Starter",IF(G600&gt;=LARGE(G:G,FlexOn*LeagueInfo!$F$2),"Starter","Bench"))</f>
        <v>Bench</v>
      </c>
      <c r="G600" s="1">
        <f ca="1">IF(H600&gt;I600,D600,0)</f>
        <v>1.1000000000000001</v>
      </c>
      <c r="H600" s="1">
        <f ca="1">INDEX(INDIRECT(""&amp;C600&amp;"!A2:A489"),MATCH(B600,INDIRECT(""&amp;C600&amp;"!B2:B489"),0))</f>
        <v>171</v>
      </c>
      <c r="I600" s="1">
        <f>IF(C600="RB",LeagueInfo!$D$4*LeagueInfo!$F$2,IF(C600="WR",LeagueInfo!$D$5*LeagueInfo!$F$2,IF(C600="TE",LeagueInfo!$D$6*LeagueInfo!$F$2,LeagueInfo!$D$3*LeagueInfo!$F$2)))</f>
        <v>24</v>
      </c>
    </row>
    <row r="601" spans="1:9" x14ac:dyDescent="0.25">
      <c r="A601" s="1">
        <f ca="1">RANK(E601,E$2:E$619)</f>
        <v>595</v>
      </c>
      <c r="B601" s="1" t="s">
        <v>405</v>
      </c>
      <c r="C601" s="1" t="s">
        <v>33</v>
      </c>
      <c r="D601" s="1">
        <f ca="1">INDEX(INDIRECT($C601&amp;"!O:O"),MATCH($B601,INDIRECT($C601&amp;"!B:B"),0))</f>
        <v>1.5859999999999999</v>
      </c>
      <c r="E601" s="254">
        <f ca="1">D601-LARGE(D$2:D$619,RBCount+WRCount+TECount+QBCount)</f>
        <v>-82.284000000000006</v>
      </c>
      <c r="F601" s="1" t="str">
        <f ca="1">IF(H601&lt;=I601,"Starter",IF(G601&gt;=LARGE(G:G,FlexOn*LeagueInfo!$F$2),"Starter","Bench"))</f>
        <v>Bench</v>
      </c>
      <c r="G601" s="1">
        <f ca="1">IF(H601&gt;I601,D601,0)</f>
        <v>1.5859999999999999</v>
      </c>
      <c r="H601" s="1">
        <f ca="1">INDEX(INDIRECT(""&amp;C601&amp;"!A2:A489"),MATCH(B601,INDIRECT(""&amp;C601&amp;"!B2:B489"),0))</f>
        <v>74</v>
      </c>
      <c r="I601" s="1">
        <f>IF(C601="RB",LeagueInfo!$D$4*LeagueInfo!$F$2,IF(C601="WR",LeagueInfo!$D$5*LeagueInfo!$F$2,IF(C601="TE",LeagueInfo!$D$6*LeagueInfo!$F$2,LeagueInfo!$D$3*LeagueInfo!$F$2)))</f>
        <v>12</v>
      </c>
    </row>
    <row r="602" spans="1:9" x14ac:dyDescent="0.25">
      <c r="A602" s="1">
        <f ca="1">RANK(E602,E$2:E$619)</f>
        <v>595</v>
      </c>
      <c r="B602" s="1" t="s">
        <v>405</v>
      </c>
      <c r="C602" s="1" t="s">
        <v>33</v>
      </c>
      <c r="D602" s="1">
        <f ca="1">INDEX(INDIRECT($C602&amp;"!O:O"),MATCH($B602,INDIRECT($C602&amp;"!B:B"),0))</f>
        <v>1.5859999999999999</v>
      </c>
      <c r="E602" s="254">
        <f ca="1">D602-LARGE(D$2:D$619,RBCount+WRCount+TECount+QBCount)</f>
        <v>-82.284000000000006</v>
      </c>
      <c r="F602" s="1" t="str">
        <f ca="1">IF(H602&lt;=I602,"Starter",IF(G602&gt;=LARGE(G:G,FlexOn*LeagueInfo!$F$2),"Starter","Bench"))</f>
        <v>Bench</v>
      </c>
      <c r="G602" s="1">
        <f ca="1">IF(H602&gt;I602,D602,0)</f>
        <v>1.5859999999999999</v>
      </c>
      <c r="H602" s="1">
        <f ca="1">INDEX(INDIRECT(""&amp;C602&amp;"!A2:A489"),MATCH(B602,INDIRECT(""&amp;C602&amp;"!B2:B489"),0))</f>
        <v>74</v>
      </c>
      <c r="I602" s="1">
        <f>IF(C602="RB",LeagueInfo!$D$4*LeagueInfo!$F$2,IF(C602="WR",LeagueInfo!$D$5*LeagueInfo!$F$2,IF(C602="TE",LeagueInfo!$D$6*LeagueInfo!$F$2,LeagueInfo!$D$3*LeagueInfo!$F$2)))</f>
        <v>12</v>
      </c>
    </row>
    <row r="603" spans="1:9" x14ac:dyDescent="0.25">
      <c r="A603" s="1">
        <f ca="1">RANK(E603,E$2:E$619)</f>
        <v>595</v>
      </c>
      <c r="B603" s="1" t="s">
        <v>405</v>
      </c>
      <c r="C603" s="1" t="s">
        <v>33</v>
      </c>
      <c r="D603" s="1">
        <f ca="1">INDEX(INDIRECT($C603&amp;"!O:O"),MATCH($B603,INDIRECT($C603&amp;"!B:B"),0))</f>
        <v>1.5859999999999999</v>
      </c>
      <c r="E603" s="254">
        <f ca="1">D603-LARGE(D$2:D$619,RBCount+WRCount+TECount+QBCount)</f>
        <v>-82.284000000000006</v>
      </c>
      <c r="F603" s="1" t="str">
        <f ca="1">IF(H603&lt;=I603,"Starter",IF(G603&gt;=LARGE(G:G,FlexOn*LeagueInfo!$F$2),"Starter","Bench"))</f>
        <v>Bench</v>
      </c>
      <c r="G603" s="1">
        <f ca="1">IF(H603&gt;I603,D603,0)</f>
        <v>1.5859999999999999</v>
      </c>
      <c r="H603" s="1">
        <f ca="1">INDEX(INDIRECT(""&amp;C603&amp;"!A2:A489"),MATCH(B603,INDIRECT(""&amp;C603&amp;"!B2:B489"),0))</f>
        <v>74</v>
      </c>
      <c r="I603" s="1">
        <f>IF(C603="RB",LeagueInfo!$D$4*LeagueInfo!$F$2,IF(C603="WR",LeagueInfo!$D$5*LeagueInfo!$F$2,IF(C603="TE",LeagueInfo!$D$6*LeagueInfo!$F$2,LeagueInfo!$D$3*LeagueInfo!$F$2)))</f>
        <v>12</v>
      </c>
    </row>
    <row r="604" spans="1:9" x14ac:dyDescent="0.25">
      <c r="A604" s="1">
        <f ca="1">RANK(E604,E$2:E$619)</f>
        <v>603</v>
      </c>
      <c r="B604" s="1" t="s">
        <v>928</v>
      </c>
      <c r="C604" s="1" t="s">
        <v>39</v>
      </c>
      <c r="D604" s="1">
        <f ca="1">INDEX(INDIRECT($C604&amp;"!O:O"),MATCH($B604,INDIRECT($C604&amp;"!B:B"),0))</f>
        <v>0.9</v>
      </c>
      <c r="E604" s="254">
        <f ca="1">D604-LARGE(D$2:D$619,RBCount+WRCount+TECount+QBCount)</f>
        <v>-82.97</v>
      </c>
      <c r="F604" s="1" t="str">
        <f ca="1">IF(H604&lt;=I604,"Starter",IF(G604&gt;=LARGE(G:G,FlexOn*LeagueInfo!$F$2),"Starter","Bench"))</f>
        <v>Bench</v>
      </c>
      <c r="G604" s="1">
        <f ca="1">IF(H604&gt;I604,D604,0)</f>
        <v>0.9</v>
      </c>
      <c r="H604" s="1">
        <f ca="1">INDEX(INDIRECT(""&amp;C604&amp;"!A2:A489"),MATCH(B604,INDIRECT(""&amp;C604&amp;"!B2:B489"),0))</f>
        <v>228</v>
      </c>
      <c r="I604" s="1">
        <f>IF(C604="RB",LeagueInfo!$D$4*LeagueInfo!$F$2,IF(C604="WR",LeagueInfo!$D$5*LeagueInfo!$F$2,IF(C604="TE",LeagueInfo!$D$6*LeagueInfo!$F$2,LeagueInfo!$D$3*LeagueInfo!$F$2)))</f>
        <v>24</v>
      </c>
    </row>
    <row r="605" spans="1:9" x14ac:dyDescent="0.25">
      <c r="A605" s="1">
        <f ca="1">RANK(E605,E$2:E$619)</f>
        <v>603</v>
      </c>
      <c r="B605" s="1" t="s">
        <v>928</v>
      </c>
      <c r="C605" s="1" t="s">
        <v>39</v>
      </c>
      <c r="D605" s="1">
        <f ca="1">INDEX(INDIRECT($C605&amp;"!O:O"),MATCH($B605,INDIRECT($C605&amp;"!B:B"),0))</f>
        <v>0.9</v>
      </c>
      <c r="E605" s="254">
        <f ca="1">D605-LARGE(D$2:D$619,RBCount+WRCount+TECount+QBCount)</f>
        <v>-82.97</v>
      </c>
      <c r="F605" s="1" t="str">
        <f ca="1">IF(H605&lt;=I605,"Starter",IF(G605&gt;=LARGE(G:G,FlexOn*LeagueInfo!$F$2),"Starter","Bench"))</f>
        <v>Bench</v>
      </c>
      <c r="G605" s="1">
        <f ca="1">IF(H605&gt;I605,D605,0)</f>
        <v>0.9</v>
      </c>
      <c r="H605" s="1">
        <f ca="1">INDEX(INDIRECT(""&amp;C605&amp;"!A2:A489"),MATCH(B605,INDIRECT(""&amp;C605&amp;"!B2:B489"),0))</f>
        <v>228</v>
      </c>
      <c r="I605" s="1">
        <f>IF(C605="RB",LeagueInfo!$D$4*LeagueInfo!$F$2,IF(C605="WR",LeagueInfo!$D$5*LeagueInfo!$F$2,IF(C605="TE",LeagueInfo!$D$6*LeagueInfo!$F$2,LeagueInfo!$D$3*LeagueInfo!$F$2)))</f>
        <v>24</v>
      </c>
    </row>
    <row r="606" spans="1:9" x14ac:dyDescent="0.25">
      <c r="A606" s="1">
        <f ca="1">RANK(E606,E$2:E$619)</f>
        <v>603</v>
      </c>
      <c r="B606" s="1" t="s">
        <v>928</v>
      </c>
      <c r="C606" s="1" t="s">
        <v>39</v>
      </c>
      <c r="D606" s="1">
        <f ca="1">INDEX(INDIRECT($C606&amp;"!O:O"),MATCH($B606,INDIRECT($C606&amp;"!B:B"),0))</f>
        <v>0.9</v>
      </c>
      <c r="E606" s="254">
        <f ca="1">D606-LARGE(D$2:D$619,RBCount+WRCount+TECount+QBCount)</f>
        <v>-82.97</v>
      </c>
      <c r="F606" s="1" t="str">
        <f ca="1">IF(H606&lt;=I606,"Starter",IF(G606&gt;=LARGE(G:G,FlexOn*LeagueInfo!$F$2),"Starter","Bench"))</f>
        <v>Bench</v>
      </c>
      <c r="G606" s="1">
        <f ca="1">IF(H606&gt;I606,D606,0)</f>
        <v>0.9</v>
      </c>
      <c r="H606" s="1">
        <f ca="1">INDEX(INDIRECT(""&amp;C606&amp;"!A2:A489"),MATCH(B606,INDIRECT(""&amp;C606&amp;"!B2:B489"),0))</f>
        <v>228</v>
      </c>
      <c r="I606" s="1">
        <f>IF(C606="RB",LeagueInfo!$D$4*LeagueInfo!$F$2,IF(C606="WR",LeagueInfo!$D$5*LeagueInfo!$F$2,IF(C606="TE",LeagueInfo!$D$6*LeagueInfo!$F$2,LeagueInfo!$D$3*LeagueInfo!$F$2)))</f>
        <v>24</v>
      </c>
    </row>
    <row r="607" spans="1:9" x14ac:dyDescent="0.25">
      <c r="A607" s="1">
        <f ca="1">RANK(E607,E$2:E$619)</f>
        <v>603</v>
      </c>
      <c r="B607" s="1" t="s">
        <v>928</v>
      </c>
      <c r="C607" s="1" t="s">
        <v>39</v>
      </c>
      <c r="D607" s="1">
        <f ca="1">INDEX(INDIRECT($C607&amp;"!O:O"),MATCH($B607,INDIRECT($C607&amp;"!B:B"),0))</f>
        <v>0.9</v>
      </c>
      <c r="E607" s="254">
        <f ca="1">D607-LARGE(D$2:D$619,RBCount+WRCount+TECount+QBCount)</f>
        <v>-82.97</v>
      </c>
      <c r="F607" s="1" t="str">
        <f ca="1">IF(H607&lt;=I607,"Starter",IF(G607&gt;=LARGE(G:G,FlexOn*LeagueInfo!$F$2),"Starter","Bench"))</f>
        <v>Bench</v>
      </c>
      <c r="G607" s="1">
        <f ca="1">IF(H607&gt;I607,D607,0)</f>
        <v>0.9</v>
      </c>
      <c r="H607" s="1">
        <f ca="1">INDEX(INDIRECT(""&amp;C607&amp;"!A2:A489"),MATCH(B607,INDIRECT(""&amp;C607&amp;"!B2:B489"),0))</f>
        <v>228</v>
      </c>
      <c r="I607" s="1">
        <f>IF(C607="RB",LeagueInfo!$D$4*LeagueInfo!$F$2,IF(C607="WR",LeagueInfo!$D$5*LeagueInfo!$F$2,IF(C607="TE",LeagueInfo!$D$6*LeagueInfo!$F$2,LeagueInfo!$D$3*LeagueInfo!$F$2)))</f>
        <v>24</v>
      </c>
    </row>
    <row r="608" spans="1:9" x14ac:dyDescent="0.25">
      <c r="A608" s="1">
        <f ca="1">RANK(E608,E$2:E$619)</f>
        <v>607</v>
      </c>
      <c r="B608" s="1" t="s">
        <v>429</v>
      </c>
      <c r="C608" s="1" t="s">
        <v>33</v>
      </c>
      <c r="D608" s="1">
        <f ca="1">INDEX(INDIRECT($C608&amp;"!O:O"),MATCH($B608,INDIRECT($C608&amp;"!B:B"),0))</f>
        <v>0.24</v>
      </c>
      <c r="E608" s="254">
        <f ca="1">D608-LARGE(D$2:D$619,RBCount+WRCount+TECount+QBCount)</f>
        <v>-83.63000000000001</v>
      </c>
      <c r="F608" s="1" t="str">
        <f ca="1">IF(H608&lt;=I608,"Starter",IF(G608&gt;=LARGE(G:G,FlexOn*LeagueInfo!$F$2),"Starter","Bench"))</f>
        <v>Bench</v>
      </c>
      <c r="G608" s="1">
        <f ca="1">IF(H608&gt;I608,D608,0)</f>
        <v>0.24</v>
      </c>
      <c r="H608" s="1">
        <f ca="1">INDEX(INDIRECT(""&amp;C608&amp;"!A2:A489"),MATCH(B608,INDIRECT(""&amp;C608&amp;"!B2:B489"),0))</f>
        <v>75</v>
      </c>
      <c r="I608" s="1">
        <f>IF(C608="RB",LeagueInfo!$D$4*LeagueInfo!$F$2,IF(C608="WR",LeagueInfo!$D$5*LeagueInfo!$F$2,IF(C608="TE",LeagueInfo!$D$6*LeagueInfo!$F$2,LeagueInfo!$D$3*LeagueInfo!$F$2)))</f>
        <v>12</v>
      </c>
    </row>
    <row r="609" spans="1:9" x14ac:dyDescent="0.25">
      <c r="A609" s="1">
        <f ca="1">RANK(E609,E$2:E$619)</f>
        <v>607</v>
      </c>
      <c r="B609" s="1" t="s">
        <v>429</v>
      </c>
      <c r="C609" s="1" t="s">
        <v>33</v>
      </c>
      <c r="D609" s="1">
        <f ca="1">INDEX(INDIRECT($C609&amp;"!O:O"),MATCH($B609,INDIRECT($C609&amp;"!B:B"),0))</f>
        <v>0.24</v>
      </c>
      <c r="E609" s="254">
        <f ca="1">D609-LARGE(D$2:D$619,RBCount+WRCount+TECount+QBCount)</f>
        <v>-83.63000000000001</v>
      </c>
      <c r="F609" s="1" t="str">
        <f ca="1">IF(H609&lt;=I609,"Starter",IF(G609&gt;=LARGE(G:G,FlexOn*LeagueInfo!$F$2),"Starter","Bench"))</f>
        <v>Bench</v>
      </c>
      <c r="G609" s="1">
        <f ca="1">IF(H609&gt;I609,D609,0)</f>
        <v>0.24</v>
      </c>
      <c r="H609" s="1">
        <f ca="1">INDEX(INDIRECT(""&amp;C609&amp;"!A2:A489"),MATCH(B609,INDIRECT(""&amp;C609&amp;"!B2:B489"),0))</f>
        <v>75</v>
      </c>
      <c r="I609" s="1">
        <f>IF(C609="RB",LeagueInfo!$D$4*LeagueInfo!$F$2,IF(C609="WR",LeagueInfo!$D$5*LeagueInfo!$F$2,IF(C609="TE",LeagueInfo!$D$6*LeagueInfo!$F$2,LeagueInfo!$D$3*LeagueInfo!$F$2)))</f>
        <v>12</v>
      </c>
    </row>
    <row r="610" spans="1:9" x14ac:dyDescent="0.25">
      <c r="A610" s="1">
        <f ca="1">RANK(E610,E$2:E$619)</f>
        <v>607</v>
      </c>
      <c r="B610" s="1" t="s">
        <v>429</v>
      </c>
      <c r="C610" s="1" t="s">
        <v>33</v>
      </c>
      <c r="D610" s="1">
        <f ca="1">INDEX(INDIRECT($C610&amp;"!O:O"),MATCH($B610,INDIRECT($C610&amp;"!B:B"),0))</f>
        <v>0.24</v>
      </c>
      <c r="E610" s="254">
        <f ca="1">D610-LARGE(D$2:D$619,RBCount+WRCount+TECount+QBCount)</f>
        <v>-83.63000000000001</v>
      </c>
      <c r="F610" s="1" t="str">
        <f ca="1">IF(H610&lt;=I610,"Starter",IF(G610&gt;=LARGE(G:G,FlexOn*LeagueInfo!$F$2),"Starter","Bench"))</f>
        <v>Bench</v>
      </c>
      <c r="G610" s="1">
        <f ca="1">IF(H610&gt;I610,D610,0)</f>
        <v>0.24</v>
      </c>
      <c r="H610" s="1">
        <f ca="1">INDEX(INDIRECT(""&amp;C610&amp;"!A2:A489"),MATCH(B610,INDIRECT(""&amp;C610&amp;"!B2:B489"),0))</f>
        <v>75</v>
      </c>
      <c r="I610" s="1">
        <f>IF(C610="RB",LeagueInfo!$D$4*LeagueInfo!$F$2,IF(C610="WR",LeagueInfo!$D$5*LeagueInfo!$F$2,IF(C610="TE",LeagueInfo!$D$6*LeagueInfo!$F$2,LeagueInfo!$D$3*LeagueInfo!$F$2)))</f>
        <v>12</v>
      </c>
    </row>
    <row r="611" spans="1:9" x14ac:dyDescent="0.25">
      <c r="A611" s="1">
        <f ca="1">RANK(E611,E$2:E$619)</f>
        <v>607</v>
      </c>
      <c r="B611" s="1" t="s">
        <v>429</v>
      </c>
      <c r="C611" s="1" t="s">
        <v>33</v>
      </c>
      <c r="D611" s="1">
        <f ca="1">INDEX(INDIRECT($C611&amp;"!O:O"),MATCH($B611,INDIRECT($C611&amp;"!B:B"),0))</f>
        <v>0.24</v>
      </c>
      <c r="E611" s="254">
        <f ca="1">D611-LARGE(D$2:D$619,RBCount+WRCount+TECount+QBCount)</f>
        <v>-83.63000000000001</v>
      </c>
      <c r="F611" s="1" t="str">
        <f ca="1">IF(H611&lt;=I611,"Starter",IF(G611&gt;=LARGE(G:G,FlexOn*LeagueInfo!$F$2),"Starter","Bench"))</f>
        <v>Bench</v>
      </c>
      <c r="G611" s="1">
        <f ca="1">IF(H611&gt;I611,D611,0)</f>
        <v>0.24</v>
      </c>
      <c r="H611" s="1">
        <f ca="1">INDEX(INDIRECT(""&amp;C611&amp;"!A2:A489"),MATCH(B611,INDIRECT(""&amp;C611&amp;"!B2:B489"),0))</f>
        <v>75</v>
      </c>
      <c r="I611" s="1">
        <f>IF(C611="RB",LeagueInfo!$D$4*LeagueInfo!$F$2,IF(C611="WR",LeagueInfo!$D$5*LeagueInfo!$F$2,IF(C611="TE",LeagueInfo!$D$6*LeagueInfo!$F$2,LeagueInfo!$D$3*LeagueInfo!$F$2)))</f>
        <v>12</v>
      </c>
    </row>
    <row r="612" spans="1:9" x14ac:dyDescent="0.25">
      <c r="A612" s="1">
        <f ca="1">RANK(E612,E$2:E$619)</f>
        <v>611</v>
      </c>
      <c r="B612" s="1" t="s">
        <v>708</v>
      </c>
      <c r="C612" s="1" t="s">
        <v>39</v>
      </c>
      <c r="D612" s="1">
        <f ca="1">INDEX(INDIRECT($C612&amp;"!O:O"),MATCH($B612,INDIRECT($C612&amp;"!B:B"),0))</f>
        <v>0.21000000000000002</v>
      </c>
      <c r="E612" s="254">
        <f ca="1">D612-LARGE(D$2:D$619,RBCount+WRCount+TECount+QBCount)</f>
        <v>-83.660000000000011</v>
      </c>
      <c r="F612" s="1" t="str">
        <f ca="1">IF(H612&lt;=I612,"Starter",IF(G612&gt;=LARGE(G:G,FlexOn*LeagueInfo!$F$2),"Starter","Bench"))</f>
        <v>Bench</v>
      </c>
      <c r="G612" s="1">
        <f ca="1">IF(H612&gt;I612,D612,0)</f>
        <v>0.21000000000000002</v>
      </c>
      <c r="H612" s="1">
        <f ca="1">INDEX(INDIRECT(""&amp;C612&amp;"!A2:A489"),MATCH(B612,INDIRECT(""&amp;C612&amp;"!B2:B489"),0))</f>
        <v>229</v>
      </c>
      <c r="I612" s="1">
        <f>IF(C612="RB",LeagueInfo!$D$4*LeagueInfo!$F$2,IF(C612="WR",LeagueInfo!$D$5*LeagueInfo!$F$2,IF(C612="TE",LeagueInfo!$D$6*LeagueInfo!$F$2,LeagueInfo!$D$3*LeagueInfo!$F$2)))</f>
        <v>24</v>
      </c>
    </row>
    <row r="613" spans="1:9" x14ac:dyDescent="0.25">
      <c r="A613" s="1">
        <f ca="1">RANK(E613,E$2:E$619)</f>
        <v>611</v>
      </c>
      <c r="B613" s="1" t="s">
        <v>708</v>
      </c>
      <c r="C613" s="1" t="s">
        <v>39</v>
      </c>
      <c r="D613" s="1">
        <f ca="1">INDEX(INDIRECT($C613&amp;"!O:O"),MATCH($B613,INDIRECT($C613&amp;"!B:B"),0))</f>
        <v>0.21000000000000002</v>
      </c>
      <c r="E613" s="254">
        <f ca="1">D613-LARGE(D$2:D$619,RBCount+WRCount+TECount+QBCount)</f>
        <v>-83.660000000000011</v>
      </c>
      <c r="F613" s="1" t="str">
        <f ca="1">IF(H613&lt;=I613,"Starter",IF(G613&gt;=LARGE(G:G,FlexOn*LeagueInfo!$F$2),"Starter","Bench"))</f>
        <v>Bench</v>
      </c>
      <c r="G613" s="1">
        <f ca="1">IF(H613&gt;I613,D613,0)</f>
        <v>0.21000000000000002</v>
      </c>
      <c r="H613" s="1">
        <f ca="1">INDEX(INDIRECT(""&amp;C613&amp;"!A2:A489"),MATCH(B613,INDIRECT(""&amp;C613&amp;"!B2:B489"),0))</f>
        <v>229</v>
      </c>
      <c r="I613" s="1">
        <f>IF(C613="RB",LeagueInfo!$D$4*LeagueInfo!$F$2,IF(C613="WR",LeagueInfo!$D$5*LeagueInfo!$F$2,IF(C613="TE",LeagueInfo!$D$6*LeagueInfo!$F$2,LeagueInfo!$D$3*LeagueInfo!$F$2)))</f>
        <v>24</v>
      </c>
    </row>
    <row r="614" spans="1:9" x14ac:dyDescent="0.25">
      <c r="A614" s="1">
        <f ca="1">RANK(E614,E$2:E$619)</f>
        <v>611</v>
      </c>
      <c r="B614" s="1" t="s">
        <v>708</v>
      </c>
      <c r="C614" s="1" t="s">
        <v>39</v>
      </c>
      <c r="D614" s="1">
        <f ca="1">INDEX(INDIRECT($C614&amp;"!O:O"),MATCH($B614,INDIRECT($C614&amp;"!B:B"),0))</f>
        <v>0.21000000000000002</v>
      </c>
      <c r="E614" s="254">
        <f ca="1">D614-LARGE(D$2:D$619,RBCount+WRCount+TECount+QBCount)</f>
        <v>-83.660000000000011</v>
      </c>
      <c r="F614" s="1" t="str">
        <f ca="1">IF(H614&lt;=I614,"Starter",IF(G614&gt;=LARGE(G:G,FlexOn*LeagueInfo!$F$2),"Starter","Bench"))</f>
        <v>Bench</v>
      </c>
      <c r="G614" s="1">
        <f ca="1">IF(H614&gt;I614,D614,0)</f>
        <v>0.21000000000000002</v>
      </c>
      <c r="H614" s="1">
        <f ca="1">INDEX(INDIRECT(""&amp;C614&amp;"!A2:A489"),MATCH(B614,INDIRECT(""&amp;C614&amp;"!B2:B489"),0))</f>
        <v>229</v>
      </c>
      <c r="I614" s="1">
        <f>IF(C614="RB",LeagueInfo!$D$4*LeagueInfo!$F$2,IF(C614="WR",LeagueInfo!$D$5*LeagueInfo!$F$2,IF(C614="TE",LeagueInfo!$D$6*LeagueInfo!$F$2,LeagueInfo!$D$3*LeagueInfo!$F$2)))</f>
        <v>24</v>
      </c>
    </row>
    <row r="615" spans="1:9" x14ac:dyDescent="0.25">
      <c r="A615" s="1">
        <f ca="1">RANK(E615,E$2:E$619)</f>
        <v>611</v>
      </c>
      <c r="B615" s="1" t="s">
        <v>708</v>
      </c>
      <c r="C615" s="1" t="s">
        <v>39</v>
      </c>
      <c r="D615" s="1">
        <f ca="1">INDEX(INDIRECT($C615&amp;"!O:O"),MATCH($B615,INDIRECT($C615&amp;"!B:B"),0))</f>
        <v>0.21000000000000002</v>
      </c>
      <c r="E615" s="254">
        <f ca="1">D615-LARGE(D$2:D$619,RBCount+WRCount+TECount+QBCount)</f>
        <v>-83.660000000000011</v>
      </c>
      <c r="F615" s="1" t="str">
        <f ca="1">IF(H615&lt;=I615,"Starter",IF(G615&gt;=LARGE(G:G,FlexOn*LeagueInfo!$F$2),"Starter","Bench"))</f>
        <v>Bench</v>
      </c>
      <c r="G615" s="1">
        <f ca="1">IF(H615&gt;I615,D615,0)</f>
        <v>0.21000000000000002</v>
      </c>
      <c r="H615" s="1">
        <f ca="1">INDEX(INDIRECT(""&amp;C615&amp;"!A2:A489"),MATCH(B615,INDIRECT(""&amp;C615&amp;"!B2:B489"),0))</f>
        <v>229</v>
      </c>
      <c r="I615" s="1">
        <f>IF(C615="RB",LeagueInfo!$D$4*LeagueInfo!$F$2,IF(C615="WR",LeagueInfo!$D$5*LeagueInfo!$F$2,IF(C615="TE",LeagueInfo!$D$6*LeagueInfo!$F$2,LeagueInfo!$D$3*LeagueInfo!$F$2)))</f>
        <v>24</v>
      </c>
    </row>
    <row r="616" spans="1:9" x14ac:dyDescent="0.25">
      <c r="A616" s="1">
        <f ca="1">RANK(E616,E$2:E$619)</f>
        <v>611</v>
      </c>
      <c r="B616" s="1" t="s">
        <v>708</v>
      </c>
      <c r="C616" s="1" t="s">
        <v>39</v>
      </c>
      <c r="D616" s="1">
        <f ca="1">INDEX(INDIRECT($C616&amp;"!O:O"),MATCH($B616,INDIRECT($C616&amp;"!B:B"),0))</f>
        <v>0.21000000000000002</v>
      </c>
      <c r="E616" s="254">
        <f ca="1">D616-LARGE(D$2:D$619,RBCount+WRCount+TECount+QBCount)</f>
        <v>-83.660000000000011</v>
      </c>
      <c r="F616" s="1" t="str">
        <f ca="1">IF(H616&lt;=I616,"Starter",IF(G616&gt;=LARGE(G:G,FlexOn*LeagueInfo!$F$2),"Starter","Bench"))</f>
        <v>Bench</v>
      </c>
      <c r="G616" s="1">
        <f ca="1">IF(H616&gt;I616,D616,0)</f>
        <v>0.21000000000000002</v>
      </c>
      <c r="H616" s="1">
        <f ca="1">INDEX(INDIRECT(""&amp;C616&amp;"!A2:A489"),MATCH(B616,INDIRECT(""&amp;C616&amp;"!B2:B489"),0))</f>
        <v>229</v>
      </c>
      <c r="I616" s="1">
        <f>IF(C616="RB",LeagueInfo!$D$4*LeagueInfo!$F$2,IF(C616="WR",LeagueInfo!$D$5*LeagueInfo!$F$2,IF(C616="TE",LeagueInfo!$D$6*LeagueInfo!$F$2,LeagueInfo!$D$3*LeagueInfo!$F$2)))</f>
        <v>24</v>
      </c>
    </row>
    <row r="617" spans="1:9" x14ac:dyDescent="0.25">
      <c r="A617"/>
      <c r="B617"/>
      <c r="C617"/>
      <c r="D617"/>
      <c r="E617"/>
      <c r="F617"/>
      <c r="G617"/>
      <c r="H617"/>
      <c r="I617"/>
    </row>
    <row r="618" spans="1:9" x14ac:dyDescent="0.25">
      <c r="A618"/>
      <c r="B618"/>
      <c r="C618"/>
      <c r="D618"/>
      <c r="E618"/>
      <c r="F618"/>
      <c r="G618"/>
      <c r="H618"/>
      <c r="I618"/>
    </row>
    <row r="619" spans="1:9" x14ac:dyDescent="0.25">
      <c r="A619"/>
      <c r="B619"/>
      <c r="C619"/>
      <c r="D619"/>
      <c r="E619"/>
      <c r="F619"/>
      <c r="G619"/>
      <c r="H619"/>
      <c r="I619"/>
    </row>
  </sheetData>
  <sortState ref="A2:J619">
    <sortCondition descending="1" ref="E2"/>
  </sortState>
  <conditionalFormatting sqref="B196:C542">
    <cfRule type="expression" dxfId="56" priority="6">
      <formula>$J196="Yes"</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404"/>
  <sheetViews>
    <sheetView topLeftCell="A372" workbookViewId="0">
      <selection activeCell="B174" sqref="B174:C402"/>
    </sheetView>
  </sheetViews>
  <sheetFormatPr defaultColWidth="8.85546875" defaultRowHeight="15" x14ac:dyDescent="0.25"/>
  <cols>
    <col min="1" max="1" width="8.85546875" style="1"/>
    <col min="2" max="2" width="23.42578125" style="1" bestFit="1" customWidth="1"/>
    <col min="3" max="3" width="4.42578125" style="1" bestFit="1" customWidth="1"/>
    <col min="4" max="16384" width="8.85546875" style="1"/>
  </cols>
  <sheetData>
    <row r="1" spans="1:10" ht="24.75" x14ac:dyDescent="0.25">
      <c r="A1" s="2" t="s">
        <v>328</v>
      </c>
      <c r="B1" s="2" t="s">
        <v>89</v>
      </c>
      <c r="C1" s="2" t="s">
        <v>329</v>
      </c>
      <c r="D1" s="3" t="s">
        <v>338</v>
      </c>
      <c r="E1" s="4" t="s">
        <v>18</v>
      </c>
      <c r="F1" s="4" t="s">
        <v>711</v>
      </c>
      <c r="G1" s="4" t="s">
        <v>712</v>
      </c>
      <c r="H1" s="4" t="s">
        <v>713</v>
      </c>
      <c r="I1" s="4" t="s">
        <v>714</v>
      </c>
      <c r="J1" s="4"/>
    </row>
    <row r="2" spans="1:10" x14ac:dyDescent="0.25">
      <c r="A2" s="1">
        <f ca="1">RANK(E2,E$2:E$402)</f>
        <v>1</v>
      </c>
      <c r="B2" t="s">
        <v>94</v>
      </c>
      <c r="C2" t="s">
        <v>32</v>
      </c>
      <c r="D2" s="1">
        <f ca="1">INDEX(INDIRECT($C2&amp;"!O:O"),MATCH($B2,INDIRECT($C2&amp;"!B:B"),0))</f>
        <v>281.99000000000007</v>
      </c>
      <c r="E2" s="7">
        <f ca="1">D2-LARGE(D$2:D$402,RBCount+WRCount)</f>
        <v>202.19000000000005</v>
      </c>
      <c r="F2" s="1" t="str">
        <f ca="1">IF(H2&lt;=I2,"Starter",IF(G2&gt;=LARGE(G:G,FlexOn*LeagueInfo!$F$2),"Starter","Bench"))</f>
        <v>Starter</v>
      </c>
      <c r="G2" s="1">
        <f ca="1">IF(H2&gt;I2,D2,0)</f>
        <v>0</v>
      </c>
      <c r="H2" s="1">
        <f ca="1">INDEX(INDIRECT(""&amp;C2&amp;"!A2:A489"),MATCH(B2,INDIRECT(""&amp;C2&amp;"!B2:B489"),0))</f>
        <v>1</v>
      </c>
      <c r="I2" s="1">
        <f>IF(C2="RB",LeagueInfo!$D$4*LeagueInfo!$F$2,LeagueInfo!$D$5*LeagueInfo!$F$2)</f>
        <v>24</v>
      </c>
    </row>
    <row r="3" spans="1:10" x14ac:dyDescent="0.25">
      <c r="A3" s="1">
        <f ca="1">RANK(E3,E$2:E$402)</f>
        <v>2</v>
      </c>
      <c r="B3" t="s">
        <v>96</v>
      </c>
      <c r="C3" t="s">
        <v>32</v>
      </c>
      <c r="D3" s="1">
        <f ca="1">INDEX(INDIRECT($C3&amp;"!O:O"),MATCH($B3,INDIRECT($C3&amp;"!B:B"),0))</f>
        <v>261.18</v>
      </c>
      <c r="E3" s="7">
        <f ca="1">D3-LARGE(D$2:D$402,RBCount+WRCount)</f>
        <v>181.38</v>
      </c>
      <c r="F3" s="1" t="str">
        <f ca="1">IF(H3&lt;=I3,"Starter",IF(G3&gt;=LARGE(G:G,FlexOn*LeagueInfo!$F$2),"Starter","Bench"))</f>
        <v>Starter</v>
      </c>
      <c r="G3" s="1">
        <f ca="1">IF(H3&gt;I3,D3,0)</f>
        <v>0</v>
      </c>
      <c r="H3" s="1">
        <f ca="1">INDEX(INDIRECT(""&amp;C3&amp;"!A2:A489"),MATCH(B3,INDIRECT(""&amp;C3&amp;"!B2:B489"),0))</f>
        <v>2</v>
      </c>
      <c r="I3" s="1">
        <f>IF(C3="RB",LeagueInfo!$D$4*LeagueInfo!$F$2,LeagueInfo!$D$5*LeagueInfo!$F$2)</f>
        <v>24</v>
      </c>
    </row>
    <row r="4" spans="1:10" x14ac:dyDescent="0.25">
      <c r="A4" s="1">
        <f ca="1">RANK(E4,E$2:E$402)</f>
        <v>7</v>
      </c>
      <c r="B4" t="s">
        <v>100</v>
      </c>
      <c r="C4" t="s">
        <v>39</v>
      </c>
      <c r="D4" s="1">
        <f ca="1">INDEX(INDIRECT($C4&amp;"!O:O"),MATCH($B4,INDIRECT($C4&amp;"!B:B"),0))</f>
        <v>203.86999999999998</v>
      </c>
      <c r="E4" s="7">
        <f ca="1">D4-LARGE(D$2:D$402,RBCount+WRCount)</f>
        <v>124.06999999999996</v>
      </c>
      <c r="F4" s="1" t="str">
        <f ca="1">IF(H4&lt;=I4,"Starter",IF(G4&gt;=LARGE(G:G,FlexOn*LeagueInfo!$F$2),"Starter","Bench"))</f>
        <v>Starter</v>
      </c>
      <c r="G4" s="1">
        <f ca="1">IF(H4&gt;I4,D4,0)</f>
        <v>0</v>
      </c>
      <c r="H4" s="1">
        <f ca="1">INDEX(INDIRECT(""&amp;C4&amp;"!A2:A489"),MATCH(B4,INDIRECT(""&amp;C4&amp;"!B2:B489"),0))</f>
        <v>2</v>
      </c>
      <c r="I4" s="1">
        <f>IF(C4="RB",LeagueInfo!$D$4*LeagueInfo!$F$2,LeagueInfo!$D$5*LeagueInfo!$F$2)</f>
        <v>24</v>
      </c>
    </row>
    <row r="5" spans="1:10" x14ac:dyDescent="0.25">
      <c r="A5" s="1">
        <f ca="1">RANK(E5,E$2:E$402)</f>
        <v>4</v>
      </c>
      <c r="B5" t="s">
        <v>102</v>
      </c>
      <c r="C5" t="s">
        <v>39</v>
      </c>
      <c r="D5" s="1">
        <f ca="1">INDEX(INDIRECT($C5&amp;"!O:O"),MATCH($B5,INDIRECT($C5&amp;"!B:B"),0))</f>
        <v>205.82999999999998</v>
      </c>
      <c r="E5" s="7">
        <f ca="1">D5-LARGE(D$2:D$402,RBCount+WRCount)</f>
        <v>126.02999999999997</v>
      </c>
      <c r="F5" s="1" t="str">
        <f ca="1">IF(H5&lt;=I5,"Starter",IF(G5&gt;=LARGE(G:G,FlexOn*LeagueInfo!$F$2),"Starter","Bench"))</f>
        <v>Starter</v>
      </c>
      <c r="G5" s="1">
        <f ca="1">IF(H5&gt;I5,D5,0)</f>
        <v>0</v>
      </c>
      <c r="H5" s="1">
        <f ca="1">INDEX(INDIRECT(""&amp;C5&amp;"!A2:A489"),MATCH(B5,INDIRECT(""&amp;C5&amp;"!B2:B489"),0))</f>
        <v>1</v>
      </c>
      <c r="I5" s="1">
        <f>IF(C5="RB",LeagueInfo!$D$4*LeagueInfo!$F$2,LeagueInfo!$D$5*LeagueInfo!$F$2)</f>
        <v>24</v>
      </c>
    </row>
    <row r="6" spans="1:10" x14ac:dyDescent="0.25">
      <c r="A6" s="1">
        <f ca="1">RANK(E6,E$2:E$402)</f>
        <v>3</v>
      </c>
      <c r="B6" t="s">
        <v>104</v>
      </c>
      <c r="C6" t="s">
        <v>32</v>
      </c>
      <c r="D6" s="1">
        <f ca="1">INDEX(INDIRECT($C6&amp;"!O:O"),MATCH($B6,INDIRECT($C6&amp;"!B:B"),0))</f>
        <v>217.33000000000004</v>
      </c>
      <c r="E6" s="7">
        <f ca="1">D6-LARGE(D$2:D$402,RBCount+WRCount)</f>
        <v>137.53000000000003</v>
      </c>
      <c r="F6" s="1" t="str">
        <f ca="1">IF(H6&lt;=I6,"Starter",IF(G6&gt;=LARGE(G:G,FlexOn*LeagueInfo!$F$2),"Starter","Bench"))</f>
        <v>Starter</v>
      </c>
      <c r="G6" s="1">
        <f ca="1">IF(H6&gt;I6,D6,0)</f>
        <v>0</v>
      </c>
      <c r="H6" s="1">
        <f ca="1">INDEX(INDIRECT(""&amp;C6&amp;"!A2:A489"),MATCH(B6,INDIRECT(""&amp;C6&amp;"!B2:B489"),0))</f>
        <v>3</v>
      </c>
      <c r="I6" s="1">
        <f>IF(C6="RB",LeagueInfo!$D$4*LeagueInfo!$F$2,LeagueInfo!$D$5*LeagueInfo!$F$2)</f>
        <v>24</v>
      </c>
    </row>
    <row r="7" spans="1:10" x14ac:dyDescent="0.25">
      <c r="A7" s="1">
        <f ca="1">RANK(E7,E$2:E$402)</f>
        <v>10</v>
      </c>
      <c r="B7" t="s">
        <v>101</v>
      </c>
      <c r="C7" t="s">
        <v>39</v>
      </c>
      <c r="D7" s="1">
        <f ca="1">INDEX(INDIRECT($C7&amp;"!O:O"),MATCH($B7,INDIRECT($C7&amp;"!B:B"),0))</f>
        <v>190.75</v>
      </c>
      <c r="E7" s="7">
        <f ca="1">D7-LARGE(D$2:D$402,RBCount+WRCount)</f>
        <v>110.94999999999999</v>
      </c>
      <c r="F7" s="1" t="str">
        <f ca="1">IF(H7&lt;=I7,"Starter",IF(G7&gt;=LARGE(G:G,FlexOn*LeagueInfo!$F$2),"Starter","Bench"))</f>
        <v>Starter</v>
      </c>
      <c r="G7" s="1">
        <f ca="1">IF(H7&gt;I7,D7,0)</f>
        <v>0</v>
      </c>
      <c r="H7" s="1">
        <f ca="1">INDEX(INDIRECT(""&amp;C7&amp;"!A2:A489"),MATCH(B7,INDIRECT(""&amp;C7&amp;"!B2:B489"),0))</f>
        <v>3</v>
      </c>
      <c r="I7" s="1">
        <f>IF(C7="RB",LeagueInfo!$D$4*LeagueInfo!$F$2,LeagueInfo!$D$5*LeagueInfo!$F$2)</f>
        <v>24</v>
      </c>
    </row>
    <row r="8" spans="1:10" x14ac:dyDescent="0.25">
      <c r="A8" s="1">
        <f ca="1">RANK(E8,E$2:E$402)</f>
        <v>5</v>
      </c>
      <c r="B8" t="s">
        <v>110</v>
      </c>
      <c r="C8" t="s">
        <v>32</v>
      </c>
      <c r="D8" s="1">
        <f ca="1">INDEX(INDIRECT($C8&amp;"!O:O"),MATCH($B8,INDIRECT($C8&amp;"!B:B"),0))</f>
        <v>205.38</v>
      </c>
      <c r="E8" s="7">
        <f ca="1">D8-LARGE(D$2:D$402,RBCount+WRCount)</f>
        <v>125.57999999999998</v>
      </c>
      <c r="F8" s="1" t="str">
        <f ca="1">IF(H8&lt;=I8,"Starter",IF(G8&gt;=LARGE(G:G,FlexOn*LeagueInfo!$F$2),"Starter","Bench"))</f>
        <v>Starter</v>
      </c>
      <c r="G8" s="1">
        <f ca="1">IF(H8&gt;I8,D8,0)</f>
        <v>0</v>
      </c>
      <c r="H8" s="1">
        <f ca="1">INDEX(INDIRECT(""&amp;C8&amp;"!A2:A489"),MATCH(B8,INDIRECT(""&amp;C8&amp;"!B2:B489"),0))</f>
        <v>4</v>
      </c>
      <c r="I8" s="1">
        <f>IF(C8="RB",LeagueInfo!$D$4*LeagueInfo!$F$2,LeagueInfo!$D$5*LeagueInfo!$F$2)</f>
        <v>24</v>
      </c>
    </row>
    <row r="9" spans="1:10" x14ac:dyDescent="0.25">
      <c r="A9" s="1">
        <f ca="1">RANK(E9,E$2:E$402)</f>
        <v>13</v>
      </c>
      <c r="B9" t="s">
        <v>103</v>
      </c>
      <c r="C9" t="s">
        <v>39</v>
      </c>
      <c r="D9" s="1">
        <f ca="1">INDEX(INDIRECT($C9&amp;"!O:O"),MATCH($B9,INDIRECT($C9&amp;"!B:B"),0))</f>
        <v>183.65</v>
      </c>
      <c r="E9" s="7">
        <f ca="1">D9-LARGE(D$2:D$402,RBCount+WRCount)</f>
        <v>103.85</v>
      </c>
      <c r="F9" s="1" t="str">
        <f ca="1">IF(H9&lt;=I9,"Starter",IF(G9&gt;=LARGE(G:G,FlexOn*LeagueInfo!$F$2),"Starter","Bench"))</f>
        <v>Starter</v>
      </c>
      <c r="G9" s="1">
        <f ca="1">IF(H9&gt;I9,D9,0)</f>
        <v>0</v>
      </c>
      <c r="H9" s="1">
        <f ca="1">INDEX(INDIRECT(""&amp;C9&amp;"!A2:A489"),MATCH(B9,INDIRECT(""&amp;C9&amp;"!B2:B489"),0))</f>
        <v>4</v>
      </c>
      <c r="I9" s="1">
        <f>IF(C9="RB",LeagueInfo!$D$4*LeagueInfo!$F$2,LeagueInfo!$D$5*LeagueInfo!$F$2)</f>
        <v>24</v>
      </c>
    </row>
    <row r="10" spans="1:10" x14ac:dyDescent="0.25">
      <c r="A10" s="1">
        <f ca="1">RANK(E10,E$2:E$402)</f>
        <v>14</v>
      </c>
      <c r="B10" t="s">
        <v>109</v>
      </c>
      <c r="C10" t="s">
        <v>39</v>
      </c>
      <c r="D10" s="1">
        <f ca="1">INDEX(INDIRECT($C10&amp;"!O:O"),MATCH($B10,INDIRECT($C10&amp;"!B:B"),0))</f>
        <v>183.32</v>
      </c>
      <c r="E10" s="7">
        <f ca="1">D10-LARGE(D$2:D$402,RBCount+WRCount)</f>
        <v>103.51999999999998</v>
      </c>
      <c r="F10" s="1" t="str">
        <f ca="1">IF(H10&lt;=I10,"Starter",IF(G10&gt;=LARGE(G:G,FlexOn*LeagueInfo!$F$2),"Starter","Bench"))</f>
        <v>Starter</v>
      </c>
      <c r="G10" s="1">
        <f ca="1">IF(H10&gt;I10,D10,0)</f>
        <v>0</v>
      </c>
      <c r="H10" s="1">
        <f ca="1">INDEX(INDIRECT(""&amp;C10&amp;"!A2:A489"),MATCH(B10,INDIRECT(""&amp;C10&amp;"!B2:B489"),0))</f>
        <v>5</v>
      </c>
      <c r="I10" s="1">
        <f>IF(C10="RB",LeagueInfo!$D$4*LeagueInfo!$F$2,LeagueInfo!$D$5*LeagueInfo!$F$2)</f>
        <v>24</v>
      </c>
    </row>
    <row r="11" spans="1:10" x14ac:dyDescent="0.25">
      <c r="A11" s="1">
        <f ca="1">RANK(E11,E$2:E$402)</f>
        <v>8</v>
      </c>
      <c r="B11" t="s">
        <v>105</v>
      </c>
      <c r="C11" t="s">
        <v>32</v>
      </c>
      <c r="D11" s="1">
        <f ca="1">INDEX(INDIRECT($C11&amp;"!O:O"),MATCH($B11,INDIRECT($C11&amp;"!B:B"),0))</f>
        <v>203.7</v>
      </c>
      <c r="E11" s="7">
        <f ca="1">D11-LARGE(D$2:D$402,RBCount+WRCount)</f>
        <v>123.89999999999998</v>
      </c>
      <c r="F11" s="1" t="str">
        <f ca="1">IF(H11&lt;=I11,"Starter",IF(G11&gt;=LARGE(G:G,FlexOn*LeagueInfo!$F$2),"Starter","Bench"))</f>
        <v>Starter</v>
      </c>
      <c r="G11" s="1">
        <f ca="1">IF(H11&gt;I11,D11,0)</f>
        <v>0</v>
      </c>
      <c r="H11" s="1">
        <f ca="1">INDEX(INDIRECT(""&amp;C11&amp;"!A2:A489"),MATCH(B11,INDIRECT(""&amp;C11&amp;"!B2:B489"),0))</f>
        <v>6</v>
      </c>
      <c r="I11" s="1">
        <f>IF(C11="RB",LeagueInfo!$D$4*LeagueInfo!$F$2,LeagueInfo!$D$5*LeagueInfo!$F$2)</f>
        <v>24</v>
      </c>
    </row>
    <row r="12" spans="1:10" x14ac:dyDescent="0.25">
      <c r="A12" s="1">
        <f ca="1">RANK(E12,E$2:E$402)</f>
        <v>6</v>
      </c>
      <c r="B12" t="s">
        <v>106</v>
      </c>
      <c r="C12" t="s">
        <v>32</v>
      </c>
      <c r="D12" s="1">
        <f ca="1">INDEX(INDIRECT($C12&amp;"!O:O"),MATCH($B12,INDIRECT($C12&amp;"!B:B"),0))</f>
        <v>204.15</v>
      </c>
      <c r="E12" s="7">
        <f ca="1">D12-LARGE(D$2:D$402,RBCount+WRCount)</f>
        <v>124.35</v>
      </c>
      <c r="F12" s="1" t="str">
        <f ca="1">IF(H12&lt;=I12,"Starter",IF(G12&gt;=LARGE(G:G,FlexOn*LeagueInfo!$F$2),"Starter","Bench"))</f>
        <v>Starter</v>
      </c>
      <c r="G12" s="1">
        <f ca="1">IF(H12&gt;I12,D12,0)</f>
        <v>0</v>
      </c>
      <c r="H12" s="1">
        <f ca="1">INDEX(INDIRECT(""&amp;C12&amp;"!A2:A489"),MATCH(B12,INDIRECT(""&amp;C12&amp;"!B2:B489"),0))</f>
        <v>5</v>
      </c>
      <c r="I12" s="1">
        <f>IF(C12="RB",LeagueInfo!$D$4*LeagueInfo!$F$2,LeagueInfo!$D$5*LeagueInfo!$F$2)</f>
        <v>24</v>
      </c>
    </row>
    <row r="13" spans="1:10" x14ac:dyDescent="0.25">
      <c r="A13" s="1">
        <f ca="1">RANK(E13,E$2:E$402)</f>
        <v>9</v>
      </c>
      <c r="B13" t="s">
        <v>108</v>
      </c>
      <c r="C13" t="s">
        <v>32</v>
      </c>
      <c r="D13" s="1">
        <f ca="1">INDEX(INDIRECT($C13&amp;"!O:O"),MATCH($B13,INDIRECT($C13&amp;"!B:B"),0))</f>
        <v>200.57</v>
      </c>
      <c r="E13" s="7">
        <f ca="1">D13-LARGE(D$2:D$402,RBCount+WRCount)</f>
        <v>120.76999999999998</v>
      </c>
      <c r="F13" s="1" t="str">
        <f ca="1">IF(H13&lt;=I13,"Starter",IF(G13&gt;=LARGE(G:G,FlexOn*LeagueInfo!$F$2),"Starter","Bench"))</f>
        <v>Starter</v>
      </c>
      <c r="G13" s="1">
        <f ca="1">IF(H13&gt;I13,D13,0)</f>
        <v>0</v>
      </c>
      <c r="H13" s="1">
        <f ca="1">INDEX(INDIRECT(""&amp;C13&amp;"!A2:A489"),MATCH(B13,INDIRECT(""&amp;C13&amp;"!B2:B489"),0))</f>
        <v>7</v>
      </c>
      <c r="I13" s="1">
        <f>IF(C13="RB",LeagueInfo!$D$4*LeagueInfo!$F$2,LeagueInfo!$D$5*LeagueInfo!$F$2)</f>
        <v>24</v>
      </c>
    </row>
    <row r="14" spans="1:10" x14ac:dyDescent="0.25">
      <c r="A14" s="1">
        <f ca="1">RANK(E14,E$2:E$402)</f>
        <v>16</v>
      </c>
      <c r="B14" t="s">
        <v>107</v>
      </c>
      <c r="C14" t="s">
        <v>39</v>
      </c>
      <c r="D14" s="1">
        <f ca="1">INDEX(INDIRECT($C14&amp;"!O:O"),MATCH($B14,INDIRECT($C14&amp;"!B:B"),0))</f>
        <v>173.07000000000002</v>
      </c>
      <c r="E14" s="7">
        <f ca="1">D14-LARGE(D$2:D$402,RBCount+WRCount)</f>
        <v>93.27000000000001</v>
      </c>
      <c r="F14" s="1" t="str">
        <f ca="1">IF(H14&lt;=I14,"Starter",IF(G14&gt;=LARGE(G:G,FlexOn*LeagueInfo!$F$2),"Starter","Bench"))</f>
        <v>Starter</v>
      </c>
      <c r="G14" s="1">
        <f ca="1">IF(H14&gt;I14,D14,0)</f>
        <v>0</v>
      </c>
      <c r="H14" s="1">
        <f ca="1">INDEX(INDIRECT(""&amp;C14&amp;"!A2:A489"),MATCH(B14,INDIRECT(""&amp;C14&amp;"!B2:B489"),0))</f>
        <v>6</v>
      </c>
      <c r="I14" s="1">
        <f>IF(C14="RB",LeagueInfo!$D$4*LeagueInfo!$F$2,LeagueInfo!$D$5*LeagueInfo!$F$2)</f>
        <v>24</v>
      </c>
    </row>
    <row r="15" spans="1:10" x14ac:dyDescent="0.25">
      <c r="A15" s="1">
        <f ca="1">RANK(E15,E$2:E$402)</f>
        <v>19</v>
      </c>
      <c r="B15" t="s">
        <v>111</v>
      </c>
      <c r="C15" t="s">
        <v>39</v>
      </c>
      <c r="D15" s="1">
        <f ca="1">INDEX(INDIRECT($C15&amp;"!O:O"),MATCH($B15,INDIRECT($C15&amp;"!B:B"),0))</f>
        <v>168.28</v>
      </c>
      <c r="E15" s="7">
        <f ca="1">D15-LARGE(D$2:D$402,RBCount+WRCount)</f>
        <v>88.47999999999999</v>
      </c>
      <c r="F15" s="1" t="str">
        <f ca="1">IF(H15&lt;=I15,"Starter",IF(G15&gt;=LARGE(G:G,FlexOn*LeagueInfo!$F$2),"Starter","Bench"))</f>
        <v>Starter</v>
      </c>
      <c r="G15" s="1">
        <f ca="1">IF(H15&gt;I15,D15,0)</f>
        <v>0</v>
      </c>
      <c r="H15" s="1">
        <f ca="1">INDEX(INDIRECT(""&amp;C15&amp;"!A2:A489"),MATCH(B15,INDIRECT(""&amp;C15&amp;"!B2:B489"),0))</f>
        <v>7</v>
      </c>
      <c r="I15" s="1">
        <f>IF(C15="RB",LeagueInfo!$D$4*LeagueInfo!$F$2,LeagueInfo!$D$5*LeagueInfo!$F$2)</f>
        <v>24</v>
      </c>
    </row>
    <row r="16" spans="1:10" x14ac:dyDescent="0.25">
      <c r="A16" s="1">
        <f ca="1">RANK(E16,E$2:E$402)</f>
        <v>11</v>
      </c>
      <c r="B16" t="s">
        <v>113</v>
      </c>
      <c r="C16" t="s">
        <v>32</v>
      </c>
      <c r="D16" s="1">
        <f ca="1">INDEX(INDIRECT($C16&amp;"!O:O"),MATCH($B16,INDIRECT($C16&amp;"!B:B"),0))</f>
        <v>190.04999999999998</v>
      </c>
      <c r="E16" s="7">
        <f ca="1">D16-LARGE(D$2:D$402,RBCount+WRCount)</f>
        <v>110.24999999999997</v>
      </c>
      <c r="F16" s="1" t="str">
        <f ca="1">IF(H16&lt;=I16,"Starter",IF(G16&gt;=LARGE(G:G,FlexOn*LeagueInfo!$F$2),"Starter","Bench"))</f>
        <v>Starter</v>
      </c>
      <c r="G16" s="1">
        <f ca="1">IF(H16&gt;I16,D16,0)</f>
        <v>0</v>
      </c>
      <c r="H16" s="1">
        <f ca="1">INDEX(INDIRECT(""&amp;C16&amp;"!A2:A489"),MATCH(B16,INDIRECT(""&amp;C16&amp;"!B2:B489"),0))</f>
        <v>8</v>
      </c>
      <c r="I16" s="1">
        <f>IF(C16="RB",LeagueInfo!$D$4*LeagueInfo!$F$2,LeagueInfo!$D$5*LeagueInfo!$F$2)</f>
        <v>24</v>
      </c>
    </row>
    <row r="17" spans="1:9" x14ac:dyDescent="0.25">
      <c r="A17" s="1">
        <f ca="1">RANK(E17,E$2:E$402)</f>
        <v>20</v>
      </c>
      <c r="B17" t="s">
        <v>114</v>
      </c>
      <c r="C17" t="s">
        <v>39</v>
      </c>
      <c r="D17" s="1">
        <f ca="1">INDEX(INDIRECT($C17&amp;"!O:O"),MATCH($B17,INDIRECT($C17&amp;"!B:B"),0))</f>
        <v>163.15</v>
      </c>
      <c r="E17" s="7">
        <f ca="1">D17-LARGE(D$2:D$402,RBCount+WRCount)</f>
        <v>83.35</v>
      </c>
      <c r="F17" s="1" t="str">
        <f ca="1">IF(H17&lt;=I17,"Starter",IF(G17&gt;=LARGE(G:G,FlexOn*LeagueInfo!$F$2),"Starter","Bench"))</f>
        <v>Starter</v>
      </c>
      <c r="G17" s="1">
        <f ca="1">IF(H17&gt;I17,D17,0)</f>
        <v>0</v>
      </c>
      <c r="H17" s="1">
        <f ca="1">INDEX(INDIRECT(""&amp;C17&amp;"!A2:A489"),MATCH(B17,INDIRECT(""&amp;C17&amp;"!B2:B489"),0))</f>
        <v>8</v>
      </c>
      <c r="I17" s="1">
        <f>IF(C17="RB",LeagueInfo!$D$4*LeagueInfo!$F$2,LeagueInfo!$D$5*LeagueInfo!$F$2)</f>
        <v>24</v>
      </c>
    </row>
    <row r="18" spans="1:9" x14ac:dyDescent="0.25">
      <c r="A18" s="1">
        <f ca="1">RANK(E18,E$2:E$402)</f>
        <v>12</v>
      </c>
      <c r="B18" t="s">
        <v>118</v>
      </c>
      <c r="C18" t="s">
        <v>32</v>
      </c>
      <c r="D18" s="1">
        <f ca="1">INDEX(INDIRECT($C18&amp;"!O:O"),MATCH($B18,INDIRECT($C18&amp;"!B:B"),0))</f>
        <v>184.11</v>
      </c>
      <c r="E18" s="7">
        <f ca="1">D18-LARGE(D$2:D$402,RBCount+WRCount)</f>
        <v>104.31</v>
      </c>
      <c r="F18" s="1" t="str">
        <f ca="1">IF(H18&lt;=I18,"Starter",IF(G18&gt;=LARGE(G:G,FlexOn*LeagueInfo!$F$2),"Starter","Bench"))</f>
        <v>Starter</v>
      </c>
      <c r="G18" s="1">
        <f ca="1">IF(H18&gt;I18,D18,0)</f>
        <v>0</v>
      </c>
      <c r="H18" s="1">
        <f ca="1">INDEX(INDIRECT(""&amp;C18&amp;"!A2:A489"),MATCH(B18,INDIRECT(""&amp;C18&amp;"!B2:B489"),0))</f>
        <v>9</v>
      </c>
      <c r="I18" s="1">
        <f>IF(C18="RB",LeagueInfo!$D$4*LeagueInfo!$F$2,LeagueInfo!$D$5*LeagueInfo!$F$2)</f>
        <v>24</v>
      </c>
    </row>
    <row r="19" spans="1:9" x14ac:dyDescent="0.25">
      <c r="A19" s="1">
        <f ca="1">RANK(E19,E$2:E$402)</f>
        <v>25</v>
      </c>
      <c r="B19" t="s">
        <v>116</v>
      </c>
      <c r="C19" t="s">
        <v>39</v>
      </c>
      <c r="D19" s="1">
        <f ca="1">INDEX(INDIRECT($C19&amp;"!O:O"),MATCH($B19,INDIRECT($C19&amp;"!B:B"),0))</f>
        <v>157.4</v>
      </c>
      <c r="E19" s="7">
        <f ca="1">D19-LARGE(D$2:D$402,RBCount+WRCount)</f>
        <v>77.599999999999994</v>
      </c>
      <c r="F19" s="1" t="str">
        <f ca="1">IF(H19&lt;=I19,"Starter",IF(G19&gt;=LARGE(G:G,FlexOn*LeagueInfo!$F$2),"Starter","Bench"))</f>
        <v>Starter</v>
      </c>
      <c r="G19" s="1">
        <f ca="1">IF(H19&gt;I19,D19,0)</f>
        <v>0</v>
      </c>
      <c r="H19" s="1">
        <f ca="1">INDEX(INDIRECT(""&amp;C19&amp;"!A2:A489"),MATCH(B19,INDIRECT(""&amp;C19&amp;"!B2:B489"),0))</f>
        <v>10</v>
      </c>
      <c r="I19" s="1">
        <f>IF(C19="RB",LeagueInfo!$D$4*LeagueInfo!$F$2,LeagueInfo!$D$5*LeagueInfo!$F$2)</f>
        <v>24</v>
      </c>
    </row>
    <row r="20" spans="1:9" x14ac:dyDescent="0.25">
      <c r="A20" s="1">
        <f ca="1">RANK(E20,E$2:E$402)</f>
        <v>26</v>
      </c>
      <c r="B20" t="s">
        <v>115</v>
      </c>
      <c r="C20" t="s">
        <v>39</v>
      </c>
      <c r="D20" s="1">
        <f ca="1">INDEX(INDIRECT($C20&amp;"!O:O"),MATCH($B20,INDIRECT($C20&amp;"!B:B"),0))</f>
        <v>156.87</v>
      </c>
      <c r="E20" s="7">
        <f ca="1">D20-LARGE(D$2:D$402,RBCount+WRCount)</f>
        <v>77.069999999999993</v>
      </c>
      <c r="F20" s="1" t="str">
        <f ca="1">IF(H20&lt;=I20,"Starter",IF(G20&gt;=LARGE(G:G,FlexOn*LeagueInfo!$F$2),"Starter","Bench"))</f>
        <v>Starter</v>
      </c>
      <c r="G20" s="1">
        <f ca="1">IF(H20&gt;I20,D20,0)</f>
        <v>0</v>
      </c>
      <c r="H20" s="1">
        <f ca="1">INDEX(INDIRECT(""&amp;C20&amp;"!A2:A489"),MATCH(B20,INDIRECT(""&amp;C20&amp;"!B2:B489"),0))</f>
        <v>11</v>
      </c>
      <c r="I20" s="1">
        <f>IF(C20="RB",LeagueInfo!$D$4*LeagueInfo!$F$2,LeagueInfo!$D$5*LeagueInfo!$F$2)</f>
        <v>24</v>
      </c>
    </row>
    <row r="21" spans="1:9" x14ac:dyDescent="0.25">
      <c r="A21" s="1">
        <f ca="1">RANK(E21,E$2:E$402)</f>
        <v>22</v>
      </c>
      <c r="B21" t="s">
        <v>112</v>
      </c>
      <c r="C21" t="s">
        <v>39</v>
      </c>
      <c r="D21" s="1">
        <f ca="1">INDEX(INDIRECT($C21&amp;"!O:O"),MATCH($B21,INDIRECT($C21&amp;"!B:B"),0))</f>
        <v>158.69000000000003</v>
      </c>
      <c r="E21" s="7">
        <f ca="1">D21-LARGE(D$2:D$402,RBCount+WRCount)</f>
        <v>78.890000000000015</v>
      </c>
      <c r="F21" s="1" t="str">
        <f ca="1">IF(H21&lt;=I21,"Starter",IF(G21&gt;=LARGE(G:G,FlexOn*LeagueInfo!$F$2),"Starter","Bench"))</f>
        <v>Starter</v>
      </c>
      <c r="G21" s="1">
        <f ca="1">IF(H21&gt;I21,D21,0)</f>
        <v>0</v>
      </c>
      <c r="H21" s="1">
        <f ca="1">INDEX(INDIRECT(""&amp;C21&amp;"!A2:A489"),MATCH(B21,INDIRECT(""&amp;C21&amp;"!B2:B489"),0))</f>
        <v>9</v>
      </c>
      <c r="I21" s="1">
        <f>IF(C21="RB",LeagueInfo!$D$4*LeagueInfo!$F$2,LeagueInfo!$D$5*LeagueInfo!$F$2)</f>
        <v>24</v>
      </c>
    </row>
    <row r="22" spans="1:9" x14ac:dyDescent="0.25">
      <c r="A22" s="1">
        <f ca="1">RANK(E22,E$2:E$402)</f>
        <v>27</v>
      </c>
      <c r="B22" t="s">
        <v>123</v>
      </c>
      <c r="C22" t="s">
        <v>39</v>
      </c>
      <c r="D22" s="1">
        <f ca="1">INDEX(INDIRECT($C22&amp;"!O:O"),MATCH($B22,INDIRECT($C22&amp;"!B:B"),0))</f>
        <v>154.84</v>
      </c>
      <c r="E22" s="7">
        <f ca="1">D22-LARGE(D$2:D$402,RBCount+WRCount)</f>
        <v>75.039999999999992</v>
      </c>
      <c r="F22" s="1" t="str">
        <f ca="1">IF(H22&lt;=I22,"Starter",IF(G22&gt;=LARGE(G:G,FlexOn*LeagueInfo!$F$2),"Starter","Bench"))</f>
        <v>Starter</v>
      </c>
      <c r="G22" s="1">
        <f ca="1">IF(H22&gt;I22,D22,0)</f>
        <v>0</v>
      </c>
      <c r="H22" s="1">
        <f ca="1">INDEX(INDIRECT(""&amp;C22&amp;"!A2:A489"),MATCH(B22,INDIRECT(""&amp;C22&amp;"!B2:B489"),0))</f>
        <v>12</v>
      </c>
      <c r="I22" s="1">
        <f>IF(C22="RB",LeagueInfo!$D$4*LeagueInfo!$F$2,LeagueInfo!$D$5*LeagueInfo!$F$2)</f>
        <v>24</v>
      </c>
    </row>
    <row r="23" spans="1:9" x14ac:dyDescent="0.25">
      <c r="A23" s="1">
        <f ca="1">RANK(E23,E$2:E$402)</f>
        <v>15</v>
      </c>
      <c r="B23" t="s">
        <v>120</v>
      </c>
      <c r="C23" t="s">
        <v>32</v>
      </c>
      <c r="D23" s="1">
        <f ca="1">INDEX(INDIRECT($C23&amp;"!O:O"),MATCH($B23,INDIRECT($C23&amp;"!B:B"),0))</f>
        <v>175.31000000000003</v>
      </c>
      <c r="E23" s="7">
        <f ca="1">D23-LARGE(D$2:D$402,RBCount+WRCount)</f>
        <v>95.510000000000019</v>
      </c>
      <c r="F23" s="1" t="str">
        <f ca="1">IF(H23&lt;=I23,"Starter",IF(G23&gt;=LARGE(G:G,FlexOn*LeagueInfo!$F$2),"Starter","Bench"))</f>
        <v>Starter</v>
      </c>
      <c r="G23" s="1">
        <f ca="1">IF(H23&gt;I23,D23,0)</f>
        <v>0</v>
      </c>
      <c r="H23" s="1">
        <f ca="1">INDEX(INDIRECT(""&amp;C23&amp;"!A2:A489"),MATCH(B23,INDIRECT(""&amp;C23&amp;"!B2:B489"),0))</f>
        <v>10</v>
      </c>
      <c r="I23" s="1">
        <f>IF(C23="RB",LeagueInfo!$D$4*LeagueInfo!$F$2,LeagueInfo!$D$5*LeagueInfo!$F$2)</f>
        <v>24</v>
      </c>
    </row>
    <row r="24" spans="1:9" x14ac:dyDescent="0.25">
      <c r="A24" s="1">
        <f ca="1">RANK(E24,E$2:E$402)</f>
        <v>17</v>
      </c>
      <c r="B24" t="s">
        <v>121</v>
      </c>
      <c r="C24" t="s">
        <v>32</v>
      </c>
      <c r="D24" s="1">
        <f ca="1">INDEX(INDIRECT($C24&amp;"!O:O"),MATCH($B24,INDIRECT($C24&amp;"!B:B"),0))</f>
        <v>172.23</v>
      </c>
      <c r="E24" s="7">
        <f ca="1">D24-LARGE(D$2:D$402,RBCount+WRCount)</f>
        <v>92.429999999999978</v>
      </c>
      <c r="F24" s="1" t="str">
        <f ca="1">IF(H24&lt;=I24,"Starter",IF(G24&gt;=LARGE(G:G,FlexOn*LeagueInfo!$F$2),"Starter","Bench"))</f>
        <v>Starter</v>
      </c>
      <c r="G24" s="1">
        <f ca="1">IF(H24&gt;I24,D24,0)</f>
        <v>0</v>
      </c>
      <c r="H24" s="1">
        <f ca="1">INDEX(INDIRECT(""&amp;C24&amp;"!A2:A489"),MATCH(B24,INDIRECT(""&amp;C24&amp;"!B2:B489"),0))</f>
        <v>11</v>
      </c>
      <c r="I24" s="1">
        <f>IF(C24="RB",LeagueInfo!$D$4*LeagueInfo!$F$2,LeagueInfo!$D$5*LeagueInfo!$F$2)</f>
        <v>24</v>
      </c>
    </row>
    <row r="25" spans="1:9" x14ac:dyDescent="0.25">
      <c r="A25" s="1">
        <f ca="1">RANK(E25,E$2:E$402)</f>
        <v>36</v>
      </c>
      <c r="B25" t="s">
        <v>124</v>
      </c>
      <c r="C25" t="s">
        <v>39</v>
      </c>
      <c r="D25" s="1">
        <f ca="1">INDEX(INDIRECT($C25&amp;"!O:O"),MATCH($B25,INDIRECT($C25&amp;"!B:B"),0))</f>
        <v>143.82</v>
      </c>
      <c r="E25" s="7">
        <f ca="1">D25-LARGE(D$2:D$402,RBCount+WRCount)</f>
        <v>64.019999999999982</v>
      </c>
      <c r="F25" s="1" t="str">
        <f ca="1">IF(H25&lt;=I25,"Starter",IF(G25&gt;=LARGE(G:G,FlexOn*LeagueInfo!$F$2),"Starter","Bench"))</f>
        <v>Starter</v>
      </c>
      <c r="G25" s="1">
        <f ca="1">IF(H25&gt;I25,D25,0)</f>
        <v>0</v>
      </c>
      <c r="H25" s="1">
        <f ca="1">INDEX(INDIRECT(""&amp;C25&amp;"!A2:A489"),MATCH(B25,INDIRECT(""&amp;C25&amp;"!B2:B489"),0))</f>
        <v>14</v>
      </c>
      <c r="I25" s="1">
        <f>IF(C25="RB",LeagueInfo!$D$4*LeagueInfo!$F$2,LeagueInfo!$D$5*LeagueInfo!$F$2)</f>
        <v>24</v>
      </c>
    </row>
    <row r="26" spans="1:9" x14ac:dyDescent="0.25">
      <c r="A26" s="1">
        <f ca="1">RANK(E26,E$2:E$402)</f>
        <v>34</v>
      </c>
      <c r="B26" t="s">
        <v>119</v>
      </c>
      <c r="C26" t="s">
        <v>39</v>
      </c>
      <c r="D26" s="1">
        <f ca="1">INDEX(INDIRECT($C26&amp;"!O:O"),MATCH($B26,INDIRECT($C26&amp;"!B:B"),0))</f>
        <v>145.25</v>
      </c>
      <c r="E26" s="7">
        <f ca="1">D26-LARGE(D$2:D$402,RBCount+WRCount)</f>
        <v>65.449999999999989</v>
      </c>
      <c r="F26" s="1" t="str">
        <f ca="1">IF(H26&lt;=I26,"Starter",IF(G26&gt;=LARGE(G:G,FlexOn*LeagueInfo!$F$2),"Starter","Bench"))</f>
        <v>Starter</v>
      </c>
      <c r="G26" s="1">
        <f ca="1">IF(H26&gt;I26,D26,0)</f>
        <v>0</v>
      </c>
      <c r="H26" s="1">
        <f ca="1">INDEX(INDIRECT(""&amp;C26&amp;"!A2:A489"),MATCH(B26,INDIRECT(""&amp;C26&amp;"!B2:B489"),0))</f>
        <v>13</v>
      </c>
      <c r="I26" s="1">
        <f>IF(C26="RB",LeagueInfo!$D$4*LeagueInfo!$F$2,LeagueInfo!$D$5*LeagueInfo!$F$2)</f>
        <v>24</v>
      </c>
    </row>
    <row r="27" spans="1:9" x14ac:dyDescent="0.25">
      <c r="A27" s="1">
        <f ca="1">RANK(E27,E$2:E$402)</f>
        <v>37</v>
      </c>
      <c r="B27" t="s">
        <v>127</v>
      </c>
      <c r="C27" t="s">
        <v>39</v>
      </c>
      <c r="D27" s="1">
        <f ca="1">INDEX(INDIRECT($C27&amp;"!O:O"),MATCH($B27,INDIRECT($C27&amp;"!B:B"),0))</f>
        <v>143.66999999999999</v>
      </c>
      <c r="E27" s="7">
        <f ca="1">D27-LARGE(D$2:D$402,RBCount+WRCount)</f>
        <v>63.869999999999976</v>
      </c>
      <c r="F27" s="1" t="str">
        <f ca="1">IF(H27&lt;=I27,"Starter",IF(G27&gt;=LARGE(G:G,FlexOn*LeagueInfo!$F$2),"Starter","Bench"))</f>
        <v>Starter</v>
      </c>
      <c r="G27" s="1">
        <f ca="1">IF(H27&gt;I27,D27,0)</f>
        <v>0</v>
      </c>
      <c r="H27" s="1">
        <f ca="1">INDEX(INDIRECT(""&amp;C27&amp;"!A2:A489"),MATCH(B27,INDIRECT(""&amp;C27&amp;"!B2:B489"),0))</f>
        <v>15</v>
      </c>
      <c r="I27" s="1">
        <f>IF(C27="RB",LeagueInfo!$D$4*LeagueInfo!$F$2,LeagueInfo!$D$5*LeagueInfo!$F$2)</f>
        <v>24</v>
      </c>
    </row>
    <row r="28" spans="1:9" x14ac:dyDescent="0.25">
      <c r="A28" s="1">
        <f ca="1">RANK(E28,E$2:E$402)</f>
        <v>38</v>
      </c>
      <c r="B28" t="s">
        <v>148</v>
      </c>
      <c r="C28" t="s">
        <v>39</v>
      </c>
      <c r="D28" s="1">
        <f ca="1">INDEX(INDIRECT($C28&amp;"!O:O"),MATCH($B28,INDIRECT($C28&amp;"!B:B"),0))</f>
        <v>139.88</v>
      </c>
      <c r="E28" s="7">
        <f ca="1">D28-LARGE(D$2:D$402,RBCount+WRCount)</f>
        <v>60.079999999999984</v>
      </c>
      <c r="F28" s="1" t="str">
        <f ca="1">IF(H28&lt;=I28,"Starter",IF(G28&gt;=LARGE(G:G,FlexOn*LeagueInfo!$F$2),"Starter","Bench"))</f>
        <v>Starter</v>
      </c>
      <c r="G28" s="1">
        <f ca="1">IF(H28&gt;I28,D28,0)</f>
        <v>0</v>
      </c>
      <c r="H28" s="1">
        <f ca="1">INDEX(INDIRECT(""&amp;C28&amp;"!A2:A489"),MATCH(B28,INDIRECT(""&amp;C28&amp;"!B2:B489"),0))</f>
        <v>16</v>
      </c>
      <c r="I28" s="1">
        <f>IF(C28="RB",LeagueInfo!$D$4*LeagueInfo!$F$2,LeagueInfo!$D$5*LeagueInfo!$F$2)</f>
        <v>24</v>
      </c>
    </row>
    <row r="29" spans="1:9" x14ac:dyDescent="0.25">
      <c r="A29" s="1">
        <f ca="1">RANK(E29,E$2:E$402)</f>
        <v>18</v>
      </c>
      <c r="B29" t="s">
        <v>98</v>
      </c>
      <c r="C29" t="s">
        <v>32</v>
      </c>
      <c r="D29" s="1">
        <f ca="1">INDEX(INDIRECT($C29&amp;"!O:O"),MATCH($B29,INDIRECT($C29&amp;"!B:B"),0))</f>
        <v>168.93</v>
      </c>
      <c r="E29" s="7">
        <f ca="1">D29-LARGE(D$2:D$402,RBCount+WRCount)</f>
        <v>89.13</v>
      </c>
      <c r="F29" s="1" t="str">
        <f ca="1">IF(H29&lt;=I29,"Starter",IF(G29&gt;=LARGE(G:G,FlexOn*LeagueInfo!$F$2),"Starter","Bench"))</f>
        <v>Starter</v>
      </c>
      <c r="G29" s="1">
        <f ca="1">IF(H29&gt;I29,D29,0)</f>
        <v>0</v>
      </c>
      <c r="H29" s="1">
        <f ca="1">INDEX(INDIRECT(""&amp;C29&amp;"!A2:A489"),MATCH(B29,INDIRECT(""&amp;C29&amp;"!B2:B489"),0))</f>
        <v>12</v>
      </c>
      <c r="I29" s="1">
        <f>IF(C29="RB",LeagueInfo!$D$4*LeagueInfo!$F$2,LeagueInfo!$D$5*LeagueInfo!$F$2)</f>
        <v>24</v>
      </c>
    </row>
    <row r="30" spans="1:9" x14ac:dyDescent="0.25">
      <c r="A30" s="1">
        <f ca="1">RANK(E30,E$2:E$402)</f>
        <v>21</v>
      </c>
      <c r="B30" t="s">
        <v>130</v>
      </c>
      <c r="C30" t="s">
        <v>32</v>
      </c>
      <c r="D30" s="1">
        <f ca="1">INDEX(INDIRECT($C30&amp;"!O:O"),MATCH($B30,INDIRECT($C30&amp;"!B:B"),0))</f>
        <v>161.6</v>
      </c>
      <c r="E30" s="7">
        <f ca="1">D30-LARGE(D$2:D$402,RBCount+WRCount)</f>
        <v>81.799999999999983</v>
      </c>
      <c r="F30" s="1" t="str">
        <f ca="1">IF(H30&lt;=I30,"Starter",IF(G30&gt;=LARGE(G:G,FlexOn*LeagueInfo!$F$2),"Starter","Bench"))</f>
        <v>Starter</v>
      </c>
      <c r="G30" s="1">
        <f ca="1">IF(H30&gt;I30,D30,0)</f>
        <v>0</v>
      </c>
      <c r="H30" s="1">
        <f ca="1">INDEX(INDIRECT(""&amp;C30&amp;"!A2:A489"),MATCH(B30,INDIRECT(""&amp;C30&amp;"!B2:B489"),0))</f>
        <v>13</v>
      </c>
      <c r="I30" s="1">
        <f>IF(C30="RB",LeagueInfo!$D$4*LeagueInfo!$F$2,LeagueInfo!$D$5*LeagueInfo!$F$2)</f>
        <v>24</v>
      </c>
    </row>
    <row r="31" spans="1:9" x14ac:dyDescent="0.25">
      <c r="A31" s="1">
        <f ca="1">RANK(E31,E$2:E$402)</f>
        <v>49</v>
      </c>
      <c r="B31" t="s">
        <v>168</v>
      </c>
      <c r="C31" t="s">
        <v>39</v>
      </c>
      <c r="D31" s="1">
        <f ca="1">INDEX(INDIRECT($C31&amp;"!O:O"),MATCH($B31,INDIRECT($C31&amp;"!B:B"),0))</f>
        <v>131.91</v>
      </c>
      <c r="E31" s="7">
        <f ca="1">D31-LARGE(D$2:D$402,RBCount+WRCount)</f>
        <v>52.109999999999985</v>
      </c>
      <c r="F31" s="1" t="str">
        <f ca="1">IF(H31&lt;=I31,"Starter",IF(G31&gt;=LARGE(G:G,FlexOn*LeagueInfo!$F$2),"Starter","Bench"))</f>
        <v>Starter</v>
      </c>
      <c r="G31" s="1">
        <f ca="1">IF(H31&gt;I31,D31,0)</f>
        <v>0</v>
      </c>
      <c r="H31" s="1">
        <f ca="1">INDEX(INDIRECT(""&amp;C31&amp;"!A2:A489"),MATCH(B31,INDIRECT(""&amp;C31&amp;"!B2:B489"),0))</f>
        <v>24</v>
      </c>
      <c r="I31" s="1">
        <f>IF(C31="RB",LeagueInfo!$D$4*LeagueInfo!$F$2,LeagueInfo!$D$5*LeagueInfo!$F$2)</f>
        <v>24</v>
      </c>
    </row>
    <row r="32" spans="1:9" x14ac:dyDescent="0.25">
      <c r="A32" s="1">
        <f ca="1">RANK(E32,E$2:E$402)</f>
        <v>24</v>
      </c>
      <c r="B32" t="s">
        <v>156</v>
      </c>
      <c r="C32" t="s">
        <v>32</v>
      </c>
      <c r="D32" s="1">
        <f ca="1">INDEX(INDIRECT($C32&amp;"!O:O"),MATCH($B32,INDIRECT($C32&amp;"!B:B"),0))</f>
        <v>158.12</v>
      </c>
      <c r="E32" s="7">
        <f ca="1">D32-LARGE(D$2:D$402,RBCount+WRCount)</f>
        <v>78.319999999999993</v>
      </c>
      <c r="F32" s="1" t="str">
        <f ca="1">IF(H32&lt;=I32,"Starter",IF(G32&gt;=LARGE(G:G,FlexOn*LeagueInfo!$F$2),"Starter","Bench"))</f>
        <v>Starter</v>
      </c>
      <c r="G32" s="1">
        <f ca="1">IF(H32&gt;I32,D32,0)</f>
        <v>0</v>
      </c>
      <c r="H32" s="1">
        <f ca="1">INDEX(INDIRECT(""&amp;C32&amp;"!A2:A489"),MATCH(B32,INDIRECT(""&amp;C32&amp;"!B2:B489"),0))</f>
        <v>15</v>
      </c>
      <c r="I32" s="1">
        <f>IF(C32="RB",LeagueInfo!$D$4*LeagueInfo!$F$2,LeagueInfo!$D$5*LeagueInfo!$F$2)</f>
        <v>24</v>
      </c>
    </row>
    <row r="33" spans="1:9" x14ac:dyDescent="0.25">
      <c r="A33" s="1">
        <f ca="1">RANK(E33,E$2:E$402)</f>
        <v>46</v>
      </c>
      <c r="B33" t="s">
        <v>169</v>
      </c>
      <c r="C33" t="s">
        <v>39</v>
      </c>
      <c r="D33" s="1">
        <f ca="1">INDEX(INDIRECT($C33&amp;"!O:O"),MATCH($B33,INDIRECT($C33&amp;"!B:B"),0))</f>
        <v>132.91</v>
      </c>
      <c r="E33" s="7">
        <f ca="1">D33-LARGE(D$2:D$402,RBCount+WRCount)</f>
        <v>53.109999999999985</v>
      </c>
      <c r="F33" s="1" t="str">
        <f ca="1">IF(H33&lt;=I33,"Starter",IF(G33&gt;=LARGE(G:G,FlexOn*LeagueInfo!$F$2),"Starter","Bench"))</f>
        <v>Starter</v>
      </c>
      <c r="G33" s="1">
        <f ca="1">IF(H33&gt;I33,D33,0)</f>
        <v>0</v>
      </c>
      <c r="H33" s="1">
        <f ca="1">INDEX(INDIRECT(""&amp;C33&amp;"!A2:A489"),MATCH(B33,INDIRECT(""&amp;C33&amp;"!B2:B489"),0))</f>
        <v>21</v>
      </c>
      <c r="I33" s="1">
        <f>IF(C33="RB",LeagueInfo!$D$4*LeagueInfo!$F$2,LeagueInfo!$D$5*LeagueInfo!$F$2)</f>
        <v>24</v>
      </c>
    </row>
    <row r="34" spans="1:9" x14ac:dyDescent="0.25">
      <c r="A34" s="1">
        <f ca="1">RANK(E34,E$2:E$402)</f>
        <v>39</v>
      </c>
      <c r="B34" t="s">
        <v>129</v>
      </c>
      <c r="C34" t="s">
        <v>39</v>
      </c>
      <c r="D34" s="1">
        <f ca="1">INDEX(INDIRECT($C34&amp;"!O:O"),MATCH($B34,INDIRECT($C34&amp;"!B:B"),0))</f>
        <v>139.18999999999997</v>
      </c>
      <c r="E34" s="7">
        <f ca="1">D34-LARGE(D$2:D$402,RBCount+WRCount)</f>
        <v>59.389999999999958</v>
      </c>
      <c r="F34" s="1" t="str">
        <f ca="1">IF(H34&lt;=I34,"Starter",IF(G34&gt;=LARGE(G:G,FlexOn*LeagueInfo!$F$2),"Starter","Bench"))</f>
        <v>Starter</v>
      </c>
      <c r="G34" s="1">
        <f ca="1">IF(H34&gt;I34,D34,0)</f>
        <v>0</v>
      </c>
      <c r="H34" s="1">
        <f ca="1">INDEX(INDIRECT(""&amp;C34&amp;"!A2:A489"),MATCH(B34,INDIRECT(""&amp;C34&amp;"!B2:B489"),0))</f>
        <v>17</v>
      </c>
      <c r="I34" s="1">
        <f>IF(C34="RB",LeagueInfo!$D$4*LeagueInfo!$F$2,LeagueInfo!$D$5*LeagueInfo!$F$2)</f>
        <v>24</v>
      </c>
    </row>
    <row r="35" spans="1:9" x14ac:dyDescent="0.25">
      <c r="A35" s="1">
        <f ca="1">RANK(E35,E$2:E$402)</f>
        <v>23</v>
      </c>
      <c r="B35" t="s">
        <v>136</v>
      </c>
      <c r="C35" t="s">
        <v>32</v>
      </c>
      <c r="D35" s="1">
        <f ca="1">INDEX(INDIRECT($C35&amp;"!O:O"),MATCH($B35,INDIRECT($C35&amp;"!B:B"),0))</f>
        <v>158.43</v>
      </c>
      <c r="E35" s="7">
        <f ca="1">D35-LARGE(D$2:D$402,RBCount+WRCount)</f>
        <v>78.63</v>
      </c>
      <c r="F35" s="1" t="str">
        <f ca="1">IF(H35&lt;=I35,"Starter",IF(G35&gt;=LARGE(G:G,FlexOn*LeagueInfo!$F$2),"Starter","Bench"))</f>
        <v>Starter</v>
      </c>
      <c r="G35" s="1">
        <f ca="1">IF(H35&gt;I35,D35,0)</f>
        <v>0</v>
      </c>
      <c r="H35" s="1">
        <f ca="1">INDEX(INDIRECT(""&amp;C35&amp;"!A2:A489"),MATCH(B35,INDIRECT(""&amp;C35&amp;"!B2:B489"),0))</f>
        <v>14</v>
      </c>
      <c r="I35" s="1">
        <f>IF(C35="RB",LeagueInfo!$D$4*LeagueInfo!$F$2,LeagueInfo!$D$5*LeagueInfo!$F$2)</f>
        <v>24</v>
      </c>
    </row>
    <row r="36" spans="1:9" x14ac:dyDescent="0.25">
      <c r="A36" s="1">
        <f ca="1">RANK(E36,E$2:E$402)</f>
        <v>29</v>
      </c>
      <c r="B36" t="s">
        <v>126</v>
      </c>
      <c r="C36" t="s">
        <v>32</v>
      </c>
      <c r="D36" s="1">
        <f ca="1">INDEX(INDIRECT($C36&amp;"!O:O"),MATCH($B36,INDIRECT($C36&amp;"!B:B"),0))</f>
        <v>149.09</v>
      </c>
      <c r="E36" s="7">
        <f ca="1">D36-LARGE(D$2:D$402,RBCount+WRCount)</f>
        <v>69.289999999999992</v>
      </c>
      <c r="F36" s="1" t="str">
        <f ca="1">IF(H36&lt;=I36,"Starter",IF(G36&gt;=LARGE(G:G,FlexOn*LeagueInfo!$F$2),"Starter","Bench"))</f>
        <v>Starter</v>
      </c>
      <c r="G36" s="1">
        <f ca="1">IF(H36&gt;I36,D36,0)</f>
        <v>0</v>
      </c>
      <c r="H36" s="1">
        <f ca="1">INDEX(INDIRECT(""&amp;C36&amp;"!A2:A489"),MATCH(B36,INDIRECT(""&amp;C36&amp;"!B2:B489"),0))</f>
        <v>17</v>
      </c>
      <c r="I36" s="1">
        <f>IF(C36="RB",LeagueInfo!$D$4*LeagueInfo!$F$2,LeagueInfo!$D$5*LeagueInfo!$F$2)</f>
        <v>24</v>
      </c>
    </row>
    <row r="37" spans="1:9" x14ac:dyDescent="0.25">
      <c r="A37" s="1">
        <f ca="1">RANK(E37,E$2:E$402)</f>
        <v>28</v>
      </c>
      <c r="B37" t="s">
        <v>149</v>
      </c>
      <c r="C37" t="s">
        <v>32</v>
      </c>
      <c r="D37" s="1">
        <f ca="1">INDEX(INDIRECT($C37&amp;"!O:O"),MATCH($B37,INDIRECT($C37&amp;"!B:B"),0))</f>
        <v>150</v>
      </c>
      <c r="E37" s="7">
        <f ca="1">D37-LARGE(D$2:D$402,RBCount+WRCount)</f>
        <v>70.199999999999989</v>
      </c>
      <c r="F37" s="1" t="str">
        <f ca="1">IF(H37&lt;=I37,"Starter",IF(G37&gt;=LARGE(G:G,FlexOn*LeagueInfo!$F$2),"Starter","Bench"))</f>
        <v>Starter</v>
      </c>
      <c r="G37" s="1">
        <f ca="1">IF(H37&gt;I37,D37,0)</f>
        <v>0</v>
      </c>
      <c r="H37" s="1">
        <f ca="1">INDEX(INDIRECT(""&amp;C37&amp;"!A2:A489"),MATCH(B37,INDIRECT(""&amp;C37&amp;"!B2:B489"),0))</f>
        <v>16</v>
      </c>
      <c r="I37" s="1">
        <f>IF(C37="RB",LeagueInfo!$D$4*LeagueInfo!$F$2,LeagueInfo!$D$5*LeagueInfo!$F$2)</f>
        <v>24</v>
      </c>
    </row>
    <row r="38" spans="1:9" x14ac:dyDescent="0.25">
      <c r="A38" s="1">
        <f ca="1">RANK(E38,E$2:E$402)</f>
        <v>53</v>
      </c>
      <c r="B38" t="s">
        <v>152</v>
      </c>
      <c r="C38" t="s">
        <v>39</v>
      </c>
      <c r="D38" s="1">
        <f ca="1">INDEX(INDIRECT($C38&amp;"!O:O"),MATCH($B38,INDIRECT($C38&amp;"!B:B"),0))</f>
        <v>127.40000000000002</v>
      </c>
      <c r="E38" s="7">
        <f ca="1">D38-LARGE(D$2:D$402,RBCount+WRCount)</f>
        <v>47.600000000000009</v>
      </c>
      <c r="F38" s="1" t="str">
        <f ca="1">IF(H38&lt;=I38,"Starter",IF(G38&gt;=LARGE(G:G,FlexOn*LeagueInfo!$F$2),"Starter","Bench"))</f>
        <v>Starter</v>
      </c>
      <c r="G38" s="1">
        <f ca="1">IF(H38&gt;I38,D38,0)</f>
        <v>127.40000000000002</v>
      </c>
      <c r="H38" s="1">
        <f ca="1">INDEX(INDIRECT(""&amp;C38&amp;"!A2:A489"),MATCH(B38,INDIRECT(""&amp;C38&amp;"!B2:B489"),0))</f>
        <v>26</v>
      </c>
      <c r="I38" s="1">
        <f>IF(C38="RB",LeagueInfo!$D$4*LeagueInfo!$F$2,LeagueInfo!$D$5*LeagueInfo!$F$2)</f>
        <v>24</v>
      </c>
    </row>
    <row r="39" spans="1:9" x14ac:dyDescent="0.25">
      <c r="A39" s="1">
        <f ca="1">RANK(E39,E$2:E$402)</f>
        <v>42</v>
      </c>
      <c r="B39" t="s">
        <v>549</v>
      </c>
      <c r="C39" t="s">
        <v>39</v>
      </c>
      <c r="D39" s="1">
        <f ca="1">INDEX(INDIRECT($C39&amp;"!O:O"),MATCH($B39,INDIRECT($C39&amp;"!B:B"),0))</f>
        <v>135.24</v>
      </c>
      <c r="E39" s="7">
        <f ca="1">D39-LARGE(D$2:D$402,RBCount+WRCount)</f>
        <v>55.44</v>
      </c>
      <c r="F39" s="1" t="str">
        <f ca="1">IF(H39&lt;=I39,"Starter",IF(G39&gt;=LARGE(G:G,FlexOn*LeagueInfo!$F$2),"Starter","Bench"))</f>
        <v>Starter</v>
      </c>
      <c r="G39" s="1">
        <f ca="1">IF(H39&gt;I39,D39,0)</f>
        <v>0</v>
      </c>
      <c r="H39" s="1">
        <f ca="1">INDEX(INDIRECT(""&amp;C39&amp;"!A2:A489"),MATCH(B39,INDIRECT(""&amp;C39&amp;"!B2:B489"),0))</f>
        <v>18</v>
      </c>
      <c r="I39" s="1">
        <f>IF(C39="RB",LeagueInfo!$D$4*LeagueInfo!$F$2,LeagueInfo!$D$5*LeagueInfo!$F$2)</f>
        <v>24</v>
      </c>
    </row>
    <row r="40" spans="1:9" x14ac:dyDescent="0.25">
      <c r="A40" s="1">
        <f ca="1">RANK(E40,E$2:E$402)</f>
        <v>35</v>
      </c>
      <c r="B40" t="s">
        <v>180</v>
      </c>
      <c r="C40" t="s">
        <v>32</v>
      </c>
      <c r="D40" s="1">
        <f ca="1">INDEX(INDIRECT($C40&amp;"!O:O"),MATCH($B40,INDIRECT($C40&amp;"!B:B"),0))</f>
        <v>143.94</v>
      </c>
      <c r="E40" s="7">
        <f ca="1">D40-LARGE(D$2:D$402,RBCount+WRCount)</f>
        <v>64.139999999999986</v>
      </c>
      <c r="F40" s="1" t="str">
        <f ca="1">IF(H40&lt;=I40,"Starter",IF(G40&gt;=LARGE(G:G,FlexOn*LeagueInfo!$F$2),"Starter","Bench"))</f>
        <v>Starter</v>
      </c>
      <c r="G40" s="1">
        <f ca="1">IF(H40&gt;I40,D40,0)</f>
        <v>0</v>
      </c>
      <c r="H40" s="1">
        <f ca="1">INDEX(INDIRECT(""&amp;C40&amp;"!A2:A489"),MATCH(B40,INDIRECT(""&amp;C40&amp;"!B2:B489"),0))</f>
        <v>22</v>
      </c>
      <c r="I40" s="1">
        <f>IF(C40="RB",LeagueInfo!$D$4*LeagueInfo!$F$2,LeagueInfo!$D$5*LeagueInfo!$F$2)</f>
        <v>24</v>
      </c>
    </row>
    <row r="41" spans="1:9" x14ac:dyDescent="0.25">
      <c r="A41" s="1">
        <f ca="1">RANK(E41,E$2:E$402)</f>
        <v>30</v>
      </c>
      <c r="B41" t="s">
        <v>141</v>
      </c>
      <c r="C41" t="s">
        <v>32</v>
      </c>
      <c r="D41" s="1">
        <f ca="1">INDEX(INDIRECT($C41&amp;"!O:O"),MATCH($B41,INDIRECT($C41&amp;"!B:B"),0))</f>
        <v>148.84</v>
      </c>
      <c r="E41" s="7">
        <f ca="1">D41-LARGE(D$2:D$402,RBCount+WRCount)</f>
        <v>69.039999999999992</v>
      </c>
      <c r="F41" s="1" t="str">
        <f ca="1">IF(H41&lt;=I41,"Starter",IF(G41&gt;=LARGE(G:G,FlexOn*LeagueInfo!$F$2),"Starter","Bench"))</f>
        <v>Starter</v>
      </c>
      <c r="G41" s="1">
        <f ca="1">IF(H41&gt;I41,D41,0)</f>
        <v>0</v>
      </c>
      <c r="H41" s="1">
        <f ca="1">INDEX(INDIRECT(""&amp;C41&amp;"!A2:A489"),MATCH(B41,INDIRECT(""&amp;C41&amp;"!B2:B489"),0))</f>
        <v>18</v>
      </c>
      <c r="I41" s="1">
        <f>IF(C41="RB",LeagueInfo!$D$4*LeagueInfo!$F$2,LeagueInfo!$D$5*LeagueInfo!$F$2)</f>
        <v>24</v>
      </c>
    </row>
    <row r="42" spans="1:9" x14ac:dyDescent="0.25">
      <c r="A42" s="1">
        <f ca="1">RANK(E42,E$2:E$402)</f>
        <v>48</v>
      </c>
      <c r="B42" t="s">
        <v>154</v>
      </c>
      <c r="C42" t="s">
        <v>39</v>
      </c>
      <c r="D42" s="1">
        <f ca="1">INDEX(INDIRECT($C42&amp;"!O:O"),MATCH($B42,INDIRECT($C42&amp;"!B:B"),0))</f>
        <v>131.99</v>
      </c>
      <c r="E42" s="7">
        <f ca="1">D42-LARGE(D$2:D$402,RBCount+WRCount)</f>
        <v>52.19</v>
      </c>
      <c r="F42" s="1" t="str">
        <f ca="1">IF(H42&lt;=I42,"Starter",IF(G42&gt;=LARGE(G:G,FlexOn*LeagueInfo!$F$2),"Starter","Bench"))</f>
        <v>Starter</v>
      </c>
      <c r="G42" s="1">
        <f ca="1">IF(H42&gt;I42,D42,0)</f>
        <v>0</v>
      </c>
      <c r="H42" s="1">
        <f ca="1">INDEX(INDIRECT(""&amp;C42&amp;"!A2:A489"),MATCH(B42,INDIRECT(""&amp;C42&amp;"!B2:B489"),0))</f>
        <v>23</v>
      </c>
      <c r="I42" s="1">
        <f>IF(C42="RB",LeagueInfo!$D$4*LeagueInfo!$F$2,LeagueInfo!$D$5*LeagueInfo!$F$2)</f>
        <v>24</v>
      </c>
    </row>
    <row r="43" spans="1:9" x14ac:dyDescent="0.25">
      <c r="A43" s="1">
        <f ca="1">RANK(E43,E$2:E$402)</f>
        <v>44</v>
      </c>
      <c r="B43" t="s">
        <v>146</v>
      </c>
      <c r="C43" t="s">
        <v>39</v>
      </c>
      <c r="D43" s="1">
        <f ca="1">INDEX(INDIRECT($C43&amp;"!O:O"),MATCH($B43,INDIRECT($C43&amp;"!B:B"),0))</f>
        <v>133.38000000000002</v>
      </c>
      <c r="E43" s="7">
        <f ca="1">D43-LARGE(D$2:D$402,RBCount+WRCount)</f>
        <v>53.580000000000013</v>
      </c>
      <c r="F43" s="1" t="str">
        <f ca="1">IF(H43&lt;=I43,"Starter",IF(G43&gt;=LARGE(G:G,FlexOn*LeagueInfo!$F$2),"Starter","Bench"))</f>
        <v>Starter</v>
      </c>
      <c r="G43" s="1">
        <f ca="1">IF(H43&gt;I43,D43,0)</f>
        <v>0</v>
      </c>
      <c r="H43" s="1">
        <f ca="1">INDEX(INDIRECT(""&amp;C43&amp;"!A2:A489"),MATCH(B43,INDIRECT(""&amp;C43&amp;"!B2:B489"),0))</f>
        <v>19</v>
      </c>
      <c r="I43" s="1">
        <f>IF(C43="RB",LeagueInfo!$D$4*LeagueInfo!$F$2,LeagueInfo!$D$5*LeagueInfo!$F$2)</f>
        <v>24</v>
      </c>
    </row>
    <row r="44" spans="1:9" x14ac:dyDescent="0.25">
      <c r="A44" s="1">
        <f ca="1">RANK(E44,E$2:E$402)</f>
        <v>45</v>
      </c>
      <c r="B44" t="s">
        <v>138</v>
      </c>
      <c r="C44" t="s">
        <v>39</v>
      </c>
      <c r="D44" s="1">
        <f ca="1">INDEX(INDIRECT($C44&amp;"!O:O"),MATCH($B44,INDIRECT($C44&amp;"!B:B"),0))</f>
        <v>133.19999999999999</v>
      </c>
      <c r="E44" s="7">
        <f ca="1">D44-LARGE(D$2:D$402,RBCount+WRCount)</f>
        <v>53.399999999999977</v>
      </c>
      <c r="F44" s="1" t="str">
        <f ca="1">IF(H44&lt;=I44,"Starter",IF(G44&gt;=LARGE(G:G,FlexOn*LeagueInfo!$F$2),"Starter","Bench"))</f>
        <v>Starter</v>
      </c>
      <c r="G44" s="1">
        <f ca="1">IF(H44&gt;I44,D44,0)</f>
        <v>0</v>
      </c>
      <c r="H44" s="1">
        <f ca="1">INDEX(INDIRECT(""&amp;C44&amp;"!A2:A489"),MATCH(B44,INDIRECT(""&amp;C44&amp;"!B2:B489"),0))</f>
        <v>20</v>
      </c>
      <c r="I44" s="1">
        <f>IF(C44="RB",LeagueInfo!$D$4*LeagueInfo!$F$2,LeagueInfo!$D$5*LeagueInfo!$F$2)</f>
        <v>24</v>
      </c>
    </row>
    <row r="45" spans="1:9" x14ac:dyDescent="0.25">
      <c r="A45" s="1">
        <f ca="1">RANK(E45,E$2:E$402)</f>
        <v>56</v>
      </c>
      <c r="B45" t="s">
        <v>200</v>
      </c>
      <c r="C45" t="s">
        <v>39</v>
      </c>
      <c r="D45" s="1">
        <f ca="1">INDEX(INDIRECT($C45&amp;"!O:O"),MATCH($B45,INDIRECT($C45&amp;"!B:B"),0))</f>
        <v>125.42999999999999</v>
      </c>
      <c r="E45" s="7">
        <f ca="1">D45-LARGE(D$2:D$402,RBCount+WRCount)</f>
        <v>45.629999999999981</v>
      </c>
      <c r="F45" s="1" t="str">
        <f ca="1">IF(H45&lt;=I45,"Starter",IF(G45&gt;=LARGE(G:G,FlexOn*LeagueInfo!$F$2),"Starter","Bench"))</f>
        <v>Starter</v>
      </c>
      <c r="G45" s="1">
        <f ca="1">IF(H45&gt;I45,D45,0)</f>
        <v>125.42999999999999</v>
      </c>
      <c r="H45" s="1">
        <f ca="1">INDEX(INDIRECT(""&amp;C45&amp;"!A2:A489"),MATCH(B45,INDIRECT(""&amp;C45&amp;"!B2:B489"),0))</f>
        <v>28</v>
      </c>
      <c r="I45" s="1">
        <f>IF(C45="RB",LeagueInfo!$D$4*LeagueInfo!$F$2,LeagueInfo!$D$5*LeagueInfo!$F$2)</f>
        <v>24</v>
      </c>
    </row>
    <row r="46" spans="1:9" x14ac:dyDescent="0.25">
      <c r="A46" s="1">
        <f ca="1">RANK(E46,E$2:E$402)</f>
        <v>54</v>
      </c>
      <c r="B46" t="s">
        <v>143</v>
      </c>
      <c r="C46" t="s">
        <v>39</v>
      </c>
      <c r="D46" s="1">
        <f ca="1">INDEX(INDIRECT($C46&amp;"!O:O"),MATCH($B46,INDIRECT($C46&amp;"!B:B"),0))</f>
        <v>126.83000000000003</v>
      </c>
      <c r="E46" s="7">
        <f ca="1">D46-LARGE(D$2:D$402,RBCount+WRCount)</f>
        <v>47.030000000000015</v>
      </c>
      <c r="F46" s="1" t="str">
        <f ca="1">IF(H46&lt;=I46,"Starter",IF(G46&gt;=LARGE(G:G,FlexOn*LeagueInfo!$F$2),"Starter","Bench"))</f>
        <v>Starter</v>
      </c>
      <c r="G46" s="1">
        <f ca="1">IF(H46&gt;I46,D46,0)</f>
        <v>126.83000000000003</v>
      </c>
      <c r="H46" s="1">
        <f ca="1">INDEX(INDIRECT(""&amp;C46&amp;"!A2:A489"),MATCH(B46,INDIRECT(""&amp;C46&amp;"!B2:B489"),0))</f>
        <v>27</v>
      </c>
      <c r="I46" s="1">
        <f>IF(C46="RB",LeagueInfo!$D$4*LeagueInfo!$F$2,LeagueInfo!$D$5*LeagueInfo!$F$2)</f>
        <v>24</v>
      </c>
    </row>
    <row r="47" spans="1:9" x14ac:dyDescent="0.25">
      <c r="A47" s="1">
        <f ca="1">RANK(E47,E$2:E$402)</f>
        <v>47</v>
      </c>
      <c r="B47" t="s">
        <v>167</v>
      </c>
      <c r="C47" t="s">
        <v>39</v>
      </c>
      <c r="D47" s="1">
        <f ca="1">INDEX(INDIRECT($C47&amp;"!O:O"),MATCH($B47,INDIRECT($C47&amp;"!B:B"),0))</f>
        <v>132.67999999999998</v>
      </c>
      <c r="E47" s="7">
        <f ca="1">D47-LARGE(D$2:D$402,RBCount+WRCount)</f>
        <v>52.879999999999967</v>
      </c>
      <c r="F47" s="1" t="str">
        <f ca="1">IF(H47&lt;=I47,"Starter",IF(G47&gt;=LARGE(G:G,FlexOn*LeagueInfo!$F$2),"Starter","Bench"))</f>
        <v>Starter</v>
      </c>
      <c r="G47" s="1">
        <f ca="1">IF(H47&gt;I47,D47,0)</f>
        <v>0</v>
      </c>
      <c r="H47" s="1">
        <f ca="1">INDEX(INDIRECT(""&amp;C47&amp;"!A2:A489"),MATCH(B47,INDIRECT(""&amp;C47&amp;"!B2:B489"),0))</f>
        <v>22</v>
      </c>
      <c r="I47" s="1">
        <f>IF(C47="RB",LeagueInfo!$D$4*LeagueInfo!$F$2,LeagueInfo!$D$5*LeagueInfo!$F$2)</f>
        <v>24</v>
      </c>
    </row>
    <row r="48" spans="1:9" x14ac:dyDescent="0.25">
      <c r="A48" s="1">
        <f ca="1">RANK(E48,E$2:E$402)</f>
        <v>31</v>
      </c>
      <c r="B48" t="s">
        <v>187</v>
      </c>
      <c r="C48" t="s">
        <v>32</v>
      </c>
      <c r="D48" s="1">
        <f ca="1">INDEX(INDIRECT($C48&amp;"!O:O"),MATCH($B48,INDIRECT($C48&amp;"!B:B"),0))</f>
        <v>147.16999999999999</v>
      </c>
      <c r="E48" s="7">
        <f ca="1">D48-LARGE(D$2:D$402,RBCount+WRCount)</f>
        <v>67.369999999999976</v>
      </c>
      <c r="F48" s="1" t="str">
        <f ca="1">IF(H48&lt;=I48,"Starter",IF(G48&gt;=LARGE(G:G,FlexOn*LeagueInfo!$F$2),"Starter","Bench"))</f>
        <v>Starter</v>
      </c>
      <c r="G48" s="1">
        <f ca="1">IF(H48&gt;I48,D48,0)</f>
        <v>0</v>
      </c>
      <c r="H48" s="1">
        <f ca="1">INDEX(INDIRECT(""&amp;C48&amp;"!A2:A489"),MATCH(B48,INDIRECT(""&amp;C48&amp;"!B2:B489"),0))</f>
        <v>19</v>
      </c>
      <c r="I48" s="1">
        <f>IF(C48="RB",LeagueInfo!$D$4*LeagueInfo!$F$2,LeagueInfo!$D$5*LeagueInfo!$F$2)</f>
        <v>24</v>
      </c>
    </row>
    <row r="49" spans="1:9" x14ac:dyDescent="0.25">
      <c r="A49" s="1">
        <f ca="1">RANK(E49,E$2:E$402)</f>
        <v>33</v>
      </c>
      <c r="B49" t="s">
        <v>128</v>
      </c>
      <c r="C49" t="s">
        <v>32</v>
      </c>
      <c r="D49" s="1">
        <f ca="1">INDEX(INDIRECT($C49&amp;"!O:O"),MATCH($B49,INDIRECT($C49&amp;"!B:B"),0))</f>
        <v>145.53</v>
      </c>
      <c r="E49" s="7">
        <f ca="1">D49-LARGE(D$2:D$402,RBCount+WRCount)</f>
        <v>65.72999999999999</v>
      </c>
      <c r="F49" s="1" t="str">
        <f ca="1">IF(H49&lt;=I49,"Starter",IF(G49&gt;=LARGE(G:G,FlexOn*LeagueInfo!$F$2),"Starter","Bench"))</f>
        <v>Starter</v>
      </c>
      <c r="G49" s="1">
        <f ca="1">IF(H49&gt;I49,D49,0)</f>
        <v>0</v>
      </c>
      <c r="H49" s="1">
        <f ca="1">INDEX(INDIRECT(""&amp;C49&amp;"!A2:A489"),MATCH(B49,INDIRECT(""&amp;C49&amp;"!B2:B489"),0))</f>
        <v>21</v>
      </c>
      <c r="I49" s="1">
        <f>IF(C49="RB",LeagueInfo!$D$4*LeagueInfo!$F$2,LeagueInfo!$D$5*LeagueInfo!$F$2)</f>
        <v>24</v>
      </c>
    </row>
    <row r="50" spans="1:9" x14ac:dyDescent="0.25">
      <c r="A50" s="1">
        <f ca="1">RANK(E50,E$2:E$402)</f>
        <v>57</v>
      </c>
      <c r="B50" t="s">
        <v>176</v>
      </c>
      <c r="C50" t="s">
        <v>39</v>
      </c>
      <c r="D50" s="1">
        <f ca="1">INDEX(INDIRECT($C50&amp;"!O:O"),MATCH($B50,INDIRECT($C50&amp;"!B:B"),0))</f>
        <v>125.12</v>
      </c>
      <c r="E50" s="7">
        <f ca="1">D50-LARGE(D$2:D$402,RBCount+WRCount)</f>
        <v>45.319999999999993</v>
      </c>
      <c r="F50" s="1" t="str">
        <f ca="1">IF(H50&lt;=I50,"Starter",IF(G50&gt;=LARGE(G:G,FlexOn*LeagueInfo!$F$2),"Starter","Bench"))</f>
        <v>Starter</v>
      </c>
      <c r="G50" s="1">
        <f ca="1">IF(H50&gt;I50,D50,0)</f>
        <v>125.12</v>
      </c>
      <c r="H50" s="1">
        <f ca="1">INDEX(INDIRECT(""&amp;C50&amp;"!A2:A489"),MATCH(B50,INDIRECT(""&amp;C50&amp;"!B2:B489"),0))</f>
        <v>29</v>
      </c>
      <c r="I50" s="1">
        <f>IF(C50="RB",LeagueInfo!$D$4*LeagueInfo!$F$2,LeagueInfo!$D$5*LeagueInfo!$F$2)</f>
        <v>24</v>
      </c>
    </row>
    <row r="51" spans="1:9" x14ac:dyDescent="0.25">
      <c r="A51" s="1">
        <f ca="1">RANK(E51,E$2:E$402)</f>
        <v>51</v>
      </c>
      <c r="B51" t="s">
        <v>131</v>
      </c>
      <c r="C51" t="s">
        <v>39</v>
      </c>
      <c r="D51" s="1">
        <f ca="1">INDEX(INDIRECT($C51&amp;"!O:O"),MATCH($B51,INDIRECT($C51&amp;"!B:B"),0))</f>
        <v>128.08000000000001</v>
      </c>
      <c r="E51" s="7">
        <f ca="1">D51-LARGE(D$2:D$402,RBCount+WRCount)</f>
        <v>48.28</v>
      </c>
      <c r="F51" s="1" t="str">
        <f ca="1">IF(H51&lt;=I51,"Starter",IF(G51&gt;=LARGE(G:G,FlexOn*LeagueInfo!$F$2),"Starter","Bench"))</f>
        <v>Starter</v>
      </c>
      <c r="G51" s="1">
        <f ca="1">IF(H51&gt;I51,D51,0)</f>
        <v>128.08000000000001</v>
      </c>
      <c r="H51" s="1">
        <f ca="1">INDEX(INDIRECT(""&amp;C51&amp;"!A2:A489"),MATCH(B51,INDIRECT(""&amp;C51&amp;"!B2:B489"),0))</f>
        <v>25</v>
      </c>
      <c r="I51" s="1">
        <f>IF(C51="RB",LeagueInfo!$D$4*LeagueInfo!$F$2,LeagueInfo!$D$5*LeagueInfo!$F$2)</f>
        <v>24</v>
      </c>
    </row>
    <row r="52" spans="1:9" x14ac:dyDescent="0.25">
      <c r="A52" s="1">
        <f ca="1">RANK(E52,E$2:E$402)</f>
        <v>32</v>
      </c>
      <c r="B52" t="s">
        <v>137</v>
      </c>
      <c r="C52" t="s">
        <v>32</v>
      </c>
      <c r="D52" s="1">
        <f ca="1">INDEX(INDIRECT($C52&amp;"!O:O"),MATCH($B52,INDIRECT($C52&amp;"!B:B"),0))</f>
        <v>146.94999999999999</v>
      </c>
      <c r="E52" s="7">
        <f ca="1">D52-LARGE(D$2:D$402,RBCount+WRCount)</f>
        <v>67.149999999999977</v>
      </c>
      <c r="F52" s="1" t="str">
        <f ca="1">IF(H52&lt;=I52,"Starter",IF(G52&gt;=LARGE(G:G,FlexOn*LeagueInfo!$F$2),"Starter","Bench"))</f>
        <v>Starter</v>
      </c>
      <c r="G52" s="1">
        <f ca="1">IF(H52&gt;I52,D52,0)</f>
        <v>0</v>
      </c>
      <c r="H52" s="1">
        <f ca="1">INDEX(INDIRECT(""&amp;C52&amp;"!A2:A489"),MATCH(B52,INDIRECT(""&amp;C52&amp;"!B2:B489"),0))</f>
        <v>20</v>
      </c>
      <c r="I52" s="1">
        <f>IF(C52="RB",LeagueInfo!$D$4*LeagueInfo!$F$2,LeagueInfo!$D$5*LeagueInfo!$F$2)</f>
        <v>24</v>
      </c>
    </row>
    <row r="53" spans="1:9" x14ac:dyDescent="0.25">
      <c r="A53" s="1">
        <f ca="1">RANK(E53,E$2:E$402)</f>
        <v>62</v>
      </c>
      <c r="B53" t="s">
        <v>172</v>
      </c>
      <c r="C53" t="s">
        <v>39</v>
      </c>
      <c r="D53" s="1">
        <f ca="1">INDEX(INDIRECT($C53&amp;"!O:O"),MATCH($B53,INDIRECT($C53&amp;"!B:B"),0))</f>
        <v>120.64</v>
      </c>
      <c r="E53" s="7">
        <f ca="1">D53-LARGE(D$2:D$402,RBCount+WRCount)</f>
        <v>40.839999999999989</v>
      </c>
      <c r="F53" s="1" t="str">
        <f ca="1">IF(H53&lt;=I53,"Starter",IF(G53&gt;=LARGE(G:G,FlexOn*LeagueInfo!$F$2),"Starter","Bench"))</f>
        <v>Bench</v>
      </c>
      <c r="G53" s="1">
        <f ca="1">IF(H53&gt;I53,D53,0)</f>
        <v>120.64</v>
      </c>
      <c r="H53" s="1">
        <f ca="1">INDEX(INDIRECT(""&amp;C53&amp;"!A2:A489"),MATCH(B53,INDIRECT(""&amp;C53&amp;"!B2:B489"),0))</f>
        <v>31</v>
      </c>
      <c r="I53" s="1">
        <f>IF(C53="RB",LeagueInfo!$D$4*LeagueInfo!$F$2,LeagueInfo!$D$5*LeagueInfo!$F$2)</f>
        <v>24</v>
      </c>
    </row>
    <row r="54" spans="1:9" x14ac:dyDescent="0.25">
      <c r="A54" s="1">
        <f ca="1">RANK(E54,E$2:E$402)</f>
        <v>64</v>
      </c>
      <c r="B54" t="s">
        <v>222</v>
      </c>
      <c r="C54" t="s">
        <v>39</v>
      </c>
      <c r="D54" s="1">
        <f ca="1">INDEX(INDIRECT($C54&amp;"!O:O"),MATCH($B54,INDIRECT($C54&amp;"!B:B"),0))</f>
        <v>118.86</v>
      </c>
      <c r="E54" s="7">
        <f ca="1">D54-LARGE(D$2:D$402,RBCount+WRCount)</f>
        <v>39.059999999999988</v>
      </c>
      <c r="F54" s="1" t="str">
        <f ca="1">IF(H54&lt;=I54,"Starter",IF(G54&gt;=LARGE(G:G,FlexOn*LeagueInfo!$F$2),"Starter","Bench"))</f>
        <v>Bench</v>
      </c>
      <c r="G54" s="1">
        <f ca="1">IF(H54&gt;I54,D54,0)</f>
        <v>118.86</v>
      </c>
      <c r="H54" s="1">
        <f ca="1">INDEX(INDIRECT(""&amp;C54&amp;"!A2:A489"),MATCH(B54,INDIRECT(""&amp;C54&amp;"!B2:B489"),0))</f>
        <v>33</v>
      </c>
      <c r="I54" s="1">
        <f>IF(C54="RB",LeagueInfo!$D$4*LeagueInfo!$F$2,LeagueInfo!$D$5*LeagueInfo!$F$2)</f>
        <v>24</v>
      </c>
    </row>
    <row r="55" spans="1:9" x14ac:dyDescent="0.25">
      <c r="A55" s="1">
        <f ca="1">RANK(E55,E$2:E$402)</f>
        <v>40</v>
      </c>
      <c r="B55" t="s">
        <v>159</v>
      </c>
      <c r="C55" t="s">
        <v>32</v>
      </c>
      <c r="D55" s="1">
        <f ca="1">INDEX(INDIRECT($C55&amp;"!O:O"),MATCH($B55,INDIRECT($C55&amp;"!B:B"),0))</f>
        <v>136.91</v>
      </c>
      <c r="E55" s="7">
        <f ca="1">D55-LARGE(D$2:D$402,RBCount+WRCount)</f>
        <v>57.109999999999985</v>
      </c>
      <c r="F55" s="1" t="str">
        <f ca="1">IF(H55&lt;=I55,"Starter",IF(G55&gt;=LARGE(G:G,FlexOn*LeagueInfo!$F$2),"Starter","Bench"))</f>
        <v>Starter</v>
      </c>
      <c r="G55" s="1">
        <f ca="1">IF(H55&gt;I55,D55,0)</f>
        <v>0</v>
      </c>
      <c r="H55" s="1">
        <f ca="1">INDEX(INDIRECT(""&amp;C55&amp;"!A2:A489"),MATCH(B55,INDIRECT(""&amp;C55&amp;"!B2:B489"),0))</f>
        <v>23</v>
      </c>
      <c r="I55" s="1">
        <f>IF(C55="RB",LeagueInfo!$D$4*LeagueInfo!$F$2,LeagueInfo!$D$5*LeagueInfo!$F$2)</f>
        <v>24</v>
      </c>
    </row>
    <row r="56" spans="1:9" x14ac:dyDescent="0.25">
      <c r="A56" s="1">
        <f ca="1">RANK(E56,E$2:E$402)</f>
        <v>41</v>
      </c>
      <c r="B56" t="s">
        <v>183</v>
      </c>
      <c r="C56" t="s">
        <v>32</v>
      </c>
      <c r="D56" s="1">
        <f ca="1">INDEX(INDIRECT($C56&amp;"!O:O"),MATCH($B56,INDIRECT($C56&amp;"!B:B"),0))</f>
        <v>136.69</v>
      </c>
      <c r="E56" s="7">
        <f ca="1">D56-LARGE(D$2:D$402,RBCount+WRCount)</f>
        <v>56.889999999999986</v>
      </c>
      <c r="F56" s="1" t="str">
        <f ca="1">IF(H56&lt;=I56,"Starter",IF(G56&gt;=LARGE(G:G,FlexOn*LeagueInfo!$F$2),"Starter","Bench"))</f>
        <v>Starter</v>
      </c>
      <c r="G56" s="1">
        <f ca="1">IF(H56&gt;I56,D56,0)</f>
        <v>0</v>
      </c>
      <c r="H56" s="1">
        <f ca="1">INDEX(INDIRECT(""&amp;C56&amp;"!A2:A489"),MATCH(B56,INDIRECT(""&amp;C56&amp;"!B2:B489"),0))</f>
        <v>24</v>
      </c>
      <c r="I56" s="1">
        <f>IF(C56="RB",LeagueInfo!$D$4*LeagueInfo!$F$2,LeagueInfo!$D$5*LeagueInfo!$F$2)</f>
        <v>24</v>
      </c>
    </row>
    <row r="57" spans="1:9" x14ac:dyDescent="0.25">
      <c r="A57" s="1">
        <f ca="1">RANK(E57,E$2:E$402)</f>
        <v>59</v>
      </c>
      <c r="B57" t="s">
        <v>151</v>
      </c>
      <c r="C57" t="s">
        <v>39</v>
      </c>
      <c r="D57" s="1">
        <f ca="1">INDEX(INDIRECT($C57&amp;"!O:O"),MATCH($B57,INDIRECT($C57&amp;"!B:B"),0))</f>
        <v>123.56000000000002</v>
      </c>
      <c r="E57" s="7">
        <f ca="1">D57-LARGE(D$2:D$402,RBCount+WRCount)</f>
        <v>43.760000000000005</v>
      </c>
      <c r="F57" s="1" t="str">
        <f ca="1">IF(H57&lt;=I57,"Starter",IF(G57&gt;=LARGE(G:G,FlexOn*LeagueInfo!$F$2),"Starter","Bench"))</f>
        <v>Starter</v>
      </c>
      <c r="G57" s="1">
        <f ca="1">IF(H57&gt;I57,D57,0)</f>
        <v>123.56000000000002</v>
      </c>
      <c r="H57" s="1">
        <f ca="1">INDEX(INDIRECT(""&amp;C57&amp;"!A2:A489"),MATCH(B57,INDIRECT(""&amp;C57&amp;"!B2:B489"),0))</f>
        <v>30</v>
      </c>
      <c r="I57" s="1">
        <f>IF(C57="RB",LeagueInfo!$D$4*LeagueInfo!$F$2,LeagueInfo!$D$5*LeagueInfo!$F$2)</f>
        <v>24</v>
      </c>
    </row>
    <row r="58" spans="1:9" x14ac:dyDescent="0.25">
      <c r="A58" s="1">
        <f ca="1">RANK(E58,E$2:E$402)</f>
        <v>63</v>
      </c>
      <c r="B58" t="s">
        <v>550</v>
      </c>
      <c r="C58" t="s">
        <v>39</v>
      </c>
      <c r="D58" s="1">
        <f ca="1">INDEX(INDIRECT($C58&amp;"!O:O"),MATCH($B58,INDIRECT($C58&amp;"!B:B"),0))</f>
        <v>119.52000000000001</v>
      </c>
      <c r="E58" s="7">
        <f ca="1">D58-LARGE(D$2:D$402,RBCount+WRCount)</f>
        <v>39.72</v>
      </c>
      <c r="F58" s="1" t="str">
        <f ca="1">IF(H58&lt;=I58,"Starter",IF(G58&gt;=LARGE(G:G,FlexOn*LeagueInfo!$F$2),"Starter","Bench"))</f>
        <v>Bench</v>
      </c>
      <c r="G58" s="1">
        <f ca="1">IF(H58&gt;I58,D58,0)</f>
        <v>119.52000000000001</v>
      </c>
      <c r="H58" s="1">
        <f ca="1">INDEX(INDIRECT(""&amp;C58&amp;"!A2:A489"),MATCH(B58,INDIRECT(""&amp;C58&amp;"!B2:B489"),0))</f>
        <v>32</v>
      </c>
      <c r="I58" s="1">
        <f>IF(C58="RB",LeagueInfo!$D$4*LeagueInfo!$F$2,LeagueInfo!$D$5*LeagueInfo!$F$2)</f>
        <v>24</v>
      </c>
    </row>
    <row r="59" spans="1:9" x14ac:dyDescent="0.25">
      <c r="A59" s="1">
        <f ca="1">RANK(E59,E$2:E$402)</f>
        <v>66</v>
      </c>
      <c r="B59" t="s">
        <v>225</v>
      </c>
      <c r="C59" t="s">
        <v>39</v>
      </c>
      <c r="D59" s="1">
        <f ca="1">INDEX(INDIRECT($C59&amp;"!O:O"),MATCH($B59,INDIRECT($C59&amp;"!B:B"),0))</f>
        <v>115.98</v>
      </c>
      <c r="E59" s="7">
        <f ca="1">D59-LARGE(D$2:D$402,RBCount+WRCount)</f>
        <v>36.179999999999993</v>
      </c>
      <c r="F59" s="1" t="str">
        <f ca="1">IF(H59&lt;=I59,"Starter",IF(G59&gt;=LARGE(G:G,FlexOn*LeagueInfo!$F$2),"Starter","Bench"))</f>
        <v>Bench</v>
      </c>
      <c r="G59" s="1">
        <f ca="1">IF(H59&gt;I59,D59,0)</f>
        <v>115.98</v>
      </c>
      <c r="H59" s="1">
        <f ca="1">INDEX(INDIRECT(""&amp;C59&amp;"!A2:A489"),MATCH(B59,INDIRECT(""&amp;C59&amp;"!B2:B489"),0))</f>
        <v>35</v>
      </c>
      <c r="I59" s="1">
        <f>IF(C59="RB",LeagueInfo!$D$4*LeagueInfo!$F$2,LeagueInfo!$D$5*LeagueInfo!$F$2)</f>
        <v>24</v>
      </c>
    </row>
    <row r="60" spans="1:9" x14ac:dyDescent="0.25">
      <c r="A60" s="1">
        <f ca="1">RANK(E60,E$2:E$402)</f>
        <v>65</v>
      </c>
      <c r="B60" t="s">
        <v>166</v>
      </c>
      <c r="C60" t="s">
        <v>39</v>
      </c>
      <c r="D60" s="1">
        <f ca="1">INDEX(INDIRECT($C60&amp;"!O:O"),MATCH($B60,INDIRECT($C60&amp;"!B:B"),0))</f>
        <v>117.29</v>
      </c>
      <c r="E60" s="7">
        <f ca="1">D60-LARGE(D$2:D$402,RBCount+WRCount)</f>
        <v>37.489999999999995</v>
      </c>
      <c r="F60" s="1" t="str">
        <f ca="1">IF(H60&lt;=I60,"Starter",IF(G60&gt;=LARGE(G:G,FlexOn*LeagueInfo!$F$2),"Starter","Bench"))</f>
        <v>Bench</v>
      </c>
      <c r="G60" s="1">
        <f ca="1">IF(H60&gt;I60,D60,0)</f>
        <v>117.29</v>
      </c>
      <c r="H60" s="1">
        <f ca="1">INDEX(INDIRECT(""&amp;C60&amp;"!A2:A489"),MATCH(B60,INDIRECT(""&amp;C60&amp;"!B2:B489"),0))</f>
        <v>34</v>
      </c>
      <c r="I60" s="1">
        <f>IF(C60="RB",LeagueInfo!$D$4*LeagueInfo!$F$2,LeagueInfo!$D$5*LeagueInfo!$F$2)</f>
        <v>24</v>
      </c>
    </row>
    <row r="61" spans="1:9" x14ac:dyDescent="0.25">
      <c r="A61" s="1">
        <f ca="1">RANK(E61,E$2:E$402)</f>
        <v>43</v>
      </c>
      <c r="B61" t="s">
        <v>189</v>
      </c>
      <c r="C61" t="s">
        <v>32</v>
      </c>
      <c r="D61" s="1">
        <f ca="1">INDEX(INDIRECT($C61&amp;"!O:O"),MATCH($B61,INDIRECT($C61&amp;"!B:B"),0))</f>
        <v>134.91000000000003</v>
      </c>
      <c r="E61" s="7">
        <f ca="1">D61-LARGE(D$2:D$402,RBCount+WRCount)</f>
        <v>55.110000000000014</v>
      </c>
      <c r="F61" s="1" t="str">
        <f ca="1">IF(H61&lt;=I61,"Starter",IF(G61&gt;=LARGE(G:G,FlexOn*LeagueInfo!$F$2),"Starter","Bench"))</f>
        <v>Starter</v>
      </c>
      <c r="G61" s="1">
        <f ca="1">IF(H61&gt;I61,D61,0)</f>
        <v>134.91000000000003</v>
      </c>
      <c r="H61" s="1">
        <f ca="1">INDEX(INDIRECT(""&amp;C61&amp;"!A2:A489"),MATCH(B61,INDIRECT(""&amp;C61&amp;"!B2:B489"),0))</f>
        <v>25</v>
      </c>
      <c r="I61" s="1">
        <f>IF(C61="RB",LeagueInfo!$D$4*LeagueInfo!$F$2,LeagueInfo!$D$5*LeagueInfo!$F$2)</f>
        <v>24</v>
      </c>
    </row>
    <row r="62" spans="1:9" x14ac:dyDescent="0.25">
      <c r="A62" s="1">
        <f ca="1">RANK(E62,E$2:E$402)</f>
        <v>69</v>
      </c>
      <c r="B62" t="s">
        <v>265</v>
      </c>
      <c r="C62" t="s">
        <v>39</v>
      </c>
      <c r="D62" s="1">
        <f ca="1">INDEX(INDIRECT($C62&amp;"!O:O"),MATCH($B62,INDIRECT($C62&amp;"!B:B"),0))</f>
        <v>113.85</v>
      </c>
      <c r="E62" s="7">
        <f ca="1">D62-LARGE(D$2:D$402,RBCount+WRCount)</f>
        <v>34.049999999999983</v>
      </c>
      <c r="F62" s="1" t="str">
        <f ca="1">IF(H62&lt;=I62,"Starter",IF(G62&gt;=LARGE(G:G,FlexOn*LeagueInfo!$F$2),"Starter","Bench"))</f>
        <v>Bench</v>
      </c>
      <c r="G62" s="1">
        <f ca="1">IF(H62&gt;I62,D62,0)</f>
        <v>113.85</v>
      </c>
      <c r="H62" s="1">
        <f ca="1">INDEX(INDIRECT(""&amp;C62&amp;"!A2:A489"),MATCH(B62,INDIRECT(""&amp;C62&amp;"!B2:B489"),0))</f>
        <v>37</v>
      </c>
      <c r="I62" s="1">
        <f>IF(C62="RB",LeagueInfo!$D$4*LeagueInfo!$F$2,LeagueInfo!$D$5*LeagueInfo!$F$2)</f>
        <v>24</v>
      </c>
    </row>
    <row r="63" spans="1:9" x14ac:dyDescent="0.25">
      <c r="A63" s="1">
        <f ca="1">RANK(E63,E$2:E$402)</f>
        <v>50</v>
      </c>
      <c r="B63" t="s">
        <v>145</v>
      </c>
      <c r="C63" t="s">
        <v>32</v>
      </c>
      <c r="D63" s="1">
        <f ca="1">INDEX(INDIRECT($C63&amp;"!O:O"),MATCH($B63,INDIRECT($C63&amp;"!B:B"),0))</f>
        <v>129.82999999999998</v>
      </c>
      <c r="E63" s="7">
        <f ca="1">D63-LARGE(D$2:D$402,RBCount+WRCount)</f>
        <v>50.029999999999973</v>
      </c>
      <c r="F63" s="1" t="str">
        <f ca="1">IF(H63&lt;=I63,"Starter",IF(G63&gt;=LARGE(G:G,FlexOn*LeagueInfo!$F$2),"Starter","Bench"))</f>
        <v>Starter</v>
      </c>
      <c r="G63" s="1">
        <f ca="1">IF(H63&gt;I63,D63,0)</f>
        <v>129.82999999999998</v>
      </c>
      <c r="H63" s="1">
        <f ca="1">INDEX(INDIRECT(""&amp;C63&amp;"!A2:A489"),MATCH(B63,INDIRECT(""&amp;C63&amp;"!B2:B489"),0))</f>
        <v>26</v>
      </c>
      <c r="I63" s="1">
        <f>IF(C63="RB",LeagueInfo!$D$4*LeagueInfo!$F$2,LeagueInfo!$D$5*LeagueInfo!$F$2)</f>
        <v>24</v>
      </c>
    </row>
    <row r="64" spans="1:9" x14ac:dyDescent="0.25">
      <c r="A64" s="1">
        <f ca="1">RANK(E64,E$2:E$402)</f>
        <v>77</v>
      </c>
      <c r="B64" t="s">
        <v>215</v>
      </c>
      <c r="C64" t="s">
        <v>39</v>
      </c>
      <c r="D64" s="1">
        <f ca="1">INDEX(INDIRECT($C64&amp;"!O:O"),MATCH($B64,INDIRECT($C64&amp;"!B:B"),0))</f>
        <v>108.55</v>
      </c>
      <c r="E64" s="7">
        <f ca="1">D64-LARGE(D$2:D$402,RBCount+WRCount)</f>
        <v>28.749999999999986</v>
      </c>
      <c r="F64" s="1" t="str">
        <f ca="1">IF(H64&lt;=I64,"Starter",IF(G64&gt;=LARGE(G:G,FlexOn*LeagueInfo!$F$2),"Starter","Bench"))</f>
        <v>Bench</v>
      </c>
      <c r="G64" s="1">
        <f ca="1">IF(H64&gt;I64,D64,0)</f>
        <v>108.55</v>
      </c>
      <c r="H64" s="1">
        <f ca="1">INDEX(INDIRECT(""&amp;C64&amp;"!A2:A489"),MATCH(B64,INDIRECT(""&amp;C64&amp;"!B2:B489"),0))</f>
        <v>42</v>
      </c>
      <c r="I64" s="1">
        <f>IF(C64="RB",LeagueInfo!$D$4*LeagueInfo!$F$2,LeagueInfo!$D$5*LeagueInfo!$F$2)</f>
        <v>24</v>
      </c>
    </row>
    <row r="65" spans="1:9" x14ac:dyDescent="0.25">
      <c r="A65" s="1">
        <f ca="1">RANK(E65,E$2:E$402)</f>
        <v>73</v>
      </c>
      <c r="B65" t="s">
        <v>248</v>
      </c>
      <c r="C65" t="s">
        <v>39</v>
      </c>
      <c r="D65" s="1">
        <f ca="1">INDEX(INDIRECT($C65&amp;"!O:O"),MATCH($B65,INDIRECT($C65&amp;"!B:B"),0))</f>
        <v>111.28999999999999</v>
      </c>
      <c r="E65" s="7">
        <f ca="1">D65-LARGE(D$2:D$402,RBCount+WRCount)</f>
        <v>31.489999999999981</v>
      </c>
      <c r="F65" s="1" t="str">
        <f ca="1">IF(H65&lt;=I65,"Starter",IF(G65&gt;=LARGE(G:G,FlexOn*LeagueInfo!$F$2),"Starter","Bench"))</f>
        <v>Bench</v>
      </c>
      <c r="G65" s="1">
        <f ca="1">IF(H65&gt;I65,D65,0)</f>
        <v>111.28999999999999</v>
      </c>
      <c r="H65" s="1">
        <f ca="1">INDEX(INDIRECT(""&amp;C65&amp;"!A2:A489"),MATCH(B65,INDIRECT(""&amp;C65&amp;"!B2:B489"),0))</f>
        <v>40</v>
      </c>
      <c r="I65" s="1">
        <f>IF(C65="RB",LeagueInfo!$D$4*LeagueInfo!$F$2,LeagueInfo!$D$5*LeagueInfo!$F$2)</f>
        <v>24</v>
      </c>
    </row>
    <row r="66" spans="1:9" x14ac:dyDescent="0.25">
      <c r="A66" s="1">
        <f ca="1">RANK(E66,E$2:E$402)</f>
        <v>52</v>
      </c>
      <c r="B66" t="s">
        <v>205</v>
      </c>
      <c r="C66" t="s">
        <v>32</v>
      </c>
      <c r="D66" s="1">
        <f ca="1">INDEX(INDIRECT($C66&amp;"!O:O"),MATCH($B66,INDIRECT($C66&amp;"!B:B"),0))</f>
        <v>127.69</v>
      </c>
      <c r="E66" s="7">
        <f ca="1">D66-LARGE(D$2:D$402,RBCount+WRCount)</f>
        <v>47.889999999999986</v>
      </c>
      <c r="F66" s="1" t="str">
        <f ca="1">IF(H66&lt;=I66,"Starter",IF(G66&gt;=LARGE(G:G,FlexOn*LeagueInfo!$F$2),"Starter","Bench"))</f>
        <v>Starter</v>
      </c>
      <c r="G66" s="1">
        <f ca="1">IF(H66&gt;I66,D66,0)</f>
        <v>127.69</v>
      </c>
      <c r="H66" s="1">
        <f ca="1">INDEX(INDIRECT(""&amp;C66&amp;"!A2:A489"),MATCH(B66,INDIRECT(""&amp;C66&amp;"!B2:B489"),0))</f>
        <v>27</v>
      </c>
      <c r="I66" s="1">
        <f>IF(C66="RB",LeagueInfo!$D$4*LeagueInfo!$F$2,LeagueInfo!$D$5*LeagueInfo!$F$2)</f>
        <v>24</v>
      </c>
    </row>
    <row r="67" spans="1:9" x14ac:dyDescent="0.25">
      <c r="A67" s="1">
        <f ca="1">RANK(E67,E$2:E$402)</f>
        <v>70</v>
      </c>
      <c r="B67" t="s">
        <v>199</v>
      </c>
      <c r="C67" t="s">
        <v>39</v>
      </c>
      <c r="D67" s="1">
        <f ca="1">INDEX(INDIRECT($C67&amp;"!O:O"),MATCH($B67,INDIRECT($C67&amp;"!B:B"),0))</f>
        <v>113.36</v>
      </c>
      <c r="E67" s="7">
        <f ca="1">D67-LARGE(D$2:D$402,RBCount+WRCount)</f>
        <v>33.559999999999988</v>
      </c>
      <c r="F67" s="1" t="str">
        <f ca="1">IF(H67&lt;=I67,"Starter",IF(G67&gt;=LARGE(G:G,FlexOn*LeagueInfo!$F$2),"Starter","Bench"))</f>
        <v>Bench</v>
      </c>
      <c r="G67" s="1">
        <f ca="1">IF(H67&gt;I67,D67,0)</f>
        <v>113.36</v>
      </c>
      <c r="H67" s="1">
        <f ca="1">INDEX(INDIRECT(""&amp;C67&amp;"!A2:A489"),MATCH(B67,INDIRECT(""&amp;C67&amp;"!B2:B489"),0))</f>
        <v>38</v>
      </c>
      <c r="I67" s="1">
        <f>IF(C67="RB",LeagueInfo!$D$4*LeagueInfo!$F$2,LeagueInfo!$D$5*LeagueInfo!$F$2)</f>
        <v>24</v>
      </c>
    </row>
    <row r="68" spans="1:9" x14ac:dyDescent="0.25">
      <c r="A68" s="1">
        <f ca="1">RANK(E68,E$2:E$402)</f>
        <v>68</v>
      </c>
      <c r="B68" t="s">
        <v>174</v>
      </c>
      <c r="C68" t="s">
        <v>39</v>
      </c>
      <c r="D68" s="1">
        <f ca="1">INDEX(INDIRECT($C68&amp;"!O:O"),MATCH($B68,INDIRECT($C68&amp;"!B:B"),0))</f>
        <v>115.07000000000001</v>
      </c>
      <c r="E68" s="7">
        <f ca="1">D68-LARGE(D$2:D$402,RBCount+WRCount)</f>
        <v>35.269999999999996</v>
      </c>
      <c r="F68" s="1" t="str">
        <f ca="1">IF(H68&lt;=I68,"Starter",IF(G68&gt;=LARGE(G:G,FlexOn*LeagueInfo!$F$2),"Starter","Bench"))</f>
        <v>Bench</v>
      </c>
      <c r="G68" s="1">
        <f ca="1">IF(H68&gt;I68,D68,0)</f>
        <v>115.07000000000001</v>
      </c>
      <c r="H68" s="1">
        <f ca="1">INDEX(INDIRECT(""&amp;C68&amp;"!A2:A489"),MATCH(B68,INDIRECT(""&amp;C68&amp;"!B2:B489"),0))</f>
        <v>36</v>
      </c>
      <c r="I68" s="1">
        <f>IF(C68="RB",LeagueInfo!$D$4*LeagueInfo!$F$2,LeagueInfo!$D$5*LeagueInfo!$F$2)</f>
        <v>24</v>
      </c>
    </row>
    <row r="69" spans="1:9" x14ac:dyDescent="0.25">
      <c r="A69" s="1">
        <f ca="1">RANK(E69,E$2:E$402)</f>
        <v>74</v>
      </c>
      <c r="B69" t="s">
        <v>194</v>
      </c>
      <c r="C69" t="s">
        <v>32</v>
      </c>
      <c r="D69" s="1">
        <f ca="1">INDEX(INDIRECT($C69&amp;"!O:O"),MATCH($B69,INDIRECT($C69&amp;"!B:B"),0))</f>
        <v>110.80000000000001</v>
      </c>
      <c r="E69" s="7">
        <f ca="1">D69-LARGE(D$2:D$402,RBCount+WRCount)</f>
        <v>31</v>
      </c>
      <c r="F69" s="1" t="str">
        <f ca="1">IF(H69&lt;=I69,"Starter",IF(G69&gt;=LARGE(G:G,FlexOn*LeagueInfo!$F$2),"Starter","Bench"))</f>
        <v>Bench</v>
      </c>
      <c r="G69" s="1">
        <f ca="1">IF(H69&gt;I69,D69,0)</f>
        <v>110.80000000000001</v>
      </c>
      <c r="H69" s="1">
        <f ca="1">INDEX(INDIRECT(""&amp;C69&amp;"!A2:A489"),MATCH(B69,INDIRECT(""&amp;C69&amp;"!B2:B489"),0))</f>
        <v>34</v>
      </c>
      <c r="I69" s="1">
        <f>IF(C69="RB",LeagueInfo!$D$4*LeagueInfo!$F$2,LeagueInfo!$D$5*LeagueInfo!$F$2)</f>
        <v>24</v>
      </c>
    </row>
    <row r="70" spans="1:9" x14ac:dyDescent="0.25">
      <c r="A70" s="1">
        <f ca="1">RANK(E70,E$2:E$402)</f>
        <v>75</v>
      </c>
      <c r="B70" t="s">
        <v>211</v>
      </c>
      <c r="C70" t="s">
        <v>32</v>
      </c>
      <c r="D70" s="1">
        <f ca="1">INDEX(INDIRECT($C70&amp;"!O:O"),MATCH($B70,INDIRECT($C70&amp;"!B:B"),0))</f>
        <v>109.46000000000001</v>
      </c>
      <c r="E70" s="7">
        <f ca="1">D70-LARGE(D$2:D$402,RBCount+WRCount)</f>
        <v>29.659999999999997</v>
      </c>
      <c r="F70" s="1" t="str">
        <f ca="1">IF(H70&lt;=I70,"Starter",IF(G70&gt;=LARGE(G:G,FlexOn*LeagueInfo!$F$2),"Starter","Bench"))</f>
        <v>Bench</v>
      </c>
      <c r="G70" s="1">
        <f ca="1">IF(H70&gt;I70,D70,0)</f>
        <v>109.46000000000001</v>
      </c>
      <c r="H70" s="1">
        <f ca="1">INDEX(INDIRECT(""&amp;C70&amp;"!A2:A489"),MATCH(B70,INDIRECT(""&amp;C70&amp;"!B2:B489"),0))</f>
        <v>35</v>
      </c>
      <c r="I70" s="1">
        <f>IF(C70="RB",LeagueInfo!$D$4*LeagueInfo!$F$2,LeagueInfo!$D$5*LeagueInfo!$F$2)</f>
        <v>24</v>
      </c>
    </row>
    <row r="71" spans="1:9" x14ac:dyDescent="0.25">
      <c r="A71" s="1">
        <f ca="1">RANK(E71,E$2:E$402)</f>
        <v>76</v>
      </c>
      <c r="B71" t="s">
        <v>161</v>
      </c>
      <c r="C71" t="s">
        <v>39</v>
      </c>
      <c r="D71" s="1">
        <f ca="1">INDEX(INDIRECT($C71&amp;"!O:O"),MATCH($B71,INDIRECT($C71&amp;"!B:B"),0))</f>
        <v>108.77</v>
      </c>
      <c r="E71" s="7">
        <f ca="1">D71-LARGE(D$2:D$402,RBCount+WRCount)</f>
        <v>28.969999999999985</v>
      </c>
      <c r="F71" s="1" t="str">
        <f ca="1">IF(H71&lt;=I71,"Starter",IF(G71&gt;=LARGE(G:G,FlexOn*LeagueInfo!$F$2),"Starter","Bench"))</f>
        <v>Bench</v>
      </c>
      <c r="G71" s="1">
        <f ca="1">IF(H71&gt;I71,D71,0)</f>
        <v>108.77</v>
      </c>
      <c r="H71" s="1">
        <f ca="1">INDEX(INDIRECT(""&amp;C71&amp;"!A2:A489"),MATCH(B71,INDIRECT(""&amp;C71&amp;"!B2:B489"),0))</f>
        <v>41</v>
      </c>
      <c r="I71" s="1">
        <f>IF(C71="RB",LeagueInfo!$D$4*LeagueInfo!$F$2,LeagueInfo!$D$5*LeagueInfo!$F$2)</f>
        <v>24</v>
      </c>
    </row>
    <row r="72" spans="1:9" x14ac:dyDescent="0.25">
      <c r="A72" s="1">
        <f ca="1">RANK(E72,E$2:E$402)</f>
        <v>72</v>
      </c>
      <c r="B72" t="s">
        <v>209</v>
      </c>
      <c r="C72" t="s">
        <v>39</v>
      </c>
      <c r="D72" s="1">
        <f ca="1">INDEX(INDIRECT($C72&amp;"!O:O"),MATCH($B72,INDIRECT($C72&amp;"!B:B"),0))</f>
        <v>111.69000000000001</v>
      </c>
      <c r="E72" s="7">
        <f ca="1">D72-LARGE(D$2:D$402,RBCount+WRCount)</f>
        <v>31.89</v>
      </c>
      <c r="F72" s="1" t="str">
        <f ca="1">IF(H72&lt;=I72,"Starter",IF(G72&gt;=LARGE(G:G,FlexOn*LeagueInfo!$F$2),"Starter","Bench"))</f>
        <v>Bench</v>
      </c>
      <c r="G72" s="1">
        <f ca="1">IF(H72&gt;I72,D72,0)</f>
        <v>111.69000000000001</v>
      </c>
      <c r="H72" s="1">
        <f ca="1">INDEX(INDIRECT(""&amp;C72&amp;"!A2:A489"),MATCH(B72,INDIRECT(""&amp;C72&amp;"!B2:B489"),0))</f>
        <v>39</v>
      </c>
      <c r="I72" s="1">
        <f>IF(C72="RB",LeagueInfo!$D$4*LeagueInfo!$F$2,LeagueInfo!$D$5*LeagueInfo!$F$2)</f>
        <v>24</v>
      </c>
    </row>
    <row r="73" spans="1:9" x14ac:dyDescent="0.25">
      <c r="A73" s="1">
        <f ca="1">RANK(E73,E$2:E$402)</f>
        <v>82</v>
      </c>
      <c r="B73" t="s">
        <v>266</v>
      </c>
      <c r="C73" t="s">
        <v>39</v>
      </c>
      <c r="D73" s="1">
        <f ca="1">INDEX(INDIRECT($C73&amp;"!O:O"),MATCH($B73,INDIRECT($C73&amp;"!B:B"),0))</f>
        <v>106.65</v>
      </c>
      <c r="E73" s="7">
        <f ca="1">D73-LARGE(D$2:D$402,RBCount+WRCount)</f>
        <v>26.849999999999994</v>
      </c>
      <c r="F73" s="1" t="str">
        <f ca="1">IF(H73&lt;=I73,"Starter",IF(G73&gt;=LARGE(G:G,FlexOn*LeagueInfo!$F$2),"Starter","Bench"))</f>
        <v>Bench</v>
      </c>
      <c r="G73" s="1">
        <f ca="1">IF(H73&gt;I73,D73,0)</f>
        <v>106.65</v>
      </c>
      <c r="H73" s="1">
        <f ca="1">INDEX(INDIRECT(""&amp;C73&amp;"!A2:A489"),MATCH(B73,INDIRECT(""&amp;C73&amp;"!B2:B489"),0))</f>
        <v>44</v>
      </c>
      <c r="I73" s="1">
        <f>IF(C73="RB",LeagueInfo!$D$4*LeagueInfo!$F$2,LeagueInfo!$D$5*LeagueInfo!$F$2)</f>
        <v>24</v>
      </c>
    </row>
    <row r="74" spans="1:9" x14ac:dyDescent="0.25">
      <c r="A74" s="1">
        <f ca="1">RANK(E74,E$2:E$402)</f>
        <v>55</v>
      </c>
      <c r="B74" t="s">
        <v>173</v>
      </c>
      <c r="C74" t="s">
        <v>32</v>
      </c>
      <c r="D74" s="1">
        <f ca="1">INDEX(INDIRECT($C74&amp;"!O:O"),MATCH($B74,INDIRECT($C74&amp;"!B:B"),0))</f>
        <v>125.64000000000001</v>
      </c>
      <c r="E74" s="7">
        <f ca="1">D74-LARGE(D$2:D$402,RBCount+WRCount)</f>
        <v>45.84</v>
      </c>
      <c r="F74" s="1" t="str">
        <f ca="1">IF(H74&lt;=I74,"Starter",IF(G74&gt;=LARGE(G:G,FlexOn*LeagueInfo!$F$2),"Starter","Bench"))</f>
        <v>Starter</v>
      </c>
      <c r="G74" s="1">
        <f ca="1">IF(H74&gt;I74,D74,0)</f>
        <v>125.64000000000001</v>
      </c>
      <c r="H74" s="1">
        <f ca="1">INDEX(INDIRECT(""&amp;C74&amp;"!A2:A489"),MATCH(B74,INDIRECT(""&amp;C74&amp;"!B2:B489"),0))</f>
        <v>28</v>
      </c>
      <c r="I74" s="1">
        <f>IF(C74="RB",LeagueInfo!$D$4*LeagueInfo!$F$2,LeagueInfo!$D$5*LeagueInfo!$F$2)</f>
        <v>24</v>
      </c>
    </row>
    <row r="75" spans="1:9" x14ac:dyDescent="0.25">
      <c r="A75" s="1">
        <f ca="1">RANK(E75,E$2:E$402)</f>
        <v>84</v>
      </c>
      <c r="B75" t="s">
        <v>267</v>
      </c>
      <c r="C75" t="s">
        <v>39</v>
      </c>
      <c r="D75" s="1">
        <f ca="1">INDEX(INDIRECT($C75&amp;"!O:O"),MATCH($B75,INDIRECT($C75&amp;"!B:B"),0))</f>
        <v>105.73</v>
      </c>
      <c r="E75" s="7">
        <f ca="1">D75-LARGE(D$2:D$402,RBCount+WRCount)</f>
        <v>25.929999999999993</v>
      </c>
      <c r="F75" s="1" t="str">
        <f ca="1">IF(H75&lt;=I75,"Starter",IF(G75&gt;=LARGE(G:G,FlexOn*LeagueInfo!$F$2),"Starter","Bench"))</f>
        <v>Bench</v>
      </c>
      <c r="G75" s="1">
        <f ca="1">IF(H75&gt;I75,D75,0)</f>
        <v>105.73</v>
      </c>
      <c r="H75" s="1">
        <f ca="1">INDEX(INDIRECT(""&amp;C75&amp;"!A2:A489"),MATCH(B75,INDIRECT(""&amp;C75&amp;"!B2:B489"),0))</f>
        <v>45</v>
      </c>
      <c r="I75" s="1">
        <f>IF(C75="RB",LeagueInfo!$D$4*LeagueInfo!$F$2,LeagueInfo!$D$5*LeagueInfo!$F$2)</f>
        <v>24</v>
      </c>
    </row>
    <row r="76" spans="1:9" x14ac:dyDescent="0.25">
      <c r="A76" s="1">
        <f ca="1">RANK(E76,E$2:E$402)</f>
        <v>80</v>
      </c>
      <c r="B76" t="s">
        <v>227</v>
      </c>
      <c r="C76" t="s">
        <v>39</v>
      </c>
      <c r="D76" s="1">
        <f ca="1">INDEX(INDIRECT($C76&amp;"!O:O"),MATCH($B76,INDIRECT($C76&amp;"!B:B"),0))</f>
        <v>107.61000000000001</v>
      </c>
      <c r="E76" s="7">
        <f ca="1">D76-LARGE(D$2:D$402,RBCount+WRCount)</f>
        <v>27.810000000000002</v>
      </c>
      <c r="F76" s="1" t="str">
        <f ca="1">IF(H76&lt;=I76,"Starter",IF(G76&gt;=LARGE(G:G,FlexOn*LeagueInfo!$F$2),"Starter","Bench"))</f>
        <v>Bench</v>
      </c>
      <c r="G76" s="1">
        <f ca="1">IF(H76&gt;I76,D76,0)</f>
        <v>107.61000000000001</v>
      </c>
      <c r="H76" s="1">
        <f ca="1">INDEX(INDIRECT(""&amp;C76&amp;"!A2:A489"),MATCH(B76,INDIRECT(""&amp;C76&amp;"!B2:B489"),0))</f>
        <v>43</v>
      </c>
      <c r="I76" s="1">
        <f>IF(C76="RB",LeagueInfo!$D$4*LeagueInfo!$F$2,LeagueInfo!$D$5*LeagueInfo!$F$2)</f>
        <v>24</v>
      </c>
    </row>
    <row r="77" spans="1:9" x14ac:dyDescent="0.25">
      <c r="A77" s="1">
        <f ca="1">RANK(E77,E$2:E$402)</f>
        <v>83</v>
      </c>
      <c r="B77" t="s">
        <v>433</v>
      </c>
      <c r="C77" t="s">
        <v>32</v>
      </c>
      <c r="D77" s="1">
        <f ca="1">INDEX(INDIRECT($C77&amp;"!O:O"),MATCH($B77,INDIRECT($C77&amp;"!B:B"),0))</f>
        <v>105.85</v>
      </c>
      <c r="E77" s="7">
        <f ca="1">D77-LARGE(D$2:D$402,RBCount+WRCount)</f>
        <v>26.049999999999983</v>
      </c>
      <c r="F77" s="1" t="str">
        <f ca="1">IF(H77&lt;=I77,"Starter",IF(G77&gt;=LARGE(G:G,FlexOn*LeagueInfo!$F$2),"Starter","Bench"))</f>
        <v>Bench</v>
      </c>
      <c r="G77" s="1">
        <f ca="1">IF(H77&gt;I77,D77,0)</f>
        <v>105.85</v>
      </c>
      <c r="H77" s="1">
        <f ca="1">INDEX(INDIRECT(""&amp;C77&amp;"!A2:A489"),MATCH(B77,INDIRECT(""&amp;C77&amp;"!B2:B489"),0))</f>
        <v>39</v>
      </c>
      <c r="I77" s="1">
        <f>IF(C77="RB",LeagueInfo!$D$4*LeagueInfo!$F$2,LeagueInfo!$D$5*LeagueInfo!$F$2)</f>
        <v>24</v>
      </c>
    </row>
    <row r="78" spans="1:9" x14ac:dyDescent="0.25">
      <c r="A78" s="1">
        <f ca="1">RANK(E78,E$2:E$402)</f>
        <v>61</v>
      </c>
      <c r="B78" t="s">
        <v>132</v>
      </c>
      <c r="C78" t="s">
        <v>32</v>
      </c>
      <c r="D78" s="1">
        <f ca="1">INDEX(INDIRECT($C78&amp;"!O:O"),MATCH($B78,INDIRECT($C78&amp;"!B:B"),0))</f>
        <v>121.89000000000001</v>
      </c>
      <c r="E78" s="7">
        <f ca="1">D78-LARGE(D$2:D$402,RBCount+WRCount)</f>
        <v>42.09</v>
      </c>
      <c r="F78" s="1" t="str">
        <f ca="1">IF(H78&lt;=I78,"Starter",IF(G78&gt;=LARGE(G:G,FlexOn*LeagueInfo!$F$2),"Starter","Bench"))</f>
        <v>Bench</v>
      </c>
      <c r="G78" s="1">
        <f ca="1">IF(H78&gt;I78,D78,0)</f>
        <v>121.89000000000001</v>
      </c>
      <c r="H78" s="1">
        <f ca="1">INDEX(INDIRECT(""&amp;C78&amp;"!A2:A489"),MATCH(B78,INDIRECT(""&amp;C78&amp;"!B2:B489"),0))</f>
        <v>31</v>
      </c>
      <c r="I78" s="1">
        <f>IF(C78="RB",LeagueInfo!$D$4*LeagueInfo!$F$2,LeagueInfo!$D$5*LeagueInfo!$F$2)</f>
        <v>24</v>
      </c>
    </row>
    <row r="79" spans="1:9" x14ac:dyDescent="0.25">
      <c r="A79" s="1">
        <f ca="1">RANK(E79,E$2:E$402)</f>
        <v>89</v>
      </c>
      <c r="B79" t="s">
        <v>249</v>
      </c>
      <c r="C79" t="s">
        <v>39</v>
      </c>
      <c r="D79" s="1">
        <f ca="1">INDEX(INDIRECT($C79&amp;"!O:O"),MATCH($B79,INDIRECT($C79&amp;"!B:B"),0))</f>
        <v>101.13</v>
      </c>
      <c r="E79" s="7">
        <f ca="1">D79-LARGE(D$2:D$402,RBCount+WRCount)</f>
        <v>21.329999999999984</v>
      </c>
      <c r="F79" s="1" t="str">
        <f ca="1">IF(H79&lt;=I79,"Starter",IF(G79&gt;=LARGE(G:G,FlexOn*LeagueInfo!$F$2),"Starter","Bench"))</f>
        <v>Bench</v>
      </c>
      <c r="G79" s="1">
        <f ca="1">IF(H79&gt;I79,D79,0)</f>
        <v>101.13</v>
      </c>
      <c r="H79" s="1">
        <f ca="1">INDEX(INDIRECT(""&amp;C79&amp;"!A2:A489"),MATCH(B79,INDIRECT(""&amp;C79&amp;"!B2:B489"),0))</f>
        <v>49</v>
      </c>
      <c r="I79" s="1">
        <f>IF(C79="RB",LeagueInfo!$D$4*LeagueInfo!$F$2,LeagueInfo!$D$5*LeagueInfo!$F$2)</f>
        <v>24</v>
      </c>
    </row>
    <row r="80" spans="1:9" x14ac:dyDescent="0.25">
      <c r="A80" s="1">
        <f ca="1">RANK(E80,E$2:E$402)</f>
        <v>58</v>
      </c>
      <c r="B80" t="s">
        <v>140</v>
      </c>
      <c r="C80" t="s">
        <v>32</v>
      </c>
      <c r="D80" s="1">
        <f ca="1">INDEX(INDIRECT($C80&amp;"!O:O"),MATCH($B80,INDIRECT($C80&amp;"!B:B"),0))</f>
        <v>124.42999999999999</v>
      </c>
      <c r="E80" s="7">
        <f ca="1">D80-LARGE(D$2:D$402,RBCount+WRCount)</f>
        <v>44.629999999999981</v>
      </c>
      <c r="F80" s="1" t="str">
        <f ca="1">IF(H80&lt;=I80,"Starter",IF(G80&gt;=LARGE(G:G,FlexOn*LeagueInfo!$F$2),"Starter","Bench"))</f>
        <v>Starter</v>
      </c>
      <c r="G80" s="1">
        <f ca="1">IF(H80&gt;I80,D80,0)</f>
        <v>124.42999999999999</v>
      </c>
      <c r="H80" s="1">
        <f ca="1">INDEX(INDIRECT(""&amp;C80&amp;"!A2:A489"),MATCH(B80,INDIRECT(""&amp;C80&amp;"!B2:B489"),0))</f>
        <v>29</v>
      </c>
      <c r="I80" s="1">
        <f>IF(C80="RB",LeagueInfo!$D$4*LeagueInfo!$F$2,LeagueInfo!$D$5*LeagueInfo!$F$2)</f>
        <v>24</v>
      </c>
    </row>
    <row r="81" spans="1:9" x14ac:dyDescent="0.25">
      <c r="A81" s="1">
        <f ca="1">RANK(E81,E$2:E$402)</f>
        <v>60</v>
      </c>
      <c r="B81" t="s">
        <v>432</v>
      </c>
      <c r="C81" t="s">
        <v>32</v>
      </c>
      <c r="D81" s="1">
        <f ca="1">INDEX(INDIRECT($C81&amp;"!O:O"),MATCH($B81,INDIRECT($C81&amp;"!B:B"),0))</f>
        <v>122.32</v>
      </c>
      <c r="E81" s="7">
        <f ca="1">D81-LARGE(D$2:D$402,RBCount+WRCount)</f>
        <v>42.519999999999982</v>
      </c>
      <c r="F81" s="1" t="str">
        <f ca="1">IF(H81&lt;=I81,"Starter",IF(G81&gt;=LARGE(G:G,FlexOn*LeagueInfo!$F$2),"Starter","Bench"))</f>
        <v>Starter</v>
      </c>
      <c r="G81" s="1">
        <f ca="1">IF(H81&gt;I81,D81,0)</f>
        <v>122.32</v>
      </c>
      <c r="H81" s="1">
        <f ca="1">INDEX(INDIRECT(""&amp;C81&amp;"!A2:A489"),MATCH(B81,INDIRECT(""&amp;C81&amp;"!B2:B489"),0))</f>
        <v>30</v>
      </c>
      <c r="I81" s="1">
        <f>IF(C81="RB",LeagueInfo!$D$4*LeagueInfo!$F$2,LeagueInfo!$D$5*LeagueInfo!$F$2)</f>
        <v>24</v>
      </c>
    </row>
    <row r="82" spans="1:9" x14ac:dyDescent="0.25">
      <c r="A82" s="1">
        <f ca="1">RANK(E82,E$2:E$402)</f>
        <v>88</v>
      </c>
      <c r="B82" t="s">
        <v>555</v>
      </c>
      <c r="C82" t="s">
        <v>39</v>
      </c>
      <c r="D82" s="1">
        <f ca="1">INDEX(INDIRECT($C82&amp;"!O:O"),MATCH($B82,INDIRECT($C82&amp;"!B:B"),0))</f>
        <v>101.36</v>
      </c>
      <c r="E82" s="7">
        <f ca="1">D82-LARGE(D$2:D$402,RBCount+WRCount)</f>
        <v>21.559999999999988</v>
      </c>
      <c r="F82" s="1" t="str">
        <f ca="1">IF(H82&lt;=I82,"Starter",IF(G82&gt;=LARGE(G:G,FlexOn*LeagueInfo!$F$2),"Starter","Bench"))</f>
        <v>Bench</v>
      </c>
      <c r="G82" s="1">
        <f ca="1">IF(H82&gt;I82,D82,0)</f>
        <v>101.36</v>
      </c>
      <c r="H82" s="1">
        <f ca="1">INDEX(INDIRECT(""&amp;C82&amp;"!A2:A489"),MATCH(B82,INDIRECT(""&amp;C82&amp;"!B2:B489"),0))</f>
        <v>48</v>
      </c>
      <c r="I82" s="1">
        <f>IF(C82="RB",LeagueInfo!$D$4*LeagueInfo!$F$2,LeagueInfo!$D$5*LeagueInfo!$F$2)</f>
        <v>24</v>
      </c>
    </row>
    <row r="83" spans="1:9" x14ac:dyDescent="0.25">
      <c r="A83" s="1">
        <f ca="1">RANK(E83,E$2:E$402)</f>
        <v>86</v>
      </c>
      <c r="B83" t="s">
        <v>551</v>
      </c>
      <c r="C83" t="s">
        <v>39</v>
      </c>
      <c r="D83" s="1">
        <f ca="1">INDEX(INDIRECT($C83&amp;"!O:O"),MATCH($B83,INDIRECT($C83&amp;"!B:B"),0))</f>
        <v>103.55</v>
      </c>
      <c r="E83" s="7">
        <f ca="1">D83-LARGE(D$2:D$402,RBCount+WRCount)</f>
        <v>23.749999999999986</v>
      </c>
      <c r="F83" s="1" t="str">
        <f ca="1">IF(H83&lt;=I83,"Starter",IF(G83&gt;=LARGE(G:G,FlexOn*LeagueInfo!$F$2),"Starter","Bench"))</f>
        <v>Bench</v>
      </c>
      <c r="G83" s="1">
        <f ca="1">IF(H83&gt;I83,D83,0)</f>
        <v>103.55</v>
      </c>
      <c r="H83" s="1">
        <f ca="1">INDEX(INDIRECT(""&amp;C83&amp;"!A2:A489"),MATCH(B83,INDIRECT(""&amp;C83&amp;"!B2:B489"),0))</f>
        <v>46</v>
      </c>
      <c r="I83" s="1">
        <f>IF(C83="RB",LeagueInfo!$D$4*LeagueInfo!$F$2,LeagueInfo!$D$5*LeagueInfo!$F$2)</f>
        <v>24</v>
      </c>
    </row>
    <row r="84" spans="1:9" x14ac:dyDescent="0.25">
      <c r="A84" s="1">
        <f ca="1">RANK(E84,E$2:E$402)</f>
        <v>90</v>
      </c>
      <c r="B84" t="s">
        <v>210</v>
      </c>
      <c r="C84" t="s">
        <v>39</v>
      </c>
      <c r="D84" s="1">
        <f ca="1">INDEX(INDIRECT($C84&amp;"!O:O"),MATCH($B84,INDIRECT($C84&amp;"!B:B"),0))</f>
        <v>100.25</v>
      </c>
      <c r="E84" s="7">
        <f ca="1">D84-LARGE(D$2:D$402,RBCount+WRCount)</f>
        <v>20.449999999999989</v>
      </c>
      <c r="F84" s="1" t="str">
        <f ca="1">IF(H84&lt;=I84,"Starter",IF(G84&gt;=LARGE(G:G,FlexOn*LeagueInfo!$F$2),"Starter","Bench"))</f>
        <v>Bench</v>
      </c>
      <c r="G84" s="1">
        <f ca="1">IF(H84&gt;I84,D84,0)</f>
        <v>100.25</v>
      </c>
      <c r="H84" s="1">
        <f ca="1">INDEX(INDIRECT(""&amp;C84&amp;"!A2:A489"),MATCH(B84,INDIRECT(""&amp;C84&amp;"!B2:B489"),0))</f>
        <v>50</v>
      </c>
      <c r="I84" s="1">
        <f>IF(C84="RB",LeagueInfo!$D$4*LeagueInfo!$F$2,LeagueInfo!$D$5*LeagueInfo!$F$2)</f>
        <v>24</v>
      </c>
    </row>
    <row r="85" spans="1:9" x14ac:dyDescent="0.25">
      <c r="A85" s="1">
        <f ca="1">RANK(E85,E$2:E$402)</f>
        <v>87</v>
      </c>
      <c r="B85" t="s">
        <v>308</v>
      </c>
      <c r="C85" t="s">
        <v>39</v>
      </c>
      <c r="D85" s="1">
        <f ca="1">INDEX(INDIRECT($C85&amp;"!O:O"),MATCH($B85,INDIRECT($C85&amp;"!B:B"),0))</f>
        <v>101.86</v>
      </c>
      <c r="E85" s="7">
        <f ca="1">D85-LARGE(D$2:D$402,RBCount+WRCount)</f>
        <v>22.059999999999988</v>
      </c>
      <c r="F85" s="1" t="str">
        <f ca="1">IF(H85&lt;=I85,"Starter",IF(G85&gt;=LARGE(G:G,FlexOn*LeagueInfo!$F$2),"Starter","Bench"))</f>
        <v>Bench</v>
      </c>
      <c r="G85" s="1">
        <f ca="1">IF(H85&gt;I85,D85,0)</f>
        <v>101.86</v>
      </c>
      <c r="H85" s="1">
        <f ca="1">INDEX(INDIRECT(""&amp;C85&amp;"!A2:A489"),MATCH(B85,INDIRECT(""&amp;C85&amp;"!B2:B489"),0))</f>
        <v>47</v>
      </c>
      <c r="I85" s="1">
        <f>IF(C85="RB",LeagueInfo!$D$4*LeagueInfo!$F$2,LeagueInfo!$D$5*LeagueInfo!$F$2)</f>
        <v>24</v>
      </c>
    </row>
    <row r="86" spans="1:9" x14ac:dyDescent="0.25">
      <c r="A86" s="1">
        <f ca="1">RANK(E86,E$2:E$402)</f>
        <v>94</v>
      </c>
      <c r="B86" t="s">
        <v>280</v>
      </c>
      <c r="C86" t="s">
        <v>39</v>
      </c>
      <c r="D86" s="1">
        <f ca="1">INDEX(INDIRECT($C86&amp;"!O:O"),MATCH($B86,INDIRECT($C86&amp;"!B:B"),0))</f>
        <v>94.030000000000015</v>
      </c>
      <c r="E86" s="7">
        <f ca="1">D86-LARGE(D$2:D$402,RBCount+WRCount)</f>
        <v>14.230000000000004</v>
      </c>
      <c r="F86" s="1" t="str">
        <f ca="1">IF(H86&lt;=I86,"Starter",IF(G86&gt;=LARGE(G:G,FlexOn*LeagueInfo!$F$2),"Starter","Bench"))</f>
        <v>Bench</v>
      </c>
      <c r="G86" s="1">
        <f ca="1">IF(H86&gt;I86,D86,0)</f>
        <v>94.030000000000015</v>
      </c>
      <c r="H86" s="1">
        <f ca="1">INDEX(INDIRECT(""&amp;C86&amp;"!A2:A489"),MATCH(B86,INDIRECT(""&amp;C86&amp;"!B2:B489"),0))</f>
        <v>53</v>
      </c>
      <c r="I86" s="1">
        <f>IF(C86="RB",LeagueInfo!$D$4*LeagueInfo!$F$2,LeagueInfo!$D$5*LeagueInfo!$F$2)</f>
        <v>24</v>
      </c>
    </row>
    <row r="87" spans="1:9" x14ac:dyDescent="0.25">
      <c r="A87" s="1">
        <f ca="1">RANK(E87,E$2:E$402)</f>
        <v>67</v>
      </c>
      <c r="B87" t="s">
        <v>158</v>
      </c>
      <c r="C87" t="s">
        <v>32</v>
      </c>
      <c r="D87" s="1">
        <f ca="1">INDEX(INDIRECT($C87&amp;"!O:O"),MATCH($B87,INDIRECT($C87&amp;"!B:B"),0))</f>
        <v>115.21</v>
      </c>
      <c r="E87" s="7">
        <f ca="1">D87-LARGE(D$2:D$402,RBCount+WRCount)</f>
        <v>35.409999999999982</v>
      </c>
      <c r="F87" s="1" t="str">
        <f ca="1">IF(H87&lt;=I87,"Starter",IF(G87&gt;=LARGE(G:G,FlexOn*LeagueInfo!$F$2),"Starter","Bench"))</f>
        <v>Bench</v>
      </c>
      <c r="G87" s="1">
        <f ca="1">IF(H87&gt;I87,D87,0)</f>
        <v>115.21</v>
      </c>
      <c r="H87" s="1">
        <f ca="1">INDEX(INDIRECT(""&amp;C87&amp;"!A2:A489"),MATCH(B87,INDIRECT(""&amp;C87&amp;"!B2:B489"),0))</f>
        <v>32</v>
      </c>
      <c r="I87" s="1">
        <f>IF(C87="RB",LeagueInfo!$D$4*LeagueInfo!$F$2,LeagueInfo!$D$5*LeagueInfo!$F$2)</f>
        <v>24</v>
      </c>
    </row>
    <row r="88" spans="1:9" x14ac:dyDescent="0.25">
      <c r="A88" s="1">
        <f ca="1">RANK(E88,E$2:E$402)</f>
        <v>91</v>
      </c>
      <c r="B88" t="s">
        <v>553</v>
      </c>
      <c r="C88" t="s">
        <v>39</v>
      </c>
      <c r="D88" s="1">
        <f ca="1">INDEX(INDIRECT($C88&amp;"!O:O"),MATCH($B88,INDIRECT($C88&amp;"!B:B"),0))</f>
        <v>98.84</v>
      </c>
      <c r="E88" s="7">
        <f ca="1">D88-LARGE(D$2:D$402,RBCount+WRCount)</f>
        <v>19.039999999999992</v>
      </c>
      <c r="F88" s="1" t="str">
        <f ca="1">IF(H88&lt;=I88,"Starter",IF(G88&gt;=LARGE(G:G,FlexOn*LeagueInfo!$F$2),"Starter","Bench"))</f>
        <v>Bench</v>
      </c>
      <c r="G88" s="1">
        <f ca="1">IF(H88&gt;I88,D88,0)</f>
        <v>98.84</v>
      </c>
      <c r="H88" s="1">
        <f ca="1">INDEX(INDIRECT(""&amp;C88&amp;"!A2:A489"),MATCH(B88,INDIRECT(""&amp;C88&amp;"!B2:B489"),0))</f>
        <v>51</v>
      </c>
      <c r="I88" s="1">
        <f>IF(C88="RB",LeagueInfo!$D$4*LeagueInfo!$F$2,LeagueInfo!$D$5*LeagueInfo!$F$2)</f>
        <v>24</v>
      </c>
    </row>
    <row r="89" spans="1:9" x14ac:dyDescent="0.25">
      <c r="A89" s="1">
        <f ca="1">RANK(E89,E$2:E$402)</f>
        <v>95</v>
      </c>
      <c r="B89" t="s">
        <v>273</v>
      </c>
      <c r="C89" t="s">
        <v>39</v>
      </c>
      <c r="D89" s="1">
        <f ca="1">INDEX(INDIRECT($C89&amp;"!O:O"),MATCH($B89,INDIRECT($C89&amp;"!B:B"),0))</f>
        <v>94.009999999999991</v>
      </c>
      <c r="E89" s="7">
        <f ca="1">D89-LARGE(D$2:D$402,RBCount+WRCount)</f>
        <v>14.20999999999998</v>
      </c>
      <c r="F89" s="1" t="str">
        <f ca="1">IF(H89&lt;=I89,"Starter",IF(G89&gt;=LARGE(G:G,FlexOn*LeagueInfo!$F$2),"Starter","Bench"))</f>
        <v>Bench</v>
      </c>
      <c r="G89" s="1">
        <f ca="1">IF(H89&gt;I89,D89,0)</f>
        <v>94.009999999999991</v>
      </c>
      <c r="H89" s="1">
        <f ca="1">INDEX(INDIRECT(""&amp;C89&amp;"!A2:A489"),MATCH(B89,INDIRECT(""&amp;C89&amp;"!B2:B489"),0))</f>
        <v>54</v>
      </c>
      <c r="I89" s="1">
        <f>IF(C89="RB",LeagueInfo!$D$4*LeagueInfo!$F$2,LeagueInfo!$D$5*LeagueInfo!$F$2)</f>
        <v>24</v>
      </c>
    </row>
    <row r="90" spans="1:9" x14ac:dyDescent="0.25">
      <c r="A90" s="1">
        <f ca="1">RANK(E90,E$2:E$402)</f>
        <v>81</v>
      </c>
      <c r="B90" t="s">
        <v>208</v>
      </c>
      <c r="C90" t="s">
        <v>32</v>
      </c>
      <c r="D90" s="1">
        <f ca="1">INDEX(INDIRECT($C90&amp;"!O:O"),MATCH($B90,INDIRECT($C90&amp;"!B:B"),0))</f>
        <v>107.39</v>
      </c>
      <c r="E90" s="7">
        <f ca="1">D90-LARGE(D$2:D$402,RBCount+WRCount)</f>
        <v>27.589999999999989</v>
      </c>
      <c r="F90" s="1" t="str">
        <f ca="1">IF(H90&lt;=I90,"Starter",IF(G90&gt;=LARGE(G:G,FlexOn*LeagueInfo!$F$2),"Starter","Bench"))</f>
        <v>Bench</v>
      </c>
      <c r="G90" s="1">
        <f ca="1">IF(H90&gt;I90,D90,0)</f>
        <v>107.39</v>
      </c>
      <c r="H90" s="1">
        <f ca="1">INDEX(INDIRECT(""&amp;C90&amp;"!A2:A489"),MATCH(B90,INDIRECT(""&amp;C90&amp;"!B2:B489"),0))</f>
        <v>38</v>
      </c>
      <c r="I90" s="1">
        <f>IF(C90="RB",LeagueInfo!$D$4*LeagueInfo!$F$2,LeagueInfo!$D$5*LeagueInfo!$F$2)</f>
        <v>24</v>
      </c>
    </row>
    <row r="91" spans="1:9" x14ac:dyDescent="0.25">
      <c r="A91" s="1">
        <f ca="1">RANK(E91,E$2:E$402)</f>
        <v>93</v>
      </c>
      <c r="B91" t="s">
        <v>201</v>
      </c>
      <c r="C91" t="s">
        <v>39</v>
      </c>
      <c r="D91" s="1">
        <f ca="1">INDEX(INDIRECT($C91&amp;"!O:O"),MATCH($B91,INDIRECT($C91&amp;"!B:B"),0))</f>
        <v>95.670000000000016</v>
      </c>
      <c r="E91" s="7">
        <f ca="1">D91-LARGE(D$2:D$402,RBCount+WRCount)</f>
        <v>15.870000000000005</v>
      </c>
      <c r="F91" s="1" t="str">
        <f ca="1">IF(H91&lt;=I91,"Starter",IF(G91&gt;=LARGE(G:G,FlexOn*LeagueInfo!$F$2),"Starter","Bench"))</f>
        <v>Bench</v>
      </c>
      <c r="G91" s="1">
        <f ca="1">IF(H91&gt;I91,D91,0)</f>
        <v>95.670000000000016</v>
      </c>
      <c r="H91" s="1">
        <f ca="1">INDEX(INDIRECT(""&amp;C91&amp;"!A2:A489"),MATCH(B91,INDIRECT(""&amp;C91&amp;"!B2:B489"),0))</f>
        <v>52</v>
      </c>
      <c r="I91" s="1">
        <f>IF(C91="RB",LeagueInfo!$D$4*LeagueInfo!$F$2,LeagueInfo!$D$5*LeagueInfo!$F$2)</f>
        <v>24</v>
      </c>
    </row>
    <row r="92" spans="1:9" x14ac:dyDescent="0.25">
      <c r="A92" s="1">
        <f ca="1">RANK(E92,E$2:E$402)</f>
        <v>92</v>
      </c>
      <c r="B92" t="s">
        <v>295</v>
      </c>
      <c r="C92" t="s">
        <v>32</v>
      </c>
      <c r="D92" s="1">
        <f ca="1">INDEX(INDIRECT($C92&amp;"!O:O"),MATCH($B92,INDIRECT($C92&amp;"!B:B"),0))</f>
        <v>96.289999999999992</v>
      </c>
      <c r="E92" s="7">
        <f ca="1">D92-LARGE(D$2:D$402,RBCount+WRCount)</f>
        <v>16.489999999999981</v>
      </c>
      <c r="F92" s="1" t="str">
        <f ca="1">IF(H92&lt;=I92,"Starter",IF(G92&gt;=LARGE(G:G,FlexOn*LeagueInfo!$F$2),"Starter","Bench"))</f>
        <v>Bench</v>
      </c>
      <c r="G92" s="1">
        <f ca="1">IF(H92&gt;I92,D92,0)</f>
        <v>96.289999999999992</v>
      </c>
      <c r="H92" s="1">
        <f ca="1">INDEX(INDIRECT(""&amp;C92&amp;"!A2:A489"),MATCH(B92,INDIRECT(""&amp;C92&amp;"!B2:B489"),0))</f>
        <v>41</v>
      </c>
      <c r="I92" s="1">
        <f>IF(C92="RB",LeagueInfo!$D$4*LeagueInfo!$F$2,LeagueInfo!$D$5*LeagueInfo!$F$2)</f>
        <v>24</v>
      </c>
    </row>
    <row r="93" spans="1:9" x14ac:dyDescent="0.25">
      <c r="A93" s="1">
        <f ca="1">RANK(E93,E$2:E$402)</f>
        <v>78</v>
      </c>
      <c r="B93" t="s">
        <v>160</v>
      </c>
      <c r="C93" t="s">
        <v>32</v>
      </c>
      <c r="D93" s="1">
        <f ca="1">INDEX(INDIRECT($C93&amp;"!O:O"),MATCH($B93,INDIRECT($C93&amp;"!B:B"),0))</f>
        <v>108.36000000000001</v>
      </c>
      <c r="E93" s="7">
        <f ca="1">D93-LARGE(D$2:D$402,RBCount+WRCount)</f>
        <v>28.560000000000002</v>
      </c>
      <c r="F93" s="1" t="str">
        <f ca="1">IF(H93&lt;=I93,"Starter",IF(G93&gt;=LARGE(G:G,FlexOn*LeagueInfo!$F$2),"Starter","Bench"))</f>
        <v>Bench</v>
      </c>
      <c r="G93" s="1">
        <f ca="1">IF(H93&gt;I93,D93,0)</f>
        <v>108.36000000000001</v>
      </c>
      <c r="H93" s="1">
        <f ca="1">INDEX(INDIRECT(""&amp;C93&amp;"!A2:A489"),MATCH(B93,INDIRECT(""&amp;C93&amp;"!B2:B489"),0))</f>
        <v>36</v>
      </c>
      <c r="I93" s="1">
        <f>IF(C93="RB",LeagueInfo!$D$4*LeagueInfo!$F$2,LeagueInfo!$D$5*LeagueInfo!$F$2)</f>
        <v>24</v>
      </c>
    </row>
    <row r="94" spans="1:9" x14ac:dyDescent="0.25">
      <c r="A94" s="1">
        <f ca="1">RANK(E94,E$2:E$402)</f>
        <v>71</v>
      </c>
      <c r="B94" t="s">
        <v>185</v>
      </c>
      <c r="C94" t="s">
        <v>32</v>
      </c>
      <c r="D94" s="1">
        <f ca="1">INDEX(INDIRECT($C94&amp;"!O:O"),MATCH($B94,INDIRECT($C94&amp;"!B:B"),0))</f>
        <v>112.01</v>
      </c>
      <c r="E94" s="7">
        <f ca="1">D94-LARGE(D$2:D$402,RBCount+WRCount)</f>
        <v>32.209999999999994</v>
      </c>
      <c r="F94" s="1" t="str">
        <f ca="1">IF(H94&lt;=I94,"Starter",IF(G94&gt;=LARGE(G:G,FlexOn*LeagueInfo!$F$2),"Starter","Bench"))</f>
        <v>Bench</v>
      </c>
      <c r="G94" s="1">
        <f ca="1">IF(H94&gt;I94,D94,0)</f>
        <v>112.01</v>
      </c>
      <c r="H94" s="1">
        <f ca="1">INDEX(INDIRECT(""&amp;C94&amp;"!A2:A489"),MATCH(B94,INDIRECT(""&amp;C94&amp;"!B2:B489"),0))</f>
        <v>33</v>
      </c>
      <c r="I94" s="1">
        <f>IF(C94="RB",LeagueInfo!$D$4*LeagueInfo!$F$2,LeagueInfo!$D$5*LeagueInfo!$F$2)</f>
        <v>24</v>
      </c>
    </row>
    <row r="95" spans="1:9" x14ac:dyDescent="0.25">
      <c r="A95" s="1">
        <f ca="1">RANK(E95,E$2:E$402)</f>
        <v>97</v>
      </c>
      <c r="B95" t="s">
        <v>254</v>
      </c>
      <c r="C95" t="s">
        <v>32</v>
      </c>
      <c r="D95" s="1">
        <f ca="1">INDEX(INDIRECT($C95&amp;"!O:O"),MATCH($B95,INDIRECT($C95&amp;"!B:B"),0))</f>
        <v>93.529999999999987</v>
      </c>
      <c r="E95" s="7">
        <f ca="1">D95-LARGE(D$2:D$402,RBCount+WRCount)</f>
        <v>13.729999999999976</v>
      </c>
      <c r="F95" s="1" t="str">
        <f ca="1">IF(H95&lt;=I95,"Starter",IF(G95&gt;=LARGE(G:G,FlexOn*LeagueInfo!$F$2),"Starter","Bench"))</f>
        <v>Bench</v>
      </c>
      <c r="G95" s="1">
        <f ca="1">IF(H95&gt;I95,D95,0)</f>
        <v>93.529999999999987</v>
      </c>
      <c r="H95" s="1">
        <f ca="1">INDEX(INDIRECT(""&amp;C95&amp;"!A2:A489"),MATCH(B95,INDIRECT(""&amp;C95&amp;"!B2:B489"),0))</f>
        <v>43</v>
      </c>
      <c r="I95" s="1">
        <f>IF(C95="RB",LeagueInfo!$D$4*LeagueInfo!$F$2,LeagueInfo!$D$5*LeagueInfo!$F$2)</f>
        <v>24</v>
      </c>
    </row>
    <row r="96" spans="1:9" x14ac:dyDescent="0.25">
      <c r="A96" s="1">
        <f ca="1">RANK(E96,E$2:E$402)</f>
        <v>101</v>
      </c>
      <c r="B96" t="s">
        <v>275</v>
      </c>
      <c r="C96" t="s">
        <v>39</v>
      </c>
      <c r="D96" s="1">
        <f ca="1">INDEX(INDIRECT($C96&amp;"!O:O"),MATCH($B96,INDIRECT($C96&amp;"!B:B"),0))</f>
        <v>88.740000000000009</v>
      </c>
      <c r="E96" s="7">
        <f ca="1">D96-LARGE(D$2:D$402,RBCount+WRCount)</f>
        <v>8.9399999999999977</v>
      </c>
      <c r="F96" s="1" t="str">
        <f ca="1">IF(H96&lt;=I96,"Starter",IF(G96&gt;=LARGE(G:G,FlexOn*LeagueInfo!$F$2),"Starter","Bench"))</f>
        <v>Bench</v>
      </c>
      <c r="G96" s="1">
        <f ca="1">IF(H96&gt;I96,D96,0)</f>
        <v>88.740000000000009</v>
      </c>
      <c r="H96" s="1">
        <f ca="1">INDEX(INDIRECT(""&amp;C96&amp;"!A2:A489"),MATCH(B96,INDIRECT(""&amp;C96&amp;"!B2:B489"),0))</f>
        <v>58</v>
      </c>
      <c r="I96" s="1">
        <f>IF(C96="RB",LeagueInfo!$D$4*LeagueInfo!$F$2,LeagueInfo!$D$5*LeagueInfo!$F$2)</f>
        <v>24</v>
      </c>
    </row>
    <row r="97" spans="1:9" x14ac:dyDescent="0.25">
      <c r="A97" s="1">
        <f ca="1">RANK(E97,E$2:E$402)</f>
        <v>102</v>
      </c>
      <c r="B97" t="s">
        <v>310</v>
      </c>
      <c r="C97" t="s">
        <v>39</v>
      </c>
      <c r="D97" s="1">
        <f ca="1">INDEX(INDIRECT($C97&amp;"!O:O"),MATCH($B97,INDIRECT($C97&amp;"!B:B"),0))</f>
        <v>88.649999999999991</v>
      </c>
      <c r="E97" s="7">
        <f ca="1">D97-LARGE(D$2:D$402,RBCount+WRCount)</f>
        <v>8.8499999999999801</v>
      </c>
      <c r="F97" s="1" t="str">
        <f ca="1">IF(H97&lt;=I97,"Starter",IF(G97&gt;=LARGE(G:G,FlexOn*LeagueInfo!$F$2),"Starter","Bench"))</f>
        <v>Bench</v>
      </c>
      <c r="G97" s="1">
        <f ca="1">IF(H97&gt;I97,D97,0)</f>
        <v>88.649999999999991</v>
      </c>
      <c r="H97" s="1">
        <f ca="1">INDEX(INDIRECT(""&amp;C97&amp;"!A2:A489"),MATCH(B97,INDIRECT(""&amp;C97&amp;"!B2:B489"),0))</f>
        <v>59</v>
      </c>
      <c r="I97" s="1">
        <f>IF(C97="RB",LeagueInfo!$D$4*LeagueInfo!$F$2,LeagueInfo!$D$5*LeagueInfo!$F$2)</f>
        <v>24</v>
      </c>
    </row>
    <row r="98" spans="1:9" x14ac:dyDescent="0.25">
      <c r="A98" s="1">
        <f ca="1">RANK(E98,E$2:E$402)</f>
        <v>99</v>
      </c>
      <c r="B98" t="s">
        <v>278</v>
      </c>
      <c r="C98" t="s">
        <v>39</v>
      </c>
      <c r="D98" s="1">
        <f ca="1">INDEX(INDIRECT($C98&amp;"!O:O"),MATCH($B98,INDIRECT($C98&amp;"!B:B"),0))</f>
        <v>89.62</v>
      </c>
      <c r="E98" s="7">
        <f ca="1">D98-LARGE(D$2:D$402,RBCount+WRCount)</f>
        <v>9.8199999999999932</v>
      </c>
      <c r="F98" s="1" t="str">
        <f ca="1">IF(H98&lt;=I98,"Starter",IF(G98&gt;=LARGE(G:G,FlexOn*LeagueInfo!$F$2),"Starter","Bench"))</f>
        <v>Bench</v>
      </c>
      <c r="G98" s="1">
        <f ca="1">IF(H98&gt;I98,D98,0)</f>
        <v>89.62</v>
      </c>
      <c r="H98" s="1">
        <f ca="1">INDEX(INDIRECT(""&amp;C98&amp;"!A2:A489"),MATCH(B98,INDIRECT(""&amp;C98&amp;"!B2:B489"),0))</f>
        <v>56</v>
      </c>
      <c r="I98" s="1">
        <f>IF(C98="RB",LeagueInfo!$D$4*LeagueInfo!$F$2,LeagueInfo!$D$5*LeagueInfo!$F$2)</f>
        <v>24</v>
      </c>
    </row>
    <row r="99" spans="1:9" x14ac:dyDescent="0.25">
      <c r="A99" s="1">
        <f ca="1">RANK(E99,E$2:E$402)</f>
        <v>98</v>
      </c>
      <c r="B99" t="s">
        <v>270</v>
      </c>
      <c r="C99" t="s">
        <v>39</v>
      </c>
      <c r="D99" s="1">
        <f ca="1">INDEX(INDIRECT($C99&amp;"!O:O"),MATCH($B99,INDIRECT($C99&amp;"!B:B"),0))</f>
        <v>90.199999999999989</v>
      </c>
      <c r="E99" s="7">
        <f ca="1">D99-LARGE(D$2:D$402,RBCount+WRCount)</f>
        <v>10.399999999999977</v>
      </c>
      <c r="F99" s="1" t="str">
        <f ca="1">IF(H99&lt;=I99,"Starter",IF(G99&gt;=LARGE(G:G,FlexOn*LeagueInfo!$F$2),"Starter","Bench"))</f>
        <v>Bench</v>
      </c>
      <c r="G99" s="1">
        <f ca="1">IF(H99&gt;I99,D99,0)</f>
        <v>90.199999999999989</v>
      </c>
      <c r="H99" s="1">
        <f ca="1">INDEX(INDIRECT(""&amp;C99&amp;"!A2:A489"),MATCH(B99,INDIRECT(""&amp;C99&amp;"!B2:B489"),0))</f>
        <v>55</v>
      </c>
      <c r="I99" s="1">
        <f>IF(C99="RB",LeagueInfo!$D$4*LeagueInfo!$F$2,LeagueInfo!$D$5*LeagueInfo!$F$2)</f>
        <v>24</v>
      </c>
    </row>
    <row r="100" spans="1:9" x14ac:dyDescent="0.25">
      <c r="A100" s="1">
        <f ca="1">RANK(E100,E$2:E$402)</f>
        <v>85</v>
      </c>
      <c r="B100" t="s">
        <v>170</v>
      </c>
      <c r="C100" t="s">
        <v>32</v>
      </c>
      <c r="D100" s="1">
        <f ca="1">INDEX(INDIRECT($C100&amp;"!O:O"),MATCH($B100,INDIRECT($C100&amp;"!B:B"),0))</f>
        <v>105.22</v>
      </c>
      <c r="E100" s="7">
        <f ca="1">D100-LARGE(D$2:D$402,RBCount+WRCount)</f>
        <v>25.419999999999987</v>
      </c>
      <c r="F100" s="1" t="str">
        <f ca="1">IF(H100&lt;=I100,"Starter",IF(G100&gt;=LARGE(G:G,FlexOn*LeagueInfo!$F$2),"Starter","Bench"))</f>
        <v>Bench</v>
      </c>
      <c r="G100" s="1">
        <f ca="1">IF(H100&gt;I100,D100,0)</f>
        <v>105.22</v>
      </c>
      <c r="H100" s="1">
        <f ca="1">INDEX(INDIRECT(""&amp;C100&amp;"!A2:A489"),MATCH(B100,INDIRECT(""&amp;C100&amp;"!B2:B489"),0))</f>
        <v>40</v>
      </c>
      <c r="I100" s="1">
        <f>IF(C100="RB",LeagueInfo!$D$4*LeagueInfo!$F$2,LeagueInfo!$D$5*LeagueInfo!$F$2)</f>
        <v>24</v>
      </c>
    </row>
    <row r="101" spans="1:9" x14ac:dyDescent="0.25">
      <c r="A101" s="1">
        <f ca="1">RANK(E101,E$2:E$402)</f>
        <v>79</v>
      </c>
      <c r="B101" t="s">
        <v>163</v>
      </c>
      <c r="C101" t="s">
        <v>32</v>
      </c>
      <c r="D101" s="1">
        <f ca="1">INDEX(INDIRECT($C101&amp;"!O:O"),MATCH($B101,INDIRECT($C101&amp;"!B:B"),0))</f>
        <v>108.28</v>
      </c>
      <c r="E101" s="7">
        <f ca="1">D101-LARGE(D$2:D$402,RBCount+WRCount)</f>
        <v>28.47999999999999</v>
      </c>
      <c r="F101" s="1" t="str">
        <f ca="1">IF(H101&lt;=I101,"Starter",IF(G101&gt;=LARGE(G:G,FlexOn*LeagueInfo!$F$2),"Starter","Bench"))</f>
        <v>Bench</v>
      </c>
      <c r="G101" s="1">
        <f ca="1">IF(H101&gt;I101,D101,0)</f>
        <v>108.28</v>
      </c>
      <c r="H101" s="1">
        <f ca="1">INDEX(INDIRECT(""&amp;C101&amp;"!A2:A489"),MATCH(B101,INDIRECT(""&amp;C101&amp;"!B2:B489"),0))</f>
        <v>37</v>
      </c>
      <c r="I101" s="1">
        <f>IF(C101="RB",LeagueInfo!$D$4*LeagueInfo!$F$2,LeagueInfo!$D$5*LeagueInfo!$F$2)</f>
        <v>24</v>
      </c>
    </row>
    <row r="102" spans="1:9" x14ac:dyDescent="0.25">
      <c r="A102" s="1">
        <f ca="1">RANK(E102,E$2:E$402)</f>
        <v>107</v>
      </c>
      <c r="B102" t="s">
        <v>279</v>
      </c>
      <c r="C102" t="s">
        <v>39</v>
      </c>
      <c r="D102" s="1">
        <f ca="1">INDEX(INDIRECT($C102&amp;"!O:O"),MATCH($B102,INDIRECT($C102&amp;"!B:B"),0))</f>
        <v>85.080000000000013</v>
      </c>
      <c r="E102" s="7">
        <f ca="1">D102-LARGE(D$2:D$402,RBCount+WRCount)</f>
        <v>5.2800000000000011</v>
      </c>
      <c r="F102" s="1" t="str">
        <f ca="1">IF(H102&lt;=I102,"Starter",IF(G102&gt;=LARGE(G:G,FlexOn*LeagueInfo!$F$2),"Starter","Bench"))</f>
        <v>Bench</v>
      </c>
      <c r="G102" s="1">
        <f ca="1">IF(H102&gt;I102,D102,0)</f>
        <v>85.080000000000013</v>
      </c>
      <c r="H102" s="1">
        <f ca="1">INDEX(INDIRECT(""&amp;C102&amp;"!A2:A489"),MATCH(B102,INDIRECT(""&amp;C102&amp;"!B2:B489"),0))</f>
        <v>62</v>
      </c>
      <c r="I102" s="1">
        <f>IF(C102="RB",LeagueInfo!$D$4*LeagueInfo!$F$2,LeagueInfo!$D$5*LeagueInfo!$F$2)</f>
        <v>24</v>
      </c>
    </row>
    <row r="103" spans="1:9" x14ac:dyDescent="0.25">
      <c r="A103" s="1">
        <f ca="1">RANK(E103,E$2:E$402)</f>
        <v>100</v>
      </c>
      <c r="B103" t="s">
        <v>554</v>
      </c>
      <c r="C103" t="s">
        <v>39</v>
      </c>
      <c r="D103" s="1">
        <f ca="1">INDEX(INDIRECT($C103&amp;"!O:O"),MATCH($B103,INDIRECT($C103&amp;"!B:B"),0))</f>
        <v>89.35</v>
      </c>
      <c r="E103" s="7">
        <f ca="1">D103-LARGE(D$2:D$402,RBCount+WRCount)</f>
        <v>9.5499999999999829</v>
      </c>
      <c r="F103" s="1" t="str">
        <f ca="1">IF(H103&lt;=I103,"Starter",IF(G103&gt;=LARGE(G:G,FlexOn*LeagueInfo!$F$2),"Starter","Bench"))</f>
        <v>Bench</v>
      </c>
      <c r="G103" s="1">
        <f ca="1">IF(H103&gt;I103,D103,0)</f>
        <v>89.35</v>
      </c>
      <c r="H103" s="1">
        <f ca="1">INDEX(INDIRECT(""&amp;C103&amp;"!A2:A489"),MATCH(B103,INDIRECT(""&amp;C103&amp;"!B2:B489"),0))</f>
        <v>57</v>
      </c>
      <c r="I103" s="1">
        <f>IF(C103="RB",LeagueInfo!$D$4*LeagueInfo!$F$2,LeagueInfo!$D$5*LeagueInfo!$F$2)</f>
        <v>24</v>
      </c>
    </row>
    <row r="104" spans="1:9" x14ac:dyDescent="0.25">
      <c r="A104" s="1">
        <f ca="1">RANK(E104,E$2:E$402)</f>
        <v>105</v>
      </c>
      <c r="B104" t="s">
        <v>566</v>
      </c>
      <c r="C104" t="s">
        <v>39</v>
      </c>
      <c r="D104" s="1">
        <f ca="1">INDEX(INDIRECT($C104&amp;"!O:O"),MATCH($B104,INDIRECT($C104&amp;"!B:B"),0))</f>
        <v>85.829999999999984</v>
      </c>
      <c r="E104" s="7">
        <f ca="1">D104-LARGE(D$2:D$402,RBCount+WRCount)</f>
        <v>6.0299999999999727</v>
      </c>
      <c r="F104" s="1" t="str">
        <f ca="1">IF(H104&lt;=I104,"Starter",IF(G104&gt;=LARGE(G:G,FlexOn*LeagueInfo!$F$2),"Starter","Bench"))</f>
        <v>Bench</v>
      </c>
      <c r="G104" s="1">
        <f ca="1">IF(H104&gt;I104,D104,0)</f>
        <v>85.829999999999984</v>
      </c>
      <c r="H104" s="1">
        <f ca="1">INDEX(INDIRECT(""&amp;C104&amp;"!A2:A489"),MATCH(B104,INDIRECT(""&amp;C104&amp;"!B2:B489"),0))</f>
        <v>61</v>
      </c>
      <c r="I104" s="1">
        <f>IF(C104="RB",LeagueInfo!$D$4*LeagueInfo!$F$2,LeagueInfo!$D$5*LeagueInfo!$F$2)</f>
        <v>24</v>
      </c>
    </row>
    <row r="105" spans="1:9" x14ac:dyDescent="0.25">
      <c r="A105" s="1">
        <f ca="1">RANK(E105,E$2:E$402)</f>
        <v>108</v>
      </c>
      <c r="B105" t="s">
        <v>252</v>
      </c>
      <c r="C105" t="s">
        <v>39</v>
      </c>
      <c r="D105" s="1">
        <f ca="1">INDEX(INDIRECT($C105&amp;"!O:O"),MATCH($B105,INDIRECT($C105&amp;"!B:B"),0))</f>
        <v>84.820000000000007</v>
      </c>
      <c r="E105" s="7">
        <f ca="1">D105-LARGE(D$2:D$402,RBCount+WRCount)</f>
        <v>5.019999999999996</v>
      </c>
      <c r="F105" s="1" t="str">
        <f ca="1">IF(H105&lt;=I105,"Starter",IF(G105&gt;=LARGE(G:G,FlexOn*LeagueInfo!$F$2),"Starter","Bench"))</f>
        <v>Bench</v>
      </c>
      <c r="G105" s="1">
        <f ca="1">IF(H105&gt;I105,D105,0)</f>
        <v>84.820000000000007</v>
      </c>
      <c r="H105" s="1">
        <f ca="1">INDEX(INDIRECT(""&amp;C105&amp;"!A2:A489"),MATCH(B105,INDIRECT(""&amp;C105&amp;"!B2:B489"),0))</f>
        <v>63</v>
      </c>
      <c r="I105" s="1">
        <f>IF(C105="RB",LeagueInfo!$D$4*LeagueInfo!$F$2,LeagueInfo!$D$5*LeagueInfo!$F$2)</f>
        <v>24</v>
      </c>
    </row>
    <row r="106" spans="1:9" x14ac:dyDescent="0.25">
      <c r="A106" s="1">
        <f ca="1">RANK(E106,E$2:E$402)</f>
        <v>110</v>
      </c>
      <c r="B106" t="s">
        <v>435</v>
      </c>
      <c r="C106" t="s">
        <v>32</v>
      </c>
      <c r="D106" s="1">
        <f ca="1">INDEX(INDIRECT($C106&amp;"!O:O"),MATCH($B106,INDIRECT($C106&amp;"!B:B"),0))</f>
        <v>82.78</v>
      </c>
      <c r="E106" s="7">
        <f ca="1">D106-LARGE(D$2:D$402,RBCount+WRCount)</f>
        <v>2.9799999999999898</v>
      </c>
      <c r="F106" s="1" t="str">
        <f ca="1">IF(H106&lt;=I106,"Starter",IF(G106&gt;=LARGE(G:G,FlexOn*LeagueInfo!$F$2),"Starter","Bench"))</f>
        <v>Bench</v>
      </c>
      <c r="G106" s="1">
        <f ca="1">IF(H106&gt;I106,D106,0)</f>
        <v>82.78</v>
      </c>
      <c r="H106" s="1">
        <f ca="1">INDEX(INDIRECT(""&amp;C106&amp;"!A2:A489"),MATCH(B106,INDIRECT(""&amp;C106&amp;"!B2:B489"),0))</f>
        <v>46</v>
      </c>
      <c r="I106" s="1">
        <f>IF(C106="RB",LeagueInfo!$D$4*LeagueInfo!$F$2,LeagueInfo!$D$5*LeagueInfo!$F$2)</f>
        <v>24</v>
      </c>
    </row>
    <row r="107" spans="1:9" x14ac:dyDescent="0.25">
      <c r="A107" s="1">
        <f ca="1">RANK(E107,E$2:E$402)</f>
        <v>104</v>
      </c>
      <c r="B107" t="s">
        <v>259</v>
      </c>
      <c r="C107" t="s">
        <v>39</v>
      </c>
      <c r="D107" s="1">
        <f ca="1">INDEX(INDIRECT($C107&amp;"!O:O"),MATCH($B107,INDIRECT($C107&amp;"!B:B"),0))</f>
        <v>86.289999999999992</v>
      </c>
      <c r="E107" s="7">
        <f ca="1">D107-LARGE(D$2:D$402,RBCount+WRCount)</f>
        <v>6.4899999999999807</v>
      </c>
      <c r="F107" s="1" t="str">
        <f ca="1">IF(H107&lt;=I107,"Starter",IF(G107&gt;=LARGE(G:G,FlexOn*LeagueInfo!$F$2),"Starter","Bench"))</f>
        <v>Bench</v>
      </c>
      <c r="G107" s="1">
        <f ca="1">IF(H107&gt;I107,D107,0)</f>
        <v>86.289999999999992</v>
      </c>
      <c r="H107" s="1">
        <f ca="1">INDEX(INDIRECT(""&amp;C107&amp;"!A2:A489"),MATCH(B107,INDIRECT(""&amp;C107&amp;"!B2:B489"),0))</f>
        <v>60</v>
      </c>
      <c r="I107" s="1">
        <f>IF(C107="RB",LeagueInfo!$D$4*LeagueInfo!$F$2,LeagueInfo!$D$5*LeagueInfo!$F$2)</f>
        <v>24</v>
      </c>
    </row>
    <row r="108" spans="1:9" x14ac:dyDescent="0.25">
      <c r="A108" s="1">
        <f ca="1">RANK(E108,E$2:E$402)</f>
        <v>103</v>
      </c>
      <c r="B108" t="s">
        <v>434</v>
      </c>
      <c r="C108" t="s">
        <v>32</v>
      </c>
      <c r="D108" s="1">
        <f ca="1">INDEX(INDIRECT($C108&amp;"!O:O"),MATCH($B108,INDIRECT($C108&amp;"!B:B"),0))</f>
        <v>87.960000000000008</v>
      </c>
      <c r="E108" s="7">
        <f ca="1">D108-LARGE(D$2:D$402,RBCount+WRCount)</f>
        <v>8.1599999999999966</v>
      </c>
      <c r="F108" s="1" t="str">
        <f ca="1">IF(H108&lt;=I108,"Starter",IF(G108&gt;=LARGE(G:G,FlexOn*LeagueInfo!$F$2),"Starter","Bench"))</f>
        <v>Bench</v>
      </c>
      <c r="G108" s="1">
        <f ca="1">IF(H108&gt;I108,D108,0)</f>
        <v>87.960000000000008</v>
      </c>
      <c r="H108" s="1">
        <f ca="1">INDEX(INDIRECT(""&amp;C108&amp;"!A2:A489"),MATCH(B108,INDIRECT(""&amp;C108&amp;"!B2:B489"),0))</f>
        <v>44</v>
      </c>
      <c r="I108" s="1">
        <f>IF(C108="RB",LeagueInfo!$D$4*LeagueInfo!$F$2,LeagueInfo!$D$5*LeagueInfo!$F$2)</f>
        <v>24</v>
      </c>
    </row>
    <row r="109" spans="1:9" x14ac:dyDescent="0.25">
      <c r="A109" s="1">
        <f ca="1">RANK(E109,E$2:E$402)</f>
        <v>113</v>
      </c>
      <c r="B109" t="s">
        <v>560</v>
      </c>
      <c r="C109" t="s">
        <v>39</v>
      </c>
      <c r="D109" s="1">
        <f ca="1">INDEX(INDIRECT($C109&amp;"!O:O"),MATCH($B109,INDIRECT($C109&amp;"!B:B"),0))</f>
        <v>79.66</v>
      </c>
      <c r="E109" s="7">
        <f ca="1">D109-LARGE(D$2:D$402,RBCount+WRCount)</f>
        <v>-0.14000000000001478</v>
      </c>
      <c r="F109" s="1" t="str">
        <f ca="1">IF(H109&lt;=I109,"Starter",IF(G109&gt;=LARGE(G:G,FlexOn*LeagueInfo!$F$2),"Starter","Bench"))</f>
        <v>Bench</v>
      </c>
      <c r="G109" s="1">
        <f ca="1">IF(H109&gt;I109,D109,0)</f>
        <v>79.66</v>
      </c>
      <c r="H109" s="1">
        <f ca="1">INDEX(INDIRECT(""&amp;C109&amp;"!A2:A489"),MATCH(B109,INDIRECT(""&amp;C109&amp;"!B2:B489"),0))</f>
        <v>65</v>
      </c>
      <c r="I109" s="1">
        <f>IF(C109="RB",LeagueInfo!$D$4*LeagueInfo!$F$2,LeagueInfo!$D$5*LeagueInfo!$F$2)</f>
        <v>24</v>
      </c>
    </row>
    <row r="110" spans="1:9" x14ac:dyDescent="0.25">
      <c r="A110" s="1">
        <f ca="1">RANK(E110,E$2:E$402)</f>
        <v>96</v>
      </c>
      <c r="B110" t="s">
        <v>203</v>
      </c>
      <c r="C110" t="s">
        <v>32</v>
      </c>
      <c r="D110" s="1">
        <f ca="1">INDEX(INDIRECT($C110&amp;"!O:O"),MATCH($B110,INDIRECT($C110&amp;"!B:B"),0))</f>
        <v>93.789999999999992</v>
      </c>
      <c r="E110" s="7">
        <f ca="1">D110-LARGE(D$2:D$402,RBCount+WRCount)</f>
        <v>13.989999999999981</v>
      </c>
      <c r="F110" s="1" t="str">
        <f ca="1">IF(H110&lt;=I110,"Starter",IF(G110&gt;=LARGE(G:G,FlexOn*LeagueInfo!$F$2),"Starter","Bench"))</f>
        <v>Bench</v>
      </c>
      <c r="G110" s="1">
        <f ca="1">IF(H110&gt;I110,D110,0)</f>
        <v>93.789999999999992</v>
      </c>
      <c r="H110" s="1">
        <f ca="1">INDEX(INDIRECT(""&amp;C110&amp;"!A2:A489"),MATCH(B110,INDIRECT(""&amp;C110&amp;"!B2:B489"),0))</f>
        <v>42</v>
      </c>
      <c r="I110" s="1">
        <f>IF(C110="RB",LeagueInfo!$D$4*LeagueInfo!$F$2,LeagueInfo!$D$5*LeagueInfo!$F$2)</f>
        <v>24</v>
      </c>
    </row>
    <row r="111" spans="1:9" x14ac:dyDescent="0.25">
      <c r="A111" s="1">
        <f ca="1">RANK(E111,E$2:E$402)</f>
        <v>109</v>
      </c>
      <c r="B111" t="s">
        <v>557</v>
      </c>
      <c r="C111" t="s">
        <v>39</v>
      </c>
      <c r="D111" s="1">
        <f ca="1">INDEX(INDIRECT($C111&amp;"!O:O"),MATCH($B111,INDIRECT($C111&amp;"!B:B"),0))</f>
        <v>83.61</v>
      </c>
      <c r="E111" s="7">
        <f ca="1">D111-LARGE(D$2:D$402,RBCount+WRCount)</f>
        <v>3.8099999999999881</v>
      </c>
      <c r="F111" s="1" t="str">
        <f ca="1">IF(H111&lt;=I111,"Starter",IF(G111&gt;=LARGE(G:G,FlexOn*LeagueInfo!$F$2),"Starter","Bench"))</f>
        <v>Bench</v>
      </c>
      <c r="G111" s="1">
        <f ca="1">IF(H111&gt;I111,D111,0)</f>
        <v>83.61</v>
      </c>
      <c r="H111" s="1">
        <f ca="1">INDEX(INDIRECT(""&amp;C111&amp;"!A2:A489"),MATCH(B111,INDIRECT(""&amp;C111&amp;"!B2:B489"),0))</f>
        <v>64</v>
      </c>
      <c r="I111" s="1">
        <f>IF(C111="RB",LeagueInfo!$D$4*LeagueInfo!$F$2,LeagueInfo!$D$5*LeagueInfo!$F$2)</f>
        <v>24</v>
      </c>
    </row>
    <row r="112" spans="1:9" x14ac:dyDescent="0.25">
      <c r="A112" s="1">
        <f ca="1">RANK(E112,E$2:E$402)</f>
        <v>106</v>
      </c>
      <c r="B112" t="s">
        <v>206</v>
      </c>
      <c r="C112" t="s">
        <v>32</v>
      </c>
      <c r="D112" s="1">
        <f ca="1">INDEX(INDIRECT($C112&amp;"!O:O"),MATCH($B112,INDIRECT($C112&amp;"!B:B"),0))</f>
        <v>85.170000000000016</v>
      </c>
      <c r="E112" s="7">
        <f ca="1">D112-LARGE(D$2:D$402,RBCount+WRCount)</f>
        <v>5.3700000000000045</v>
      </c>
      <c r="F112" s="1" t="str">
        <f ca="1">IF(H112&lt;=I112,"Starter",IF(G112&gt;=LARGE(G:G,FlexOn*LeagueInfo!$F$2),"Starter","Bench"))</f>
        <v>Bench</v>
      </c>
      <c r="G112" s="1">
        <f ca="1">IF(H112&gt;I112,D112,0)</f>
        <v>85.170000000000016</v>
      </c>
      <c r="H112" s="1">
        <f ca="1">INDEX(INDIRECT(""&amp;C112&amp;"!A2:A489"),MATCH(B112,INDIRECT(""&amp;C112&amp;"!B2:B489"),0))</f>
        <v>45</v>
      </c>
      <c r="I112" s="1">
        <f>IF(C112="RB",LeagueInfo!$D$4*LeagueInfo!$F$2,LeagueInfo!$D$5*LeagueInfo!$F$2)</f>
        <v>24</v>
      </c>
    </row>
    <row r="113" spans="1:9" x14ac:dyDescent="0.25">
      <c r="A113" s="1">
        <f ca="1">RANK(E113,E$2:E$402)</f>
        <v>112</v>
      </c>
      <c r="B113" t="s">
        <v>216</v>
      </c>
      <c r="C113" t="s">
        <v>32</v>
      </c>
      <c r="D113" s="1">
        <f ca="1">INDEX(INDIRECT($C113&amp;"!O:O"),MATCH($B113,INDIRECT($C113&amp;"!B:B"),0))</f>
        <v>79.800000000000011</v>
      </c>
      <c r="E113" s="7">
        <f ca="1">D113-LARGE(D$2:D$402,RBCount+WRCount)</f>
        <v>0</v>
      </c>
      <c r="F113" s="1" t="str">
        <f ca="1">IF(H113&lt;=I113,"Starter",IF(G113&gt;=LARGE(G:G,FlexOn*LeagueInfo!$F$2),"Starter","Bench"))</f>
        <v>Bench</v>
      </c>
      <c r="G113" s="1">
        <f ca="1">IF(H113&gt;I113,D113,0)</f>
        <v>79.800000000000011</v>
      </c>
      <c r="H113" s="1">
        <f ca="1">INDEX(INDIRECT(""&amp;C113&amp;"!A2:A489"),MATCH(B113,INDIRECT(""&amp;C113&amp;"!B2:B489"),0))</f>
        <v>48</v>
      </c>
      <c r="I113" s="1">
        <f>IF(C113="RB",LeagueInfo!$D$4*LeagueInfo!$F$2,LeagueInfo!$D$5*LeagueInfo!$F$2)</f>
        <v>24</v>
      </c>
    </row>
    <row r="114" spans="1:9" x14ac:dyDescent="0.25">
      <c r="A114" s="1">
        <f ca="1">RANK(E114,E$2:E$402)</f>
        <v>117</v>
      </c>
      <c r="B114" t="s">
        <v>575</v>
      </c>
      <c r="C114" t="s">
        <v>39</v>
      </c>
      <c r="D114" s="1">
        <f ca="1">INDEX(INDIRECT($C114&amp;"!O:O"),MATCH($B114,INDIRECT($C114&amp;"!B:B"),0))</f>
        <v>74.949999999999989</v>
      </c>
      <c r="E114" s="7">
        <f ca="1">D114-LARGE(D$2:D$402,RBCount+WRCount)</f>
        <v>-4.8500000000000227</v>
      </c>
      <c r="F114" s="1" t="str">
        <f ca="1">IF(H114&lt;=I114,"Starter",IF(G114&gt;=LARGE(G:G,FlexOn*LeagueInfo!$F$2),"Starter","Bench"))</f>
        <v>Bench</v>
      </c>
      <c r="G114" s="1">
        <f ca="1">IF(H114&gt;I114,D114,0)</f>
        <v>74.949999999999989</v>
      </c>
      <c r="H114" s="1">
        <f ca="1">INDEX(INDIRECT(""&amp;C114&amp;"!A2:A489"),MATCH(B114,INDIRECT(""&amp;C114&amp;"!B2:B489"),0))</f>
        <v>67</v>
      </c>
      <c r="I114" s="1">
        <f>IF(C114="RB",LeagueInfo!$D$4*LeagueInfo!$F$2,LeagueInfo!$D$5*LeagueInfo!$F$2)</f>
        <v>24</v>
      </c>
    </row>
    <row r="115" spans="1:9" x14ac:dyDescent="0.25">
      <c r="A115" s="1">
        <f ca="1">RANK(E115,E$2:E$402)</f>
        <v>115</v>
      </c>
      <c r="B115" t="s">
        <v>436</v>
      </c>
      <c r="C115" t="s">
        <v>32</v>
      </c>
      <c r="D115" s="1">
        <f ca="1">INDEX(INDIRECT($C115&amp;"!O:O"),MATCH($B115,INDIRECT($C115&amp;"!B:B"),0))</f>
        <v>76.84</v>
      </c>
      <c r="E115" s="7">
        <f ca="1">D115-LARGE(D$2:D$402,RBCount+WRCount)</f>
        <v>-2.960000000000008</v>
      </c>
      <c r="F115" s="1" t="str">
        <f ca="1">IF(H115&lt;=I115,"Starter",IF(G115&gt;=LARGE(G:G,FlexOn*LeagueInfo!$F$2),"Starter","Bench"))</f>
        <v>Bench</v>
      </c>
      <c r="G115" s="1">
        <f ca="1">IF(H115&gt;I115,D115,0)</f>
        <v>76.84</v>
      </c>
      <c r="H115" s="1">
        <f ca="1">INDEX(INDIRECT(""&amp;C115&amp;"!A2:A489"),MATCH(B115,INDIRECT(""&amp;C115&amp;"!B2:B489"),0))</f>
        <v>49</v>
      </c>
      <c r="I115" s="1">
        <f>IF(C115="RB",LeagueInfo!$D$4*LeagueInfo!$F$2,LeagueInfo!$D$5*LeagueInfo!$F$2)</f>
        <v>24</v>
      </c>
    </row>
    <row r="116" spans="1:9" x14ac:dyDescent="0.25">
      <c r="A116" s="1">
        <f ca="1">RANK(E116,E$2:E$402)</f>
        <v>118</v>
      </c>
      <c r="B116" t="s">
        <v>565</v>
      </c>
      <c r="C116" t="s">
        <v>39</v>
      </c>
      <c r="D116" s="1">
        <f ca="1">INDEX(INDIRECT($C116&amp;"!O:O"),MATCH($B116,INDIRECT($C116&amp;"!B:B"),0))</f>
        <v>74.650000000000006</v>
      </c>
      <c r="E116" s="7">
        <f ca="1">D116-LARGE(D$2:D$402,RBCount+WRCount)</f>
        <v>-5.1500000000000057</v>
      </c>
      <c r="F116" s="1" t="str">
        <f ca="1">IF(H116&lt;=I116,"Starter",IF(G116&gt;=LARGE(G:G,FlexOn*LeagueInfo!$F$2),"Starter","Bench"))</f>
        <v>Bench</v>
      </c>
      <c r="G116" s="1">
        <f ca="1">IF(H116&gt;I116,D116,0)</f>
        <v>74.650000000000006</v>
      </c>
      <c r="H116" s="1">
        <f ca="1">INDEX(INDIRECT(""&amp;C116&amp;"!A2:A489"),MATCH(B116,INDIRECT(""&amp;C116&amp;"!B2:B489"),0))</f>
        <v>68</v>
      </c>
      <c r="I116" s="1">
        <f>IF(C116="RB",LeagueInfo!$D$4*LeagueInfo!$F$2,LeagueInfo!$D$5*LeagueInfo!$F$2)</f>
        <v>24</v>
      </c>
    </row>
    <row r="117" spans="1:9" x14ac:dyDescent="0.25">
      <c r="A117" s="1">
        <f ca="1">RANK(E117,E$2:E$402)</f>
        <v>114</v>
      </c>
      <c r="B117" t="s">
        <v>243</v>
      </c>
      <c r="C117" t="s">
        <v>39</v>
      </c>
      <c r="D117" s="1">
        <f ca="1">INDEX(INDIRECT($C117&amp;"!O:O"),MATCH($B117,INDIRECT($C117&amp;"!B:B"),0))</f>
        <v>78.410000000000011</v>
      </c>
      <c r="E117" s="7">
        <f ca="1">D117-LARGE(D$2:D$402,RBCount+WRCount)</f>
        <v>-1.3900000000000006</v>
      </c>
      <c r="F117" s="1" t="str">
        <f ca="1">IF(H117&lt;=I117,"Starter",IF(G117&gt;=LARGE(G:G,FlexOn*LeagueInfo!$F$2),"Starter","Bench"))</f>
        <v>Bench</v>
      </c>
      <c r="G117" s="1">
        <f ca="1">IF(H117&gt;I117,D117,0)</f>
        <v>78.410000000000011</v>
      </c>
      <c r="H117" s="1">
        <f ca="1">INDEX(INDIRECT(""&amp;C117&amp;"!A2:A489"),MATCH(B117,INDIRECT(""&amp;C117&amp;"!B2:B489"),0))</f>
        <v>66</v>
      </c>
      <c r="I117" s="1">
        <f>IF(C117="RB",LeagueInfo!$D$4*LeagueInfo!$F$2,LeagueInfo!$D$5*LeagueInfo!$F$2)</f>
        <v>24</v>
      </c>
    </row>
    <row r="118" spans="1:9" x14ac:dyDescent="0.25">
      <c r="A118" s="1">
        <f ca="1">RANK(E118,E$2:E$402)</f>
        <v>120</v>
      </c>
      <c r="B118" t="s">
        <v>558</v>
      </c>
      <c r="C118" t="s">
        <v>39</v>
      </c>
      <c r="D118" s="1">
        <f ca="1">INDEX(INDIRECT($C118&amp;"!O:O"),MATCH($B118,INDIRECT($C118&amp;"!B:B"),0))</f>
        <v>74.070000000000007</v>
      </c>
      <c r="E118" s="7">
        <f ca="1">D118-LARGE(D$2:D$402,RBCount+WRCount)</f>
        <v>-5.730000000000004</v>
      </c>
      <c r="F118" s="1" t="str">
        <f ca="1">IF(H118&lt;=I118,"Starter",IF(G118&gt;=LARGE(G:G,FlexOn*LeagueInfo!$F$2),"Starter","Bench"))</f>
        <v>Bench</v>
      </c>
      <c r="G118" s="1">
        <f ca="1">IF(H118&gt;I118,D118,0)</f>
        <v>74.070000000000007</v>
      </c>
      <c r="H118" s="1">
        <f ca="1">INDEX(INDIRECT(""&amp;C118&amp;"!A2:A489"),MATCH(B118,INDIRECT(""&amp;C118&amp;"!B2:B489"),0))</f>
        <v>69</v>
      </c>
      <c r="I118" s="1">
        <f>IF(C118="RB",LeagueInfo!$D$4*LeagueInfo!$F$2,LeagueInfo!$D$5*LeagueInfo!$F$2)</f>
        <v>24</v>
      </c>
    </row>
    <row r="119" spans="1:9" x14ac:dyDescent="0.25">
      <c r="A119" s="1">
        <f ca="1">RANK(E119,E$2:E$402)</f>
        <v>127</v>
      </c>
      <c r="B119" t="s">
        <v>559</v>
      </c>
      <c r="C119" t="s">
        <v>39</v>
      </c>
      <c r="D119" s="1">
        <f ca="1">INDEX(INDIRECT($C119&amp;"!O:O"),MATCH($B119,INDIRECT($C119&amp;"!B:B"),0))</f>
        <v>69.789999999999992</v>
      </c>
      <c r="E119" s="7">
        <f ca="1">D119-LARGE(D$2:D$402,RBCount+WRCount)</f>
        <v>-10.010000000000019</v>
      </c>
      <c r="F119" s="1" t="str">
        <f ca="1">IF(H119&lt;=I119,"Starter",IF(G119&gt;=LARGE(G:G,FlexOn*LeagueInfo!$F$2),"Starter","Bench"))</f>
        <v>Bench</v>
      </c>
      <c r="G119" s="1">
        <f ca="1">IF(H119&gt;I119,D119,0)</f>
        <v>69.789999999999992</v>
      </c>
      <c r="H119" s="1">
        <f ca="1">INDEX(INDIRECT(""&amp;C119&amp;"!A2:A489"),MATCH(B119,INDIRECT(""&amp;C119&amp;"!B2:B489"),0))</f>
        <v>72</v>
      </c>
      <c r="I119" s="1">
        <f>IF(C119="RB",LeagueInfo!$D$4*LeagueInfo!$F$2,LeagueInfo!$D$5*LeagueInfo!$F$2)</f>
        <v>24</v>
      </c>
    </row>
    <row r="120" spans="1:9" x14ac:dyDescent="0.25">
      <c r="A120" s="1">
        <f ca="1">RANK(E120,E$2:E$402)</f>
        <v>122</v>
      </c>
      <c r="B120" t="s">
        <v>276</v>
      </c>
      <c r="C120" t="s">
        <v>39</v>
      </c>
      <c r="D120" s="1">
        <f ca="1">INDEX(INDIRECT($C120&amp;"!O:O"),MATCH($B120,INDIRECT($C120&amp;"!B:B"),0))</f>
        <v>72.110000000000014</v>
      </c>
      <c r="E120" s="7">
        <f ca="1">D120-LARGE(D$2:D$402,RBCount+WRCount)</f>
        <v>-7.6899999999999977</v>
      </c>
      <c r="F120" s="1" t="str">
        <f ca="1">IF(H120&lt;=I120,"Starter",IF(G120&gt;=LARGE(G:G,FlexOn*LeagueInfo!$F$2),"Starter","Bench"))</f>
        <v>Bench</v>
      </c>
      <c r="G120" s="1">
        <f ca="1">IF(H120&gt;I120,D120,0)</f>
        <v>72.110000000000014</v>
      </c>
      <c r="H120" s="1">
        <f ca="1">INDEX(INDIRECT(""&amp;C120&amp;"!A2:A489"),MATCH(B120,INDIRECT(""&amp;C120&amp;"!B2:B489"),0))</f>
        <v>70</v>
      </c>
      <c r="I120" s="1">
        <f>IF(C120="RB",LeagueInfo!$D$4*LeagueInfo!$F$2,LeagueInfo!$D$5*LeagueInfo!$F$2)</f>
        <v>24</v>
      </c>
    </row>
    <row r="121" spans="1:9" x14ac:dyDescent="0.25">
      <c r="A121" s="1">
        <f ca="1">RANK(E121,E$2:E$402)</f>
        <v>124</v>
      </c>
      <c r="B121" t="s">
        <v>567</v>
      </c>
      <c r="C121" t="s">
        <v>39</v>
      </c>
      <c r="D121" s="1">
        <f ca="1">INDEX(INDIRECT($C121&amp;"!O:O"),MATCH($B121,INDIRECT($C121&amp;"!B:B"),0))</f>
        <v>70.78</v>
      </c>
      <c r="E121" s="7">
        <f ca="1">D121-LARGE(D$2:D$402,RBCount+WRCount)</f>
        <v>-9.0200000000000102</v>
      </c>
      <c r="F121" s="1" t="str">
        <f ca="1">IF(H121&lt;=I121,"Starter",IF(G121&gt;=LARGE(G:G,FlexOn*LeagueInfo!$F$2),"Starter","Bench"))</f>
        <v>Bench</v>
      </c>
      <c r="G121" s="1">
        <f ca="1">IF(H121&gt;I121,D121,0)</f>
        <v>70.78</v>
      </c>
      <c r="H121" s="1">
        <f ca="1">INDEX(INDIRECT(""&amp;C121&amp;"!A2:A489"),MATCH(B121,INDIRECT(""&amp;C121&amp;"!B2:B489"),0))</f>
        <v>71</v>
      </c>
      <c r="I121" s="1">
        <f>IF(C121="RB",LeagueInfo!$D$4*LeagueInfo!$F$2,LeagueInfo!$D$5*LeagueInfo!$F$2)</f>
        <v>24</v>
      </c>
    </row>
    <row r="122" spans="1:9" x14ac:dyDescent="0.25">
      <c r="A122" s="1">
        <f ca="1">RANK(E122,E$2:E$402)</f>
        <v>111</v>
      </c>
      <c r="B122" t="s">
        <v>242</v>
      </c>
      <c r="C122" t="s">
        <v>32</v>
      </c>
      <c r="D122" s="1">
        <f ca="1">INDEX(INDIRECT($C122&amp;"!O:O"),MATCH($B122,INDIRECT($C122&amp;"!B:B"),0))</f>
        <v>82.390000000000015</v>
      </c>
      <c r="E122" s="7">
        <f ca="1">D122-LARGE(D$2:D$402,RBCount+WRCount)</f>
        <v>2.5900000000000034</v>
      </c>
      <c r="F122" s="1" t="str">
        <f ca="1">IF(H122&lt;=I122,"Starter",IF(G122&gt;=LARGE(G:G,FlexOn*LeagueInfo!$F$2),"Starter","Bench"))</f>
        <v>Bench</v>
      </c>
      <c r="G122" s="1">
        <f ca="1">IF(H122&gt;I122,D122,0)</f>
        <v>82.390000000000015</v>
      </c>
      <c r="H122" s="1">
        <f ca="1">INDEX(INDIRECT(""&amp;C122&amp;"!A2:A489"),MATCH(B122,INDIRECT(""&amp;C122&amp;"!B2:B489"),0))</f>
        <v>47</v>
      </c>
      <c r="I122" s="1">
        <f>IF(C122="RB",LeagueInfo!$D$4*LeagueInfo!$F$2,LeagueInfo!$D$5*LeagueInfo!$F$2)</f>
        <v>24</v>
      </c>
    </row>
    <row r="123" spans="1:9" x14ac:dyDescent="0.25">
      <c r="A123" s="1">
        <f ca="1">RANK(E123,E$2:E$402)</f>
        <v>129</v>
      </c>
      <c r="B123" t="s">
        <v>552</v>
      </c>
      <c r="C123" t="s">
        <v>39</v>
      </c>
      <c r="D123" s="1">
        <f ca="1">INDEX(INDIRECT($C123&amp;"!O:O"),MATCH($B123,INDIRECT($C123&amp;"!B:B"),0))</f>
        <v>68.660000000000011</v>
      </c>
      <c r="E123" s="7">
        <f ca="1">D123-LARGE(D$2:D$402,RBCount+WRCount)</f>
        <v>-11.14</v>
      </c>
      <c r="F123" s="1" t="str">
        <f ca="1">IF(H123&lt;=I123,"Starter",IF(G123&gt;=LARGE(G:G,FlexOn*LeagueInfo!$F$2),"Starter","Bench"))</f>
        <v>Bench</v>
      </c>
      <c r="G123" s="1">
        <f ca="1">IF(H123&gt;I123,D123,0)</f>
        <v>68.660000000000011</v>
      </c>
      <c r="H123" s="1">
        <f ca="1">INDEX(INDIRECT(""&amp;C123&amp;"!A2:A489"),MATCH(B123,INDIRECT(""&amp;C123&amp;"!B2:B489"),0))</f>
        <v>73</v>
      </c>
      <c r="I123" s="1">
        <f>IF(C123="RB",LeagueInfo!$D$4*LeagueInfo!$F$2,LeagueInfo!$D$5*LeagueInfo!$F$2)</f>
        <v>24</v>
      </c>
    </row>
    <row r="124" spans="1:9" x14ac:dyDescent="0.25">
      <c r="A124" s="1">
        <f ca="1">RANK(E124,E$2:E$402)</f>
        <v>132</v>
      </c>
      <c r="B124" t="s">
        <v>571</v>
      </c>
      <c r="C124" t="s">
        <v>39</v>
      </c>
      <c r="D124" s="1">
        <f ca="1">INDEX(INDIRECT($C124&amp;"!O:O"),MATCH($B124,INDIRECT($C124&amp;"!B:B"),0))</f>
        <v>67.790000000000006</v>
      </c>
      <c r="E124" s="7">
        <f ca="1">D124-LARGE(D$2:D$402,RBCount+WRCount)</f>
        <v>-12.010000000000005</v>
      </c>
      <c r="F124" s="1" t="str">
        <f ca="1">IF(H124&lt;=I124,"Starter",IF(G124&gt;=LARGE(G:G,FlexOn*LeagueInfo!$F$2),"Starter","Bench"))</f>
        <v>Bench</v>
      </c>
      <c r="G124" s="1">
        <f ca="1">IF(H124&gt;I124,D124,0)</f>
        <v>67.790000000000006</v>
      </c>
      <c r="H124" s="1">
        <f ca="1">INDEX(INDIRECT(""&amp;C124&amp;"!A2:A489"),MATCH(B124,INDIRECT(""&amp;C124&amp;"!B2:B489"),0))</f>
        <v>74</v>
      </c>
      <c r="I124" s="1">
        <f>IF(C124="RB",LeagueInfo!$D$4*LeagueInfo!$F$2,LeagueInfo!$D$5*LeagueInfo!$F$2)</f>
        <v>24</v>
      </c>
    </row>
    <row r="125" spans="1:9" x14ac:dyDescent="0.25">
      <c r="A125" s="1">
        <f ca="1">RANK(E125,E$2:E$402)</f>
        <v>128</v>
      </c>
      <c r="B125" t="s">
        <v>437</v>
      </c>
      <c r="C125" t="s">
        <v>32</v>
      </c>
      <c r="D125" s="1">
        <f ca="1">INDEX(INDIRECT($C125&amp;"!O:O"),MATCH($B125,INDIRECT($C125&amp;"!B:B"),0))</f>
        <v>69.240000000000009</v>
      </c>
      <c r="E125" s="7">
        <f ca="1">D125-LARGE(D$2:D$402,RBCount+WRCount)</f>
        <v>-10.560000000000002</v>
      </c>
      <c r="F125" s="1" t="str">
        <f ca="1">IF(H125&lt;=I125,"Starter",IF(G125&gt;=LARGE(G:G,FlexOn*LeagueInfo!$F$2),"Starter","Bench"))</f>
        <v>Bench</v>
      </c>
      <c r="G125" s="1">
        <f ca="1">IF(H125&gt;I125,D125,0)</f>
        <v>69.240000000000009</v>
      </c>
      <c r="H125" s="1">
        <f ca="1">INDEX(INDIRECT(""&amp;C125&amp;"!A2:A489"),MATCH(B125,INDIRECT(""&amp;C125&amp;"!B2:B489"),0))</f>
        <v>56</v>
      </c>
      <c r="I125" s="1">
        <f>IF(C125="RB",LeagueInfo!$D$4*LeagueInfo!$F$2,LeagueInfo!$D$5*LeagueInfo!$F$2)</f>
        <v>24</v>
      </c>
    </row>
    <row r="126" spans="1:9" x14ac:dyDescent="0.25">
      <c r="A126" s="1">
        <f ca="1">RANK(E126,E$2:E$402)</f>
        <v>135</v>
      </c>
      <c r="B126" t="s">
        <v>228</v>
      </c>
      <c r="C126" t="s">
        <v>39</v>
      </c>
      <c r="D126" s="1">
        <f ca="1">INDEX(INDIRECT($C126&amp;"!O:O"),MATCH($B126,INDIRECT($C126&amp;"!B:B"),0))</f>
        <v>65.550000000000011</v>
      </c>
      <c r="E126" s="7">
        <f ca="1">D126-LARGE(D$2:D$402,RBCount+WRCount)</f>
        <v>-14.25</v>
      </c>
      <c r="F126" s="1" t="str">
        <f ca="1">IF(H126&lt;=I126,"Starter",IF(G126&gt;=LARGE(G:G,FlexOn*LeagueInfo!$F$2),"Starter","Bench"))</f>
        <v>Bench</v>
      </c>
      <c r="G126" s="1">
        <f ca="1">IF(H126&gt;I126,D126,0)</f>
        <v>65.550000000000011</v>
      </c>
      <c r="H126" s="1">
        <f ca="1">INDEX(INDIRECT(""&amp;C126&amp;"!A2:A489"),MATCH(B126,INDIRECT(""&amp;C126&amp;"!B2:B489"),0))</f>
        <v>76</v>
      </c>
      <c r="I126" s="1">
        <f>IF(C126="RB",LeagueInfo!$D$4*LeagueInfo!$F$2,LeagueInfo!$D$5*LeagueInfo!$F$2)</f>
        <v>24</v>
      </c>
    </row>
    <row r="127" spans="1:9" x14ac:dyDescent="0.25">
      <c r="A127" s="1">
        <f ca="1">RANK(E127,E$2:E$402)</f>
        <v>134</v>
      </c>
      <c r="B127" t="s">
        <v>563</v>
      </c>
      <c r="C127" t="s">
        <v>39</v>
      </c>
      <c r="D127" s="1">
        <f ca="1">INDEX(INDIRECT($C127&amp;"!O:O"),MATCH($B127,INDIRECT($C127&amp;"!B:B"),0))</f>
        <v>65.739999999999995</v>
      </c>
      <c r="E127" s="259">
        <f ca="1">D127-LARGE(D$2:D$402,RBCount+WRCount)</f>
        <v>-14.060000000000016</v>
      </c>
      <c r="F127" s="47" t="str">
        <f ca="1">IF(H127&lt;=I127,"Starter",IF(G127&gt;=LARGE(G:G,FlexOn*LeagueInfo!$F$2),"Starter","Bench"))</f>
        <v>Bench</v>
      </c>
      <c r="G127" s="47">
        <f ca="1">IF(H127&gt;I127,D127,0)</f>
        <v>65.739999999999995</v>
      </c>
      <c r="H127" s="47">
        <f ca="1">INDEX(INDIRECT(""&amp;C127&amp;"!A2:A489"),MATCH(B127,INDIRECT(""&amp;C127&amp;"!B2:B489"),0))</f>
        <v>75</v>
      </c>
      <c r="I127" s="47">
        <f>IF(C127="RB",LeagueInfo!$D$4*LeagueInfo!$F$2,LeagueInfo!$D$5*LeagueInfo!$F$2)</f>
        <v>24</v>
      </c>
    </row>
    <row r="128" spans="1:9" x14ac:dyDescent="0.25">
      <c r="A128" s="1">
        <f ca="1">RANK(E128,E$2:E$402)</f>
        <v>136</v>
      </c>
      <c r="B128" t="s">
        <v>556</v>
      </c>
      <c r="C128" t="s">
        <v>39</v>
      </c>
      <c r="D128" s="1">
        <f ca="1">INDEX(INDIRECT($C128&amp;"!O:O"),MATCH($B128,INDIRECT($C128&amp;"!B:B"),0))</f>
        <v>63.550000000000004</v>
      </c>
      <c r="E128" s="7">
        <f ca="1">D128-LARGE(D$2:D$402,RBCount+WRCount)</f>
        <v>-16.250000000000007</v>
      </c>
      <c r="F128" s="1" t="str">
        <f ca="1">IF(H128&lt;=I128,"Starter",IF(G128&gt;=LARGE(G:G,FlexOn*LeagueInfo!$F$2),"Starter","Bench"))</f>
        <v>Bench</v>
      </c>
      <c r="G128" s="1">
        <f ca="1">IF(H128&gt;I128,D128,0)</f>
        <v>63.550000000000004</v>
      </c>
      <c r="H128" s="1">
        <f ca="1">INDEX(INDIRECT(""&amp;C128&amp;"!A2:A489"),MATCH(B128,INDIRECT(""&amp;C128&amp;"!B2:B489"),0))</f>
        <v>77</v>
      </c>
      <c r="I128" s="1">
        <f>IF(C128="RB",LeagueInfo!$D$4*LeagueInfo!$F$2,LeagueInfo!$D$5*LeagueInfo!$F$2)</f>
        <v>24</v>
      </c>
    </row>
    <row r="129" spans="1:9" x14ac:dyDescent="0.25">
      <c r="A129" s="1">
        <f ca="1">RANK(E129,E$2:E$402)</f>
        <v>121</v>
      </c>
      <c r="B129" t="s">
        <v>438</v>
      </c>
      <c r="C129" t="s">
        <v>32</v>
      </c>
      <c r="D129" s="1">
        <f ca="1">INDEX(INDIRECT($C129&amp;"!O:O"),MATCH($B129,INDIRECT($C129&amp;"!B:B"),0))</f>
        <v>72.750000000000014</v>
      </c>
      <c r="E129" s="7">
        <f ca="1">D129-LARGE(D$2:D$402,RBCount+WRCount)</f>
        <v>-7.0499999999999972</v>
      </c>
      <c r="F129" s="1" t="str">
        <f ca="1">IF(H129&lt;=I129,"Starter",IF(G129&gt;=LARGE(G:G,FlexOn*LeagueInfo!$F$2),"Starter","Bench"))</f>
        <v>Bench</v>
      </c>
      <c r="G129" s="1">
        <f ca="1">IF(H129&gt;I129,D129,0)</f>
        <v>72.750000000000014</v>
      </c>
      <c r="H129" s="1">
        <f ca="1">INDEX(INDIRECT(""&amp;C129&amp;"!A2:A489"),MATCH(B129,INDIRECT(""&amp;C129&amp;"!B2:B489"),0))</f>
        <v>52</v>
      </c>
      <c r="I129" s="1">
        <f>IF(C129="RB",LeagueInfo!$D$4*LeagueInfo!$F$2,LeagueInfo!$D$5*LeagueInfo!$F$2)</f>
        <v>24</v>
      </c>
    </row>
    <row r="130" spans="1:9" x14ac:dyDescent="0.25">
      <c r="A130" s="1">
        <f ca="1">RANK(E130,E$2:E$402)</f>
        <v>119</v>
      </c>
      <c r="B130" t="s">
        <v>192</v>
      </c>
      <c r="C130" t="s">
        <v>32</v>
      </c>
      <c r="D130" s="1">
        <f ca="1">INDEX(INDIRECT($C130&amp;"!O:O"),MATCH($B130,INDIRECT($C130&amp;"!B:B"),0))</f>
        <v>74.460000000000008</v>
      </c>
      <c r="E130" s="7">
        <f ca="1">D130-LARGE(D$2:D$402,RBCount+WRCount)</f>
        <v>-5.3400000000000034</v>
      </c>
      <c r="F130" s="1" t="str">
        <f ca="1">IF(H130&lt;=I130,"Starter",IF(G130&gt;=LARGE(G:G,FlexOn*LeagueInfo!$F$2),"Starter","Bench"))</f>
        <v>Bench</v>
      </c>
      <c r="G130" s="1">
        <f ca="1">IF(H130&gt;I130,D130,0)</f>
        <v>74.460000000000008</v>
      </c>
      <c r="H130" s="1">
        <f ca="1">INDEX(INDIRECT(""&amp;C130&amp;"!A2:A489"),MATCH(B130,INDIRECT(""&amp;C130&amp;"!B2:B489"),0))</f>
        <v>51</v>
      </c>
      <c r="I130" s="1">
        <f>IF(C130="RB",LeagueInfo!$D$4*LeagueInfo!$F$2,LeagueInfo!$D$5*LeagueInfo!$F$2)</f>
        <v>24</v>
      </c>
    </row>
    <row r="131" spans="1:9" x14ac:dyDescent="0.25">
      <c r="A131" s="1">
        <f ca="1">RANK(E131,E$2:E$402)</f>
        <v>116</v>
      </c>
      <c r="B131" t="s">
        <v>220</v>
      </c>
      <c r="C131" t="s">
        <v>32</v>
      </c>
      <c r="D131" s="1">
        <f ca="1">INDEX(INDIRECT($C131&amp;"!O:O"),MATCH($B131,INDIRECT($C131&amp;"!B:B"),0))</f>
        <v>75.300000000000011</v>
      </c>
      <c r="E131" s="7">
        <f ca="1">D131-LARGE(D$2:D$402,RBCount+WRCount)</f>
        <v>-4.5</v>
      </c>
      <c r="F131" s="1" t="str">
        <f ca="1">IF(H131&lt;=I131,"Starter",IF(G131&gt;=LARGE(G:G,FlexOn*LeagueInfo!$F$2),"Starter","Bench"))</f>
        <v>Bench</v>
      </c>
      <c r="G131" s="1">
        <f ca="1">IF(H131&gt;I131,D131,0)</f>
        <v>75.300000000000011</v>
      </c>
      <c r="H131" s="1">
        <f ca="1">INDEX(INDIRECT(""&amp;C131&amp;"!A2:A489"),MATCH(B131,INDIRECT(""&amp;C131&amp;"!B2:B489"),0))</f>
        <v>50</v>
      </c>
      <c r="I131" s="1">
        <f>IF(C131="RB",LeagueInfo!$D$4*LeagueInfo!$F$2,LeagueInfo!$D$5*LeagueInfo!$F$2)</f>
        <v>24</v>
      </c>
    </row>
    <row r="132" spans="1:9" x14ac:dyDescent="0.25">
      <c r="A132" s="1">
        <f ca="1">RANK(E132,E$2:E$402)</f>
        <v>130</v>
      </c>
      <c r="B132" t="s">
        <v>207</v>
      </c>
      <c r="C132" t="s">
        <v>32</v>
      </c>
      <c r="D132" s="1">
        <f ca="1">INDEX(INDIRECT($C132&amp;"!O:O"),MATCH($B132,INDIRECT($C132&amp;"!B:B"),0))</f>
        <v>68.47</v>
      </c>
      <c r="E132" s="7">
        <f ca="1">D132-LARGE(D$2:D$402,RBCount+WRCount)</f>
        <v>-11.330000000000013</v>
      </c>
      <c r="F132" s="1" t="str">
        <f ca="1">IF(H132&lt;=I132,"Starter",IF(G132&gt;=LARGE(G:G,FlexOn*LeagueInfo!$F$2),"Starter","Bench"))</f>
        <v>Bench</v>
      </c>
      <c r="G132" s="1">
        <f ca="1">IF(H132&gt;I132,D132,0)</f>
        <v>68.47</v>
      </c>
      <c r="H132" s="1">
        <f ca="1">INDEX(INDIRECT(""&amp;C132&amp;"!A2:A489"),MATCH(B132,INDIRECT(""&amp;C132&amp;"!B2:B489"),0))</f>
        <v>57</v>
      </c>
      <c r="I132" s="1">
        <f>IF(C132="RB",LeagueInfo!$D$4*LeagueInfo!$F$2,LeagueInfo!$D$5*LeagueInfo!$F$2)</f>
        <v>24</v>
      </c>
    </row>
    <row r="133" spans="1:9" x14ac:dyDescent="0.25">
      <c r="A133" s="1">
        <f ca="1">RANK(E133,E$2:E$402)</f>
        <v>142</v>
      </c>
      <c r="B133" t="s">
        <v>600</v>
      </c>
      <c r="C133" t="s">
        <v>39</v>
      </c>
      <c r="D133" s="1">
        <f ca="1">INDEX(INDIRECT($C133&amp;"!O:O"),MATCH($B133,INDIRECT($C133&amp;"!B:B"),0))</f>
        <v>59.779999999999994</v>
      </c>
      <c r="E133" s="7">
        <f ca="1">D133-LARGE(D$2:D$402,RBCount+WRCount)</f>
        <v>-20.020000000000017</v>
      </c>
      <c r="F133" s="1" t="str">
        <f ca="1">IF(H133&lt;=I133,"Starter",IF(G133&gt;=LARGE(G:G,FlexOn*LeagueInfo!$F$2),"Starter","Bench"))</f>
        <v>Bench</v>
      </c>
      <c r="G133" s="1">
        <f ca="1">IF(H133&gt;I133,D133,0)</f>
        <v>59.779999999999994</v>
      </c>
      <c r="H133" s="1">
        <f ca="1">INDEX(INDIRECT(""&amp;C133&amp;"!A2:A489"),MATCH(B133,INDIRECT(""&amp;C133&amp;"!B2:B489"),0))</f>
        <v>80</v>
      </c>
      <c r="I133" s="1">
        <f>IF(C133="RB",LeagueInfo!$D$4*LeagueInfo!$F$2,LeagueInfo!$D$5*LeagueInfo!$F$2)</f>
        <v>24</v>
      </c>
    </row>
    <row r="134" spans="1:9" x14ac:dyDescent="0.25">
      <c r="A134" s="1">
        <f ca="1">RANK(E134,E$2:E$402)</f>
        <v>131</v>
      </c>
      <c r="B134" t="s">
        <v>439</v>
      </c>
      <c r="C134" t="s">
        <v>32</v>
      </c>
      <c r="D134" s="1">
        <f ca="1">INDEX(INDIRECT($C134&amp;"!O:O"),MATCH($B134,INDIRECT($C134&amp;"!B:B"),0))</f>
        <v>68.19</v>
      </c>
      <c r="E134" s="7">
        <f ca="1">D134-LARGE(D$2:D$402,RBCount+WRCount)</f>
        <v>-11.610000000000014</v>
      </c>
      <c r="F134" s="1" t="str">
        <f ca="1">IF(H134&lt;=I134,"Starter",IF(G134&gt;=LARGE(G:G,FlexOn*LeagueInfo!$F$2),"Starter","Bench"))</f>
        <v>Bench</v>
      </c>
      <c r="G134" s="1">
        <f ca="1">IF(H134&gt;I134,D134,0)</f>
        <v>68.19</v>
      </c>
      <c r="H134" s="1">
        <f ca="1">INDEX(INDIRECT(""&amp;C134&amp;"!A2:A489"),MATCH(B134,INDIRECT(""&amp;C134&amp;"!B2:B489"),0))</f>
        <v>58</v>
      </c>
      <c r="I134" s="1">
        <f>IF(C134="RB",LeagueInfo!$D$4*LeagueInfo!$F$2,LeagueInfo!$D$5*LeagueInfo!$F$2)</f>
        <v>24</v>
      </c>
    </row>
    <row r="135" spans="1:9" x14ac:dyDescent="0.25">
      <c r="A135" s="1">
        <f ca="1">RANK(E135,E$2:E$402)</f>
        <v>126</v>
      </c>
      <c r="B135" t="s">
        <v>441</v>
      </c>
      <c r="C135" t="s">
        <v>32</v>
      </c>
      <c r="D135" s="1">
        <f ca="1">INDEX(INDIRECT($C135&amp;"!O:O"),MATCH($B135,INDIRECT($C135&amp;"!B:B"),0))</f>
        <v>70.319999999999993</v>
      </c>
      <c r="E135" s="7">
        <f ca="1">D135-LARGE(D$2:D$402,RBCount+WRCount)</f>
        <v>-9.4800000000000182</v>
      </c>
      <c r="F135" s="1" t="str">
        <f ca="1">IF(H135&lt;=I135,"Starter",IF(G135&gt;=LARGE(G:G,FlexOn*LeagueInfo!$F$2),"Starter","Bench"))</f>
        <v>Bench</v>
      </c>
      <c r="G135" s="1">
        <f ca="1">IF(H135&gt;I135,D135,0)</f>
        <v>70.319999999999993</v>
      </c>
      <c r="H135" s="1">
        <f ca="1">INDEX(INDIRECT(""&amp;C135&amp;"!A2:A489"),MATCH(B135,INDIRECT(""&amp;C135&amp;"!B2:B489"),0))</f>
        <v>55</v>
      </c>
      <c r="I135" s="1">
        <f>IF(C135="RB",LeagueInfo!$D$4*LeagueInfo!$F$2,LeagueInfo!$D$5*LeagueInfo!$F$2)</f>
        <v>24</v>
      </c>
    </row>
    <row r="136" spans="1:9" x14ac:dyDescent="0.25">
      <c r="A136" s="1">
        <f ca="1">RANK(E136,E$2:E$402)</f>
        <v>137</v>
      </c>
      <c r="B136" t="s">
        <v>564</v>
      </c>
      <c r="C136" t="s">
        <v>39</v>
      </c>
      <c r="D136" s="1">
        <f ca="1">INDEX(INDIRECT($C136&amp;"!O:O"),MATCH($B136,INDIRECT($C136&amp;"!B:B"),0))</f>
        <v>62.890000000000008</v>
      </c>
      <c r="E136" s="7">
        <f ca="1">D136-LARGE(D$2:D$402,RBCount+WRCount)</f>
        <v>-16.910000000000004</v>
      </c>
      <c r="F136" s="1" t="str">
        <f ca="1">IF(H136&lt;=I136,"Starter",IF(G136&gt;=LARGE(G:G,FlexOn*LeagueInfo!$F$2),"Starter","Bench"))</f>
        <v>Bench</v>
      </c>
      <c r="G136" s="1">
        <f ca="1">IF(H136&gt;I136,D136,0)</f>
        <v>62.890000000000008</v>
      </c>
      <c r="H136" s="1">
        <f ca="1">INDEX(INDIRECT(""&amp;C136&amp;"!A2:A489"),MATCH(B136,INDIRECT(""&amp;C136&amp;"!B2:B489"),0))</f>
        <v>78</v>
      </c>
      <c r="I136" s="1">
        <f>IF(C136="RB",LeagueInfo!$D$4*LeagueInfo!$F$2,LeagueInfo!$D$5*LeagueInfo!$F$2)</f>
        <v>24</v>
      </c>
    </row>
    <row r="137" spans="1:9" x14ac:dyDescent="0.25">
      <c r="A137" s="1">
        <f ca="1">RANK(E137,E$2:E$402)</f>
        <v>125</v>
      </c>
      <c r="B137" t="s">
        <v>155</v>
      </c>
      <c r="C137" t="s">
        <v>32</v>
      </c>
      <c r="D137" s="1">
        <f ca="1">INDEX(INDIRECT($C137&amp;"!O:O"),MATCH($B137,INDIRECT($C137&amp;"!B:B"),0))</f>
        <v>70.47</v>
      </c>
      <c r="E137" s="7">
        <f ca="1">D137-LARGE(D$2:D$402,RBCount+WRCount)</f>
        <v>-9.3300000000000125</v>
      </c>
      <c r="F137" s="1" t="str">
        <f ca="1">IF(H137&lt;=I137,"Starter",IF(G137&gt;=LARGE(G:G,FlexOn*LeagueInfo!$F$2),"Starter","Bench"))</f>
        <v>Bench</v>
      </c>
      <c r="G137" s="1">
        <f ca="1">IF(H137&gt;I137,D137,0)</f>
        <v>70.47</v>
      </c>
      <c r="H137" s="1">
        <f ca="1">INDEX(INDIRECT(""&amp;C137&amp;"!A2:A489"),MATCH(B137,INDIRECT(""&amp;C137&amp;"!B2:B489"),0))</f>
        <v>54</v>
      </c>
      <c r="I137" s="1">
        <f>IF(C137="RB",LeagueInfo!$D$4*LeagueInfo!$F$2,LeagueInfo!$D$5*LeagueInfo!$F$2)</f>
        <v>24</v>
      </c>
    </row>
    <row r="138" spans="1:9" x14ac:dyDescent="0.25">
      <c r="A138" s="1">
        <f ca="1">RANK(E138,E$2:E$402)</f>
        <v>123</v>
      </c>
      <c r="B138" t="s">
        <v>162</v>
      </c>
      <c r="C138" t="s">
        <v>32</v>
      </c>
      <c r="D138" s="1">
        <f ca="1">INDEX(INDIRECT($C138&amp;"!O:O"),MATCH($B138,INDIRECT($C138&amp;"!B:B"),0))</f>
        <v>71.86999999999999</v>
      </c>
      <c r="E138" s="7">
        <f ca="1">D138-LARGE(D$2:D$402,RBCount+WRCount)</f>
        <v>-7.930000000000021</v>
      </c>
      <c r="F138" s="1" t="str">
        <f ca="1">IF(H138&lt;=I138,"Starter",IF(G138&gt;=LARGE(G:G,FlexOn*LeagueInfo!$F$2),"Starter","Bench"))</f>
        <v>Bench</v>
      </c>
      <c r="G138" s="1">
        <f ca="1">IF(H138&gt;I138,D138,0)</f>
        <v>71.86999999999999</v>
      </c>
      <c r="H138" s="1">
        <f ca="1">INDEX(INDIRECT(""&amp;C138&amp;"!A2:A489"),MATCH(B138,INDIRECT(""&amp;C138&amp;"!B2:B489"),0))</f>
        <v>53</v>
      </c>
      <c r="I138" s="1">
        <f>IF(C138="RB",LeagueInfo!$D$4*LeagueInfo!$F$2,LeagueInfo!$D$5*LeagueInfo!$F$2)</f>
        <v>24</v>
      </c>
    </row>
    <row r="139" spans="1:9" x14ac:dyDescent="0.25">
      <c r="A139" s="1">
        <f ca="1">RANK(E139,E$2:E$402)</f>
        <v>146</v>
      </c>
      <c r="B139" t="s">
        <v>577</v>
      </c>
      <c r="C139" t="s">
        <v>39</v>
      </c>
      <c r="D139" s="1">
        <f ca="1">INDEX(INDIRECT($C139&amp;"!O:O"),MATCH($B139,INDIRECT($C139&amp;"!B:B"),0))</f>
        <v>56.17</v>
      </c>
      <c r="E139" s="7">
        <f ca="1">D139-LARGE(D$2:D$402,RBCount+WRCount)</f>
        <v>-23.63000000000001</v>
      </c>
      <c r="F139" s="1" t="str">
        <f ca="1">IF(H139&lt;=I139,"Starter",IF(G139&gt;=LARGE(G:G,FlexOn*LeagueInfo!$F$2),"Starter","Bench"))</f>
        <v>Bench</v>
      </c>
      <c r="G139" s="1">
        <f ca="1">IF(H139&gt;I139,D139,0)</f>
        <v>56.17</v>
      </c>
      <c r="H139" s="1">
        <f ca="1">INDEX(INDIRECT(""&amp;C139&amp;"!A2:A489"),MATCH(B139,INDIRECT(""&amp;C139&amp;"!B2:B489"),0))</f>
        <v>82</v>
      </c>
      <c r="I139" s="1">
        <f>IF(C139="RB",LeagueInfo!$D$4*LeagueInfo!$F$2,LeagueInfo!$D$5*LeagueInfo!$F$2)</f>
        <v>24</v>
      </c>
    </row>
    <row r="140" spans="1:9" x14ac:dyDescent="0.25">
      <c r="A140" s="1">
        <f ca="1">RANK(E140,E$2:E$402)</f>
        <v>145</v>
      </c>
      <c r="B140" t="s">
        <v>573</v>
      </c>
      <c r="C140" t="s">
        <v>39</v>
      </c>
      <c r="D140" s="1">
        <f ca="1">INDEX(INDIRECT($C140&amp;"!O:O"),MATCH($B140,INDIRECT($C140&amp;"!B:B"),0))</f>
        <v>57.269999999999996</v>
      </c>
      <c r="E140" s="7">
        <f ca="1">D140-LARGE(D$2:D$402,RBCount+WRCount)</f>
        <v>-22.530000000000015</v>
      </c>
      <c r="F140" s="1" t="str">
        <f ca="1">IF(H140&lt;=I140,"Starter",IF(G140&gt;=LARGE(G:G,FlexOn*LeagueInfo!$F$2),"Starter","Bench"))</f>
        <v>Bench</v>
      </c>
      <c r="G140" s="1">
        <f ca="1">IF(H140&gt;I140,D140,0)</f>
        <v>57.269999999999996</v>
      </c>
      <c r="H140" s="1">
        <f ca="1">INDEX(INDIRECT(""&amp;C140&amp;"!A2:A489"),MATCH(B140,INDIRECT(""&amp;C140&amp;"!B2:B489"),0))</f>
        <v>81</v>
      </c>
      <c r="I140" s="1">
        <f>IF(C140="RB",LeagueInfo!$D$4*LeagueInfo!$F$2,LeagueInfo!$D$5*LeagueInfo!$F$2)</f>
        <v>24</v>
      </c>
    </row>
    <row r="141" spans="1:9" x14ac:dyDescent="0.25">
      <c r="A141" s="1">
        <f ca="1">RANK(E141,E$2:E$402)</f>
        <v>140</v>
      </c>
      <c r="B141" t="s">
        <v>448</v>
      </c>
      <c r="C141" t="s">
        <v>32</v>
      </c>
      <c r="D141" s="1">
        <f ca="1">INDEX(INDIRECT($C141&amp;"!O:O"),MATCH($B141,INDIRECT($C141&amp;"!B:B"),0))</f>
        <v>60.38</v>
      </c>
      <c r="E141" s="7">
        <f ca="1">D141-LARGE(D$2:D$402,RBCount+WRCount)</f>
        <v>-19.420000000000009</v>
      </c>
      <c r="F141" s="1" t="str">
        <f ca="1">IF(H141&lt;=I141,"Starter",IF(G141&gt;=LARGE(G:G,FlexOn*LeagueInfo!$F$2),"Starter","Bench"))</f>
        <v>Bench</v>
      </c>
      <c r="G141" s="1">
        <f ca="1">IF(H141&gt;I141,D141,0)</f>
        <v>60.38</v>
      </c>
      <c r="H141" s="1">
        <f ca="1">INDEX(INDIRECT(""&amp;C141&amp;"!A2:A489"),MATCH(B141,INDIRECT(""&amp;C141&amp;"!B2:B489"),0))</f>
        <v>62</v>
      </c>
      <c r="I141" s="1">
        <f>IF(C141="RB",LeagueInfo!$D$4*LeagueInfo!$F$2,LeagueInfo!$D$5*LeagueInfo!$F$2)</f>
        <v>24</v>
      </c>
    </row>
    <row r="142" spans="1:9" x14ac:dyDescent="0.25">
      <c r="A142" s="1">
        <f ca="1">RANK(E142,E$2:E$402)</f>
        <v>141</v>
      </c>
      <c r="B142" t="s">
        <v>562</v>
      </c>
      <c r="C142" t="s">
        <v>39</v>
      </c>
      <c r="D142" s="1">
        <f ca="1">INDEX(INDIRECT($C142&amp;"!O:O"),MATCH($B142,INDIRECT($C142&amp;"!B:B"),0))</f>
        <v>59.940000000000005</v>
      </c>
      <c r="E142" s="7">
        <f ca="1">D142-LARGE(D$2:D$402,RBCount+WRCount)</f>
        <v>-19.860000000000007</v>
      </c>
      <c r="F142" s="1" t="str">
        <f ca="1">IF(H142&lt;=I142,"Starter",IF(G142&gt;=LARGE(G:G,FlexOn*LeagueInfo!$F$2),"Starter","Bench"))</f>
        <v>Bench</v>
      </c>
      <c r="G142" s="1">
        <f ca="1">IF(H142&gt;I142,D142,0)</f>
        <v>59.940000000000005</v>
      </c>
      <c r="H142" s="1">
        <f ca="1">INDEX(INDIRECT(""&amp;C142&amp;"!A2:A489"),MATCH(B142,INDIRECT(""&amp;C142&amp;"!B2:B489"),0))</f>
        <v>79</v>
      </c>
      <c r="I142" s="1">
        <f>IF(C142="RB",LeagueInfo!$D$4*LeagueInfo!$F$2,LeagueInfo!$D$5*LeagueInfo!$F$2)</f>
        <v>24</v>
      </c>
    </row>
    <row r="143" spans="1:9" x14ac:dyDescent="0.25">
      <c r="A143" s="1">
        <f ca="1">RANK(E143,E$2:E$402)</f>
        <v>143</v>
      </c>
      <c r="B143" t="s">
        <v>942</v>
      </c>
      <c r="C143" t="s">
        <v>32</v>
      </c>
      <c r="D143" s="1">
        <f ca="1">INDEX(INDIRECT($C143&amp;"!O:O"),MATCH($B143,INDIRECT($C143&amp;"!B:B"),0))</f>
        <v>57.489999999999995</v>
      </c>
      <c r="E143" s="7">
        <f ca="1">D143-LARGE(D$2:D$402,RBCount+WRCount)</f>
        <v>-22.310000000000016</v>
      </c>
      <c r="F143" s="1" t="str">
        <f ca="1">IF(H143&lt;=I143,"Starter",IF(G143&gt;=LARGE(G:G,FlexOn*LeagueInfo!$F$2),"Starter","Bench"))</f>
        <v>Bench</v>
      </c>
      <c r="G143" s="1">
        <f ca="1">IF(H143&gt;I143,D143,0)</f>
        <v>57.489999999999995</v>
      </c>
      <c r="H143" s="1">
        <f ca="1">INDEX(INDIRECT(""&amp;C143&amp;"!A2:A489"),MATCH(B143,INDIRECT(""&amp;C143&amp;"!B2:B489"),0))</f>
        <v>63</v>
      </c>
      <c r="I143" s="1">
        <f>IF(C143="RB",LeagueInfo!$D$4*LeagueInfo!$F$2,LeagueInfo!$D$5*LeagueInfo!$F$2)</f>
        <v>24</v>
      </c>
    </row>
    <row r="144" spans="1:9" x14ac:dyDescent="0.25">
      <c r="A144" s="1">
        <f ca="1">RANK(E144,E$2:E$402)</f>
        <v>144</v>
      </c>
      <c r="B144" t="s">
        <v>440</v>
      </c>
      <c r="C144" t="s">
        <v>32</v>
      </c>
      <c r="D144" s="1">
        <f ca="1">INDEX(INDIRECT($C144&amp;"!O:O"),MATCH($B144,INDIRECT($C144&amp;"!B:B"),0))</f>
        <v>57.44</v>
      </c>
      <c r="E144" s="7">
        <f ca="1">D144-LARGE(D$2:D$402,RBCount+WRCount)</f>
        <v>-22.360000000000014</v>
      </c>
      <c r="F144" s="1" t="str">
        <f ca="1">IF(H144&lt;=I144,"Starter",IF(G144&gt;=LARGE(G:G,FlexOn*LeagueInfo!$F$2),"Starter","Bench"))</f>
        <v>Bench</v>
      </c>
      <c r="G144" s="1">
        <f ca="1">IF(H144&gt;I144,D144,0)</f>
        <v>57.44</v>
      </c>
      <c r="H144" s="1">
        <f ca="1">INDEX(INDIRECT(""&amp;C144&amp;"!A2:A489"),MATCH(B144,INDIRECT(""&amp;C144&amp;"!B2:B489"),0))</f>
        <v>64</v>
      </c>
      <c r="I144" s="1">
        <f>IF(C144="RB",LeagueInfo!$D$4*LeagueInfo!$F$2,LeagueInfo!$D$5*LeagueInfo!$F$2)</f>
        <v>24</v>
      </c>
    </row>
    <row r="145" spans="1:9" x14ac:dyDescent="0.25">
      <c r="A145" s="1">
        <f ca="1">RANK(E145,E$2:E$402)</f>
        <v>133</v>
      </c>
      <c r="B145" t="s">
        <v>234</v>
      </c>
      <c r="C145" t="s">
        <v>32</v>
      </c>
      <c r="D145" s="1">
        <f ca="1">INDEX(INDIRECT($C145&amp;"!O:O"),MATCH($B145,INDIRECT($C145&amp;"!B:B"),0))</f>
        <v>66.609999999999985</v>
      </c>
      <c r="E145" s="7">
        <f ca="1">D145-LARGE(D$2:D$402,RBCount+WRCount)</f>
        <v>-13.190000000000026</v>
      </c>
      <c r="F145" s="1" t="str">
        <f ca="1">IF(H145&lt;=I145,"Starter",IF(G145&gt;=LARGE(G:G,FlexOn*LeagueInfo!$F$2),"Starter","Bench"))</f>
        <v>Bench</v>
      </c>
      <c r="G145" s="1">
        <f ca="1">IF(H145&gt;I145,D145,0)</f>
        <v>66.609999999999985</v>
      </c>
      <c r="H145" s="1">
        <f ca="1">INDEX(INDIRECT(""&amp;C145&amp;"!A2:A489"),MATCH(B145,INDIRECT(""&amp;C145&amp;"!B2:B489"),0))</f>
        <v>59</v>
      </c>
      <c r="I145" s="1">
        <f>IF(C145="RB",LeagueInfo!$D$4*LeagueInfo!$F$2,LeagueInfo!$D$5*LeagueInfo!$F$2)</f>
        <v>24</v>
      </c>
    </row>
    <row r="146" spans="1:9" x14ac:dyDescent="0.25">
      <c r="A146" s="1">
        <f ca="1">RANK(E146,E$2:E$402)</f>
        <v>147</v>
      </c>
      <c r="B146" t="s">
        <v>576</v>
      </c>
      <c r="C146" t="s">
        <v>39</v>
      </c>
      <c r="D146" s="1">
        <f ca="1">INDEX(INDIRECT($C146&amp;"!O:O"),MATCH($B146,INDIRECT($C146&amp;"!B:B"),0))</f>
        <v>55.930000000000007</v>
      </c>
      <c r="E146" s="7">
        <f ca="1">D146-LARGE(D$2:D$402,RBCount+WRCount)</f>
        <v>-23.870000000000005</v>
      </c>
      <c r="F146" s="1" t="str">
        <f ca="1">IF(H146&lt;=I146,"Starter",IF(G146&gt;=LARGE(G:G,FlexOn*LeagueInfo!$F$2),"Starter","Bench"))</f>
        <v>Bench</v>
      </c>
      <c r="G146" s="1">
        <f ca="1">IF(H146&gt;I146,D146,0)</f>
        <v>55.930000000000007</v>
      </c>
      <c r="H146" s="1">
        <f ca="1">INDEX(INDIRECT(""&amp;C146&amp;"!A2:A489"),MATCH(B146,INDIRECT(""&amp;C146&amp;"!B2:B489"),0))</f>
        <v>83</v>
      </c>
      <c r="I146" s="1">
        <f>IF(C146="RB",LeagueInfo!$D$4*LeagueInfo!$F$2,LeagueInfo!$D$5*LeagueInfo!$F$2)</f>
        <v>24</v>
      </c>
    </row>
    <row r="147" spans="1:9" x14ac:dyDescent="0.25">
      <c r="A147" s="1">
        <f ca="1">RANK(E147,E$2:E$402)</f>
        <v>148</v>
      </c>
      <c r="B147" t="s">
        <v>568</v>
      </c>
      <c r="C147" t="s">
        <v>39</v>
      </c>
      <c r="D147" s="1">
        <f ca="1">INDEX(INDIRECT($C147&amp;"!O:O"),MATCH($B147,INDIRECT($C147&amp;"!B:B"),0))</f>
        <v>54.930000000000007</v>
      </c>
      <c r="E147" s="7">
        <f ca="1">D147-LARGE(D$2:D$402,RBCount+WRCount)</f>
        <v>-24.870000000000005</v>
      </c>
      <c r="F147" s="1" t="str">
        <f ca="1">IF(H147&lt;=I147,"Starter",IF(G147&gt;=LARGE(G:G,FlexOn*LeagueInfo!$F$2),"Starter","Bench"))</f>
        <v>Bench</v>
      </c>
      <c r="G147" s="1">
        <f ca="1">IF(H147&gt;I147,D147,0)</f>
        <v>54.930000000000007</v>
      </c>
      <c r="H147" s="1">
        <f ca="1">INDEX(INDIRECT(""&amp;C147&amp;"!A2:A489"),MATCH(B147,INDIRECT(""&amp;C147&amp;"!B2:B489"),0))</f>
        <v>84</v>
      </c>
      <c r="I147" s="1">
        <f>IF(C147="RB",LeagueInfo!$D$4*LeagueInfo!$F$2,LeagueInfo!$D$5*LeagueInfo!$F$2)</f>
        <v>24</v>
      </c>
    </row>
    <row r="148" spans="1:9" x14ac:dyDescent="0.25">
      <c r="A148" s="1">
        <f ca="1">RANK(E148,E$2:E$402)</f>
        <v>139</v>
      </c>
      <c r="B148" t="s">
        <v>442</v>
      </c>
      <c r="C148" t="s">
        <v>32</v>
      </c>
      <c r="D148" s="1">
        <f ca="1">INDEX(INDIRECT($C148&amp;"!O:O"),MATCH($B148,INDIRECT($C148&amp;"!B:B"),0))</f>
        <v>60.5</v>
      </c>
      <c r="E148" s="7">
        <f ca="1">D148-LARGE(D$2:D$402,RBCount+WRCount)</f>
        <v>-19.300000000000011</v>
      </c>
      <c r="F148" s="1" t="str">
        <f ca="1">IF(H148&lt;=I148,"Starter",IF(G148&gt;=LARGE(G:G,FlexOn*LeagueInfo!$F$2),"Starter","Bench"))</f>
        <v>Bench</v>
      </c>
      <c r="G148" s="1">
        <f ca="1">IF(H148&gt;I148,D148,0)</f>
        <v>60.5</v>
      </c>
      <c r="H148" s="1">
        <f ca="1">INDEX(INDIRECT(""&amp;C148&amp;"!A2:A489"),MATCH(B148,INDIRECT(""&amp;C148&amp;"!B2:B489"),0))</f>
        <v>61</v>
      </c>
      <c r="I148" s="1">
        <f>IF(C148="RB",LeagueInfo!$D$4*LeagueInfo!$F$2,LeagueInfo!$D$5*LeagueInfo!$F$2)</f>
        <v>24</v>
      </c>
    </row>
    <row r="149" spans="1:9" x14ac:dyDescent="0.25">
      <c r="A149" s="1">
        <f ca="1">RANK(E149,E$2:E$402)</f>
        <v>149</v>
      </c>
      <c r="B149" t="s">
        <v>569</v>
      </c>
      <c r="C149" t="s">
        <v>39</v>
      </c>
      <c r="D149" s="1">
        <f ca="1">INDEX(INDIRECT($C149&amp;"!O:O"),MATCH($B149,INDIRECT($C149&amp;"!B:B"),0))</f>
        <v>54.089999999999996</v>
      </c>
      <c r="E149" s="7">
        <f ca="1">D149-LARGE(D$2:D$402,RBCount+WRCount)</f>
        <v>-25.710000000000015</v>
      </c>
      <c r="F149" s="1" t="str">
        <f ca="1">IF(H149&lt;=I149,"Starter",IF(G149&gt;=LARGE(G:G,FlexOn*LeagueInfo!$F$2),"Starter","Bench"))</f>
        <v>Bench</v>
      </c>
      <c r="G149" s="1">
        <f ca="1">IF(H149&gt;I149,D149,0)</f>
        <v>54.089999999999996</v>
      </c>
      <c r="H149" s="1">
        <f ca="1">INDEX(INDIRECT(""&amp;C149&amp;"!A2:A489"),MATCH(B149,INDIRECT(""&amp;C149&amp;"!B2:B489"),0))</f>
        <v>85</v>
      </c>
      <c r="I149" s="1">
        <f>IF(C149="RB",LeagueInfo!$D$4*LeagueInfo!$F$2,LeagueInfo!$D$5*LeagueInfo!$F$2)</f>
        <v>24</v>
      </c>
    </row>
    <row r="150" spans="1:9" x14ac:dyDescent="0.25">
      <c r="A150" s="1">
        <f ca="1">RANK(E150,E$2:E$402)</f>
        <v>154</v>
      </c>
      <c r="B150" t="s">
        <v>570</v>
      </c>
      <c r="C150" t="s">
        <v>39</v>
      </c>
      <c r="D150" s="1">
        <f ca="1">INDEX(INDIRECT($C150&amp;"!O:O"),MATCH($B150,INDIRECT($C150&amp;"!B:B"),0))</f>
        <v>53.42</v>
      </c>
      <c r="E150" s="7">
        <f ca="1">D150-LARGE(D$2:D$402,RBCount+WRCount)</f>
        <v>-26.38000000000001</v>
      </c>
      <c r="F150" s="1" t="str">
        <f ca="1">IF(H150&lt;=I150,"Starter",IF(G150&gt;=LARGE(G:G,FlexOn*LeagueInfo!$F$2),"Starter","Bench"))</f>
        <v>Bench</v>
      </c>
      <c r="G150" s="1">
        <f ca="1">IF(H150&gt;I150,D150,0)</f>
        <v>53.42</v>
      </c>
      <c r="H150" s="1">
        <f ca="1">INDEX(INDIRECT(""&amp;C150&amp;"!A2:A489"),MATCH(B150,INDIRECT(""&amp;C150&amp;"!B2:B489"),0))</f>
        <v>86</v>
      </c>
      <c r="I150" s="1">
        <f>IF(C150="RB",LeagueInfo!$D$4*LeagueInfo!$F$2,LeagueInfo!$D$5*LeagueInfo!$F$2)</f>
        <v>24</v>
      </c>
    </row>
    <row r="151" spans="1:9" x14ac:dyDescent="0.25">
      <c r="A151" s="1">
        <f ca="1">RANK(E151,E$2:E$402)</f>
        <v>138</v>
      </c>
      <c r="B151" t="s">
        <v>443</v>
      </c>
      <c r="C151" t="s">
        <v>32</v>
      </c>
      <c r="D151" s="1">
        <f ca="1">INDEX(INDIRECT($C151&amp;"!O:O"),MATCH($B151,INDIRECT($C151&amp;"!B:B"),0))</f>
        <v>62.870000000000005</v>
      </c>
      <c r="E151" s="7">
        <f ca="1">D151-LARGE(D$2:D$402,RBCount+WRCount)</f>
        <v>-16.930000000000007</v>
      </c>
      <c r="F151" s="1" t="str">
        <f ca="1">IF(H151&lt;=I151,"Starter",IF(G151&gt;=LARGE(G:G,FlexOn*LeagueInfo!$F$2),"Starter","Bench"))</f>
        <v>Bench</v>
      </c>
      <c r="G151" s="1">
        <f ca="1">IF(H151&gt;I151,D151,0)</f>
        <v>62.870000000000005</v>
      </c>
      <c r="H151" s="1">
        <f ca="1">INDEX(INDIRECT(""&amp;C151&amp;"!A2:A489"),MATCH(B151,INDIRECT(""&amp;C151&amp;"!B2:B489"),0))</f>
        <v>60</v>
      </c>
      <c r="I151" s="1">
        <f>IF(C151="RB",LeagueInfo!$D$4*LeagueInfo!$F$2,LeagueInfo!$D$5*LeagueInfo!$F$2)</f>
        <v>24</v>
      </c>
    </row>
    <row r="152" spans="1:9" x14ac:dyDescent="0.25">
      <c r="A152" s="1">
        <f ca="1">RANK(E152,E$2:E$402)</f>
        <v>156</v>
      </c>
      <c r="B152" t="s">
        <v>580</v>
      </c>
      <c r="C152" t="s">
        <v>39</v>
      </c>
      <c r="D152" s="1">
        <f ca="1">INDEX(INDIRECT($C152&amp;"!O:O"),MATCH($B152,INDIRECT($C152&amp;"!B:B"),0))</f>
        <v>49.61</v>
      </c>
      <c r="E152" s="7">
        <f ca="1">D152-LARGE(D$2:D$402,RBCount+WRCount)</f>
        <v>-30.190000000000012</v>
      </c>
      <c r="F152" s="1" t="str">
        <f ca="1">IF(H152&lt;=I152,"Starter",IF(G152&gt;=LARGE(G:G,FlexOn*LeagueInfo!$F$2),"Starter","Bench"))</f>
        <v>Bench</v>
      </c>
      <c r="G152" s="1">
        <f ca="1">IF(H152&gt;I152,D152,0)</f>
        <v>49.61</v>
      </c>
      <c r="H152" s="1">
        <f ca="1">INDEX(INDIRECT(""&amp;C152&amp;"!A2:A489"),MATCH(B152,INDIRECT(""&amp;C152&amp;"!B2:B489"),0))</f>
        <v>88</v>
      </c>
      <c r="I152" s="1">
        <f>IF(C152="RB",LeagueInfo!$D$4*LeagueInfo!$F$2,LeagueInfo!$D$5*LeagueInfo!$F$2)</f>
        <v>24</v>
      </c>
    </row>
    <row r="153" spans="1:9" x14ac:dyDescent="0.25">
      <c r="A153" s="1">
        <f ca="1">RANK(E153,E$2:E$402)</f>
        <v>158</v>
      </c>
      <c r="B153" t="s">
        <v>610</v>
      </c>
      <c r="C153" t="s">
        <v>39</v>
      </c>
      <c r="D153" s="1">
        <f ca="1">INDEX(INDIRECT($C153&amp;"!O:O"),MATCH($B153,INDIRECT($C153&amp;"!B:B"),0))</f>
        <v>48.79</v>
      </c>
      <c r="E153" s="7">
        <f ca="1">D153-LARGE(D$2:D$402,RBCount+WRCount)</f>
        <v>-31.010000000000012</v>
      </c>
      <c r="F153" s="1" t="str">
        <f ca="1">IF(H153&lt;=I153,"Starter",IF(G153&gt;=LARGE(G:G,FlexOn*LeagueInfo!$F$2),"Starter","Bench"))</f>
        <v>Bench</v>
      </c>
      <c r="G153" s="1">
        <f ca="1">IF(H153&gt;I153,D153,0)</f>
        <v>48.79</v>
      </c>
      <c r="H153" s="1">
        <f ca="1">INDEX(INDIRECT(""&amp;C153&amp;"!A2:A489"),MATCH(B153,INDIRECT(""&amp;C153&amp;"!B2:B489"),0))</f>
        <v>90</v>
      </c>
      <c r="I153" s="1">
        <f>IF(C153="RB",LeagueInfo!$D$4*LeagueInfo!$F$2,LeagueInfo!$D$5*LeagueInfo!$F$2)</f>
        <v>24</v>
      </c>
    </row>
    <row r="154" spans="1:9" x14ac:dyDescent="0.25">
      <c r="A154" s="1">
        <f ca="1">RANK(E154,E$2:E$402)</f>
        <v>157</v>
      </c>
      <c r="B154" t="s">
        <v>323</v>
      </c>
      <c r="C154" t="s">
        <v>39</v>
      </c>
      <c r="D154" s="1">
        <f ca="1">INDEX(INDIRECT($C154&amp;"!O:O"),MATCH($B154,INDIRECT($C154&amp;"!B:B"),0))</f>
        <v>49.230000000000004</v>
      </c>
      <c r="E154" s="7">
        <f ca="1">D154-LARGE(D$2:D$402,RBCount+WRCount)</f>
        <v>-30.570000000000007</v>
      </c>
      <c r="F154" s="1" t="str">
        <f ca="1">IF(H154&lt;=I154,"Starter",IF(G154&gt;=LARGE(G:G,FlexOn*LeagueInfo!$F$2),"Starter","Bench"))</f>
        <v>Bench</v>
      </c>
      <c r="G154" s="1">
        <f ca="1">IF(H154&gt;I154,D154,0)</f>
        <v>49.230000000000004</v>
      </c>
      <c r="H154" s="1">
        <f ca="1">INDEX(INDIRECT(""&amp;C154&amp;"!A2:A489"),MATCH(B154,INDIRECT(""&amp;C154&amp;"!B2:B489"),0))</f>
        <v>89</v>
      </c>
      <c r="I154" s="1">
        <f>IF(C154="RB",LeagueInfo!$D$4*LeagueInfo!$F$2,LeagueInfo!$D$5*LeagueInfo!$F$2)</f>
        <v>24</v>
      </c>
    </row>
    <row r="155" spans="1:9" x14ac:dyDescent="0.25">
      <c r="A155" s="1">
        <f ca="1">RANK(E155,E$2:E$402)</f>
        <v>155</v>
      </c>
      <c r="B155" t="s">
        <v>579</v>
      </c>
      <c r="C155" t="s">
        <v>39</v>
      </c>
      <c r="D155" s="1">
        <f ca="1">INDEX(INDIRECT($C155&amp;"!O:O"),MATCH($B155,INDIRECT($C155&amp;"!B:B"),0))</f>
        <v>50.2</v>
      </c>
      <c r="E155" s="7">
        <f ca="1">D155-LARGE(D$2:D$402,RBCount+WRCount)</f>
        <v>-29.600000000000009</v>
      </c>
      <c r="F155" s="1" t="str">
        <f ca="1">IF(H155&lt;=I155,"Starter",IF(G155&gt;=LARGE(G:G,FlexOn*LeagueInfo!$F$2),"Starter","Bench"))</f>
        <v>Bench</v>
      </c>
      <c r="G155" s="1">
        <f ca="1">IF(H155&gt;I155,D155,0)</f>
        <v>50.2</v>
      </c>
      <c r="H155" s="1">
        <f ca="1">INDEX(INDIRECT(""&amp;C155&amp;"!A2:A489"),MATCH(B155,INDIRECT(""&amp;C155&amp;"!B2:B489"),0))</f>
        <v>87</v>
      </c>
      <c r="I155" s="1">
        <f>IF(C155="RB",LeagueInfo!$D$4*LeagueInfo!$F$2,LeagueInfo!$D$5*LeagueInfo!$F$2)</f>
        <v>24</v>
      </c>
    </row>
    <row r="156" spans="1:9" x14ac:dyDescent="0.25">
      <c r="A156" s="1">
        <f ca="1">RANK(E156,E$2:E$402)</f>
        <v>161</v>
      </c>
      <c r="B156" t="s">
        <v>578</v>
      </c>
      <c r="C156" t="s">
        <v>39</v>
      </c>
      <c r="D156" s="1">
        <f ca="1">INDEX(INDIRECT($C156&amp;"!O:O"),MATCH($B156,INDIRECT($C156&amp;"!B:B"),0))</f>
        <v>47.54</v>
      </c>
      <c r="E156" s="7">
        <f ca="1">D156-LARGE(D$2:D$402,RBCount+WRCount)</f>
        <v>-32.260000000000012</v>
      </c>
      <c r="F156" s="1" t="str">
        <f ca="1">IF(H156&lt;=I156,"Starter",IF(G156&gt;=LARGE(G:G,FlexOn*LeagueInfo!$F$2),"Starter","Bench"))</f>
        <v>Bench</v>
      </c>
      <c r="G156" s="1">
        <f ca="1">IF(H156&gt;I156,D156,0)</f>
        <v>47.54</v>
      </c>
      <c r="H156" s="1">
        <f ca="1">INDEX(INDIRECT(""&amp;C156&amp;"!A2:A489"),MATCH(B156,INDIRECT(""&amp;C156&amp;"!B2:B489"),0))</f>
        <v>91</v>
      </c>
      <c r="I156" s="1">
        <f>IF(C156="RB",LeagueInfo!$D$4*LeagueInfo!$F$2,LeagueInfo!$D$5*LeagueInfo!$F$2)</f>
        <v>24</v>
      </c>
    </row>
    <row r="157" spans="1:9" x14ac:dyDescent="0.25">
      <c r="A157" s="1">
        <f ca="1">RANK(E157,E$2:E$402)</f>
        <v>164</v>
      </c>
      <c r="B157" t="s">
        <v>584</v>
      </c>
      <c r="C157" t="s">
        <v>39</v>
      </c>
      <c r="D157" s="1">
        <f ca="1">INDEX(INDIRECT($C157&amp;"!O:O"),MATCH($B157,INDIRECT($C157&amp;"!B:B"),0))</f>
        <v>46.77</v>
      </c>
      <c r="E157" s="7">
        <f ca="1">D157-LARGE(D$2:D$402,RBCount+WRCount)</f>
        <v>-33.030000000000008</v>
      </c>
      <c r="F157" s="1" t="str">
        <f ca="1">IF(H157&lt;=I157,"Starter",IF(G157&gt;=LARGE(G:G,FlexOn*LeagueInfo!$F$2),"Starter","Bench"))</f>
        <v>Bench</v>
      </c>
      <c r="G157" s="1">
        <f ca="1">IF(H157&gt;I157,D157,0)</f>
        <v>46.77</v>
      </c>
      <c r="H157" s="1">
        <f ca="1">INDEX(INDIRECT(""&amp;C157&amp;"!A2:A489"),MATCH(B157,INDIRECT(""&amp;C157&amp;"!B2:B489"),0))</f>
        <v>94</v>
      </c>
      <c r="I157" s="1">
        <f>IF(C157="RB",LeagueInfo!$D$4*LeagueInfo!$F$2,LeagueInfo!$D$5*LeagueInfo!$F$2)</f>
        <v>24</v>
      </c>
    </row>
    <row r="158" spans="1:9" x14ac:dyDescent="0.25">
      <c r="A158" s="1">
        <f ca="1">RANK(E158,E$2:E$402)</f>
        <v>162</v>
      </c>
      <c r="B158" t="s">
        <v>572</v>
      </c>
      <c r="C158" t="s">
        <v>39</v>
      </c>
      <c r="D158" s="1">
        <f ca="1">INDEX(INDIRECT($C158&amp;"!O:O"),MATCH($B158,INDIRECT($C158&amp;"!B:B"),0))</f>
        <v>46.96</v>
      </c>
      <c r="E158" s="7">
        <f ca="1">D158-LARGE(D$2:D$402,RBCount+WRCount)</f>
        <v>-32.840000000000011</v>
      </c>
      <c r="F158" s="1" t="str">
        <f ca="1">IF(H158&lt;=I158,"Starter",IF(G158&gt;=LARGE(G:G,FlexOn*LeagueInfo!$F$2),"Starter","Bench"))</f>
        <v>Bench</v>
      </c>
      <c r="G158" s="1">
        <f ca="1">IF(H158&gt;I158,D158,0)</f>
        <v>46.96</v>
      </c>
      <c r="H158" s="1">
        <f ca="1">INDEX(INDIRECT(""&amp;C158&amp;"!A2:A489"),MATCH(B158,INDIRECT(""&amp;C158&amp;"!B2:B489"),0))</f>
        <v>92</v>
      </c>
      <c r="I158" s="1">
        <f>IF(C158="RB",LeagueInfo!$D$4*LeagueInfo!$F$2,LeagueInfo!$D$5*LeagueInfo!$F$2)</f>
        <v>24</v>
      </c>
    </row>
    <row r="159" spans="1:9" x14ac:dyDescent="0.25">
      <c r="A159" s="1">
        <f ca="1">RANK(E159,E$2:E$402)</f>
        <v>153</v>
      </c>
      <c r="B159" t="s">
        <v>471</v>
      </c>
      <c r="C159" t="s">
        <v>32</v>
      </c>
      <c r="D159" s="1">
        <f ca="1">INDEX(INDIRECT($C159&amp;"!O:O"),MATCH($B159,INDIRECT($C159&amp;"!B:B"),0))</f>
        <v>53.650000000000006</v>
      </c>
      <c r="E159" s="7">
        <f ca="1">D159-LARGE(D$2:D$402,RBCount+WRCount)</f>
        <v>-26.150000000000006</v>
      </c>
      <c r="F159" s="1" t="str">
        <f ca="1">IF(H159&lt;=I159,"Starter",IF(G159&gt;=LARGE(G:G,FlexOn*LeagueInfo!$F$2),"Starter","Bench"))</f>
        <v>Bench</v>
      </c>
      <c r="G159" s="1">
        <f ca="1">IF(H159&gt;I159,D159,0)</f>
        <v>53.650000000000006</v>
      </c>
      <c r="H159" s="1">
        <f ca="1">INDEX(INDIRECT(""&amp;C159&amp;"!A2:A489"),MATCH(B159,INDIRECT(""&amp;C159&amp;"!B2:B489"),0))</f>
        <v>68</v>
      </c>
      <c r="I159" s="1">
        <f>IF(C159="RB",LeagueInfo!$D$4*LeagueInfo!$F$2,LeagueInfo!$D$5*LeagueInfo!$F$2)</f>
        <v>24</v>
      </c>
    </row>
    <row r="160" spans="1:9" x14ac:dyDescent="0.25">
      <c r="A160" s="1">
        <f ca="1">RANK(E160,E$2:E$402)</f>
        <v>162</v>
      </c>
      <c r="B160" t="s">
        <v>581</v>
      </c>
      <c r="C160" t="s">
        <v>39</v>
      </c>
      <c r="D160" s="1">
        <f ca="1">INDEX(INDIRECT($C160&amp;"!O:O"),MATCH($B160,INDIRECT($C160&amp;"!B:B"),0))</f>
        <v>46.96</v>
      </c>
      <c r="E160" s="7">
        <f ca="1">D160-LARGE(D$2:D$402,RBCount+WRCount)</f>
        <v>-32.840000000000011</v>
      </c>
      <c r="F160" s="1" t="str">
        <f ca="1">IF(H160&lt;=I160,"Starter",IF(G160&gt;=LARGE(G:G,FlexOn*LeagueInfo!$F$2),"Starter","Bench"))</f>
        <v>Bench</v>
      </c>
      <c r="G160" s="1">
        <f ca="1">IF(H160&gt;I160,D160,0)</f>
        <v>46.96</v>
      </c>
      <c r="H160" s="1">
        <f ca="1">INDEX(INDIRECT(""&amp;C160&amp;"!A2:A489"),MATCH(B160,INDIRECT(""&amp;C160&amp;"!B2:B489"),0))</f>
        <v>92</v>
      </c>
      <c r="I160" s="1">
        <f>IF(C160="RB",LeagueInfo!$D$4*LeagueInfo!$F$2,LeagueInfo!$D$5*LeagueInfo!$F$2)</f>
        <v>24</v>
      </c>
    </row>
    <row r="161" spans="1:9" x14ac:dyDescent="0.25">
      <c r="A161" s="1">
        <f ca="1">RANK(E161,E$2:E$402)</f>
        <v>150</v>
      </c>
      <c r="B161" t="s">
        <v>446</v>
      </c>
      <c r="C161" t="s">
        <v>32</v>
      </c>
      <c r="D161" s="1">
        <f ca="1">INDEX(INDIRECT($C161&amp;"!O:O"),MATCH($B161,INDIRECT($C161&amp;"!B:B"),0))</f>
        <v>54.04</v>
      </c>
      <c r="E161" s="7">
        <f ca="1">D161-LARGE(D$2:D$402,RBCount+WRCount)</f>
        <v>-25.760000000000012</v>
      </c>
      <c r="F161" s="1" t="str">
        <f ca="1">IF(H161&lt;=I161,"Starter",IF(G161&gt;=LARGE(G:G,FlexOn*LeagueInfo!$F$2),"Starter","Bench"))</f>
        <v>Bench</v>
      </c>
      <c r="G161" s="1">
        <f ca="1">IF(H161&gt;I161,D161,0)</f>
        <v>54.04</v>
      </c>
      <c r="H161" s="1">
        <f ca="1">INDEX(INDIRECT(""&amp;C161&amp;"!A2:A489"),MATCH(B161,INDIRECT(""&amp;C161&amp;"!B2:B489"),0))</f>
        <v>65</v>
      </c>
      <c r="I161" s="1">
        <f>IF(C161="RB",LeagueInfo!$D$4*LeagueInfo!$F$2,LeagueInfo!$D$5*LeagueInfo!$F$2)</f>
        <v>24</v>
      </c>
    </row>
    <row r="162" spans="1:9" x14ac:dyDescent="0.25">
      <c r="A162" s="1">
        <f ca="1">RANK(E162,E$2:E$402)</f>
        <v>152</v>
      </c>
      <c r="B162" t="s">
        <v>447</v>
      </c>
      <c r="C162" t="s">
        <v>32</v>
      </c>
      <c r="D162" s="1">
        <f ca="1">INDEX(INDIRECT($C162&amp;"!O:O"),MATCH($B162,INDIRECT($C162&amp;"!B:B"),0))</f>
        <v>53.680000000000007</v>
      </c>
      <c r="E162" s="7">
        <f ca="1">D162-LARGE(D$2:D$402,RBCount+WRCount)</f>
        <v>-26.120000000000005</v>
      </c>
      <c r="F162" s="1" t="str">
        <f ca="1">IF(H162&lt;=I162,"Starter",IF(G162&gt;=LARGE(G:G,FlexOn*LeagueInfo!$F$2),"Starter","Bench"))</f>
        <v>Bench</v>
      </c>
      <c r="G162" s="1">
        <f ca="1">IF(H162&gt;I162,D162,0)</f>
        <v>53.680000000000007</v>
      </c>
      <c r="H162" s="1">
        <f ca="1">INDEX(INDIRECT(""&amp;C162&amp;"!A2:A489"),MATCH(B162,INDIRECT(""&amp;C162&amp;"!B2:B489"),0))</f>
        <v>67</v>
      </c>
      <c r="I162" s="1">
        <f>IF(C162="RB",LeagueInfo!$D$4*LeagueInfo!$F$2,LeagueInfo!$D$5*LeagueInfo!$F$2)</f>
        <v>24</v>
      </c>
    </row>
    <row r="163" spans="1:9" x14ac:dyDescent="0.25">
      <c r="A163" s="1">
        <f ca="1">RANK(E163,E$2:E$402)</f>
        <v>151</v>
      </c>
      <c r="B163" t="s">
        <v>451</v>
      </c>
      <c r="C163" t="s">
        <v>32</v>
      </c>
      <c r="D163" s="1">
        <f ca="1">INDEX(INDIRECT($C163&amp;"!O:O"),MATCH($B163,INDIRECT($C163&amp;"!B:B"),0))</f>
        <v>53.73</v>
      </c>
      <c r="E163" s="7">
        <f ca="1">D163-LARGE(D$2:D$402,RBCount+WRCount)</f>
        <v>-26.070000000000014</v>
      </c>
      <c r="F163" s="1" t="str">
        <f ca="1">IF(H163&lt;=I163,"Starter",IF(G163&gt;=LARGE(G:G,FlexOn*LeagueInfo!$F$2),"Starter","Bench"))</f>
        <v>Bench</v>
      </c>
      <c r="G163" s="1">
        <f ca="1">IF(H163&gt;I163,D163,0)</f>
        <v>53.73</v>
      </c>
      <c r="H163" s="1">
        <f ca="1">INDEX(INDIRECT(""&amp;C163&amp;"!A2:A489"),MATCH(B163,INDIRECT(""&amp;C163&amp;"!B2:B489"),0))</f>
        <v>66</v>
      </c>
      <c r="I163" s="1">
        <f>IF(C163="RB",LeagueInfo!$D$4*LeagueInfo!$F$2,LeagueInfo!$D$5*LeagueInfo!$F$2)</f>
        <v>24</v>
      </c>
    </row>
    <row r="164" spans="1:9" x14ac:dyDescent="0.25">
      <c r="A164" s="1">
        <f ca="1">RANK(E164,E$2:E$402)</f>
        <v>167</v>
      </c>
      <c r="B164" t="s">
        <v>244</v>
      </c>
      <c r="C164" t="s">
        <v>39</v>
      </c>
      <c r="D164" s="1">
        <f ca="1">INDEX(INDIRECT($C164&amp;"!O:O"),MATCH($B164,INDIRECT($C164&amp;"!B:B"),0))</f>
        <v>45.790000000000006</v>
      </c>
      <c r="E164" s="7">
        <f ca="1">D164-LARGE(D$2:D$402,RBCount+WRCount)</f>
        <v>-34.010000000000005</v>
      </c>
      <c r="F164" s="1" t="str">
        <f ca="1">IF(H164&lt;=I164,"Starter",IF(G164&gt;=LARGE(G:G,FlexOn*LeagueInfo!$F$2),"Starter","Bench"))</f>
        <v>Bench</v>
      </c>
      <c r="G164" s="1">
        <f ca="1">IF(H164&gt;I164,D164,0)</f>
        <v>45.790000000000006</v>
      </c>
      <c r="H164" s="1">
        <f ca="1">INDEX(INDIRECT(""&amp;C164&amp;"!A2:A489"),MATCH(B164,INDIRECT(""&amp;C164&amp;"!B2:B489"),0))</f>
        <v>96</v>
      </c>
      <c r="I164" s="1">
        <f>IF(C164="RB",LeagueInfo!$D$4*LeagueInfo!$F$2,LeagueInfo!$D$5*LeagueInfo!$F$2)</f>
        <v>24</v>
      </c>
    </row>
    <row r="165" spans="1:9" x14ac:dyDescent="0.25">
      <c r="A165" s="1">
        <f ca="1">RANK(E165,E$2:E$402)</f>
        <v>166</v>
      </c>
      <c r="B165" t="s">
        <v>574</v>
      </c>
      <c r="C165" t="s">
        <v>39</v>
      </c>
      <c r="D165" s="1">
        <f ca="1">INDEX(INDIRECT($C165&amp;"!O:O"),MATCH($B165,INDIRECT($C165&amp;"!B:B"),0))</f>
        <v>46.29</v>
      </c>
      <c r="E165" s="7">
        <f ca="1">D165-LARGE(D$2:D$402,RBCount+WRCount)</f>
        <v>-33.510000000000012</v>
      </c>
      <c r="F165" s="1" t="str">
        <f ca="1">IF(H165&lt;=I165,"Starter",IF(G165&gt;=LARGE(G:G,FlexOn*LeagueInfo!$F$2),"Starter","Bench"))</f>
        <v>Bench</v>
      </c>
      <c r="G165" s="1">
        <f ca="1">IF(H165&gt;I165,D165,0)</f>
        <v>46.29</v>
      </c>
      <c r="H165" s="1">
        <f ca="1">INDEX(INDIRECT(""&amp;C165&amp;"!A2:A489"),MATCH(B165,INDIRECT(""&amp;C165&amp;"!B2:B489"),0))</f>
        <v>95</v>
      </c>
      <c r="I165" s="1">
        <f>IF(C165="RB",LeagueInfo!$D$4*LeagueInfo!$F$2,LeagueInfo!$D$5*LeagueInfo!$F$2)</f>
        <v>24</v>
      </c>
    </row>
    <row r="166" spans="1:9" x14ac:dyDescent="0.25">
      <c r="A166" s="1">
        <f ca="1">RANK(E166,E$2:E$402)</f>
        <v>168</v>
      </c>
      <c r="B166" t="s">
        <v>589</v>
      </c>
      <c r="C166" t="s">
        <v>39</v>
      </c>
      <c r="D166" s="1">
        <f ca="1">INDEX(INDIRECT($C166&amp;"!O:O"),MATCH($B166,INDIRECT($C166&amp;"!B:B"),0))</f>
        <v>45.789999999999992</v>
      </c>
      <c r="E166" s="7">
        <f ca="1">D166-LARGE(D$2:D$402,RBCount+WRCount)</f>
        <v>-34.010000000000019</v>
      </c>
      <c r="F166" s="1" t="str">
        <f ca="1">IF(H166&lt;=I166,"Starter",IF(G166&gt;=LARGE(G:G,FlexOn*LeagueInfo!$F$2),"Starter","Bench"))</f>
        <v>Bench</v>
      </c>
      <c r="G166" s="1">
        <f ca="1">IF(H166&gt;I166,D166,0)</f>
        <v>45.789999999999992</v>
      </c>
      <c r="H166" s="1">
        <f ca="1">INDEX(INDIRECT(""&amp;C166&amp;"!A2:A489"),MATCH(B166,INDIRECT(""&amp;C166&amp;"!B2:B489"),0))</f>
        <v>97</v>
      </c>
      <c r="I166" s="1">
        <f>IF(C166="RB",LeagueInfo!$D$4*LeagueInfo!$F$2,LeagueInfo!$D$5*LeagueInfo!$F$2)</f>
        <v>24</v>
      </c>
    </row>
    <row r="167" spans="1:9" x14ac:dyDescent="0.25">
      <c r="A167" s="1">
        <f ca="1">RANK(E167,E$2:E$402)</f>
        <v>171</v>
      </c>
      <c r="B167" t="s">
        <v>588</v>
      </c>
      <c r="C167" t="s">
        <v>39</v>
      </c>
      <c r="D167" s="1">
        <f ca="1">INDEX(INDIRECT($C167&amp;"!O:O"),MATCH($B167,INDIRECT($C167&amp;"!B:B"),0))</f>
        <v>44.580000000000013</v>
      </c>
      <c r="E167" s="7">
        <f ca="1">D167-LARGE(D$2:D$402,RBCount+WRCount)</f>
        <v>-35.22</v>
      </c>
      <c r="F167" s="1" t="str">
        <f ca="1">IF(H167&lt;=I167,"Starter",IF(G167&gt;=LARGE(G:G,FlexOn*LeagueInfo!$F$2),"Starter","Bench"))</f>
        <v>Bench</v>
      </c>
      <c r="G167" s="1">
        <f ca="1">IF(H167&gt;I167,D167,0)</f>
        <v>44.580000000000013</v>
      </c>
      <c r="H167" s="1">
        <f ca="1">INDEX(INDIRECT(""&amp;C167&amp;"!A2:A489"),MATCH(B167,INDIRECT(""&amp;C167&amp;"!B2:B489"),0))</f>
        <v>99</v>
      </c>
      <c r="I167" s="1">
        <f>IF(C167="RB",LeagueInfo!$D$4*LeagueInfo!$F$2,LeagueInfo!$D$5*LeagueInfo!$F$2)</f>
        <v>24</v>
      </c>
    </row>
    <row r="168" spans="1:9" x14ac:dyDescent="0.25">
      <c r="A168" s="1">
        <f ca="1">RANK(E168,E$2:E$402)</f>
        <v>170</v>
      </c>
      <c r="B168" t="s">
        <v>585</v>
      </c>
      <c r="C168" t="s">
        <v>39</v>
      </c>
      <c r="D168" s="1">
        <f ca="1">INDEX(INDIRECT($C168&amp;"!O:O"),MATCH($B168,INDIRECT($C168&amp;"!B:B"),0))</f>
        <v>44.77</v>
      </c>
      <c r="E168" s="7">
        <f ca="1">D168-LARGE(D$2:D$402,RBCount+WRCount)</f>
        <v>-35.030000000000008</v>
      </c>
      <c r="F168" s="1" t="str">
        <f ca="1">IF(H168&lt;=I168,"Starter",IF(G168&gt;=LARGE(G:G,FlexOn*LeagueInfo!$F$2),"Starter","Bench"))</f>
        <v>Bench</v>
      </c>
      <c r="G168" s="1">
        <f ca="1">IF(H168&gt;I168,D168,0)</f>
        <v>44.77</v>
      </c>
      <c r="H168" s="1">
        <f ca="1">INDEX(INDIRECT(""&amp;C168&amp;"!A2:A489"),MATCH(B168,INDIRECT(""&amp;C168&amp;"!B2:B489"),0))</f>
        <v>98</v>
      </c>
      <c r="I168" s="1">
        <f>IF(C168="RB",LeagueInfo!$D$4*LeagueInfo!$F$2,LeagueInfo!$D$5*LeagueInfo!$F$2)</f>
        <v>24</v>
      </c>
    </row>
    <row r="169" spans="1:9" x14ac:dyDescent="0.25">
      <c r="A169" s="1">
        <f ca="1">RANK(E169,E$2:E$402)</f>
        <v>159</v>
      </c>
      <c r="B169" t="s">
        <v>281</v>
      </c>
      <c r="C169" t="s">
        <v>32</v>
      </c>
      <c r="D169" s="1">
        <f ca="1">INDEX(INDIRECT($C169&amp;"!O:O"),MATCH($B169,INDIRECT($C169&amp;"!B:B"),0))</f>
        <v>48.670000000000009</v>
      </c>
      <c r="E169" s="7">
        <f ca="1">D169-LARGE(D$2:D$402,RBCount+WRCount)</f>
        <v>-31.130000000000003</v>
      </c>
      <c r="F169" s="1" t="str">
        <f ca="1">IF(H169&lt;=I169,"Starter",IF(G169&gt;=LARGE(G:G,FlexOn*LeagueInfo!$F$2),"Starter","Bench"))</f>
        <v>Bench</v>
      </c>
      <c r="G169" s="1">
        <f ca="1">IF(H169&gt;I169,D169,0)</f>
        <v>48.670000000000009</v>
      </c>
      <c r="H169" s="1">
        <f ca="1">INDEX(INDIRECT(""&amp;C169&amp;"!A2:A489"),MATCH(B169,INDIRECT(""&amp;C169&amp;"!B2:B489"),0))</f>
        <v>69</v>
      </c>
      <c r="I169" s="1">
        <f>IF(C169="RB",LeagueInfo!$D$4*LeagueInfo!$F$2,LeagueInfo!$D$5*LeagueInfo!$F$2)</f>
        <v>24</v>
      </c>
    </row>
    <row r="170" spans="1:9" x14ac:dyDescent="0.25">
      <c r="A170" s="1">
        <f ca="1">RANK(E170,E$2:E$402)</f>
        <v>169</v>
      </c>
      <c r="B170" t="s">
        <v>444</v>
      </c>
      <c r="C170" t="s">
        <v>32</v>
      </c>
      <c r="D170" s="1">
        <f ca="1">INDEX(INDIRECT($C170&amp;"!O:O"),MATCH($B170,INDIRECT($C170&amp;"!B:B"),0))</f>
        <v>45.19</v>
      </c>
      <c r="E170" s="7">
        <f ca="1">D170-LARGE(D$2:D$402,RBCount+WRCount)</f>
        <v>-34.610000000000014</v>
      </c>
      <c r="F170" s="1" t="str">
        <f ca="1">IF(H170&lt;=I170,"Starter",IF(G170&gt;=LARGE(G:G,FlexOn*LeagueInfo!$F$2),"Starter","Bench"))</f>
        <v>Bench</v>
      </c>
      <c r="G170" s="1">
        <f ca="1">IF(H170&gt;I170,D170,0)</f>
        <v>45.19</v>
      </c>
      <c r="H170" s="1">
        <f ca="1">INDEX(INDIRECT(""&amp;C170&amp;"!A2:A489"),MATCH(B170,INDIRECT(""&amp;C170&amp;"!B2:B489"),0))</f>
        <v>72</v>
      </c>
      <c r="I170" s="1">
        <f>IF(C170="RB",LeagueInfo!$D$4*LeagueInfo!$F$2,LeagueInfo!$D$5*LeagueInfo!$F$2)</f>
        <v>24</v>
      </c>
    </row>
    <row r="171" spans="1:9" x14ac:dyDescent="0.25">
      <c r="A171" s="1">
        <f ca="1">RANK(E171,E$2:E$402)</f>
        <v>172</v>
      </c>
      <c r="B171" t="s">
        <v>221</v>
      </c>
      <c r="C171" t="s">
        <v>39</v>
      </c>
      <c r="D171" s="1">
        <f ca="1">INDEX(INDIRECT($C171&amp;"!O:O"),MATCH($B171,INDIRECT($C171&amp;"!B:B"),0))</f>
        <v>44.56</v>
      </c>
      <c r="E171" s="7">
        <f ca="1">D171-LARGE(D$2:D$402,RBCount+WRCount)</f>
        <v>-35.240000000000009</v>
      </c>
      <c r="F171" s="1" t="str">
        <f ca="1">IF(H171&lt;=I171,"Starter",IF(G171&gt;=LARGE(G:G,FlexOn*LeagueInfo!$F$2),"Starter","Bench"))</f>
        <v>Bench</v>
      </c>
      <c r="G171" s="1">
        <f ca="1">IF(H171&gt;I171,D171,0)</f>
        <v>44.56</v>
      </c>
      <c r="H171" s="1">
        <f ca="1">INDEX(INDIRECT(""&amp;C171&amp;"!A2:A489"),MATCH(B171,INDIRECT(""&amp;C171&amp;"!B2:B489"),0))</f>
        <v>100</v>
      </c>
      <c r="I171" s="1">
        <f>IF(C171="RB",LeagueInfo!$D$4*LeagueInfo!$F$2,LeagueInfo!$D$5*LeagueInfo!$F$2)</f>
        <v>24</v>
      </c>
    </row>
    <row r="172" spans="1:9" x14ac:dyDescent="0.25">
      <c r="A172" s="1">
        <f ca="1">RANK(E172,E$2:E$402)</f>
        <v>173</v>
      </c>
      <c r="B172" t="s">
        <v>583</v>
      </c>
      <c r="C172" t="s">
        <v>39</v>
      </c>
      <c r="D172" s="1">
        <f ca="1">INDEX(INDIRECT($C172&amp;"!O:O"),MATCH($B172,INDIRECT($C172&amp;"!B:B"),0))</f>
        <v>43.46</v>
      </c>
      <c r="E172" s="7">
        <f ca="1">D172-LARGE(D$2:D$402,RBCount+WRCount)</f>
        <v>-36.340000000000011</v>
      </c>
      <c r="F172" s="1" t="str">
        <f ca="1">IF(H172&lt;=I172,"Starter",IF(G172&gt;=LARGE(G:G,FlexOn*LeagueInfo!$F$2),"Starter","Bench"))</f>
        <v>Bench</v>
      </c>
      <c r="G172" s="1">
        <f ca="1">IF(H172&gt;I172,D172,0)</f>
        <v>43.46</v>
      </c>
      <c r="H172" s="1">
        <f ca="1">INDEX(INDIRECT(""&amp;C172&amp;"!A2:A489"),MATCH(B172,INDIRECT(""&amp;C172&amp;"!B2:B489"),0))</f>
        <v>101</v>
      </c>
      <c r="I172" s="1">
        <f>IF(C172="RB",LeagueInfo!$D$4*LeagueInfo!$F$2,LeagueInfo!$D$5*LeagueInfo!$F$2)</f>
        <v>24</v>
      </c>
    </row>
    <row r="173" spans="1:9" x14ac:dyDescent="0.25">
      <c r="A173" s="1">
        <f ca="1">RANK(E173,E$2:E$402)</f>
        <v>160</v>
      </c>
      <c r="B173" t="s">
        <v>449</v>
      </c>
      <c r="C173" t="s">
        <v>32</v>
      </c>
      <c r="D173" s="1">
        <f ca="1">INDEX(INDIRECT($C173&amp;"!O:O"),MATCH($B173,INDIRECT($C173&amp;"!B:B"),0))</f>
        <v>48.370000000000005</v>
      </c>
      <c r="E173" s="7">
        <f ca="1">D173-LARGE(D$2:D$402,RBCount+WRCount)</f>
        <v>-31.430000000000007</v>
      </c>
      <c r="F173" s="1" t="str">
        <f ca="1">IF(H173&lt;=I173,"Starter",IF(G173&gt;=LARGE(G:G,FlexOn*LeagueInfo!$F$2),"Starter","Bench"))</f>
        <v>Bench</v>
      </c>
      <c r="G173" s="1">
        <f ca="1">IF(H173&gt;I173,D173,0)</f>
        <v>48.370000000000005</v>
      </c>
      <c r="H173" s="1">
        <f ca="1">INDEX(INDIRECT(""&amp;C173&amp;"!A2:A489"),MATCH(B173,INDIRECT(""&amp;C173&amp;"!B2:B489"),0))</f>
        <v>70</v>
      </c>
      <c r="I173" s="1">
        <f>IF(C173="RB",LeagueInfo!$D$4*LeagueInfo!$F$2,LeagueInfo!$D$5*LeagueInfo!$F$2)</f>
        <v>24</v>
      </c>
    </row>
    <row r="174" spans="1:9" x14ac:dyDescent="0.25">
      <c r="A174" s="1">
        <f ca="1">RANK(E174,E$2:E$402)</f>
        <v>165</v>
      </c>
      <c r="B174" t="s">
        <v>450</v>
      </c>
      <c r="C174" t="s">
        <v>32</v>
      </c>
      <c r="D174" s="1">
        <f ca="1">INDEX(INDIRECT($C174&amp;"!O:O"),MATCH($B174,INDIRECT($C174&amp;"!B:B"),0))</f>
        <v>46.65</v>
      </c>
      <c r="E174" s="7">
        <f ca="1">D174-LARGE(D$2:D$402,RBCount+WRCount)</f>
        <v>-33.150000000000013</v>
      </c>
      <c r="F174" s="1" t="str">
        <f ca="1">IF(H174&lt;=I174,"Starter",IF(G174&gt;=LARGE(G:G,FlexOn*LeagueInfo!$F$2),"Starter","Bench"))</f>
        <v>Bench</v>
      </c>
      <c r="G174" s="1">
        <f ca="1">IF(H174&gt;I174,D174,0)</f>
        <v>46.65</v>
      </c>
      <c r="H174" s="1">
        <f ca="1">INDEX(INDIRECT(""&amp;C174&amp;"!A2:A489"),MATCH(B174,INDIRECT(""&amp;C174&amp;"!B2:B489"),0))</f>
        <v>71</v>
      </c>
      <c r="I174" s="1">
        <f>IF(C174="RB",LeagueInfo!$D$4*LeagueInfo!$F$2,LeagueInfo!$D$5*LeagueInfo!$F$2)</f>
        <v>24</v>
      </c>
    </row>
    <row r="175" spans="1:9" x14ac:dyDescent="0.25">
      <c r="A175" s="1">
        <f ca="1">RANK(E175,E$2:E$402)</f>
        <v>174</v>
      </c>
      <c r="B175" s="1" t="s">
        <v>597</v>
      </c>
      <c r="C175" s="1" t="s">
        <v>39</v>
      </c>
      <c r="D175" s="1">
        <f ca="1">INDEX(INDIRECT($C175&amp;"!O:O"),MATCH($B175,INDIRECT($C175&amp;"!B:B"),0))</f>
        <v>42.110000000000007</v>
      </c>
      <c r="E175" s="7">
        <f ca="1">D175-LARGE(D$2:D$402,RBCount+WRCount)</f>
        <v>-37.690000000000005</v>
      </c>
      <c r="F175" s="1" t="str">
        <f ca="1">IF(H175&lt;=I175,"Starter",IF(G175&gt;=LARGE(G:G,FlexOn*LeagueInfo!$F$2),"Starter","Bench"))</f>
        <v>Bench</v>
      </c>
      <c r="G175" s="1">
        <f ca="1">IF(H175&gt;I175,D175,0)</f>
        <v>42.110000000000007</v>
      </c>
      <c r="H175" s="1">
        <f ca="1">INDEX(INDIRECT(""&amp;C175&amp;"!A2:A489"),MATCH(B175,INDIRECT(""&amp;C175&amp;"!B2:B489"),0))</f>
        <v>102</v>
      </c>
      <c r="I175" s="1">
        <f>IF(C175="RB",LeagueInfo!$D$4*LeagueInfo!$F$2,LeagueInfo!$D$5*LeagueInfo!$F$2)</f>
        <v>24</v>
      </c>
    </row>
    <row r="176" spans="1:9" x14ac:dyDescent="0.25">
      <c r="A176" s="1">
        <f ca="1">RANK(E176,E$2:E$402)</f>
        <v>179</v>
      </c>
      <c r="B176" s="1" t="s">
        <v>582</v>
      </c>
      <c r="C176" s="1" t="s">
        <v>39</v>
      </c>
      <c r="D176" s="1">
        <f ca="1">INDEX(INDIRECT($C176&amp;"!O:O"),MATCH($B176,INDIRECT($C176&amp;"!B:B"),0))</f>
        <v>38.85</v>
      </c>
      <c r="E176" s="7">
        <f ca="1">D176-LARGE(D$2:D$402,RBCount+WRCount)</f>
        <v>-40.95000000000001</v>
      </c>
      <c r="F176" s="1" t="str">
        <f ca="1">IF(H176&lt;=I176,"Starter",IF(G176&gt;=LARGE(G:G,FlexOn*LeagueInfo!$F$2),"Starter","Bench"))</f>
        <v>Bench</v>
      </c>
      <c r="G176" s="1">
        <f ca="1">IF(H176&gt;I176,D176,0)</f>
        <v>38.85</v>
      </c>
      <c r="H176" s="1">
        <f ca="1">INDEX(INDIRECT(""&amp;C176&amp;"!A2:A489"),MATCH(B176,INDIRECT(""&amp;C176&amp;"!B2:B489"),0))</f>
        <v>104</v>
      </c>
      <c r="I176" s="1">
        <f>IF(C176="RB",LeagueInfo!$D$4*LeagueInfo!$F$2,LeagueInfo!$D$5*LeagueInfo!$F$2)</f>
        <v>24</v>
      </c>
    </row>
    <row r="177" spans="1:9" x14ac:dyDescent="0.25">
      <c r="A177" s="1">
        <f ca="1">RANK(E177,E$2:E$402)</f>
        <v>182</v>
      </c>
      <c r="B177" s="1" t="s">
        <v>457</v>
      </c>
      <c r="C177" s="1" t="s">
        <v>32</v>
      </c>
      <c r="D177" s="1">
        <f ca="1">INDEX(INDIRECT($C177&amp;"!O:O"),MATCH($B177,INDIRECT($C177&amp;"!B:B"),0))</f>
        <v>37.6</v>
      </c>
      <c r="E177" s="7">
        <f ca="1">D177-LARGE(D$2:D$402,RBCount+WRCount)</f>
        <v>-42.20000000000001</v>
      </c>
      <c r="F177" s="1" t="str">
        <f ca="1">IF(H177&lt;=I177,"Starter",IF(G177&gt;=LARGE(G:G,FlexOn*LeagueInfo!$F$2),"Starter","Bench"))</f>
        <v>Bench</v>
      </c>
      <c r="G177" s="1">
        <f ca="1">IF(H177&gt;I177,D177,0)</f>
        <v>37.6</v>
      </c>
      <c r="H177" s="1">
        <f ca="1">INDEX(INDIRECT(""&amp;C177&amp;"!A2:A489"),MATCH(B177,INDIRECT(""&amp;C177&amp;"!B2:B489"),0))</f>
        <v>77</v>
      </c>
      <c r="I177" s="1">
        <f>IF(C177="RB",LeagueInfo!$D$4*LeagueInfo!$F$2,LeagueInfo!$D$5*LeagueInfo!$F$2)</f>
        <v>24</v>
      </c>
    </row>
    <row r="178" spans="1:9" x14ac:dyDescent="0.25">
      <c r="A178" s="1">
        <f ca="1">RANK(E178,E$2:E$402)</f>
        <v>180</v>
      </c>
      <c r="B178" s="1" t="s">
        <v>591</v>
      </c>
      <c r="C178" s="1" t="s">
        <v>39</v>
      </c>
      <c r="D178" s="1">
        <f ca="1">INDEX(INDIRECT($C178&amp;"!O:O"),MATCH($B178,INDIRECT($C178&amp;"!B:B"),0))</f>
        <v>38.39</v>
      </c>
      <c r="E178" s="7">
        <f ca="1">D178-LARGE(D$2:D$402,RBCount+WRCount)</f>
        <v>-41.410000000000011</v>
      </c>
      <c r="F178" s="1" t="str">
        <f ca="1">IF(H178&lt;=I178,"Starter",IF(G178&gt;=LARGE(G:G,FlexOn*LeagueInfo!$F$2),"Starter","Bench"))</f>
        <v>Bench</v>
      </c>
      <c r="G178" s="1">
        <f ca="1">IF(H178&gt;I178,D178,0)</f>
        <v>38.39</v>
      </c>
      <c r="H178" s="1">
        <f ca="1">INDEX(INDIRECT(""&amp;C178&amp;"!A2:A489"),MATCH(B178,INDIRECT(""&amp;C178&amp;"!B2:B489"),0))</f>
        <v>105</v>
      </c>
      <c r="I178" s="1">
        <f>IF(C178="RB",LeagueInfo!$D$4*LeagueInfo!$F$2,LeagueInfo!$D$5*LeagueInfo!$F$2)</f>
        <v>24</v>
      </c>
    </row>
    <row r="179" spans="1:9" x14ac:dyDescent="0.25">
      <c r="A179" s="1">
        <f ca="1">RANK(E179,E$2:E$402)</f>
        <v>178</v>
      </c>
      <c r="B179" s="1" t="s">
        <v>586</v>
      </c>
      <c r="C179" s="1" t="s">
        <v>39</v>
      </c>
      <c r="D179" s="1">
        <f ca="1">INDEX(INDIRECT($C179&amp;"!O:O"),MATCH($B179,INDIRECT($C179&amp;"!B:B"),0))</f>
        <v>38.940000000000005</v>
      </c>
      <c r="E179" s="7">
        <f ca="1">D179-LARGE(D$2:D$402,RBCount+WRCount)</f>
        <v>-40.860000000000007</v>
      </c>
      <c r="F179" s="1" t="str">
        <f ca="1">IF(H179&lt;=I179,"Starter",IF(G179&gt;=LARGE(G:G,FlexOn*LeagueInfo!$F$2),"Starter","Bench"))</f>
        <v>Bench</v>
      </c>
      <c r="G179" s="1">
        <f ca="1">IF(H179&gt;I179,D179,0)</f>
        <v>38.940000000000005</v>
      </c>
      <c r="H179" s="1">
        <f ca="1">INDEX(INDIRECT(""&amp;C179&amp;"!A2:A489"),MATCH(B179,INDIRECT(""&amp;C179&amp;"!B2:B489"),0))</f>
        <v>103</v>
      </c>
      <c r="I179" s="1">
        <f>IF(C179="RB",LeagueInfo!$D$4*LeagueInfo!$F$2,LeagueInfo!$D$5*LeagueInfo!$F$2)</f>
        <v>24</v>
      </c>
    </row>
    <row r="180" spans="1:9" x14ac:dyDescent="0.25">
      <c r="A180" s="1">
        <f ca="1">RANK(E180,E$2:E$402)</f>
        <v>184</v>
      </c>
      <c r="B180" s="1" t="s">
        <v>598</v>
      </c>
      <c r="C180" s="1" t="s">
        <v>39</v>
      </c>
      <c r="D180" s="1">
        <f ca="1">INDEX(INDIRECT($C180&amp;"!O:O"),MATCH($B180,INDIRECT($C180&amp;"!B:B"),0))</f>
        <v>36.6</v>
      </c>
      <c r="E180" s="7">
        <f ca="1">D180-LARGE(D$2:D$402,RBCount+WRCount)</f>
        <v>-43.20000000000001</v>
      </c>
      <c r="F180" s="1" t="str">
        <f ca="1">IF(H180&lt;=I180,"Starter",IF(G180&gt;=LARGE(G:G,FlexOn*LeagueInfo!$F$2),"Starter","Bench"))</f>
        <v>Bench</v>
      </c>
      <c r="G180" s="1">
        <f ca="1">IF(H180&gt;I180,D180,0)</f>
        <v>36.6</v>
      </c>
      <c r="H180" s="1">
        <f ca="1">INDEX(INDIRECT(""&amp;C180&amp;"!A2:A489"),MATCH(B180,INDIRECT(""&amp;C180&amp;"!B2:B489"),0))</f>
        <v>106</v>
      </c>
      <c r="I180" s="1">
        <f>IF(C180="RB",LeagueInfo!$D$4*LeagueInfo!$F$2,LeagueInfo!$D$5*LeagueInfo!$F$2)</f>
        <v>24</v>
      </c>
    </row>
    <row r="181" spans="1:9" x14ac:dyDescent="0.25">
      <c r="A181" s="1">
        <f ca="1">RANK(E181,E$2:E$402)</f>
        <v>191</v>
      </c>
      <c r="B181" s="1" t="s">
        <v>460</v>
      </c>
      <c r="C181" s="1" t="s">
        <v>32</v>
      </c>
      <c r="D181" s="1">
        <f ca="1">INDEX(INDIRECT($C181&amp;"!O:O"),MATCH($B181,INDIRECT($C181&amp;"!B:B"),0))</f>
        <v>33.400000000000006</v>
      </c>
      <c r="E181" s="7">
        <f ca="1">D181-LARGE(D$2:D$402,RBCount+WRCount)</f>
        <v>-46.400000000000006</v>
      </c>
      <c r="F181" s="1" t="str">
        <f ca="1">IF(H181&lt;=I181,"Starter",IF(G181&gt;=LARGE(G:G,FlexOn*LeagueInfo!$F$2),"Starter","Bench"))</f>
        <v>Bench</v>
      </c>
      <c r="G181" s="1">
        <f ca="1">IF(H181&gt;I181,D181,0)</f>
        <v>33.400000000000006</v>
      </c>
      <c r="H181" s="1">
        <f ca="1">INDEX(INDIRECT(""&amp;C181&amp;"!A2:A489"),MATCH(B181,INDIRECT(""&amp;C181&amp;"!B2:B489"),0))</f>
        <v>80</v>
      </c>
      <c r="I181" s="1">
        <f>IF(C181="RB",LeagueInfo!$D$4*LeagueInfo!$F$2,LeagueInfo!$D$5*LeagueInfo!$F$2)</f>
        <v>24</v>
      </c>
    </row>
    <row r="182" spans="1:9" x14ac:dyDescent="0.25">
      <c r="A182" s="1">
        <f ca="1">RANK(E182,E$2:E$402)</f>
        <v>175</v>
      </c>
      <c r="B182" s="1" t="s">
        <v>454</v>
      </c>
      <c r="C182" s="1" t="s">
        <v>32</v>
      </c>
      <c r="D182" s="1">
        <f ca="1">INDEX(INDIRECT($C182&amp;"!O:O"),MATCH($B182,INDIRECT($C182&amp;"!B:B"),0))</f>
        <v>42.010000000000005</v>
      </c>
      <c r="E182" s="7">
        <f ca="1">D182-LARGE(D$2:D$402,RBCount+WRCount)</f>
        <v>-37.790000000000006</v>
      </c>
      <c r="F182" s="1" t="str">
        <f ca="1">IF(H182&lt;=I182,"Starter",IF(G182&gt;=LARGE(G:G,FlexOn*LeagueInfo!$F$2),"Starter","Bench"))</f>
        <v>Bench</v>
      </c>
      <c r="G182" s="1">
        <f ca="1">IF(H182&gt;I182,D182,0)</f>
        <v>42.010000000000005</v>
      </c>
      <c r="H182" s="1">
        <f ca="1">INDEX(INDIRECT(""&amp;C182&amp;"!A2:A489"),MATCH(B182,INDIRECT(""&amp;C182&amp;"!B2:B489"),0))</f>
        <v>73</v>
      </c>
      <c r="I182" s="1">
        <f>IF(C182="RB",LeagueInfo!$D$4*LeagueInfo!$F$2,LeagueInfo!$D$5*LeagueInfo!$F$2)</f>
        <v>24</v>
      </c>
    </row>
    <row r="183" spans="1:9" x14ac:dyDescent="0.25">
      <c r="A183" s="1">
        <f ca="1">RANK(E183,E$2:E$402)</f>
        <v>187</v>
      </c>
      <c r="B183" s="1" t="s">
        <v>592</v>
      </c>
      <c r="C183" s="1" t="s">
        <v>39</v>
      </c>
      <c r="D183" s="1">
        <f ca="1">INDEX(INDIRECT($C183&amp;"!O:O"),MATCH($B183,INDIRECT($C183&amp;"!B:B"),0))</f>
        <v>35.050000000000004</v>
      </c>
      <c r="E183" s="7">
        <f ca="1">D183-LARGE(D$2:D$402,RBCount+WRCount)</f>
        <v>-44.750000000000007</v>
      </c>
      <c r="F183" s="1" t="str">
        <f ca="1">IF(H183&lt;=I183,"Starter",IF(G183&gt;=LARGE(G:G,FlexOn*LeagueInfo!$F$2),"Starter","Bench"))</f>
        <v>Bench</v>
      </c>
      <c r="G183" s="1">
        <f ca="1">IF(H183&gt;I183,D183,0)</f>
        <v>35.050000000000004</v>
      </c>
      <c r="H183" s="1">
        <f ca="1">INDEX(INDIRECT(""&amp;C183&amp;"!A2:A489"),MATCH(B183,INDIRECT(""&amp;C183&amp;"!B2:B489"),0))</f>
        <v>108</v>
      </c>
      <c r="I183" s="1">
        <f>IF(C183="RB",LeagueInfo!$D$4*LeagueInfo!$F$2,LeagueInfo!$D$5*LeagueInfo!$F$2)</f>
        <v>24</v>
      </c>
    </row>
    <row r="184" spans="1:9" x14ac:dyDescent="0.25">
      <c r="A184" s="1">
        <f ca="1">RANK(E184,E$2:E$402)</f>
        <v>188</v>
      </c>
      <c r="B184" s="1" t="s">
        <v>599</v>
      </c>
      <c r="C184" s="1" t="s">
        <v>39</v>
      </c>
      <c r="D184" s="1">
        <f ca="1">INDEX(INDIRECT($C184&amp;"!O:O"),MATCH($B184,INDIRECT($C184&amp;"!B:B"),0))</f>
        <v>34.78</v>
      </c>
      <c r="E184" s="7">
        <f ca="1">D184-LARGE(D$2:D$402,RBCount+WRCount)</f>
        <v>-45.02000000000001</v>
      </c>
      <c r="F184" s="1" t="str">
        <f ca="1">IF(H184&lt;=I184,"Starter",IF(G184&gt;=LARGE(G:G,FlexOn*LeagueInfo!$F$2),"Starter","Bench"))</f>
        <v>Bench</v>
      </c>
      <c r="G184" s="1">
        <f ca="1">IF(H184&gt;I184,D184,0)</f>
        <v>34.78</v>
      </c>
      <c r="H184" s="1">
        <f ca="1">INDEX(INDIRECT(""&amp;C184&amp;"!A2:A489"),MATCH(B184,INDIRECT(""&amp;C184&amp;"!B2:B489"),0))</f>
        <v>109</v>
      </c>
      <c r="I184" s="1">
        <f>IF(C184="RB",LeagueInfo!$D$4*LeagueInfo!$F$2,LeagueInfo!$D$5*LeagueInfo!$F$2)</f>
        <v>24</v>
      </c>
    </row>
    <row r="185" spans="1:9" x14ac:dyDescent="0.25">
      <c r="A185" s="1">
        <f ca="1">RANK(E185,E$2:E$402)</f>
        <v>186</v>
      </c>
      <c r="B185" s="1" t="s">
        <v>602</v>
      </c>
      <c r="C185" s="1" t="s">
        <v>39</v>
      </c>
      <c r="D185" s="1">
        <f ca="1">INDEX(INDIRECT($C185&amp;"!O:O"),MATCH($B185,INDIRECT($C185&amp;"!B:B"),0))</f>
        <v>35.479999999999997</v>
      </c>
      <c r="E185" s="7">
        <f ca="1">D185-LARGE(D$2:D$402,RBCount+WRCount)</f>
        <v>-44.320000000000014</v>
      </c>
      <c r="F185" s="1" t="str">
        <f ca="1">IF(H185&lt;=I185,"Starter",IF(G185&gt;=LARGE(G:G,FlexOn*LeagueInfo!$F$2),"Starter","Bench"))</f>
        <v>Bench</v>
      </c>
      <c r="G185" s="1">
        <f ca="1">IF(H185&gt;I185,D185,0)</f>
        <v>35.479999999999997</v>
      </c>
      <c r="H185" s="1">
        <f ca="1">INDEX(INDIRECT(""&amp;C185&amp;"!A2:A489"),MATCH(B185,INDIRECT(""&amp;C185&amp;"!B2:B489"),0))</f>
        <v>107</v>
      </c>
      <c r="I185" s="1">
        <f>IF(C185="RB",LeagueInfo!$D$4*LeagueInfo!$F$2,LeagueInfo!$D$5*LeagueInfo!$F$2)</f>
        <v>24</v>
      </c>
    </row>
    <row r="186" spans="1:9" x14ac:dyDescent="0.25">
      <c r="A186" s="1">
        <f ca="1">RANK(E186,E$2:E$402)</f>
        <v>197</v>
      </c>
      <c r="B186" s="1" t="s">
        <v>461</v>
      </c>
      <c r="C186" s="1" t="s">
        <v>39</v>
      </c>
      <c r="D186" s="1">
        <f ca="1">INDEX(INDIRECT($C186&amp;"!O:O"),MATCH($B186,INDIRECT($C186&amp;"!B:B"),0))</f>
        <v>32.25</v>
      </c>
      <c r="E186" s="7">
        <f ca="1">D186-LARGE(D$2:D$402,RBCount+WRCount)</f>
        <v>-47.550000000000011</v>
      </c>
      <c r="F186" s="1" t="str">
        <f ca="1">IF(H186&lt;=I186,"Starter",IF(G186&gt;=LARGE(G:G,FlexOn*LeagueInfo!$F$2),"Starter","Bench"))</f>
        <v>Bench</v>
      </c>
      <c r="G186" s="1">
        <f ca="1">IF(H186&gt;I186,D186,0)</f>
        <v>32.25</v>
      </c>
      <c r="H186" s="1">
        <f ca="1">INDEX(INDIRECT(""&amp;C186&amp;"!A2:A489"),MATCH(B186,INDIRECT(""&amp;C186&amp;"!B2:B489"),0))</f>
        <v>113</v>
      </c>
      <c r="I186" s="1">
        <f>IF(C186="RB",LeagueInfo!$D$4*LeagueInfo!$F$2,LeagueInfo!$D$5*LeagueInfo!$F$2)</f>
        <v>24</v>
      </c>
    </row>
    <row r="187" spans="1:9" x14ac:dyDescent="0.25">
      <c r="A187" s="1">
        <f ca="1">RANK(E187,E$2:E$402)</f>
        <v>181</v>
      </c>
      <c r="B187" s="1" t="s">
        <v>456</v>
      </c>
      <c r="C187" s="1" t="s">
        <v>32</v>
      </c>
      <c r="D187" s="1">
        <f ca="1">INDEX(INDIRECT($C187&amp;"!O:O"),MATCH($B187,INDIRECT($C187&amp;"!B:B"),0))</f>
        <v>37.840000000000003</v>
      </c>
      <c r="E187" s="7">
        <f ca="1">D187-LARGE(D$2:D$402,RBCount+WRCount)</f>
        <v>-41.960000000000008</v>
      </c>
      <c r="F187" s="1" t="str">
        <f ca="1">IF(H187&lt;=I187,"Starter",IF(G187&gt;=LARGE(G:G,FlexOn*LeagueInfo!$F$2),"Starter","Bench"))</f>
        <v>Bench</v>
      </c>
      <c r="G187" s="1">
        <f ca="1">IF(H187&gt;I187,D187,0)</f>
        <v>37.840000000000003</v>
      </c>
      <c r="H187" s="1">
        <f ca="1">INDEX(INDIRECT(""&amp;C187&amp;"!A2:A489"),MATCH(B187,INDIRECT(""&amp;C187&amp;"!B2:B489"),0))</f>
        <v>76</v>
      </c>
      <c r="I187" s="1">
        <f>IF(C187="RB",LeagueInfo!$D$4*LeagueInfo!$F$2,LeagueInfo!$D$5*LeagueInfo!$F$2)</f>
        <v>24</v>
      </c>
    </row>
    <row r="188" spans="1:9" x14ac:dyDescent="0.25">
      <c r="A188" s="1">
        <f ca="1">RANK(E188,E$2:E$402)</f>
        <v>177</v>
      </c>
      <c r="B188" s="1" t="s">
        <v>191</v>
      </c>
      <c r="C188" s="1" t="s">
        <v>32</v>
      </c>
      <c r="D188" s="1">
        <f ca="1">INDEX(INDIRECT($C188&amp;"!O:O"),MATCH($B188,INDIRECT($C188&amp;"!B:B"),0))</f>
        <v>39.15</v>
      </c>
      <c r="E188" s="7">
        <f ca="1">D188-LARGE(D$2:D$402,RBCount+WRCount)</f>
        <v>-40.650000000000013</v>
      </c>
      <c r="F188" s="1" t="str">
        <f ca="1">IF(H188&lt;=I188,"Starter",IF(G188&gt;=LARGE(G:G,FlexOn*LeagueInfo!$F$2),"Starter","Bench"))</f>
        <v>Bench</v>
      </c>
      <c r="G188" s="1">
        <f ca="1">IF(H188&gt;I188,D188,0)</f>
        <v>39.15</v>
      </c>
      <c r="H188" s="1">
        <f ca="1">INDEX(INDIRECT(""&amp;C188&amp;"!A2:A489"),MATCH(B188,INDIRECT(""&amp;C188&amp;"!B2:B489"),0))</f>
        <v>75</v>
      </c>
      <c r="I188" s="1">
        <f>IF(C188="RB",LeagueInfo!$D$4*LeagueInfo!$F$2,LeagueInfo!$D$5*LeagueInfo!$F$2)</f>
        <v>24</v>
      </c>
    </row>
    <row r="189" spans="1:9" x14ac:dyDescent="0.25">
      <c r="A189" s="1">
        <f ca="1">RANK(E189,E$2:E$402)</f>
        <v>183</v>
      </c>
      <c r="B189" s="1" t="s">
        <v>453</v>
      </c>
      <c r="C189" s="1" t="s">
        <v>32</v>
      </c>
      <c r="D189" s="1">
        <f ca="1">INDEX(INDIRECT($C189&amp;"!O:O"),MATCH($B189,INDIRECT($C189&amp;"!B:B"),0))</f>
        <v>37.28</v>
      </c>
      <c r="E189" s="7">
        <f ca="1">D189-LARGE(D$2:D$402,RBCount+WRCount)</f>
        <v>-42.52000000000001</v>
      </c>
      <c r="F189" s="1" t="str">
        <f ca="1">IF(H189&lt;=I189,"Starter",IF(G189&gt;=LARGE(G:G,FlexOn*LeagueInfo!$F$2),"Starter","Bench"))</f>
        <v>Bench</v>
      </c>
      <c r="G189" s="1">
        <f ca="1">IF(H189&gt;I189,D189,0)</f>
        <v>37.28</v>
      </c>
      <c r="H189" s="1">
        <f ca="1">INDEX(INDIRECT(""&amp;C189&amp;"!A2:A489"),MATCH(B189,INDIRECT(""&amp;C189&amp;"!B2:B489"),0))</f>
        <v>78</v>
      </c>
      <c r="I189" s="1">
        <f>IF(C189="RB",LeagueInfo!$D$4*LeagueInfo!$F$2,LeagueInfo!$D$5*LeagueInfo!$F$2)</f>
        <v>24</v>
      </c>
    </row>
    <row r="190" spans="1:9" x14ac:dyDescent="0.25">
      <c r="A190" s="1">
        <f ca="1">RANK(E190,E$2:E$402)</f>
        <v>189</v>
      </c>
      <c r="B190" s="1" t="s">
        <v>587</v>
      </c>
      <c r="C190" s="1" t="s">
        <v>39</v>
      </c>
      <c r="D190" s="1">
        <f ca="1">INDEX(INDIRECT($C190&amp;"!O:O"),MATCH($B190,INDIRECT($C190&amp;"!B:B"),0))</f>
        <v>34.550000000000004</v>
      </c>
      <c r="E190" s="7">
        <f ca="1">D190-LARGE(D$2:D$402,RBCount+WRCount)</f>
        <v>-45.250000000000007</v>
      </c>
      <c r="F190" s="1" t="str">
        <f ca="1">IF(H190&lt;=I190,"Starter",IF(G190&gt;=LARGE(G:G,FlexOn*LeagueInfo!$F$2),"Starter","Bench"))</f>
        <v>Bench</v>
      </c>
      <c r="G190" s="1">
        <f ca="1">IF(H190&gt;I190,D190,0)</f>
        <v>34.550000000000004</v>
      </c>
      <c r="H190" s="1">
        <f ca="1">INDEX(INDIRECT(""&amp;C190&amp;"!A2:A489"),MATCH(B190,INDIRECT(""&amp;C190&amp;"!B2:B489"),0))</f>
        <v>110</v>
      </c>
      <c r="I190" s="1">
        <f>IF(C190="RB",LeagueInfo!$D$4*LeagueInfo!$F$2,LeagueInfo!$D$5*LeagueInfo!$F$2)</f>
        <v>24</v>
      </c>
    </row>
    <row r="191" spans="1:9" x14ac:dyDescent="0.25">
      <c r="A191" s="1">
        <f ca="1">RANK(E191,E$2:E$402)</f>
        <v>190</v>
      </c>
      <c r="B191" s="1" t="s">
        <v>590</v>
      </c>
      <c r="C191" s="1" t="s">
        <v>39</v>
      </c>
      <c r="D191" s="1">
        <f ca="1">INDEX(INDIRECT($C191&amp;"!O:O"),MATCH($B191,INDIRECT($C191&amp;"!B:B"),0))</f>
        <v>34</v>
      </c>
      <c r="E191" s="7">
        <f ca="1">D191-LARGE(D$2:D$402,RBCount+WRCount)</f>
        <v>-45.800000000000011</v>
      </c>
      <c r="F191" s="1" t="str">
        <f ca="1">IF(H191&lt;=I191,"Starter",IF(G191&gt;=LARGE(G:G,FlexOn*LeagueInfo!$F$2),"Starter","Bench"))</f>
        <v>Bench</v>
      </c>
      <c r="G191" s="1">
        <f ca="1">IF(H191&gt;I191,D191,0)</f>
        <v>34</v>
      </c>
      <c r="H191" s="1">
        <f ca="1">INDEX(INDIRECT(""&amp;C191&amp;"!A2:A489"),MATCH(B191,INDIRECT(""&amp;C191&amp;"!B2:B489"),0))</f>
        <v>111</v>
      </c>
      <c r="I191" s="1">
        <f>IF(C191="RB",LeagueInfo!$D$4*LeagueInfo!$F$2,LeagueInfo!$D$5*LeagueInfo!$F$2)</f>
        <v>24</v>
      </c>
    </row>
    <row r="192" spans="1:9" x14ac:dyDescent="0.25">
      <c r="A192" s="1">
        <f ca="1">RANK(E192,E$2:E$402)</f>
        <v>176</v>
      </c>
      <c r="B192" s="1" t="s">
        <v>475</v>
      </c>
      <c r="C192" s="1" t="s">
        <v>32</v>
      </c>
      <c r="D192" s="1">
        <f ca="1">INDEX(INDIRECT($C192&amp;"!O:O"),MATCH($B192,INDIRECT($C192&amp;"!B:B"),0))</f>
        <v>39.39</v>
      </c>
      <c r="E192" s="7">
        <f ca="1">D192-LARGE(D$2:D$402,RBCount+WRCount)</f>
        <v>-40.410000000000011</v>
      </c>
      <c r="F192" s="1" t="str">
        <f ca="1">IF(H192&lt;=I192,"Starter",IF(G192&gt;=LARGE(G:G,FlexOn*LeagueInfo!$F$2),"Starter","Bench"))</f>
        <v>Bench</v>
      </c>
      <c r="G192" s="1">
        <f ca="1">IF(H192&gt;I192,D192,0)</f>
        <v>39.39</v>
      </c>
      <c r="H192" s="1">
        <f ca="1">INDEX(INDIRECT(""&amp;C192&amp;"!A2:A489"),MATCH(B192,INDIRECT(""&amp;C192&amp;"!B2:B489"),0))</f>
        <v>74</v>
      </c>
      <c r="I192" s="1">
        <f>IF(C192="RB",LeagueInfo!$D$4*LeagueInfo!$F$2,LeagueInfo!$D$5*LeagueInfo!$F$2)</f>
        <v>24</v>
      </c>
    </row>
    <row r="193" spans="1:9" x14ac:dyDescent="0.25">
      <c r="A193" s="1">
        <f ca="1">RANK(E193,E$2:E$402)</f>
        <v>185</v>
      </c>
      <c r="B193" s="1" t="s">
        <v>462</v>
      </c>
      <c r="C193" s="1" t="s">
        <v>32</v>
      </c>
      <c r="D193" s="1">
        <f ca="1">INDEX(INDIRECT($C193&amp;"!O:O"),MATCH($B193,INDIRECT($C193&amp;"!B:B"),0))</f>
        <v>35.51</v>
      </c>
      <c r="E193" s="7">
        <f ca="1">D193-LARGE(D$2:D$402,RBCount+WRCount)</f>
        <v>-44.290000000000013</v>
      </c>
      <c r="F193" s="1" t="str">
        <f ca="1">IF(H193&lt;=I193,"Starter",IF(G193&gt;=LARGE(G:G,FlexOn*LeagueInfo!$F$2),"Starter","Bench"))</f>
        <v>Bench</v>
      </c>
      <c r="G193" s="1">
        <f ca="1">IF(H193&gt;I193,D193,0)</f>
        <v>35.51</v>
      </c>
      <c r="H193" s="1">
        <f ca="1">INDEX(INDIRECT(""&amp;C193&amp;"!A2:A489"),MATCH(B193,INDIRECT(""&amp;C193&amp;"!B2:B489"),0))</f>
        <v>79</v>
      </c>
      <c r="I193" s="1">
        <f>IF(C193="RB",LeagueInfo!$D$4*LeagueInfo!$F$2,LeagueInfo!$D$5*LeagueInfo!$F$2)</f>
        <v>24</v>
      </c>
    </row>
    <row r="194" spans="1:9" x14ac:dyDescent="0.25">
      <c r="A194" s="1">
        <f ca="1">RANK(E194,E$2:E$402)</f>
        <v>194</v>
      </c>
      <c r="B194" s="1" t="s">
        <v>593</v>
      </c>
      <c r="C194" s="1" t="s">
        <v>39</v>
      </c>
      <c r="D194" s="1">
        <f ca="1">INDEX(INDIRECT($C194&amp;"!O:O"),MATCH($B194,INDIRECT($C194&amp;"!B:B"),0))</f>
        <v>32.700000000000003</v>
      </c>
      <c r="E194" s="7">
        <f ca="1">D194-LARGE(D$2:D$402,RBCount+WRCount)</f>
        <v>-47.100000000000009</v>
      </c>
      <c r="F194" s="1" t="str">
        <f ca="1">IF(H194&lt;=I194,"Starter",IF(G194&gt;=LARGE(G:G,FlexOn*LeagueInfo!$F$2),"Starter","Bench"))</f>
        <v>Bench</v>
      </c>
      <c r="G194" s="1">
        <f ca="1">IF(H194&gt;I194,D194,0)</f>
        <v>32.700000000000003</v>
      </c>
      <c r="H194" s="1">
        <f ca="1">INDEX(INDIRECT(""&amp;C194&amp;"!A2:A489"),MATCH(B194,INDIRECT(""&amp;C194&amp;"!B2:B489"),0))</f>
        <v>112</v>
      </c>
      <c r="I194" s="1">
        <f>IF(C194="RB",LeagueInfo!$D$4*LeagueInfo!$F$2,LeagueInfo!$D$5*LeagueInfo!$F$2)</f>
        <v>24</v>
      </c>
    </row>
    <row r="195" spans="1:9" x14ac:dyDescent="0.25">
      <c r="A195" s="1">
        <f ca="1">RANK(E195,E$2:E$402)</f>
        <v>203</v>
      </c>
      <c r="B195" s="1" t="s">
        <v>603</v>
      </c>
      <c r="C195" s="1" t="s">
        <v>39</v>
      </c>
      <c r="D195" s="1">
        <f ca="1">INDEX(INDIRECT($C195&amp;"!O:O"),MATCH($B195,INDIRECT($C195&amp;"!B:B"),0))</f>
        <v>29.990000000000002</v>
      </c>
      <c r="E195" s="7">
        <f ca="1">D195-LARGE(D$2:D$402,RBCount+WRCount)</f>
        <v>-49.810000000000009</v>
      </c>
      <c r="F195" s="1" t="str">
        <f ca="1">IF(H195&lt;=I195,"Starter",IF(G195&gt;=LARGE(G:G,FlexOn*LeagueInfo!$F$2),"Starter","Bench"))</f>
        <v>Bench</v>
      </c>
      <c r="G195" s="1">
        <f ca="1">IF(H195&gt;I195,D195,0)</f>
        <v>29.990000000000002</v>
      </c>
      <c r="H195" s="1">
        <f ca="1">INDEX(INDIRECT(""&amp;C195&amp;"!A2:A489"),MATCH(B195,INDIRECT(""&amp;C195&amp;"!B2:B489"),0))</f>
        <v>117</v>
      </c>
      <c r="I195" s="1">
        <f>IF(C195="RB",LeagueInfo!$D$4*LeagueInfo!$F$2,LeagueInfo!$D$5*LeagueInfo!$F$2)</f>
        <v>24</v>
      </c>
    </row>
    <row r="196" spans="1:9" x14ac:dyDescent="0.25">
      <c r="A196" s="1">
        <f ca="1">RANK(E196,E$2:E$402)</f>
        <v>201</v>
      </c>
      <c r="B196" s="1" t="s">
        <v>604</v>
      </c>
      <c r="C196" s="1" t="s">
        <v>39</v>
      </c>
      <c r="D196" s="1">
        <f ca="1">INDEX(INDIRECT($C196&amp;"!O:O"),MATCH($B196,INDIRECT($C196&amp;"!B:B"),0))</f>
        <v>30.990000000000002</v>
      </c>
      <c r="E196" s="7">
        <f ca="1">D196-LARGE(D$2:D$402,RBCount+WRCount)</f>
        <v>-48.810000000000009</v>
      </c>
      <c r="F196" s="1" t="str">
        <f ca="1">IF(H196&lt;=I196,"Starter",IF(G196&gt;=LARGE(G:G,FlexOn*LeagueInfo!$F$2),"Starter","Bench"))</f>
        <v>Bench</v>
      </c>
      <c r="G196" s="1">
        <f ca="1">IF(H196&gt;I196,D196,0)</f>
        <v>30.990000000000002</v>
      </c>
      <c r="H196" s="1">
        <f ca="1">INDEX(INDIRECT(""&amp;C196&amp;"!A2:A489"),MATCH(B196,INDIRECT(""&amp;C196&amp;"!B2:B489"),0))</f>
        <v>115</v>
      </c>
      <c r="I196" s="1">
        <f>IF(C196="RB",LeagueInfo!$D$4*LeagueInfo!$F$2,LeagueInfo!$D$5*LeagueInfo!$F$2)</f>
        <v>24</v>
      </c>
    </row>
    <row r="197" spans="1:9" x14ac:dyDescent="0.25">
      <c r="A197" s="1">
        <f ca="1">RANK(E197,E$2:E$402)</f>
        <v>199</v>
      </c>
      <c r="B197" s="1" t="s">
        <v>605</v>
      </c>
      <c r="C197" s="1" t="s">
        <v>39</v>
      </c>
      <c r="D197" s="1">
        <f ca="1">INDEX(INDIRECT($C197&amp;"!O:O"),MATCH($B197,INDIRECT($C197&amp;"!B:B"),0))</f>
        <v>31.51</v>
      </c>
      <c r="E197" s="7">
        <f ca="1">D197-LARGE(D$2:D$402,RBCount+WRCount)</f>
        <v>-48.290000000000006</v>
      </c>
      <c r="F197" s="1" t="str">
        <f ca="1">IF(H197&lt;=I197,"Starter",IF(G197&gt;=LARGE(G:G,FlexOn*LeagueInfo!$F$2),"Starter","Bench"))</f>
        <v>Bench</v>
      </c>
      <c r="G197" s="1">
        <f ca="1">IF(H197&gt;I197,D197,0)</f>
        <v>31.51</v>
      </c>
      <c r="H197" s="1">
        <f ca="1">INDEX(INDIRECT(""&amp;C197&amp;"!A2:A489"),MATCH(B197,INDIRECT(""&amp;C197&amp;"!B2:B489"),0))</f>
        <v>114</v>
      </c>
      <c r="I197" s="1">
        <f>IF(C197="RB",LeagueInfo!$D$4*LeagueInfo!$F$2,LeagueInfo!$D$5*LeagueInfo!$F$2)</f>
        <v>24</v>
      </c>
    </row>
    <row r="198" spans="1:9" x14ac:dyDescent="0.25">
      <c r="A198" s="1">
        <f ca="1">RANK(E198,E$2:E$402)</f>
        <v>202</v>
      </c>
      <c r="B198" s="1" t="s">
        <v>594</v>
      </c>
      <c r="C198" s="1" t="s">
        <v>39</v>
      </c>
      <c r="D198" s="1">
        <f ca="1">INDEX(INDIRECT($C198&amp;"!O:O"),MATCH($B198,INDIRECT($C198&amp;"!B:B"),0))</f>
        <v>30.459999999999997</v>
      </c>
      <c r="E198" s="7">
        <f ca="1">D198-LARGE(D$2:D$402,RBCount+WRCount)</f>
        <v>-49.340000000000018</v>
      </c>
      <c r="F198" s="1" t="str">
        <f ca="1">IF(H198&lt;=I198,"Starter",IF(G198&gt;=LARGE(G:G,FlexOn*LeagueInfo!$F$2),"Starter","Bench"))</f>
        <v>Bench</v>
      </c>
      <c r="G198" s="1">
        <f ca="1">IF(H198&gt;I198,D198,0)</f>
        <v>30.459999999999997</v>
      </c>
      <c r="H198" s="1">
        <f ca="1">INDEX(INDIRECT(""&amp;C198&amp;"!A2:A489"),MATCH(B198,INDIRECT(""&amp;C198&amp;"!B2:B489"),0))</f>
        <v>116</v>
      </c>
      <c r="I198" s="1">
        <f>IF(C198="RB",LeagueInfo!$D$4*LeagueInfo!$F$2,LeagueInfo!$D$5*LeagueInfo!$F$2)</f>
        <v>24</v>
      </c>
    </row>
    <row r="199" spans="1:9" x14ac:dyDescent="0.25">
      <c r="A199" s="1">
        <f ca="1">RANK(E199,E$2:E$402)</f>
        <v>195</v>
      </c>
      <c r="B199" s="1" t="s">
        <v>482</v>
      </c>
      <c r="C199" s="1" t="s">
        <v>32</v>
      </c>
      <c r="D199" s="1">
        <f ca="1">INDEX(INDIRECT($C199&amp;"!O:O"),MATCH($B199,INDIRECT($C199&amp;"!B:B"),0))</f>
        <v>32.620000000000005</v>
      </c>
      <c r="E199" s="7">
        <f ca="1">D199-LARGE(D$2:D$402,RBCount+WRCount)</f>
        <v>-47.180000000000007</v>
      </c>
      <c r="F199" s="1" t="str">
        <f ca="1">IF(H199&lt;=I199,"Starter",IF(G199&gt;=LARGE(G:G,FlexOn*LeagueInfo!$F$2),"Starter","Bench"))</f>
        <v>Bench</v>
      </c>
      <c r="G199" s="1">
        <f ca="1">IF(H199&gt;I199,D199,0)</f>
        <v>32.620000000000005</v>
      </c>
      <c r="H199" s="1">
        <f ca="1">INDEX(INDIRECT(""&amp;C199&amp;"!A2:A489"),MATCH(B199,INDIRECT(""&amp;C199&amp;"!B2:B489"),0))</f>
        <v>83</v>
      </c>
      <c r="I199" s="1">
        <f>IF(C199="RB",LeagueInfo!$D$4*LeagueInfo!$F$2,LeagueInfo!$D$5*LeagueInfo!$F$2)</f>
        <v>24</v>
      </c>
    </row>
    <row r="200" spans="1:9" x14ac:dyDescent="0.25">
      <c r="A200" s="1">
        <f ca="1">RANK(E200,E$2:E$402)</f>
        <v>211</v>
      </c>
      <c r="B200" s="1" t="s">
        <v>704</v>
      </c>
      <c r="C200" s="1" t="s">
        <v>39</v>
      </c>
      <c r="D200" s="1">
        <f ca="1">INDEX(INDIRECT($C200&amp;"!O:O"),MATCH($B200,INDIRECT($C200&amp;"!B:B"),0))</f>
        <v>28.900000000000002</v>
      </c>
      <c r="E200" s="7">
        <f ca="1">D200-LARGE(D$2:D$402,RBCount+WRCount)</f>
        <v>-50.900000000000006</v>
      </c>
      <c r="F200" s="1" t="str">
        <f ca="1">IF(H200&lt;=I200,"Starter",IF(G200&gt;=LARGE(G:G,FlexOn*LeagueInfo!$F$2),"Starter","Bench"))</f>
        <v>Bench</v>
      </c>
      <c r="G200" s="1">
        <f ca="1">IF(H200&gt;I200,D200,0)</f>
        <v>28.900000000000002</v>
      </c>
      <c r="H200" s="1">
        <f ca="1">INDEX(INDIRECT(""&amp;C200&amp;"!A2:A489"),MATCH(B200,INDIRECT(""&amp;C200&amp;"!B2:B489"),0))</f>
        <v>119</v>
      </c>
      <c r="I200" s="1">
        <f>IF(C200="RB",LeagueInfo!$D$4*LeagueInfo!$F$2,LeagueInfo!$D$5*LeagueInfo!$F$2)</f>
        <v>24</v>
      </c>
    </row>
    <row r="201" spans="1:9" x14ac:dyDescent="0.25">
      <c r="A201" s="1">
        <f ca="1">RANK(E201,E$2:E$402)</f>
        <v>213</v>
      </c>
      <c r="B201" s="1" t="s">
        <v>616</v>
      </c>
      <c r="C201" s="1" t="s">
        <v>39</v>
      </c>
      <c r="D201" s="1">
        <f ca="1">INDEX(INDIRECT($C201&amp;"!O:O"),MATCH($B201,INDIRECT($C201&amp;"!B:B"),0))</f>
        <v>28.29</v>
      </c>
      <c r="E201" s="7">
        <f ca="1">D201-LARGE(D$2:D$402,RBCount+WRCount)</f>
        <v>-51.510000000000012</v>
      </c>
      <c r="F201" s="1" t="str">
        <f ca="1">IF(H201&lt;=I201,"Starter",IF(G201&gt;=LARGE(G:G,FlexOn*LeagueInfo!$F$2),"Starter","Bench"))</f>
        <v>Bench</v>
      </c>
      <c r="G201" s="1">
        <f ca="1">IF(H201&gt;I201,D201,0)</f>
        <v>28.29</v>
      </c>
      <c r="H201" s="1">
        <f ca="1">INDEX(INDIRECT(""&amp;C201&amp;"!A2:A489"),MATCH(B201,INDIRECT(""&amp;C201&amp;"!B2:B489"),0))</f>
        <v>121</v>
      </c>
      <c r="I201" s="1">
        <f>IF(C201="RB",LeagueInfo!$D$4*LeagueInfo!$F$2,LeagueInfo!$D$5*LeagueInfo!$F$2)</f>
        <v>24</v>
      </c>
    </row>
    <row r="202" spans="1:9" x14ac:dyDescent="0.25">
      <c r="A202" s="1">
        <f ca="1">RANK(E202,E$2:E$402)</f>
        <v>198</v>
      </c>
      <c r="B202" s="1" t="s">
        <v>452</v>
      </c>
      <c r="C202" s="1" t="s">
        <v>32</v>
      </c>
      <c r="D202" s="1">
        <f ca="1">INDEX(INDIRECT($C202&amp;"!O:O"),MATCH($B202,INDIRECT($C202&amp;"!B:B"),0))</f>
        <v>31.939999999999998</v>
      </c>
      <c r="E202" s="7">
        <f ca="1">D202-LARGE(D$2:D$402,RBCount+WRCount)</f>
        <v>-47.860000000000014</v>
      </c>
      <c r="F202" s="1" t="str">
        <f ca="1">IF(H202&lt;=I202,"Starter",IF(G202&gt;=LARGE(G:G,FlexOn*LeagueInfo!$F$2),"Starter","Bench"))</f>
        <v>Bench</v>
      </c>
      <c r="G202" s="1">
        <f ca="1">IF(H202&gt;I202,D202,0)</f>
        <v>31.939999999999998</v>
      </c>
      <c r="H202" s="1">
        <f ca="1">INDEX(INDIRECT(""&amp;C202&amp;"!A2:A489"),MATCH(B202,INDIRECT(""&amp;C202&amp;"!B2:B489"),0))</f>
        <v>85</v>
      </c>
      <c r="I202" s="1">
        <f>IF(C202="RB",LeagueInfo!$D$4*LeagueInfo!$F$2,LeagueInfo!$D$5*LeagueInfo!$F$2)</f>
        <v>24</v>
      </c>
    </row>
    <row r="203" spans="1:9" x14ac:dyDescent="0.25">
      <c r="A203" s="1">
        <f ca="1">RANK(E203,E$2:E$402)</f>
        <v>193</v>
      </c>
      <c r="B203" s="1" t="s">
        <v>459</v>
      </c>
      <c r="C203" s="1" t="s">
        <v>32</v>
      </c>
      <c r="D203" s="1">
        <f ca="1">INDEX(INDIRECT($C203&amp;"!O:O"),MATCH($B203,INDIRECT($C203&amp;"!B:B"),0))</f>
        <v>32.940000000000005</v>
      </c>
      <c r="E203" s="7">
        <f ca="1">D203-LARGE(D$2:D$402,RBCount+WRCount)</f>
        <v>-46.860000000000007</v>
      </c>
      <c r="F203" s="1" t="str">
        <f ca="1">IF(H203&lt;=I203,"Starter",IF(G203&gt;=LARGE(G:G,FlexOn*LeagueInfo!$F$2),"Starter","Bench"))</f>
        <v>Bench</v>
      </c>
      <c r="G203" s="1">
        <f ca="1">IF(H203&gt;I203,D203,0)</f>
        <v>32.940000000000005</v>
      </c>
      <c r="H203" s="1">
        <f ca="1">INDEX(INDIRECT(""&amp;C203&amp;"!A2:A489"),MATCH(B203,INDIRECT(""&amp;C203&amp;"!B2:B489"),0))</f>
        <v>82</v>
      </c>
      <c r="I203" s="1">
        <f>IF(C203="RB",LeagueInfo!$D$4*LeagueInfo!$F$2,LeagueInfo!$D$5*LeagueInfo!$F$2)</f>
        <v>24</v>
      </c>
    </row>
    <row r="204" spans="1:9" x14ac:dyDescent="0.25">
      <c r="A204" s="1">
        <f ca="1">RANK(E204,E$2:E$402)</f>
        <v>208</v>
      </c>
      <c r="B204" s="1" t="s">
        <v>630</v>
      </c>
      <c r="C204" s="1" t="s">
        <v>39</v>
      </c>
      <c r="D204" s="1">
        <f ca="1">INDEX(INDIRECT($C204&amp;"!O:O"),MATCH($B204,INDIRECT($C204&amp;"!B:B"),0))</f>
        <v>29.140000000000004</v>
      </c>
      <c r="E204" s="7">
        <f ca="1">D204-LARGE(D$2:D$402,RBCount+WRCount)</f>
        <v>-50.660000000000011</v>
      </c>
      <c r="F204" s="1" t="str">
        <f ca="1">IF(H204&lt;=I204,"Starter",IF(G204&gt;=LARGE(G:G,FlexOn*LeagueInfo!$F$2),"Starter","Bench"))</f>
        <v>Bench</v>
      </c>
      <c r="G204" s="1">
        <f ca="1">IF(H204&gt;I204,D204,0)</f>
        <v>29.140000000000004</v>
      </c>
      <c r="H204" s="1">
        <f ca="1">INDEX(INDIRECT(""&amp;C204&amp;"!A2:A489"),MATCH(B204,INDIRECT(""&amp;C204&amp;"!B2:B489"),0))</f>
        <v>118</v>
      </c>
      <c r="I204" s="1">
        <f>IF(C204="RB",LeagueInfo!$D$4*LeagueInfo!$F$2,LeagueInfo!$D$5*LeagueInfo!$F$2)</f>
        <v>24</v>
      </c>
    </row>
    <row r="205" spans="1:9" x14ac:dyDescent="0.25">
      <c r="A205" s="1">
        <f ca="1">RANK(E205,E$2:E$402)</f>
        <v>196</v>
      </c>
      <c r="B205" s="1" t="s">
        <v>498</v>
      </c>
      <c r="C205" s="1" t="s">
        <v>32</v>
      </c>
      <c r="D205" s="1">
        <f ca="1">INDEX(INDIRECT($C205&amp;"!O:O"),MATCH($B205,INDIRECT($C205&amp;"!B:B"),0))</f>
        <v>32.57</v>
      </c>
      <c r="E205" s="7">
        <f ca="1">D205-LARGE(D$2:D$402,RBCount+WRCount)</f>
        <v>-47.230000000000011</v>
      </c>
      <c r="F205" s="1" t="str">
        <f ca="1">IF(H205&lt;=I205,"Starter",IF(G205&gt;=LARGE(G:G,FlexOn*LeagueInfo!$F$2),"Starter","Bench"))</f>
        <v>Bench</v>
      </c>
      <c r="G205" s="1">
        <f ca="1">IF(H205&gt;I205,D205,0)</f>
        <v>32.57</v>
      </c>
      <c r="H205" s="1">
        <f ca="1">INDEX(INDIRECT(""&amp;C205&amp;"!A2:A489"),MATCH(B205,INDIRECT(""&amp;C205&amp;"!B2:B489"),0))</f>
        <v>84</v>
      </c>
      <c r="I205" s="1">
        <f>IF(C205="RB",LeagueInfo!$D$4*LeagueInfo!$F$2,LeagueInfo!$D$5*LeagueInfo!$F$2)</f>
        <v>24</v>
      </c>
    </row>
    <row r="206" spans="1:9" x14ac:dyDescent="0.25">
      <c r="A206" s="1">
        <f ca="1">RANK(E206,E$2:E$402)</f>
        <v>220</v>
      </c>
      <c r="B206" s="1" t="s">
        <v>926</v>
      </c>
      <c r="C206" s="1" t="s">
        <v>39</v>
      </c>
      <c r="D206" s="1">
        <f ca="1">INDEX(INDIRECT($C206&amp;"!O:O"),MATCH($B206,INDIRECT($C206&amp;"!B:B"),0))</f>
        <v>26.6</v>
      </c>
      <c r="E206" s="7">
        <f ca="1">D206-LARGE(D$2:D$402,RBCount+WRCount)</f>
        <v>-53.20000000000001</v>
      </c>
      <c r="F206" s="1" t="str">
        <f ca="1">IF(H206&lt;=I206,"Starter",IF(G206&gt;=LARGE(G:G,FlexOn*LeagueInfo!$F$2),"Starter","Bench"))</f>
        <v>Bench</v>
      </c>
      <c r="G206" s="1">
        <f ca="1">IF(H206&gt;I206,D206,0)</f>
        <v>26.6</v>
      </c>
      <c r="H206" s="1">
        <f ca="1">INDEX(INDIRECT(""&amp;C206&amp;"!A2:A489"),MATCH(B206,INDIRECT(""&amp;C206&amp;"!B2:B489"),0))</f>
        <v>126</v>
      </c>
      <c r="I206" s="1">
        <f>IF(C206="RB",LeagueInfo!$D$4*LeagueInfo!$F$2,LeagueInfo!$D$5*LeagueInfo!$F$2)</f>
        <v>24</v>
      </c>
    </row>
    <row r="207" spans="1:9" x14ac:dyDescent="0.25">
      <c r="A207" s="1">
        <f ca="1">RANK(E207,E$2:E$402)</f>
        <v>212</v>
      </c>
      <c r="B207" s="1" t="s">
        <v>607</v>
      </c>
      <c r="C207" s="1" t="s">
        <v>39</v>
      </c>
      <c r="D207" s="1">
        <f ca="1">INDEX(INDIRECT($C207&amp;"!O:O"),MATCH($B207,INDIRECT($C207&amp;"!B:B"),0))</f>
        <v>28.51</v>
      </c>
      <c r="E207" s="7">
        <f ca="1">D207-LARGE(D$2:D$402,RBCount+WRCount)</f>
        <v>-51.290000000000006</v>
      </c>
      <c r="F207" s="1" t="str">
        <f ca="1">IF(H207&lt;=I207,"Starter",IF(G207&gt;=LARGE(G:G,FlexOn*LeagueInfo!$F$2),"Starter","Bench"))</f>
        <v>Bench</v>
      </c>
      <c r="G207" s="1">
        <f ca="1">IF(H207&gt;I207,D207,0)</f>
        <v>28.51</v>
      </c>
      <c r="H207" s="1">
        <f ca="1">INDEX(INDIRECT(""&amp;C207&amp;"!A2:A489"),MATCH(B207,INDIRECT(""&amp;C207&amp;"!B2:B489"),0))</f>
        <v>120</v>
      </c>
      <c r="I207" s="1">
        <f>IF(C207="RB",LeagueInfo!$D$4*LeagueInfo!$F$2,LeagueInfo!$D$5*LeagueInfo!$F$2)</f>
        <v>24</v>
      </c>
    </row>
    <row r="208" spans="1:9" x14ac:dyDescent="0.25">
      <c r="A208" s="1">
        <f ca="1">RANK(E208,E$2:E$402)</f>
        <v>210</v>
      </c>
      <c r="B208" s="1" t="s">
        <v>461</v>
      </c>
      <c r="C208" s="1" t="s">
        <v>32</v>
      </c>
      <c r="D208" s="1">
        <f ca="1">INDEX(INDIRECT($C208&amp;"!O:O"),MATCH($B208,INDIRECT($C208&amp;"!B:B"),0))</f>
        <v>28.930000000000003</v>
      </c>
      <c r="E208" s="7">
        <f ca="1">D208-LARGE(D$2:D$402,RBCount+WRCount)</f>
        <v>-50.870000000000005</v>
      </c>
      <c r="F208" s="1" t="str">
        <f ca="1">IF(H208&lt;=I208,"Starter",IF(G208&gt;=LARGE(G:G,FlexOn*LeagueInfo!$F$2),"Starter","Bench"))</f>
        <v>Bench</v>
      </c>
      <c r="G208" s="1">
        <f ca="1">IF(H208&gt;I208,D208,0)</f>
        <v>28.930000000000003</v>
      </c>
      <c r="H208" s="1">
        <f ca="1">INDEX(INDIRECT(""&amp;C208&amp;"!A2:A489"),MATCH(B208,INDIRECT(""&amp;C208&amp;"!B2:B489"),0))</f>
        <v>92</v>
      </c>
      <c r="I208" s="1">
        <f>IF(C208="RB",LeagueInfo!$D$4*LeagueInfo!$F$2,LeagueInfo!$D$5*LeagueInfo!$F$2)</f>
        <v>24</v>
      </c>
    </row>
    <row r="209" spans="1:9" x14ac:dyDescent="0.25">
      <c r="A209" s="1">
        <f ca="1">RANK(E209,E$2:E$402)</f>
        <v>221</v>
      </c>
      <c r="B209" s="1" t="s">
        <v>614</v>
      </c>
      <c r="C209" s="1" t="s">
        <v>39</v>
      </c>
      <c r="D209" s="1">
        <f ca="1">INDEX(INDIRECT($C209&amp;"!O:O"),MATCH($B209,INDIRECT($C209&amp;"!B:B"),0))</f>
        <v>26.230000000000004</v>
      </c>
      <c r="E209" s="7">
        <f ca="1">D209-LARGE(D$2:D$402,RBCount+WRCount)</f>
        <v>-53.570000000000007</v>
      </c>
      <c r="F209" s="1" t="str">
        <f ca="1">IF(H209&lt;=I209,"Starter",IF(G209&gt;=LARGE(G:G,FlexOn*LeagueInfo!$F$2),"Starter","Bench"))</f>
        <v>Bench</v>
      </c>
      <c r="G209" s="1">
        <f ca="1">IF(H209&gt;I209,D209,0)</f>
        <v>26.230000000000004</v>
      </c>
      <c r="H209" s="1">
        <f ca="1">INDEX(INDIRECT(""&amp;C209&amp;"!A2:A489"),MATCH(B209,INDIRECT(""&amp;C209&amp;"!B2:B489"),0))</f>
        <v>127</v>
      </c>
      <c r="I209" s="1">
        <f>IF(C209="RB",LeagueInfo!$D$4*LeagueInfo!$F$2,LeagueInfo!$D$5*LeagueInfo!$F$2)</f>
        <v>24</v>
      </c>
    </row>
    <row r="210" spans="1:9" x14ac:dyDescent="0.25">
      <c r="A210" s="1">
        <f ca="1">RANK(E210,E$2:E$402)</f>
        <v>200</v>
      </c>
      <c r="B210" s="1" t="s">
        <v>463</v>
      </c>
      <c r="C210" s="1" t="s">
        <v>32</v>
      </c>
      <c r="D210" s="1">
        <f ca="1">INDEX(INDIRECT($C210&amp;"!O:O"),MATCH($B210,INDIRECT($C210&amp;"!B:B"),0))</f>
        <v>31.12</v>
      </c>
      <c r="E210" s="7">
        <f ca="1">D210-LARGE(D$2:D$402,RBCount+WRCount)</f>
        <v>-48.680000000000007</v>
      </c>
      <c r="F210" s="1" t="str">
        <f ca="1">IF(H210&lt;=I210,"Starter",IF(G210&gt;=LARGE(G:G,FlexOn*LeagueInfo!$F$2),"Starter","Bench"))</f>
        <v>Bench</v>
      </c>
      <c r="G210" s="1">
        <f ca="1">IF(H210&gt;I210,D210,0)</f>
        <v>31.12</v>
      </c>
      <c r="H210" s="1">
        <f ca="1">INDEX(INDIRECT(""&amp;C210&amp;"!A2:A489"),MATCH(B210,INDIRECT(""&amp;C210&amp;"!B2:B489"),0))</f>
        <v>86</v>
      </c>
      <c r="I210" s="1">
        <f>IF(C210="RB",LeagueInfo!$D$4*LeagueInfo!$F$2,LeagueInfo!$D$5*LeagueInfo!$F$2)</f>
        <v>24</v>
      </c>
    </row>
    <row r="211" spans="1:9" x14ac:dyDescent="0.25">
      <c r="A211" s="1">
        <f ca="1">RANK(E211,E$2:E$402)</f>
        <v>214</v>
      </c>
      <c r="B211" s="1" t="s">
        <v>611</v>
      </c>
      <c r="C211" s="1" t="s">
        <v>39</v>
      </c>
      <c r="D211" s="1">
        <f ca="1">INDEX(INDIRECT($C211&amp;"!O:O"),MATCH($B211,INDIRECT($C211&amp;"!B:B"),0))</f>
        <v>28.03</v>
      </c>
      <c r="E211" s="7">
        <f ca="1">D211-LARGE(D$2:D$402,RBCount+WRCount)</f>
        <v>-51.77000000000001</v>
      </c>
      <c r="F211" s="1" t="str">
        <f ca="1">IF(H211&lt;=I211,"Starter",IF(G211&gt;=LARGE(G:G,FlexOn*LeagueInfo!$F$2),"Starter","Bench"))</f>
        <v>Bench</v>
      </c>
      <c r="G211" s="1">
        <f ca="1">IF(H211&gt;I211,D211,0)</f>
        <v>28.03</v>
      </c>
      <c r="H211" s="1">
        <f ca="1">INDEX(INDIRECT(""&amp;C211&amp;"!A2:A489"),MATCH(B211,INDIRECT(""&amp;C211&amp;"!B2:B489"),0))</f>
        <v>122</v>
      </c>
      <c r="I211" s="1">
        <f>IF(C211="RB",LeagueInfo!$D$4*LeagueInfo!$F$2,LeagueInfo!$D$5*LeagueInfo!$F$2)</f>
        <v>24</v>
      </c>
    </row>
    <row r="212" spans="1:9" x14ac:dyDescent="0.25">
      <c r="A212" s="1">
        <f ca="1">RANK(E212,E$2:E$402)</f>
        <v>207</v>
      </c>
      <c r="B212" s="1" t="s">
        <v>509</v>
      </c>
      <c r="C212" s="1" t="s">
        <v>32</v>
      </c>
      <c r="D212" s="1">
        <f ca="1">INDEX(INDIRECT($C212&amp;"!O:O"),MATCH($B212,INDIRECT($C212&amp;"!B:B"),0))</f>
        <v>29.2</v>
      </c>
      <c r="E212" s="7">
        <f ca="1">D212-LARGE(D$2:D$402,RBCount+WRCount)</f>
        <v>-50.600000000000009</v>
      </c>
      <c r="F212" s="1" t="str">
        <f ca="1">IF(H212&lt;=I212,"Starter",IF(G212&gt;=LARGE(G:G,FlexOn*LeagueInfo!$F$2),"Starter","Bench"))</f>
        <v>Bench</v>
      </c>
      <c r="G212" s="1">
        <f ca="1">IF(H212&gt;I212,D212,0)</f>
        <v>29.2</v>
      </c>
      <c r="H212" s="1">
        <f ca="1">INDEX(INDIRECT(""&amp;C212&amp;"!A2:A489"),MATCH(B212,INDIRECT(""&amp;C212&amp;"!B2:B489"),0))</f>
        <v>90</v>
      </c>
      <c r="I212" s="1">
        <f>IF(C212="RB",LeagueInfo!$D$4*LeagueInfo!$F$2,LeagueInfo!$D$5*LeagueInfo!$F$2)</f>
        <v>24</v>
      </c>
    </row>
    <row r="213" spans="1:9" x14ac:dyDescent="0.25">
      <c r="A213" s="1">
        <f ca="1">RANK(E213,E$2:E$402)</f>
        <v>217</v>
      </c>
      <c r="B213" s="1" t="s">
        <v>615</v>
      </c>
      <c r="C213" s="1" t="s">
        <v>39</v>
      </c>
      <c r="D213" s="1">
        <f ca="1">INDEX(INDIRECT($C213&amp;"!O:O"),MATCH($B213,INDIRECT($C213&amp;"!B:B"),0))</f>
        <v>27.1</v>
      </c>
      <c r="E213" s="7">
        <f ca="1">D213-LARGE(D$2:D$402,RBCount+WRCount)</f>
        <v>-52.70000000000001</v>
      </c>
      <c r="F213" s="1" t="str">
        <f ca="1">IF(H213&lt;=I213,"Starter",IF(G213&gt;=LARGE(G:G,FlexOn*LeagueInfo!$F$2),"Starter","Bench"))</f>
        <v>Bench</v>
      </c>
      <c r="G213" s="1">
        <f ca="1">IF(H213&gt;I213,D213,0)</f>
        <v>27.1</v>
      </c>
      <c r="H213" s="1">
        <f ca="1">INDEX(INDIRECT(""&amp;C213&amp;"!A2:A489"),MATCH(B213,INDIRECT(""&amp;C213&amp;"!B2:B489"),0))</f>
        <v>125</v>
      </c>
      <c r="I213" s="1">
        <f>IF(C213="RB",LeagueInfo!$D$4*LeagueInfo!$F$2,LeagueInfo!$D$5*LeagueInfo!$F$2)</f>
        <v>24</v>
      </c>
    </row>
    <row r="214" spans="1:9" x14ac:dyDescent="0.25">
      <c r="A214" s="1">
        <f ca="1">RANK(E214,E$2:E$402)</f>
        <v>209</v>
      </c>
      <c r="B214" s="1" t="s">
        <v>507</v>
      </c>
      <c r="C214" s="1" t="s">
        <v>32</v>
      </c>
      <c r="D214" s="1">
        <f ca="1">INDEX(INDIRECT($C214&amp;"!O:O"),MATCH($B214,INDIRECT($C214&amp;"!B:B"),0))</f>
        <v>28.99</v>
      </c>
      <c r="E214" s="7">
        <f ca="1">D214-LARGE(D$2:D$402,RBCount+WRCount)</f>
        <v>-50.810000000000016</v>
      </c>
      <c r="F214" s="1" t="str">
        <f ca="1">IF(H214&lt;=I214,"Starter",IF(G214&gt;=LARGE(G:G,FlexOn*LeagueInfo!$F$2),"Starter","Bench"))</f>
        <v>Bench</v>
      </c>
      <c r="G214" s="1">
        <f ca="1">IF(H214&gt;I214,D214,0)</f>
        <v>28.99</v>
      </c>
      <c r="H214" s="1">
        <f ca="1">INDEX(INDIRECT(""&amp;C214&amp;"!A2:A489"),MATCH(B214,INDIRECT(""&amp;C214&amp;"!B2:B489"),0))</f>
        <v>91</v>
      </c>
      <c r="I214" s="1">
        <f>IF(C214="RB",LeagueInfo!$D$4*LeagueInfo!$F$2,LeagueInfo!$D$5*LeagueInfo!$F$2)</f>
        <v>24</v>
      </c>
    </row>
    <row r="215" spans="1:9" x14ac:dyDescent="0.25">
      <c r="A215" s="1">
        <f ca="1">RANK(E215,E$2:E$402)</f>
        <v>216</v>
      </c>
      <c r="B215" s="1" t="s">
        <v>236</v>
      </c>
      <c r="C215" s="1" t="s">
        <v>39</v>
      </c>
      <c r="D215" s="1">
        <f ca="1">INDEX(INDIRECT($C215&amp;"!O:O"),MATCH($B215,INDIRECT($C215&amp;"!B:B"),0))</f>
        <v>27.110000000000003</v>
      </c>
      <c r="E215" s="7">
        <f ca="1">D215-LARGE(D$2:D$402,RBCount+WRCount)</f>
        <v>-52.690000000000012</v>
      </c>
      <c r="F215" s="1" t="str">
        <f ca="1">IF(H215&lt;=I215,"Starter",IF(G215&gt;=LARGE(G:G,FlexOn*LeagueInfo!$F$2),"Starter","Bench"))</f>
        <v>Bench</v>
      </c>
      <c r="G215" s="1">
        <f ca="1">IF(H215&gt;I215,D215,0)</f>
        <v>27.110000000000003</v>
      </c>
      <c r="H215" s="1">
        <f ca="1">INDEX(INDIRECT(""&amp;C215&amp;"!A2:A489"),MATCH(B215,INDIRECT(""&amp;C215&amp;"!B2:B489"),0))</f>
        <v>124</v>
      </c>
      <c r="I215" s="1">
        <f>IF(C215="RB",LeagueInfo!$D$4*LeagueInfo!$F$2,LeagueInfo!$D$5*LeagueInfo!$F$2)</f>
        <v>24</v>
      </c>
    </row>
    <row r="216" spans="1:9" x14ac:dyDescent="0.25">
      <c r="A216" s="1">
        <f ca="1">RANK(E216,E$2:E$402)</f>
        <v>215</v>
      </c>
      <c r="B216" s="1" t="s">
        <v>596</v>
      </c>
      <c r="C216" s="1" t="s">
        <v>39</v>
      </c>
      <c r="D216" s="1">
        <f ca="1">INDEX(INDIRECT($C216&amp;"!O:O"),MATCH($B216,INDIRECT($C216&amp;"!B:B"),0))</f>
        <v>27.310000000000002</v>
      </c>
      <c r="E216" s="7">
        <f ca="1">D216-LARGE(D$2:D$402,RBCount+WRCount)</f>
        <v>-52.490000000000009</v>
      </c>
      <c r="F216" s="1" t="str">
        <f ca="1">IF(H216&lt;=I216,"Starter",IF(G216&gt;=LARGE(G:G,FlexOn*LeagueInfo!$F$2),"Starter","Bench"))</f>
        <v>Bench</v>
      </c>
      <c r="G216" s="1">
        <f ca="1">IF(H216&gt;I216,D216,0)</f>
        <v>27.310000000000002</v>
      </c>
      <c r="H216" s="1">
        <f ca="1">INDEX(INDIRECT(""&amp;C216&amp;"!A2:A489"),MATCH(B216,INDIRECT(""&amp;C216&amp;"!B2:B489"),0))</f>
        <v>123</v>
      </c>
      <c r="I216" s="1">
        <f>IF(C216="RB",LeagueInfo!$D$4*LeagueInfo!$F$2,LeagueInfo!$D$5*LeagueInfo!$F$2)</f>
        <v>24</v>
      </c>
    </row>
    <row r="217" spans="1:9" x14ac:dyDescent="0.25">
      <c r="A217" s="1">
        <f ca="1">RANK(E217,E$2:E$402)</f>
        <v>192</v>
      </c>
      <c r="B217" s="1" t="s">
        <v>467</v>
      </c>
      <c r="C217" s="1" t="s">
        <v>32</v>
      </c>
      <c r="D217" s="1">
        <f ca="1">INDEX(INDIRECT($C217&amp;"!O:O"),MATCH($B217,INDIRECT($C217&amp;"!B:B"),0))</f>
        <v>33.18</v>
      </c>
      <c r="E217" s="7">
        <f ca="1">D217-LARGE(D$2:D$402,RBCount+WRCount)</f>
        <v>-46.620000000000012</v>
      </c>
      <c r="F217" s="1" t="str">
        <f ca="1">IF(H217&lt;=I217,"Starter",IF(G217&gt;=LARGE(G:G,FlexOn*LeagueInfo!$F$2),"Starter","Bench"))</f>
        <v>Bench</v>
      </c>
      <c r="G217" s="1">
        <f ca="1">IF(H217&gt;I217,D217,0)</f>
        <v>33.18</v>
      </c>
      <c r="H217" s="1">
        <f ca="1">INDEX(INDIRECT(""&amp;C217&amp;"!A2:A489"),MATCH(B217,INDIRECT(""&amp;C217&amp;"!B2:B489"),0))</f>
        <v>81</v>
      </c>
      <c r="I217" s="1">
        <f>IF(C217="RB",LeagueInfo!$D$4*LeagueInfo!$F$2,LeagueInfo!$D$5*LeagueInfo!$F$2)</f>
        <v>24</v>
      </c>
    </row>
    <row r="218" spans="1:9" x14ac:dyDescent="0.25">
      <c r="A218" s="1">
        <f ca="1">RANK(E218,E$2:E$402)</f>
        <v>205</v>
      </c>
      <c r="B218" s="1" t="s">
        <v>455</v>
      </c>
      <c r="C218" s="1" t="s">
        <v>32</v>
      </c>
      <c r="D218" s="1">
        <f ca="1">INDEX(INDIRECT($C218&amp;"!O:O"),MATCH($B218,INDIRECT($C218&amp;"!B:B"),0))</f>
        <v>29.580000000000002</v>
      </c>
      <c r="E218" s="7">
        <f ca="1">D218-LARGE(D$2:D$402,RBCount+WRCount)</f>
        <v>-50.220000000000013</v>
      </c>
      <c r="F218" s="1" t="str">
        <f ca="1">IF(H218&lt;=I218,"Starter",IF(G218&gt;=LARGE(G:G,FlexOn*LeagueInfo!$F$2),"Starter","Bench"))</f>
        <v>Bench</v>
      </c>
      <c r="G218" s="1">
        <f ca="1">IF(H218&gt;I218,D218,0)</f>
        <v>29.580000000000002</v>
      </c>
      <c r="H218" s="1">
        <f ca="1">INDEX(INDIRECT(""&amp;C218&amp;"!A2:A489"),MATCH(B218,INDIRECT(""&amp;C218&amp;"!B2:B489"),0))</f>
        <v>88</v>
      </c>
      <c r="I218" s="1">
        <f>IF(C218="RB",LeagueInfo!$D$4*LeagueInfo!$F$2,LeagueInfo!$D$5*LeagueInfo!$F$2)</f>
        <v>24</v>
      </c>
    </row>
    <row r="219" spans="1:9" x14ac:dyDescent="0.25">
      <c r="A219" s="1">
        <f ca="1">RANK(E219,E$2:E$402)</f>
        <v>206</v>
      </c>
      <c r="B219" s="1" t="s">
        <v>469</v>
      </c>
      <c r="C219" s="1" t="s">
        <v>32</v>
      </c>
      <c r="D219" s="1">
        <f ca="1">INDEX(INDIRECT($C219&amp;"!O:O"),MATCH($B219,INDIRECT($C219&amp;"!B:B"),0))</f>
        <v>29.46</v>
      </c>
      <c r="E219" s="7">
        <f ca="1">D219-LARGE(D$2:D$402,RBCount+WRCount)</f>
        <v>-50.340000000000011</v>
      </c>
      <c r="F219" s="1" t="str">
        <f ca="1">IF(H219&lt;=I219,"Starter",IF(G219&gt;=LARGE(G:G,FlexOn*LeagueInfo!$F$2),"Starter","Bench"))</f>
        <v>Bench</v>
      </c>
      <c r="G219" s="1">
        <f ca="1">IF(H219&gt;I219,D219,0)</f>
        <v>29.46</v>
      </c>
      <c r="H219" s="1">
        <f ca="1">INDEX(INDIRECT(""&amp;C219&amp;"!A2:A489"),MATCH(B219,INDIRECT(""&amp;C219&amp;"!B2:B489"),0))</f>
        <v>89</v>
      </c>
      <c r="I219" s="1">
        <f>IF(C219="RB",LeagueInfo!$D$4*LeagueInfo!$F$2,LeagueInfo!$D$5*LeagueInfo!$F$2)</f>
        <v>24</v>
      </c>
    </row>
    <row r="220" spans="1:9" x14ac:dyDescent="0.25">
      <c r="A220" s="1">
        <f ca="1">RANK(E220,E$2:E$402)</f>
        <v>204</v>
      </c>
      <c r="B220" s="1" t="s">
        <v>458</v>
      </c>
      <c r="C220" s="1" t="s">
        <v>32</v>
      </c>
      <c r="D220" s="1">
        <f ca="1">INDEX(INDIRECT($C220&amp;"!O:O"),MATCH($B220,INDIRECT($C220&amp;"!B:B"),0))</f>
        <v>29.889999999999997</v>
      </c>
      <c r="E220" s="7">
        <f ca="1">D220-LARGE(D$2:D$402,RBCount+WRCount)</f>
        <v>-49.910000000000011</v>
      </c>
      <c r="F220" s="1" t="str">
        <f ca="1">IF(H220&lt;=I220,"Starter",IF(G220&gt;=LARGE(G:G,FlexOn*LeagueInfo!$F$2),"Starter","Bench"))</f>
        <v>Bench</v>
      </c>
      <c r="G220" s="1">
        <f ca="1">IF(H220&gt;I220,D220,0)</f>
        <v>29.889999999999997</v>
      </c>
      <c r="H220" s="1">
        <f ca="1">INDEX(INDIRECT(""&amp;C220&amp;"!A2:A489"),MATCH(B220,INDIRECT(""&amp;C220&amp;"!B2:B489"),0))</f>
        <v>87</v>
      </c>
      <c r="I220" s="1">
        <f>IF(C220="RB",LeagueInfo!$D$4*LeagueInfo!$F$2,LeagueInfo!$D$5*LeagueInfo!$F$2)</f>
        <v>24</v>
      </c>
    </row>
    <row r="221" spans="1:9" x14ac:dyDescent="0.25">
      <c r="A221" s="1">
        <f ca="1">RANK(E221,E$2:E$402)</f>
        <v>218</v>
      </c>
      <c r="B221" s="1" t="s">
        <v>468</v>
      </c>
      <c r="C221" s="1" t="s">
        <v>32</v>
      </c>
      <c r="D221" s="1">
        <f ca="1">INDEX(INDIRECT($C221&amp;"!O:O"),MATCH($B221,INDIRECT($C221&amp;"!B:B"),0))</f>
        <v>27.08</v>
      </c>
      <c r="E221" s="7">
        <f ca="1">D221-LARGE(D$2:D$402,RBCount+WRCount)</f>
        <v>-52.720000000000013</v>
      </c>
      <c r="F221" s="1" t="str">
        <f ca="1">IF(H221&lt;=I221,"Starter",IF(G221&gt;=LARGE(G:G,FlexOn*LeagueInfo!$F$2),"Starter","Bench"))</f>
        <v>Bench</v>
      </c>
      <c r="G221" s="1">
        <f ca="1">IF(H221&gt;I221,D221,0)</f>
        <v>27.08</v>
      </c>
      <c r="H221" s="1">
        <f ca="1">INDEX(INDIRECT(""&amp;C221&amp;"!A2:A489"),MATCH(B221,INDIRECT(""&amp;C221&amp;"!B2:B489"),0))</f>
        <v>93</v>
      </c>
      <c r="I221" s="1">
        <f>IF(C221="RB",LeagueInfo!$D$4*LeagueInfo!$F$2,LeagueInfo!$D$5*LeagueInfo!$F$2)</f>
        <v>24</v>
      </c>
    </row>
    <row r="222" spans="1:9" x14ac:dyDescent="0.25">
      <c r="A222" s="1">
        <f ca="1">RANK(E222,E$2:E$402)</f>
        <v>219</v>
      </c>
      <c r="B222" s="1" t="s">
        <v>464</v>
      </c>
      <c r="C222" s="1" t="s">
        <v>32</v>
      </c>
      <c r="D222" s="1">
        <f ca="1">INDEX(INDIRECT($C222&amp;"!O:O"),MATCH($B222,INDIRECT($C222&amp;"!B:B"),0))</f>
        <v>26.64</v>
      </c>
      <c r="E222" s="7">
        <f ca="1">D222-LARGE(D$2:D$402,RBCount+WRCount)</f>
        <v>-53.160000000000011</v>
      </c>
      <c r="F222" s="1" t="str">
        <f ca="1">IF(H222&lt;=I222,"Starter",IF(G222&gt;=LARGE(G:G,FlexOn*LeagueInfo!$F$2),"Starter","Bench"))</f>
        <v>Bench</v>
      </c>
      <c r="G222" s="1">
        <f ca="1">IF(H222&gt;I222,D222,0)</f>
        <v>26.64</v>
      </c>
      <c r="H222" s="1">
        <f ca="1">INDEX(INDIRECT(""&amp;C222&amp;"!A2:A489"),MATCH(B222,INDIRECT(""&amp;C222&amp;"!B2:B489"),0))</f>
        <v>94</v>
      </c>
      <c r="I222" s="1">
        <f>IF(C222="RB",LeagueInfo!$D$4*LeagueInfo!$F$2,LeagueInfo!$D$5*LeagueInfo!$F$2)</f>
        <v>24</v>
      </c>
    </row>
    <row r="223" spans="1:9" x14ac:dyDescent="0.25">
      <c r="A223" s="1">
        <f ca="1">RANK(E223,E$2:E$402)</f>
        <v>225</v>
      </c>
      <c r="B223" s="1" t="s">
        <v>466</v>
      </c>
      <c r="C223" s="1" t="s">
        <v>32</v>
      </c>
      <c r="D223" s="1">
        <f ca="1">INDEX(INDIRECT($C223&amp;"!O:O"),MATCH($B223,INDIRECT($C223&amp;"!B:B"),0))</f>
        <v>23.950000000000003</v>
      </c>
      <c r="E223" s="7">
        <f ca="1">D223-LARGE(D$2:D$402,RBCount+WRCount)</f>
        <v>-55.850000000000009</v>
      </c>
      <c r="F223" s="1" t="str">
        <f ca="1">IF(H223&lt;=I223,"Starter",IF(G223&gt;=LARGE(G:G,FlexOn*LeagueInfo!$F$2),"Starter","Bench"))</f>
        <v>Bench</v>
      </c>
      <c r="G223" s="1">
        <f ca="1">IF(H223&gt;I223,D223,0)</f>
        <v>23.950000000000003</v>
      </c>
      <c r="H223" s="1">
        <f ca="1">INDEX(INDIRECT(""&amp;C223&amp;"!A2:A489"),MATCH(B223,INDIRECT(""&amp;C223&amp;"!B2:B489"),0))</f>
        <v>97</v>
      </c>
      <c r="I223" s="1">
        <f>IF(C223="RB",LeagueInfo!$D$4*LeagueInfo!$F$2,LeagueInfo!$D$5*LeagueInfo!$F$2)</f>
        <v>24</v>
      </c>
    </row>
    <row r="224" spans="1:9" x14ac:dyDescent="0.25">
      <c r="A224" s="1">
        <f ca="1">RANK(E224,E$2:E$402)</f>
        <v>224</v>
      </c>
      <c r="B224" s="1" t="s">
        <v>618</v>
      </c>
      <c r="C224" s="1" t="s">
        <v>39</v>
      </c>
      <c r="D224" s="1">
        <f ca="1">INDEX(INDIRECT($C224&amp;"!O:O"),MATCH($B224,INDIRECT($C224&amp;"!B:B"),0))</f>
        <v>24.45</v>
      </c>
      <c r="E224" s="7">
        <f ca="1">D224-LARGE(D$2:D$402,RBCount+WRCount)</f>
        <v>-55.350000000000009</v>
      </c>
      <c r="F224" s="1" t="str">
        <f ca="1">IF(H224&lt;=I224,"Starter",IF(G224&gt;=LARGE(G:G,FlexOn*LeagueInfo!$F$2),"Starter","Bench"))</f>
        <v>Bench</v>
      </c>
      <c r="G224" s="1">
        <f ca="1">IF(H224&gt;I224,D224,0)</f>
        <v>24.45</v>
      </c>
      <c r="H224" s="1">
        <f ca="1">INDEX(INDIRECT(""&amp;C224&amp;"!A2:A489"),MATCH(B224,INDIRECT(""&amp;C224&amp;"!B2:B489"),0))</f>
        <v>128</v>
      </c>
      <c r="I224" s="1">
        <f>IF(C224="RB",LeagueInfo!$D$4*LeagueInfo!$F$2,LeagueInfo!$D$5*LeagueInfo!$F$2)</f>
        <v>24</v>
      </c>
    </row>
    <row r="225" spans="1:9" x14ac:dyDescent="0.25">
      <c r="A225" s="1">
        <f ca="1">RANK(E225,E$2:E$402)</f>
        <v>227</v>
      </c>
      <c r="B225" s="1" t="s">
        <v>595</v>
      </c>
      <c r="C225" s="1" t="s">
        <v>39</v>
      </c>
      <c r="D225" s="1">
        <f ca="1">INDEX(INDIRECT($C225&amp;"!O:O"),MATCH($B225,INDIRECT($C225&amp;"!B:B"),0))</f>
        <v>22.91</v>
      </c>
      <c r="E225" s="7">
        <f ca="1">D225-LARGE(D$2:D$402,RBCount+WRCount)</f>
        <v>-56.890000000000015</v>
      </c>
      <c r="F225" s="1" t="str">
        <f ca="1">IF(H225&lt;=I225,"Starter",IF(G225&gt;=LARGE(G:G,FlexOn*LeagueInfo!$F$2),"Starter","Bench"))</f>
        <v>Bench</v>
      </c>
      <c r="G225" s="1">
        <f ca="1">IF(H225&gt;I225,D225,0)</f>
        <v>22.91</v>
      </c>
      <c r="H225" s="1">
        <f ca="1">INDEX(INDIRECT(""&amp;C225&amp;"!A2:A489"),MATCH(B225,INDIRECT(""&amp;C225&amp;"!B2:B489"),0))</f>
        <v>129</v>
      </c>
      <c r="I225" s="1">
        <f>IF(C225="RB",LeagueInfo!$D$4*LeagueInfo!$F$2,LeagueInfo!$D$5*LeagueInfo!$F$2)</f>
        <v>24</v>
      </c>
    </row>
    <row r="226" spans="1:9" x14ac:dyDescent="0.25">
      <c r="A226" s="1">
        <f ca="1">RANK(E226,E$2:E$402)</f>
        <v>229</v>
      </c>
      <c r="B226" s="1" t="s">
        <v>612</v>
      </c>
      <c r="C226" s="1" t="s">
        <v>39</v>
      </c>
      <c r="D226" s="1">
        <f ca="1">INDEX(INDIRECT($C226&amp;"!O:O"),MATCH($B226,INDIRECT($C226&amp;"!B:B"),0))</f>
        <v>22.430000000000003</v>
      </c>
      <c r="E226" s="7">
        <f ca="1">D226-LARGE(D$2:D$402,RBCount+WRCount)</f>
        <v>-57.370000000000005</v>
      </c>
      <c r="F226" s="1" t="str">
        <f ca="1">IF(H226&lt;=I226,"Starter",IF(G226&gt;=LARGE(G:G,FlexOn*LeagueInfo!$F$2),"Starter","Bench"))</f>
        <v>Bench</v>
      </c>
      <c r="G226" s="1">
        <f ca="1">IF(H226&gt;I226,D226,0)</f>
        <v>22.430000000000003</v>
      </c>
      <c r="H226" s="1">
        <f ca="1">INDEX(INDIRECT(""&amp;C226&amp;"!A2:A489"),MATCH(B226,INDIRECT(""&amp;C226&amp;"!B2:B489"),0))</f>
        <v>130</v>
      </c>
      <c r="I226" s="1">
        <f>IF(C226="RB",LeagueInfo!$D$4*LeagueInfo!$F$2,LeagueInfo!$D$5*LeagueInfo!$F$2)</f>
        <v>24</v>
      </c>
    </row>
    <row r="227" spans="1:9" x14ac:dyDescent="0.25">
      <c r="A227" s="1">
        <f ca="1">RANK(E227,E$2:E$402)</f>
        <v>222</v>
      </c>
      <c r="B227" s="1" t="s">
        <v>472</v>
      </c>
      <c r="C227" s="1" t="s">
        <v>32</v>
      </c>
      <c r="D227" s="1">
        <f ca="1">INDEX(INDIRECT($C227&amp;"!O:O"),MATCH($B227,INDIRECT($C227&amp;"!B:B"),0))</f>
        <v>24.87</v>
      </c>
      <c r="E227" s="7">
        <f ca="1">D227-LARGE(D$2:D$402,RBCount+WRCount)</f>
        <v>-54.930000000000007</v>
      </c>
      <c r="F227" s="1" t="str">
        <f ca="1">IF(H227&lt;=I227,"Starter",IF(G227&gt;=LARGE(G:G,FlexOn*LeagueInfo!$F$2),"Starter","Bench"))</f>
        <v>Bench</v>
      </c>
      <c r="G227" s="1">
        <f ca="1">IF(H227&gt;I227,D227,0)</f>
        <v>24.87</v>
      </c>
      <c r="H227" s="1">
        <f ca="1">INDEX(INDIRECT(""&amp;C227&amp;"!A2:A489"),MATCH(B227,INDIRECT(""&amp;C227&amp;"!B2:B489"),0))</f>
        <v>95</v>
      </c>
      <c r="I227" s="1">
        <f>IF(C227="RB",LeagueInfo!$D$4*LeagueInfo!$F$2,LeagueInfo!$D$5*LeagueInfo!$F$2)</f>
        <v>24</v>
      </c>
    </row>
    <row r="228" spans="1:9" x14ac:dyDescent="0.25">
      <c r="A228" s="1">
        <f ca="1">RANK(E228,E$2:E$402)</f>
        <v>228</v>
      </c>
      <c r="B228" s="1" t="s">
        <v>476</v>
      </c>
      <c r="C228" s="1" t="s">
        <v>32</v>
      </c>
      <c r="D228" s="1">
        <f ca="1">INDEX(INDIRECT($C228&amp;"!O:O"),MATCH($B228,INDIRECT($C228&amp;"!B:B"),0))</f>
        <v>22.480000000000004</v>
      </c>
      <c r="E228" s="7">
        <f ca="1">D228-LARGE(D$2:D$402,RBCount+WRCount)</f>
        <v>-57.320000000000007</v>
      </c>
      <c r="F228" s="1" t="str">
        <f ca="1">IF(H228&lt;=I228,"Starter",IF(G228&gt;=LARGE(G:G,FlexOn*LeagueInfo!$F$2),"Starter","Bench"))</f>
        <v>Bench</v>
      </c>
      <c r="G228" s="1">
        <f ca="1">IF(H228&gt;I228,D228,0)</f>
        <v>22.480000000000004</v>
      </c>
      <c r="H228" s="1">
        <f ca="1">INDEX(INDIRECT(""&amp;C228&amp;"!A2:A489"),MATCH(B228,INDIRECT(""&amp;C228&amp;"!B2:B489"),0))</f>
        <v>99</v>
      </c>
      <c r="I228" s="1">
        <f>IF(C228="RB",LeagueInfo!$D$4*LeagueInfo!$F$2,LeagueInfo!$D$5*LeagueInfo!$F$2)</f>
        <v>24</v>
      </c>
    </row>
    <row r="229" spans="1:9" x14ac:dyDescent="0.25">
      <c r="A229" s="1">
        <f ca="1">RANK(E229,E$2:E$402)</f>
        <v>223</v>
      </c>
      <c r="B229" s="1" t="s">
        <v>481</v>
      </c>
      <c r="C229" s="1" t="s">
        <v>32</v>
      </c>
      <c r="D229" s="1">
        <f ca="1">INDEX(INDIRECT($C229&amp;"!O:O"),MATCH($B229,INDIRECT($C229&amp;"!B:B"),0))</f>
        <v>24.500000000000004</v>
      </c>
      <c r="E229" s="7">
        <f ca="1">D229-LARGE(D$2:D$402,RBCount+WRCount)</f>
        <v>-55.300000000000011</v>
      </c>
      <c r="F229" s="1" t="str">
        <f ca="1">IF(H229&lt;=I229,"Starter",IF(G229&gt;=LARGE(G:G,FlexOn*LeagueInfo!$F$2),"Starter","Bench"))</f>
        <v>Bench</v>
      </c>
      <c r="G229" s="1">
        <f ca="1">IF(H229&gt;I229,D229,0)</f>
        <v>24.500000000000004</v>
      </c>
      <c r="H229" s="1">
        <f ca="1">INDEX(INDIRECT(""&amp;C229&amp;"!A2:A489"),MATCH(B229,INDIRECT(""&amp;C229&amp;"!B2:B489"),0))</f>
        <v>96</v>
      </c>
      <c r="I229" s="1">
        <f>IF(C229="RB",LeagueInfo!$D$4*LeagueInfo!$F$2,LeagueInfo!$D$5*LeagueInfo!$F$2)</f>
        <v>24</v>
      </c>
    </row>
    <row r="230" spans="1:9" x14ac:dyDescent="0.25">
      <c r="A230" s="1">
        <f ca="1">RANK(E230,E$2:E$402)</f>
        <v>232</v>
      </c>
      <c r="B230" s="1" t="s">
        <v>624</v>
      </c>
      <c r="C230" s="1" t="s">
        <v>39</v>
      </c>
      <c r="D230" s="1">
        <f ca="1">INDEX(INDIRECT($C230&amp;"!O:O"),MATCH($B230,INDIRECT($C230&amp;"!B:B"),0))</f>
        <v>20.860000000000003</v>
      </c>
      <c r="E230" s="7">
        <f ca="1">D230-LARGE(D$2:D$402,RBCount+WRCount)</f>
        <v>-58.940000000000012</v>
      </c>
      <c r="F230" s="1" t="str">
        <f ca="1">IF(H230&lt;=I230,"Starter",IF(G230&gt;=LARGE(G:G,FlexOn*LeagueInfo!$F$2),"Starter","Bench"))</f>
        <v>Bench</v>
      </c>
      <c r="G230" s="1">
        <f ca="1">IF(H230&gt;I230,D230,0)</f>
        <v>20.860000000000003</v>
      </c>
      <c r="H230" s="1">
        <f ca="1">INDEX(INDIRECT(""&amp;C230&amp;"!A2:A489"),MATCH(B230,INDIRECT(""&amp;C230&amp;"!B2:B489"),0))</f>
        <v>131</v>
      </c>
      <c r="I230" s="1">
        <f>IF(C230="RB",LeagueInfo!$D$4*LeagueInfo!$F$2,LeagueInfo!$D$5*LeagueInfo!$F$2)</f>
        <v>24</v>
      </c>
    </row>
    <row r="231" spans="1:9" x14ac:dyDescent="0.25">
      <c r="A231" s="1">
        <f ca="1">RANK(E231,E$2:E$402)</f>
        <v>233</v>
      </c>
      <c r="B231" s="1" t="s">
        <v>625</v>
      </c>
      <c r="C231" s="1" t="s">
        <v>39</v>
      </c>
      <c r="D231" s="1">
        <f ca="1">INDEX(INDIRECT($C231&amp;"!O:O"),MATCH($B231,INDIRECT($C231&amp;"!B:B"),0))</f>
        <v>19.45</v>
      </c>
      <c r="E231" s="7">
        <f ca="1">D231-LARGE(D$2:D$402,RBCount+WRCount)</f>
        <v>-60.350000000000009</v>
      </c>
      <c r="F231" s="1" t="str">
        <f ca="1">IF(H231&lt;=I231,"Starter",IF(G231&gt;=LARGE(G:G,FlexOn*LeagueInfo!$F$2),"Starter","Bench"))</f>
        <v>Bench</v>
      </c>
      <c r="G231" s="1">
        <f ca="1">IF(H231&gt;I231,D231,0)</f>
        <v>19.45</v>
      </c>
      <c r="H231" s="1">
        <f ca="1">INDEX(INDIRECT(""&amp;C231&amp;"!A2:A489"),MATCH(B231,INDIRECT(""&amp;C231&amp;"!B2:B489"),0))</f>
        <v>132</v>
      </c>
      <c r="I231" s="1">
        <f>IF(C231="RB",LeagueInfo!$D$4*LeagueInfo!$F$2,LeagueInfo!$D$5*LeagueInfo!$F$2)</f>
        <v>24</v>
      </c>
    </row>
    <row r="232" spans="1:9" x14ac:dyDescent="0.25">
      <c r="A232" s="1">
        <f ca="1">RANK(E232,E$2:E$402)</f>
        <v>230</v>
      </c>
      <c r="B232" s="1" t="s">
        <v>485</v>
      </c>
      <c r="C232" s="1" t="s">
        <v>32</v>
      </c>
      <c r="D232" s="1">
        <f ca="1">INDEX(INDIRECT($C232&amp;"!O:O"),MATCH($B232,INDIRECT($C232&amp;"!B:B"),0))</f>
        <v>22.23</v>
      </c>
      <c r="E232" s="7">
        <f ca="1">D232-LARGE(D$2:D$402,RBCount+WRCount)</f>
        <v>-57.570000000000007</v>
      </c>
      <c r="F232" s="1" t="str">
        <f ca="1">IF(H232&lt;=I232,"Starter",IF(G232&gt;=LARGE(G:G,FlexOn*LeagueInfo!$F$2),"Starter","Bench"))</f>
        <v>Bench</v>
      </c>
      <c r="G232" s="1">
        <f ca="1">IF(H232&gt;I232,D232,0)</f>
        <v>22.23</v>
      </c>
      <c r="H232" s="1">
        <f ca="1">INDEX(INDIRECT(""&amp;C232&amp;"!A2:A489"),MATCH(B232,INDIRECT(""&amp;C232&amp;"!B2:B489"),0))</f>
        <v>100</v>
      </c>
      <c r="I232" s="1">
        <f>IF(C232="RB",LeagueInfo!$D$4*LeagueInfo!$F$2,LeagueInfo!$D$5*LeagueInfo!$F$2)</f>
        <v>24</v>
      </c>
    </row>
    <row r="233" spans="1:9" x14ac:dyDescent="0.25">
      <c r="A233" s="1">
        <f ca="1">RANK(E233,E$2:E$402)</f>
        <v>226</v>
      </c>
      <c r="B233" s="1" t="s">
        <v>470</v>
      </c>
      <c r="C233" s="1" t="s">
        <v>32</v>
      </c>
      <c r="D233" s="1">
        <f ca="1">INDEX(INDIRECT($C233&amp;"!O:O"),MATCH($B233,INDIRECT($C233&amp;"!B:B"),0))</f>
        <v>23.100000000000005</v>
      </c>
      <c r="E233" s="7">
        <f ca="1">D233-LARGE(D$2:D$402,RBCount+WRCount)</f>
        <v>-56.7</v>
      </c>
      <c r="F233" s="1" t="str">
        <f ca="1">IF(H233&lt;=I233,"Starter",IF(G233&gt;=LARGE(G:G,FlexOn*LeagueInfo!$F$2),"Starter","Bench"))</f>
        <v>Bench</v>
      </c>
      <c r="G233" s="1">
        <f ca="1">IF(H233&gt;I233,D233,0)</f>
        <v>23.100000000000005</v>
      </c>
      <c r="H233" s="1">
        <f ca="1">INDEX(INDIRECT(""&amp;C233&amp;"!A2:A489"),MATCH(B233,INDIRECT(""&amp;C233&amp;"!B2:B489"),0))</f>
        <v>98</v>
      </c>
      <c r="I233" s="1">
        <f>IF(C233="RB",LeagueInfo!$D$4*LeagueInfo!$F$2,LeagueInfo!$D$5*LeagueInfo!$F$2)</f>
        <v>24</v>
      </c>
    </row>
    <row r="234" spans="1:9" x14ac:dyDescent="0.25">
      <c r="A234" s="1">
        <f ca="1">RANK(E234,E$2:E$402)</f>
        <v>234</v>
      </c>
      <c r="B234" s="1" t="s">
        <v>608</v>
      </c>
      <c r="C234" s="1" t="s">
        <v>39</v>
      </c>
      <c r="D234" s="1">
        <f ca="1">INDEX(INDIRECT($C234&amp;"!O:O"),MATCH($B234,INDIRECT($C234&amp;"!B:B"),0))</f>
        <v>19.37</v>
      </c>
      <c r="E234" s="7">
        <f ca="1">D234-LARGE(D$2:D$402,RBCount+WRCount)</f>
        <v>-60.430000000000007</v>
      </c>
      <c r="F234" s="1" t="str">
        <f ca="1">IF(H234&lt;=I234,"Starter",IF(G234&gt;=LARGE(G:G,FlexOn*LeagueInfo!$F$2),"Starter","Bench"))</f>
        <v>Bench</v>
      </c>
      <c r="G234" s="1">
        <f ca="1">IF(H234&gt;I234,D234,0)</f>
        <v>19.37</v>
      </c>
      <c r="H234" s="1">
        <f ca="1">INDEX(INDIRECT(""&amp;C234&amp;"!A2:A489"),MATCH(B234,INDIRECT(""&amp;C234&amp;"!B2:B489"),0))</f>
        <v>133</v>
      </c>
      <c r="I234" s="1">
        <f>IF(C234="RB",LeagueInfo!$D$4*LeagueInfo!$F$2,LeagueInfo!$D$5*LeagueInfo!$F$2)</f>
        <v>24</v>
      </c>
    </row>
    <row r="235" spans="1:9" x14ac:dyDescent="0.25">
      <c r="A235" s="1">
        <f ca="1">RANK(E235,E$2:E$402)</f>
        <v>236</v>
      </c>
      <c r="B235" s="1" t="s">
        <v>609</v>
      </c>
      <c r="C235" s="1" t="s">
        <v>39</v>
      </c>
      <c r="D235" s="1">
        <f ca="1">INDEX(INDIRECT($C235&amp;"!O:O"),MATCH($B235,INDIRECT($C235&amp;"!B:B"),0))</f>
        <v>18.840000000000003</v>
      </c>
      <c r="E235" s="7">
        <f ca="1">D235-LARGE(D$2:D$402,RBCount+WRCount)</f>
        <v>-60.960000000000008</v>
      </c>
      <c r="F235" s="1" t="str">
        <f ca="1">IF(H235&lt;=I235,"Starter",IF(G235&gt;=LARGE(G:G,FlexOn*LeagueInfo!$F$2),"Starter","Bench"))</f>
        <v>Bench</v>
      </c>
      <c r="G235" s="1">
        <f ca="1">IF(H235&gt;I235,D235,0)</f>
        <v>18.840000000000003</v>
      </c>
      <c r="H235" s="1">
        <f ca="1">INDEX(INDIRECT(""&amp;C235&amp;"!A2:A489"),MATCH(B235,INDIRECT(""&amp;C235&amp;"!B2:B489"),0))</f>
        <v>135</v>
      </c>
      <c r="I235" s="1">
        <f>IF(C235="RB",LeagueInfo!$D$4*LeagueInfo!$F$2,LeagueInfo!$D$5*LeagueInfo!$F$2)</f>
        <v>24</v>
      </c>
    </row>
    <row r="236" spans="1:9" x14ac:dyDescent="0.25">
      <c r="A236" s="1">
        <f ca="1">RANK(E236,E$2:E$402)</f>
        <v>231</v>
      </c>
      <c r="B236" s="1" t="s">
        <v>465</v>
      </c>
      <c r="C236" s="1" t="s">
        <v>32</v>
      </c>
      <c r="D236" s="1">
        <f ca="1">INDEX(INDIRECT($C236&amp;"!O:O"),MATCH($B236,INDIRECT($C236&amp;"!B:B"),0))</f>
        <v>21.18</v>
      </c>
      <c r="E236" s="7">
        <f ca="1">D236-LARGE(D$2:D$402,RBCount+WRCount)</f>
        <v>-58.620000000000012</v>
      </c>
      <c r="F236" s="1" t="str">
        <f ca="1">IF(H236&lt;=I236,"Starter",IF(G236&gt;=LARGE(G:G,FlexOn*LeagueInfo!$F$2),"Starter","Bench"))</f>
        <v>Bench</v>
      </c>
      <c r="G236" s="1">
        <f ca="1">IF(H236&gt;I236,D236,0)</f>
        <v>21.18</v>
      </c>
      <c r="H236" s="1">
        <f ca="1">INDEX(INDIRECT(""&amp;C236&amp;"!A2:A489"),MATCH(B236,INDIRECT(""&amp;C236&amp;"!B2:B489"),0))</f>
        <v>101</v>
      </c>
      <c r="I236" s="1">
        <f>IF(C236="RB",LeagueInfo!$D$4*LeagueInfo!$F$2,LeagueInfo!$D$5*LeagueInfo!$F$2)</f>
        <v>24</v>
      </c>
    </row>
    <row r="237" spans="1:9" x14ac:dyDescent="0.25">
      <c r="A237" s="1">
        <f ca="1">RANK(E237,E$2:E$402)</f>
        <v>237</v>
      </c>
      <c r="B237" s="1" t="s">
        <v>631</v>
      </c>
      <c r="C237" s="1" t="s">
        <v>39</v>
      </c>
      <c r="D237" s="1">
        <f ca="1">INDEX(INDIRECT($C237&amp;"!O:O"),MATCH($B237,INDIRECT($C237&amp;"!B:B"),0))</f>
        <v>17.97</v>
      </c>
      <c r="E237" s="7">
        <f ca="1">D237-LARGE(D$2:D$402,RBCount+WRCount)</f>
        <v>-61.830000000000013</v>
      </c>
      <c r="F237" s="1" t="str">
        <f ca="1">IF(H237&lt;=I237,"Starter",IF(G237&gt;=LARGE(G:G,FlexOn*LeagueInfo!$F$2),"Starter","Bench"))</f>
        <v>Bench</v>
      </c>
      <c r="G237" s="1">
        <f ca="1">IF(H237&gt;I237,D237,0)</f>
        <v>17.97</v>
      </c>
      <c r="H237" s="1">
        <f ca="1">INDEX(INDIRECT(""&amp;C237&amp;"!A2:A489"),MATCH(B237,INDIRECT(""&amp;C237&amp;"!B2:B489"),0))</f>
        <v>136</v>
      </c>
      <c r="I237" s="1">
        <f>IF(C237="RB",LeagueInfo!$D$4*LeagueInfo!$F$2,LeagueInfo!$D$5*LeagueInfo!$F$2)</f>
        <v>24</v>
      </c>
    </row>
    <row r="238" spans="1:9" x14ac:dyDescent="0.25">
      <c r="A238" s="1">
        <f ca="1">RANK(E238,E$2:E$402)</f>
        <v>239</v>
      </c>
      <c r="B238" s="1" t="s">
        <v>628</v>
      </c>
      <c r="C238" s="1" t="s">
        <v>39</v>
      </c>
      <c r="D238" s="1">
        <f ca="1">INDEX(INDIRECT($C238&amp;"!O:O"),MATCH($B238,INDIRECT($C238&amp;"!B:B"),0))</f>
        <v>16.62</v>
      </c>
      <c r="E238" s="7">
        <f ca="1">D238-LARGE(D$2:D$402,RBCount+WRCount)</f>
        <v>-63.180000000000007</v>
      </c>
      <c r="F238" s="1" t="str">
        <f ca="1">IF(H238&lt;=I238,"Starter",IF(G238&gt;=LARGE(G:G,FlexOn*LeagueInfo!$F$2),"Starter","Bench"))</f>
        <v>Bench</v>
      </c>
      <c r="G238" s="1">
        <f ca="1">IF(H238&gt;I238,D238,0)</f>
        <v>16.62</v>
      </c>
      <c r="H238" s="1">
        <f ca="1">INDEX(INDIRECT(""&amp;C238&amp;"!A2:A489"),MATCH(B238,INDIRECT(""&amp;C238&amp;"!B2:B489"),0))</f>
        <v>137</v>
      </c>
      <c r="I238" s="1">
        <f>IF(C238="RB",LeagueInfo!$D$4*LeagueInfo!$F$2,LeagueInfo!$D$5*LeagueInfo!$F$2)</f>
        <v>24</v>
      </c>
    </row>
    <row r="239" spans="1:9" x14ac:dyDescent="0.25">
      <c r="A239" s="1">
        <f ca="1">RANK(E239,E$2:E$402)</f>
        <v>235</v>
      </c>
      <c r="B239" s="1" t="s">
        <v>620</v>
      </c>
      <c r="C239" s="1" t="s">
        <v>39</v>
      </c>
      <c r="D239" s="1">
        <f ca="1">INDEX(INDIRECT($C239&amp;"!O:O"),MATCH($B239,INDIRECT($C239&amp;"!B:B"),0))</f>
        <v>19.05</v>
      </c>
      <c r="E239" s="7">
        <f ca="1">D239-LARGE(D$2:D$402,RBCount+WRCount)</f>
        <v>-60.750000000000014</v>
      </c>
      <c r="F239" s="1" t="str">
        <f ca="1">IF(H239&lt;=I239,"Starter",IF(G239&gt;=LARGE(G:G,FlexOn*LeagueInfo!$F$2),"Starter","Bench"))</f>
        <v>Bench</v>
      </c>
      <c r="G239" s="1">
        <f ca="1">IF(H239&gt;I239,D239,0)</f>
        <v>19.05</v>
      </c>
      <c r="H239" s="1">
        <f ca="1">INDEX(INDIRECT(""&amp;C239&amp;"!A2:A489"),MATCH(B239,INDIRECT(""&amp;C239&amp;"!B2:B489"),0))</f>
        <v>134</v>
      </c>
      <c r="I239" s="1">
        <f>IF(C239="RB",LeagueInfo!$D$4*LeagueInfo!$F$2,LeagueInfo!$D$5*LeagueInfo!$F$2)</f>
        <v>24</v>
      </c>
    </row>
    <row r="240" spans="1:9" x14ac:dyDescent="0.25">
      <c r="A240" s="1">
        <f ca="1">RANK(E240,E$2:E$402)</f>
        <v>245</v>
      </c>
      <c r="B240" s="1" t="s">
        <v>629</v>
      </c>
      <c r="C240" s="1" t="s">
        <v>39</v>
      </c>
      <c r="D240" s="1">
        <f ca="1">INDEX(INDIRECT($C240&amp;"!O:O"),MATCH($B240,INDIRECT($C240&amp;"!B:B"),0))</f>
        <v>16.160000000000004</v>
      </c>
      <c r="E240" s="7">
        <f ca="1">D240-LARGE(D$2:D$402,RBCount+WRCount)</f>
        <v>-63.640000000000008</v>
      </c>
      <c r="F240" s="1" t="str">
        <f ca="1">IF(H240&lt;=I240,"Starter",IF(G240&gt;=LARGE(G:G,FlexOn*LeagueInfo!$F$2),"Starter","Bench"))</f>
        <v>Bench</v>
      </c>
      <c r="G240" s="1">
        <f ca="1">IF(H240&gt;I240,D240,0)</f>
        <v>16.160000000000004</v>
      </c>
      <c r="H240" s="1">
        <f ca="1">INDEX(INDIRECT(""&amp;C240&amp;"!A2:A489"),MATCH(B240,INDIRECT(""&amp;C240&amp;"!B2:B489"),0))</f>
        <v>141</v>
      </c>
      <c r="I240" s="1">
        <f>IF(C240="RB",LeagueInfo!$D$4*LeagueInfo!$F$2,LeagueInfo!$D$5*LeagueInfo!$F$2)</f>
        <v>24</v>
      </c>
    </row>
    <row r="241" spans="1:9" x14ac:dyDescent="0.25">
      <c r="A241" s="1">
        <f ca="1">RANK(E241,E$2:E$402)</f>
        <v>246</v>
      </c>
      <c r="B241" s="1" t="s">
        <v>687</v>
      </c>
      <c r="C241" s="1" t="s">
        <v>39</v>
      </c>
      <c r="D241" s="1">
        <f ca="1">INDEX(INDIRECT($C241&amp;"!O:O"),MATCH($B241,INDIRECT($C241&amp;"!B:B"),0))</f>
        <v>16.049999999999997</v>
      </c>
      <c r="E241" s="7">
        <f ca="1">D241-LARGE(D$2:D$402,RBCount+WRCount)</f>
        <v>-63.750000000000014</v>
      </c>
      <c r="F241" s="1" t="str">
        <f ca="1">IF(H241&lt;=I241,"Starter",IF(G241&gt;=LARGE(G:G,FlexOn*LeagueInfo!$F$2),"Starter","Bench"))</f>
        <v>Bench</v>
      </c>
      <c r="G241" s="1">
        <f ca="1">IF(H241&gt;I241,D241,0)</f>
        <v>16.049999999999997</v>
      </c>
      <c r="H241" s="1">
        <f ca="1">INDEX(INDIRECT(""&amp;C241&amp;"!A2:A489"),MATCH(B241,INDIRECT(""&amp;C241&amp;"!B2:B489"),0))</f>
        <v>142</v>
      </c>
      <c r="I241" s="1">
        <f>IF(C241="RB",LeagueInfo!$D$4*LeagueInfo!$F$2,LeagueInfo!$D$5*LeagueInfo!$F$2)</f>
        <v>24</v>
      </c>
    </row>
    <row r="242" spans="1:9" x14ac:dyDescent="0.25">
      <c r="A242" s="1">
        <f ca="1">RANK(E242,E$2:E$402)</f>
        <v>240</v>
      </c>
      <c r="B242" s="1" t="s">
        <v>658</v>
      </c>
      <c r="C242" s="1" t="s">
        <v>39</v>
      </c>
      <c r="D242" s="1">
        <f ca="1">INDEX(INDIRECT($C242&amp;"!O:O"),MATCH($B242,INDIRECT($C242&amp;"!B:B"),0))</f>
        <v>16.520000000000003</v>
      </c>
      <c r="E242" s="7">
        <f ca="1">D242-LARGE(D$2:D$402,RBCount+WRCount)</f>
        <v>-63.280000000000008</v>
      </c>
      <c r="F242" s="1" t="str">
        <f ca="1">IF(H242&lt;=I242,"Starter",IF(G242&gt;=LARGE(G:G,FlexOn*LeagueInfo!$F$2),"Starter","Bench"))</f>
        <v>Bench</v>
      </c>
      <c r="G242" s="1">
        <f ca="1">IF(H242&gt;I242,D242,0)</f>
        <v>16.520000000000003</v>
      </c>
      <c r="H242" s="1">
        <f ca="1">INDEX(INDIRECT(""&amp;C242&amp;"!A2:A489"),MATCH(B242,INDIRECT(""&amp;C242&amp;"!B2:B489"),0))</f>
        <v>138</v>
      </c>
      <c r="I242" s="1">
        <f>IF(C242="RB",LeagueInfo!$D$4*LeagueInfo!$F$2,LeagueInfo!$D$5*LeagueInfo!$F$2)</f>
        <v>24</v>
      </c>
    </row>
    <row r="243" spans="1:9" x14ac:dyDescent="0.25">
      <c r="A243" s="1">
        <f ca="1">RANK(E243,E$2:E$402)</f>
        <v>241</v>
      </c>
      <c r="B243" s="1" t="s">
        <v>617</v>
      </c>
      <c r="C243" s="1" t="s">
        <v>39</v>
      </c>
      <c r="D243" s="1">
        <f ca="1">INDEX(INDIRECT($C243&amp;"!O:O"),MATCH($B243,INDIRECT($C243&amp;"!B:B"),0))</f>
        <v>16.46</v>
      </c>
      <c r="E243" s="7">
        <f ca="1">D243-LARGE(D$2:D$402,RBCount+WRCount)</f>
        <v>-63.340000000000011</v>
      </c>
      <c r="F243" s="1" t="str">
        <f ca="1">IF(H243&lt;=I243,"Starter",IF(G243&gt;=LARGE(G:G,FlexOn*LeagueInfo!$F$2),"Starter","Bench"))</f>
        <v>Bench</v>
      </c>
      <c r="G243" s="1">
        <f ca="1">IF(H243&gt;I243,D243,0)</f>
        <v>16.46</v>
      </c>
      <c r="H243" s="1">
        <f ca="1">INDEX(INDIRECT(""&amp;C243&amp;"!A2:A489"),MATCH(B243,INDIRECT(""&amp;C243&amp;"!B2:B489"),0))</f>
        <v>139</v>
      </c>
      <c r="I243" s="1">
        <f>IF(C243="RB",LeagueInfo!$D$4*LeagueInfo!$F$2,LeagueInfo!$D$5*LeagueInfo!$F$2)</f>
        <v>24</v>
      </c>
    </row>
    <row r="244" spans="1:9" x14ac:dyDescent="0.25">
      <c r="A244" s="1">
        <f ca="1">RANK(E244,E$2:E$402)</f>
        <v>242</v>
      </c>
      <c r="B244" s="1" t="s">
        <v>619</v>
      </c>
      <c r="C244" s="1" t="s">
        <v>39</v>
      </c>
      <c r="D244" s="1">
        <f ca="1">INDEX(INDIRECT($C244&amp;"!O:O"),MATCH($B244,INDIRECT($C244&amp;"!B:B"),0))</f>
        <v>16.419999999999998</v>
      </c>
      <c r="E244" s="7">
        <f ca="1">D244-LARGE(D$2:D$402,RBCount+WRCount)</f>
        <v>-63.38000000000001</v>
      </c>
      <c r="F244" s="1" t="str">
        <f ca="1">IF(H244&lt;=I244,"Starter",IF(G244&gt;=LARGE(G:G,FlexOn*LeagueInfo!$F$2),"Starter","Bench"))</f>
        <v>Bench</v>
      </c>
      <c r="G244" s="1">
        <f ca="1">IF(H244&gt;I244,D244,0)</f>
        <v>16.419999999999998</v>
      </c>
      <c r="H244" s="1">
        <f ca="1">INDEX(INDIRECT(""&amp;C244&amp;"!A2:A489"),MATCH(B244,INDIRECT(""&amp;C244&amp;"!B2:B489"),0))</f>
        <v>140</v>
      </c>
      <c r="I244" s="1">
        <f>IF(C244="RB",LeagueInfo!$D$4*LeagueInfo!$F$2,LeagueInfo!$D$5*LeagueInfo!$F$2)</f>
        <v>24</v>
      </c>
    </row>
    <row r="245" spans="1:9" x14ac:dyDescent="0.25">
      <c r="A245" s="1">
        <f ca="1">RANK(E245,E$2:E$402)</f>
        <v>247</v>
      </c>
      <c r="B245" s="1" t="s">
        <v>601</v>
      </c>
      <c r="C245" s="1" t="s">
        <v>39</v>
      </c>
      <c r="D245" s="1">
        <f ca="1">INDEX(INDIRECT($C245&amp;"!O:O"),MATCH($B245,INDIRECT($C245&amp;"!B:B"),0))</f>
        <v>15.479999999999999</v>
      </c>
      <c r="E245" s="7">
        <f ca="1">D245-LARGE(D$2:D$402,RBCount+WRCount)</f>
        <v>-64.320000000000007</v>
      </c>
      <c r="F245" s="1" t="str">
        <f ca="1">IF(H245&lt;=I245,"Starter",IF(G245&gt;=LARGE(G:G,FlexOn*LeagueInfo!$F$2),"Starter","Bench"))</f>
        <v>Bench</v>
      </c>
      <c r="G245" s="1">
        <f ca="1">IF(H245&gt;I245,D245,0)</f>
        <v>15.479999999999999</v>
      </c>
      <c r="H245" s="1">
        <f ca="1">INDEX(INDIRECT(""&amp;C245&amp;"!A2:A489"),MATCH(B245,INDIRECT(""&amp;C245&amp;"!B2:B489"),0))</f>
        <v>143</v>
      </c>
      <c r="I245" s="1">
        <f>IF(C245="RB",LeagueInfo!$D$4*LeagueInfo!$F$2,LeagueInfo!$D$5*LeagueInfo!$F$2)</f>
        <v>24</v>
      </c>
    </row>
    <row r="246" spans="1:9" x14ac:dyDescent="0.25">
      <c r="A246" s="1">
        <f ca="1">RANK(E246,E$2:E$402)</f>
        <v>250</v>
      </c>
      <c r="B246" s="1" t="s">
        <v>478</v>
      </c>
      <c r="C246" s="1" t="s">
        <v>32</v>
      </c>
      <c r="D246" s="1">
        <f ca="1">INDEX(INDIRECT($C246&amp;"!O:O"),MATCH($B246,INDIRECT($C246&amp;"!B:B"),0))</f>
        <v>14.830000000000002</v>
      </c>
      <c r="E246" s="7">
        <f ca="1">D246-LARGE(D$2:D$402,RBCount+WRCount)</f>
        <v>-64.970000000000013</v>
      </c>
      <c r="F246" s="1" t="str">
        <f ca="1">IF(H246&lt;=I246,"Starter",IF(G246&gt;=LARGE(G:G,FlexOn*LeagueInfo!$F$2),"Starter","Bench"))</f>
        <v>Bench</v>
      </c>
      <c r="G246" s="1">
        <f ca="1">IF(H246&gt;I246,D246,0)</f>
        <v>14.830000000000002</v>
      </c>
      <c r="H246" s="1">
        <f ca="1">INDEX(INDIRECT(""&amp;C246&amp;"!A2:A489"),MATCH(B246,INDIRECT(""&amp;C246&amp;"!B2:B489"),0))</f>
        <v>107</v>
      </c>
      <c r="I246" s="1">
        <f>IF(C246="RB",LeagueInfo!$D$4*LeagueInfo!$F$2,LeagueInfo!$D$5*LeagueInfo!$F$2)</f>
        <v>24</v>
      </c>
    </row>
    <row r="247" spans="1:9" x14ac:dyDescent="0.25">
      <c r="A247" s="1">
        <f ca="1">RANK(E247,E$2:E$402)</f>
        <v>251</v>
      </c>
      <c r="B247" s="1" t="s">
        <v>606</v>
      </c>
      <c r="C247" s="1" t="s">
        <v>39</v>
      </c>
      <c r="D247" s="1">
        <f ca="1">INDEX(INDIRECT($C247&amp;"!O:O"),MATCH($B247,INDIRECT($C247&amp;"!B:B"),0))</f>
        <v>14.770000000000001</v>
      </c>
      <c r="E247" s="7">
        <f ca="1">D247-LARGE(D$2:D$402,RBCount+WRCount)</f>
        <v>-65.030000000000015</v>
      </c>
      <c r="F247" s="1" t="str">
        <f ca="1">IF(H247&lt;=I247,"Starter",IF(G247&gt;=LARGE(G:G,FlexOn*LeagueInfo!$F$2),"Starter","Bench"))</f>
        <v>Bench</v>
      </c>
      <c r="G247" s="1">
        <f ca="1">IF(H247&gt;I247,D247,0)</f>
        <v>14.770000000000001</v>
      </c>
      <c r="H247" s="1">
        <f ca="1">INDEX(INDIRECT(""&amp;C247&amp;"!A2:A489"),MATCH(B247,INDIRECT(""&amp;C247&amp;"!B2:B489"),0))</f>
        <v>144</v>
      </c>
      <c r="I247" s="1">
        <f>IF(C247="RB",LeagueInfo!$D$4*LeagueInfo!$F$2,LeagueInfo!$D$5*LeagueInfo!$F$2)</f>
        <v>24</v>
      </c>
    </row>
    <row r="248" spans="1:9" x14ac:dyDescent="0.25">
      <c r="A248" s="1">
        <f ca="1">RANK(E248,E$2:E$402)</f>
        <v>253</v>
      </c>
      <c r="B248" s="1" t="s">
        <v>709</v>
      </c>
      <c r="C248" s="1" t="s">
        <v>39</v>
      </c>
      <c r="D248" s="1">
        <f ca="1">INDEX(INDIRECT($C248&amp;"!O:O"),MATCH($B248,INDIRECT($C248&amp;"!B:B"),0))</f>
        <v>14.55</v>
      </c>
      <c r="E248" s="7">
        <f ca="1">D248-LARGE(D$2:D$402,RBCount+WRCount)</f>
        <v>-65.250000000000014</v>
      </c>
      <c r="F248" s="1" t="str">
        <f ca="1">IF(H248&lt;=I248,"Starter",IF(G248&gt;=LARGE(G:G,FlexOn*LeagueInfo!$F$2),"Starter","Bench"))</f>
        <v>Bench</v>
      </c>
      <c r="G248" s="1">
        <f ca="1">IF(H248&gt;I248,D248,0)</f>
        <v>14.55</v>
      </c>
      <c r="H248" s="1">
        <f ca="1">INDEX(INDIRECT(""&amp;C248&amp;"!A2:A489"),MATCH(B248,INDIRECT(""&amp;C248&amp;"!B2:B489"),0))</f>
        <v>146</v>
      </c>
      <c r="I248" s="1">
        <f>IF(C248="RB",LeagueInfo!$D$4*LeagueInfo!$F$2,LeagueInfo!$D$5*LeagueInfo!$F$2)</f>
        <v>24</v>
      </c>
    </row>
    <row r="249" spans="1:9" x14ac:dyDescent="0.25">
      <c r="A249" s="1">
        <f ca="1">RANK(E249,E$2:E$402)</f>
        <v>238</v>
      </c>
      <c r="B249" s="1" t="s">
        <v>519</v>
      </c>
      <c r="C249" s="1" t="s">
        <v>32</v>
      </c>
      <c r="D249" s="1">
        <f ca="1">INDEX(INDIRECT($C249&amp;"!O:O"),MATCH($B249,INDIRECT($C249&amp;"!B:B"),0))</f>
        <v>16.78</v>
      </c>
      <c r="E249" s="7">
        <f ca="1">D249-LARGE(D$2:D$402,RBCount+WRCount)</f>
        <v>-63.02000000000001</v>
      </c>
      <c r="F249" s="1" t="str">
        <f ca="1">IF(H249&lt;=I249,"Starter",IF(G249&gt;=LARGE(G:G,FlexOn*LeagueInfo!$F$2),"Starter","Bench"))</f>
        <v>Bench</v>
      </c>
      <c r="G249" s="1">
        <f ca="1">IF(H249&gt;I249,D249,0)</f>
        <v>16.78</v>
      </c>
      <c r="H249" s="1">
        <f ca="1">INDEX(INDIRECT(""&amp;C249&amp;"!A2:A489"),MATCH(B249,INDIRECT(""&amp;C249&amp;"!B2:B489"),0))</f>
        <v>102</v>
      </c>
      <c r="I249" s="1">
        <f>IF(C249="RB",LeagueInfo!$D$4*LeagueInfo!$F$2,LeagueInfo!$D$5*LeagueInfo!$F$2)</f>
        <v>24</v>
      </c>
    </row>
    <row r="250" spans="1:9" x14ac:dyDescent="0.25">
      <c r="A250" s="1">
        <f ca="1">RANK(E250,E$2:E$402)</f>
        <v>256</v>
      </c>
      <c r="B250" s="1" t="s">
        <v>639</v>
      </c>
      <c r="C250" s="1" t="s">
        <v>39</v>
      </c>
      <c r="D250" s="1">
        <f ca="1">INDEX(INDIRECT($C250&amp;"!O:O"),MATCH($B250,INDIRECT($C250&amp;"!B:B"),0))</f>
        <v>14.01</v>
      </c>
      <c r="E250" s="7">
        <f ca="1">D250-LARGE(D$2:D$402,RBCount+WRCount)</f>
        <v>-65.790000000000006</v>
      </c>
      <c r="F250" s="1" t="str">
        <f ca="1">IF(H250&lt;=I250,"Starter",IF(G250&gt;=LARGE(G:G,FlexOn*LeagueInfo!$F$2),"Starter","Bench"))</f>
        <v>Bench</v>
      </c>
      <c r="G250" s="1">
        <f ca="1">IF(H250&gt;I250,D250,0)</f>
        <v>14.01</v>
      </c>
      <c r="H250" s="1">
        <f ca="1">INDEX(INDIRECT(""&amp;C250&amp;"!A2:A489"),MATCH(B250,INDIRECT(""&amp;C250&amp;"!B2:B489"),0))</f>
        <v>148</v>
      </c>
      <c r="I250" s="1">
        <f>IF(C250="RB",LeagueInfo!$D$4*LeagueInfo!$F$2,LeagueInfo!$D$5*LeagueInfo!$F$2)</f>
        <v>24</v>
      </c>
    </row>
    <row r="251" spans="1:9" x14ac:dyDescent="0.25">
      <c r="A251" s="1">
        <f ca="1">RANK(E251,E$2:E$402)</f>
        <v>244</v>
      </c>
      <c r="B251" s="1" t="s">
        <v>479</v>
      </c>
      <c r="C251" s="1" t="s">
        <v>32</v>
      </c>
      <c r="D251" s="1">
        <f ca="1">INDEX(INDIRECT($C251&amp;"!O:O"),MATCH($B251,INDIRECT($C251&amp;"!B:B"),0))</f>
        <v>16.170000000000002</v>
      </c>
      <c r="E251" s="7">
        <f ca="1">D251-LARGE(D$2:D$402,RBCount+WRCount)</f>
        <v>-63.63000000000001</v>
      </c>
      <c r="F251" s="1" t="str">
        <f ca="1">IF(H251&lt;=I251,"Starter",IF(G251&gt;=LARGE(G:G,FlexOn*LeagueInfo!$F$2),"Starter","Bench"))</f>
        <v>Bench</v>
      </c>
      <c r="G251" s="1">
        <f ca="1">IF(H251&gt;I251,D251,0)</f>
        <v>16.170000000000002</v>
      </c>
      <c r="H251" s="1">
        <f ca="1">INDEX(INDIRECT(""&amp;C251&amp;"!A2:A489"),MATCH(B251,INDIRECT(""&amp;C251&amp;"!B2:B489"),0))</f>
        <v>104</v>
      </c>
      <c r="I251" s="1">
        <f>IF(C251="RB",LeagueInfo!$D$4*LeagueInfo!$F$2,LeagueInfo!$D$5*LeagueInfo!$F$2)</f>
        <v>24</v>
      </c>
    </row>
    <row r="252" spans="1:9" x14ac:dyDescent="0.25">
      <c r="A252" s="1">
        <f ca="1">RANK(E252,E$2:E$402)</f>
        <v>252</v>
      </c>
      <c r="B252" s="1" t="s">
        <v>633</v>
      </c>
      <c r="C252" s="1" t="s">
        <v>39</v>
      </c>
      <c r="D252" s="1">
        <f ca="1">INDEX(INDIRECT($C252&amp;"!O:O"),MATCH($B252,INDIRECT($C252&amp;"!B:B"),0))</f>
        <v>14.680000000000001</v>
      </c>
      <c r="E252" s="7">
        <f ca="1">D252-LARGE(D$2:D$402,RBCount+WRCount)</f>
        <v>-65.12</v>
      </c>
      <c r="F252" s="1" t="str">
        <f ca="1">IF(H252&lt;=I252,"Starter",IF(G252&gt;=LARGE(G:G,FlexOn*LeagueInfo!$F$2),"Starter","Bench"))</f>
        <v>Bench</v>
      </c>
      <c r="G252" s="1">
        <f ca="1">IF(H252&gt;I252,D252,0)</f>
        <v>14.680000000000001</v>
      </c>
      <c r="H252" s="1">
        <f ca="1">INDEX(INDIRECT(""&amp;C252&amp;"!A2:A489"),MATCH(B252,INDIRECT(""&amp;C252&amp;"!B2:B489"),0))</f>
        <v>145</v>
      </c>
      <c r="I252" s="1">
        <f>IF(C252="RB",LeagueInfo!$D$4*LeagueInfo!$F$2,LeagueInfo!$D$5*LeagueInfo!$F$2)</f>
        <v>24</v>
      </c>
    </row>
    <row r="253" spans="1:9" x14ac:dyDescent="0.25">
      <c r="A253" s="1">
        <f ca="1">RANK(E253,E$2:E$402)</f>
        <v>249</v>
      </c>
      <c r="B253" s="1" t="s">
        <v>484</v>
      </c>
      <c r="C253" s="1" t="s">
        <v>32</v>
      </c>
      <c r="D253" s="1">
        <f ca="1">INDEX(INDIRECT($C253&amp;"!O:O"),MATCH($B253,INDIRECT($C253&amp;"!B:B"),0))</f>
        <v>14.98</v>
      </c>
      <c r="E253" s="7">
        <f ca="1">D253-LARGE(D$2:D$402,RBCount+WRCount)</f>
        <v>-64.820000000000007</v>
      </c>
      <c r="F253" s="1" t="str">
        <f ca="1">IF(H253&lt;=I253,"Starter",IF(G253&gt;=LARGE(G:G,FlexOn*LeagueInfo!$F$2),"Starter","Bench"))</f>
        <v>Bench</v>
      </c>
      <c r="G253" s="1">
        <f ca="1">IF(H253&gt;I253,D253,0)</f>
        <v>14.98</v>
      </c>
      <c r="H253" s="1">
        <f ca="1">INDEX(INDIRECT(""&amp;C253&amp;"!A2:A489"),MATCH(B253,INDIRECT(""&amp;C253&amp;"!B2:B489"),0))</f>
        <v>106</v>
      </c>
      <c r="I253" s="1">
        <f>IF(C253="RB",LeagueInfo!$D$4*LeagueInfo!$F$2,LeagueInfo!$D$5*LeagueInfo!$F$2)</f>
        <v>24</v>
      </c>
    </row>
    <row r="254" spans="1:9" x14ac:dyDescent="0.25">
      <c r="A254" s="1">
        <f ca="1">RANK(E254,E$2:E$402)</f>
        <v>259</v>
      </c>
      <c r="B254" s="1" t="s">
        <v>623</v>
      </c>
      <c r="C254" s="1" t="s">
        <v>39</v>
      </c>
      <c r="D254" s="1">
        <f ca="1">INDEX(INDIRECT($C254&amp;"!O:O"),MATCH($B254,INDIRECT($C254&amp;"!B:B"),0))</f>
        <v>13.22</v>
      </c>
      <c r="E254" s="7">
        <f ca="1">D254-LARGE(D$2:D$402,RBCount+WRCount)</f>
        <v>-66.580000000000013</v>
      </c>
      <c r="F254" s="1" t="str">
        <f ca="1">IF(H254&lt;=I254,"Starter",IF(G254&gt;=LARGE(G:G,FlexOn*LeagueInfo!$F$2),"Starter","Bench"))</f>
        <v>Bench</v>
      </c>
      <c r="G254" s="1">
        <f ca="1">IF(H254&gt;I254,D254,0)</f>
        <v>13.22</v>
      </c>
      <c r="H254" s="1">
        <f ca="1">INDEX(INDIRECT(""&amp;C254&amp;"!A2:A489"),MATCH(B254,INDIRECT(""&amp;C254&amp;"!B2:B489"),0))</f>
        <v>150</v>
      </c>
      <c r="I254" s="1">
        <f>IF(C254="RB",LeagueInfo!$D$4*LeagueInfo!$F$2,LeagueInfo!$D$5*LeagueInfo!$F$2)</f>
        <v>24</v>
      </c>
    </row>
    <row r="255" spans="1:9" x14ac:dyDescent="0.25">
      <c r="A255" s="1">
        <f ca="1">RANK(E255,E$2:E$402)</f>
        <v>254</v>
      </c>
      <c r="B255" s="1" t="s">
        <v>627</v>
      </c>
      <c r="C255" s="1" t="s">
        <v>39</v>
      </c>
      <c r="D255" s="1">
        <f ca="1">INDEX(INDIRECT($C255&amp;"!O:O"),MATCH($B255,INDIRECT($C255&amp;"!B:B"),0))</f>
        <v>14.39</v>
      </c>
      <c r="E255" s="7">
        <f ca="1">D255-LARGE(D$2:D$402,RBCount+WRCount)</f>
        <v>-65.410000000000011</v>
      </c>
      <c r="F255" s="1" t="str">
        <f ca="1">IF(H255&lt;=I255,"Starter",IF(G255&gt;=LARGE(G:G,FlexOn*LeagueInfo!$F$2),"Starter","Bench"))</f>
        <v>Bench</v>
      </c>
      <c r="G255" s="1">
        <f ca="1">IF(H255&gt;I255,D255,0)</f>
        <v>14.39</v>
      </c>
      <c r="H255" s="1">
        <f ca="1">INDEX(INDIRECT(""&amp;C255&amp;"!A2:A489"),MATCH(B255,INDIRECT(""&amp;C255&amp;"!B2:B489"),0))</f>
        <v>147</v>
      </c>
      <c r="I255" s="1">
        <f>IF(C255="RB",LeagueInfo!$D$4*LeagueInfo!$F$2,LeagueInfo!$D$5*LeagueInfo!$F$2)</f>
        <v>24</v>
      </c>
    </row>
    <row r="256" spans="1:9" x14ac:dyDescent="0.25">
      <c r="A256" s="1">
        <f ca="1">RANK(E256,E$2:E$402)</f>
        <v>247</v>
      </c>
      <c r="B256" s="1" t="s">
        <v>500</v>
      </c>
      <c r="C256" s="1" t="s">
        <v>32</v>
      </c>
      <c r="D256" s="1">
        <f ca="1">INDEX(INDIRECT($C256&amp;"!O:O"),MATCH($B256,INDIRECT($C256&amp;"!B:B"),0))</f>
        <v>15.480000000000002</v>
      </c>
      <c r="E256" s="7">
        <f ca="1">D256-LARGE(D$2:D$402,RBCount+WRCount)</f>
        <v>-64.320000000000007</v>
      </c>
      <c r="F256" s="1" t="str">
        <f ca="1">IF(H256&lt;=I256,"Starter",IF(G256&gt;=LARGE(G:G,FlexOn*LeagueInfo!$F$2),"Starter","Bench"))</f>
        <v>Bench</v>
      </c>
      <c r="G256" s="1">
        <f ca="1">IF(H256&gt;I256,D256,0)</f>
        <v>15.480000000000002</v>
      </c>
      <c r="H256" s="1">
        <f ca="1">INDEX(INDIRECT(""&amp;C256&amp;"!A2:A489"),MATCH(B256,INDIRECT(""&amp;C256&amp;"!B2:B489"),0))</f>
        <v>105</v>
      </c>
      <c r="I256" s="1">
        <f>IF(C256="RB",LeagueInfo!$D$4*LeagueInfo!$F$2,LeagueInfo!$D$5*LeagueInfo!$F$2)</f>
        <v>24</v>
      </c>
    </row>
    <row r="257" spans="1:9" x14ac:dyDescent="0.25">
      <c r="A257" s="1">
        <f ca="1">RANK(E257,E$2:E$402)</f>
        <v>243</v>
      </c>
      <c r="B257" s="1" t="s">
        <v>477</v>
      </c>
      <c r="C257" s="1" t="s">
        <v>32</v>
      </c>
      <c r="D257" s="1">
        <f ca="1">INDEX(INDIRECT($C257&amp;"!O:O"),MATCH($B257,INDIRECT($C257&amp;"!B:B"),0))</f>
        <v>16.350000000000001</v>
      </c>
      <c r="E257" s="7">
        <f ca="1">D257-LARGE(D$2:D$402,RBCount+WRCount)</f>
        <v>-63.45000000000001</v>
      </c>
      <c r="F257" s="1" t="str">
        <f ca="1">IF(H257&lt;=I257,"Starter",IF(G257&gt;=LARGE(G:G,FlexOn*LeagueInfo!$F$2),"Starter","Bench"))</f>
        <v>Bench</v>
      </c>
      <c r="G257" s="1">
        <f ca="1">IF(H257&gt;I257,D257,0)</f>
        <v>16.350000000000001</v>
      </c>
      <c r="H257" s="1">
        <f ca="1">INDEX(INDIRECT(""&amp;C257&amp;"!A2:A489"),MATCH(B257,INDIRECT(""&amp;C257&amp;"!B2:B489"),0))</f>
        <v>103</v>
      </c>
      <c r="I257" s="1">
        <f>IF(C257="RB",LeagueInfo!$D$4*LeagueInfo!$F$2,LeagueInfo!$D$5*LeagueInfo!$F$2)</f>
        <v>24</v>
      </c>
    </row>
    <row r="258" spans="1:9" x14ac:dyDescent="0.25">
      <c r="A258" s="1">
        <f ca="1">RANK(E258,E$2:E$402)</f>
        <v>267</v>
      </c>
      <c r="B258" s="1" t="s">
        <v>613</v>
      </c>
      <c r="C258" s="1" t="s">
        <v>39</v>
      </c>
      <c r="D258" s="1">
        <f ca="1">INDEX(INDIRECT($C258&amp;"!O:O"),MATCH($B258,INDIRECT($C258&amp;"!B:B"),0))</f>
        <v>12.06</v>
      </c>
      <c r="E258" s="7">
        <f ca="1">D258-LARGE(D$2:D$402,RBCount+WRCount)</f>
        <v>-67.740000000000009</v>
      </c>
      <c r="F258" s="1" t="str">
        <f ca="1">IF(H258&lt;=I258,"Starter",IF(G258&gt;=LARGE(G:G,FlexOn*LeagueInfo!$F$2),"Starter","Bench"))</f>
        <v>Bench</v>
      </c>
      <c r="G258" s="1">
        <f ca="1">IF(H258&gt;I258,D258,0)</f>
        <v>12.06</v>
      </c>
      <c r="H258" s="1">
        <f ca="1">INDEX(INDIRECT(""&amp;C258&amp;"!A2:A489"),MATCH(B258,INDIRECT(""&amp;C258&amp;"!B2:B489"),0))</f>
        <v>153</v>
      </c>
      <c r="I258" s="1">
        <f>IF(C258="RB",LeagueInfo!$D$4*LeagueInfo!$F$2,LeagueInfo!$D$5*LeagueInfo!$F$2)</f>
        <v>24</v>
      </c>
    </row>
    <row r="259" spans="1:9" x14ac:dyDescent="0.25">
      <c r="A259" s="1">
        <f ca="1">RANK(E259,E$2:E$402)</f>
        <v>266</v>
      </c>
      <c r="B259" s="1" t="s">
        <v>635</v>
      </c>
      <c r="C259" s="1" t="s">
        <v>39</v>
      </c>
      <c r="D259" s="1">
        <f ca="1">INDEX(INDIRECT($C259&amp;"!O:O"),MATCH($B259,INDIRECT($C259&amp;"!B:B"),0))</f>
        <v>12.100000000000001</v>
      </c>
      <c r="E259" s="7">
        <f ca="1">D259-LARGE(D$2:D$402,RBCount+WRCount)</f>
        <v>-67.700000000000017</v>
      </c>
      <c r="F259" s="1" t="str">
        <f ca="1">IF(H259&lt;=I259,"Starter",IF(G259&gt;=LARGE(G:G,FlexOn*LeagueInfo!$F$2),"Starter","Bench"))</f>
        <v>Bench</v>
      </c>
      <c r="G259" s="1">
        <f ca="1">IF(H259&gt;I259,D259,0)</f>
        <v>12.100000000000001</v>
      </c>
      <c r="H259" s="1">
        <f ca="1">INDEX(INDIRECT(""&amp;C259&amp;"!A2:A489"),MATCH(B259,INDIRECT(""&amp;C259&amp;"!B2:B489"),0))</f>
        <v>152</v>
      </c>
      <c r="I259" s="1">
        <f>IF(C259="RB",LeagueInfo!$D$4*LeagueInfo!$F$2,LeagueInfo!$D$5*LeagueInfo!$F$2)</f>
        <v>24</v>
      </c>
    </row>
    <row r="260" spans="1:9" x14ac:dyDescent="0.25">
      <c r="A260" s="1">
        <f ca="1">RANK(E260,E$2:E$402)</f>
        <v>257</v>
      </c>
      <c r="B260" s="1" t="s">
        <v>490</v>
      </c>
      <c r="C260" s="1" t="s">
        <v>32</v>
      </c>
      <c r="D260" s="1">
        <f ca="1">INDEX(INDIRECT($C260&amp;"!O:O"),MATCH($B260,INDIRECT($C260&amp;"!B:B"),0))</f>
        <v>13.77</v>
      </c>
      <c r="E260" s="7">
        <f ca="1">D260-LARGE(D$2:D$402,RBCount+WRCount)</f>
        <v>-66.030000000000015</v>
      </c>
      <c r="F260" s="1" t="str">
        <f ca="1">IF(H260&lt;=I260,"Starter",IF(G260&gt;=LARGE(G:G,FlexOn*LeagueInfo!$F$2),"Starter","Bench"))</f>
        <v>Bench</v>
      </c>
      <c r="G260" s="1">
        <f ca="1">IF(H260&gt;I260,D260,0)</f>
        <v>13.77</v>
      </c>
      <c r="H260" s="1">
        <f ca="1">INDEX(INDIRECT(""&amp;C260&amp;"!A2:A489"),MATCH(B260,INDIRECT(""&amp;C260&amp;"!B2:B489"),0))</f>
        <v>109</v>
      </c>
      <c r="I260" s="1">
        <f>IF(C260="RB",LeagueInfo!$D$4*LeagueInfo!$F$2,LeagueInfo!$D$5*LeagueInfo!$F$2)</f>
        <v>24</v>
      </c>
    </row>
    <row r="261" spans="1:9" x14ac:dyDescent="0.25">
      <c r="A261" s="1">
        <f ca="1">RANK(E261,E$2:E$402)</f>
        <v>258</v>
      </c>
      <c r="B261" s="1" t="s">
        <v>643</v>
      </c>
      <c r="C261" s="1" t="s">
        <v>39</v>
      </c>
      <c r="D261" s="1">
        <f ca="1">INDEX(INDIRECT($C261&amp;"!O:O"),MATCH($B261,INDIRECT($C261&amp;"!B:B"),0))</f>
        <v>13.760000000000002</v>
      </c>
      <c r="E261" s="7">
        <f ca="1">D261-LARGE(D$2:D$402,RBCount+WRCount)</f>
        <v>-66.040000000000006</v>
      </c>
      <c r="F261" s="1" t="str">
        <f ca="1">IF(H261&lt;=I261,"Starter",IF(G261&gt;=LARGE(G:G,FlexOn*LeagueInfo!$F$2),"Starter","Bench"))</f>
        <v>Bench</v>
      </c>
      <c r="G261" s="1">
        <f ca="1">IF(H261&gt;I261,D261,0)</f>
        <v>13.760000000000002</v>
      </c>
      <c r="H261" s="1">
        <f ca="1">INDEX(INDIRECT(""&amp;C261&amp;"!A2:A489"),MATCH(B261,INDIRECT(""&amp;C261&amp;"!B2:B489"),0))</f>
        <v>149</v>
      </c>
      <c r="I261" s="1">
        <f>IF(C261="RB",LeagueInfo!$D$4*LeagueInfo!$F$2,LeagueInfo!$D$5*LeagueInfo!$F$2)</f>
        <v>24</v>
      </c>
    </row>
    <row r="262" spans="1:9" x14ac:dyDescent="0.25">
      <c r="A262" s="1">
        <f ca="1">RANK(E262,E$2:E$402)</f>
        <v>263</v>
      </c>
      <c r="B262" s="1" t="s">
        <v>679</v>
      </c>
      <c r="C262" s="1" t="s">
        <v>39</v>
      </c>
      <c r="D262" s="1">
        <f ca="1">INDEX(INDIRECT($C262&amp;"!O:O"),MATCH($B262,INDIRECT($C262&amp;"!B:B"),0))</f>
        <v>12.35</v>
      </c>
      <c r="E262" s="7">
        <f ca="1">D262-LARGE(D$2:D$402,RBCount+WRCount)</f>
        <v>-67.450000000000017</v>
      </c>
      <c r="F262" s="1" t="str">
        <f ca="1">IF(H262&lt;=I262,"Starter",IF(G262&gt;=LARGE(G:G,FlexOn*LeagueInfo!$F$2),"Starter","Bench"))</f>
        <v>Bench</v>
      </c>
      <c r="G262" s="1">
        <f ca="1">IF(H262&gt;I262,D262,0)</f>
        <v>12.35</v>
      </c>
      <c r="H262" s="1">
        <f ca="1">INDEX(INDIRECT(""&amp;C262&amp;"!A2:A489"),MATCH(B262,INDIRECT(""&amp;C262&amp;"!B2:B489"),0))</f>
        <v>151</v>
      </c>
      <c r="I262" s="1">
        <f>IF(C262="RB",LeagueInfo!$D$4*LeagueInfo!$F$2,LeagueInfo!$D$5*LeagueInfo!$F$2)</f>
        <v>24</v>
      </c>
    </row>
    <row r="263" spans="1:9" x14ac:dyDescent="0.25">
      <c r="A263" s="1">
        <f ca="1">RANK(E263,E$2:E$402)</f>
        <v>260</v>
      </c>
      <c r="B263" s="1" t="s">
        <v>488</v>
      </c>
      <c r="C263" s="1" t="s">
        <v>32</v>
      </c>
      <c r="D263" s="1">
        <f ca="1">INDEX(INDIRECT($C263&amp;"!O:O"),MATCH($B263,INDIRECT($C263&amp;"!B:B"),0))</f>
        <v>12.7</v>
      </c>
      <c r="E263" s="7">
        <f ca="1">D263-LARGE(D$2:D$402,RBCount+WRCount)</f>
        <v>-67.100000000000009</v>
      </c>
      <c r="F263" s="1" t="str">
        <f ca="1">IF(H263&lt;=I263,"Starter",IF(G263&gt;=LARGE(G:G,FlexOn*LeagueInfo!$F$2),"Starter","Bench"))</f>
        <v>Bench</v>
      </c>
      <c r="G263" s="1">
        <f ca="1">IF(H263&gt;I263,D263,0)</f>
        <v>12.7</v>
      </c>
      <c r="H263" s="1">
        <f ca="1">INDEX(INDIRECT(""&amp;C263&amp;"!A2:A489"),MATCH(B263,INDIRECT(""&amp;C263&amp;"!B2:B489"),0))</f>
        <v>110</v>
      </c>
      <c r="I263" s="1">
        <f>IF(C263="RB",LeagueInfo!$D$4*LeagueInfo!$F$2,LeagueInfo!$D$5*LeagueInfo!$F$2)</f>
        <v>24</v>
      </c>
    </row>
    <row r="264" spans="1:9" x14ac:dyDescent="0.25">
      <c r="A264" s="1">
        <f ca="1">RANK(E264,E$2:E$402)</f>
        <v>265</v>
      </c>
      <c r="B264" s="1" t="s">
        <v>489</v>
      </c>
      <c r="C264" s="1" t="s">
        <v>32</v>
      </c>
      <c r="D264" s="1">
        <f ca="1">INDEX(INDIRECT($C264&amp;"!O:O"),MATCH($B264,INDIRECT($C264&amp;"!B:B"),0))</f>
        <v>12.290000000000001</v>
      </c>
      <c r="E264" s="7">
        <f ca="1">D264-LARGE(D$2:D$402,RBCount+WRCount)</f>
        <v>-67.510000000000005</v>
      </c>
      <c r="F264" s="1" t="str">
        <f ca="1">IF(H264&lt;=I264,"Starter",IF(G264&gt;=LARGE(G:G,FlexOn*LeagueInfo!$F$2),"Starter","Bench"))</f>
        <v>Bench</v>
      </c>
      <c r="G264" s="1">
        <f ca="1">IF(H264&gt;I264,D264,0)</f>
        <v>12.290000000000001</v>
      </c>
      <c r="H264" s="1">
        <f ca="1">INDEX(INDIRECT(""&amp;C264&amp;"!A2:A489"),MATCH(B264,INDIRECT(""&amp;C264&amp;"!B2:B489"),0))</f>
        <v>114</v>
      </c>
      <c r="I264" s="1">
        <f>IF(C264="RB",LeagueInfo!$D$4*LeagueInfo!$F$2,LeagueInfo!$D$5*LeagueInfo!$F$2)</f>
        <v>24</v>
      </c>
    </row>
    <row r="265" spans="1:9" x14ac:dyDescent="0.25">
      <c r="A265" s="1">
        <f ca="1">RANK(E265,E$2:E$402)</f>
        <v>255</v>
      </c>
      <c r="B265" s="1" t="s">
        <v>480</v>
      </c>
      <c r="C265" s="1" t="s">
        <v>32</v>
      </c>
      <c r="D265" s="1">
        <f ca="1">INDEX(INDIRECT($C265&amp;"!O:O"),MATCH($B265,INDIRECT($C265&amp;"!B:B"),0))</f>
        <v>14.24</v>
      </c>
      <c r="E265" s="7">
        <f ca="1">D265-LARGE(D$2:D$402,RBCount+WRCount)</f>
        <v>-65.560000000000016</v>
      </c>
      <c r="F265" s="1" t="str">
        <f ca="1">IF(H265&lt;=I265,"Starter",IF(G265&gt;=LARGE(G:G,FlexOn*LeagueInfo!$F$2),"Starter","Bench"))</f>
        <v>Bench</v>
      </c>
      <c r="G265" s="1">
        <f ca="1">IF(H265&gt;I265,D265,0)</f>
        <v>14.24</v>
      </c>
      <c r="H265" s="1">
        <f ca="1">INDEX(INDIRECT(""&amp;C265&amp;"!A2:A489"),MATCH(B265,INDIRECT(""&amp;C265&amp;"!B2:B489"),0))</f>
        <v>108</v>
      </c>
      <c r="I265" s="1">
        <f>IF(C265="RB",LeagueInfo!$D$4*LeagueInfo!$F$2,LeagueInfo!$D$5*LeagueInfo!$F$2)</f>
        <v>24</v>
      </c>
    </row>
    <row r="266" spans="1:9" x14ac:dyDescent="0.25">
      <c r="A266" s="1">
        <f ca="1">RANK(E266,E$2:E$402)</f>
        <v>280</v>
      </c>
      <c r="B266" s="1" t="s">
        <v>491</v>
      </c>
      <c r="C266" s="1" t="s">
        <v>32</v>
      </c>
      <c r="D266" s="1">
        <f ca="1">INDEX(INDIRECT($C266&amp;"!O:O"),MATCH($B266,INDIRECT($C266&amp;"!B:B"),0))</f>
        <v>9.8699999999999992</v>
      </c>
      <c r="E266" s="7">
        <f ca="1">D266-LARGE(D$2:D$402,RBCount+WRCount)</f>
        <v>-69.930000000000007</v>
      </c>
      <c r="F266" s="1" t="str">
        <f ca="1">IF(H266&lt;=I266,"Starter",IF(G266&gt;=LARGE(G:G,FlexOn*LeagueInfo!$F$2),"Starter","Bench"))</f>
        <v>Bench</v>
      </c>
      <c r="G266" s="1">
        <f ca="1">IF(H266&gt;I266,D266,0)</f>
        <v>9.8699999999999992</v>
      </c>
      <c r="H266" s="1">
        <f ca="1">INDEX(INDIRECT(""&amp;C266&amp;"!A2:A489"),MATCH(B266,INDIRECT(""&amp;C266&amp;"!B2:B489"),0))</f>
        <v>121</v>
      </c>
      <c r="I266" s="1">
        <f>IF(C266="RB",LeagueInfo!$D$4*LeagueInfo!$F$2,LeagueInfo!$D$5*LeagueInfo!$F$2)</f>
        <v>24</v>
      </c>
    </row>
    <row r="267" spans="1:9" x14ac:dyDescent="0.25">
      <c r="A267" s="1">
        <f ca="1">RANK(E267,E$2:E$402)</f>
        <v>262</v>
      </c>
      <c r="B267" s="1" t="s">
        <v>548</v>
      </c>
      <c r="C267" s="1" t="s">
        <v>32</v>
      </c>
      <c r="D267" s="1">
        <f ca="1">INDEX(INDIRECT($C267&amp;"!O:O"),MATCH($B267,INDIRECT($C267&amp;"!B:B"),0))</f>
        <v>12.620000000000001</v>
      </c>
      <c r="E267" s="7">
        <f ca="1">D267-LARGE(D$2:D$402,RBCount+WRCount)</f>
        <v>-67.180000000000007</v>
      </c>
      <c r="F267" s="1" t="str">
        <f ca="1">IF(H267&lt;=I267,"Starter",IF(G267&gt;=LARGE(G:G,FlexOn*LeagueInfo!$F$2),"Starter","Bench"))</f>
        <v>Bench</v>
      </c>
      <c r="G267" s="1">
        <f ca="1">IF(H267&gt;I267,D267,0)</f>
        <v>12.620000000000001</v>
      </c>
      <c r="H267" s="1">
        <f ca="1">INDEX(INDIRECT(""&amp;C267&amp;"!A2:A489"),MATCH(B267,INDIRECT(""&amp;C267&amp;"!B2:B489"),0))</f>
        <v>112</v>
      </c>
      <c r="I267" s="1">
        <f>IF(C267="RB",LeagueInfo!$D$4*LeagueInfo!$F$2,LeagueInfo!$D$5*LeagueInfo!$F$2)</f>
        <v>24</v>
      </c>
    </row>
    <row r="268" spans="1:9" x14ac:dyDescent="0.25">
      <c r="A268" s="1">
        <f ca="1">RANK(E268,E$2:E$402)</f>
        <v>268</v>
      </c>
      <c r="B268" s="1" t="s">
        <v>547</v>
      </c>
      <c r="C268" s="1" t="s">
        <v>32</v>
      </c>
      <c r="D268" s="1">
        <f ca="1">INDEX(INDIRECT($C268&amp;"!O:O"),MATCH($B268,INDIRECT($C268&amp;"!B:B"),0))</f>
        <v>11.74</v>
      </c>
      <c r="E268" s="7">
        <f ca="1">D268-LARGE(D$2:D$402,RBCount+WRCount)</f>
        <v>-68.060000000000016</v>
      </c>
      <c r="F268" s="1" t="str">
        <f ca="1">IF(H268&lt;=I268,"Starter",IF(G268&gt;=LARGE(G:G,FlexOn*LeagueInfo!$F$2),"Starter","Bench"))</f>
        <v>Bench</v>
      </c>
      <c r="G268" s="1">
        <f ca="1">IF(H268&gt;I268,D268,0)</f>
        <v>11.74</v>
      </c>
      <c r="H268" s="1">
        <f ca="1">INDEX(INDIRECT(""&amp;C268&amp;"!A2:A489"),MATCH(B268,INDIRECT(""&amp;C268&amp;"!B2:B489"),0))</f>
        <v>115</v>
      </c>
      <c r="I268" s="1">
        <f>IF(C268="RB",LeagueInfo!$D$4*LeagueInfo!$F$2,LeagueInfo!$D$5*LeagueInfo!$F$2)</f>
        <v>24</v>
      </c>
    </row>
    <row r="269" spans="1:9" x14ac:dyDescent="0.25">
      <c r="A269" s="1">
        <f ca="1">RANK(E269,E$2:E$402)</f>
        <v>270</v>
      </c>
      <c r="B269" s="1" t="s">
        <v>647</v>
      </c>
      <c r="C269" s="1" t="s">
        <v>39</v>
      </c>
      <c r="D269" s="1">
        <f ca="1">INDEX(INDIRECT($C269&amp;"!O:O"),MATCH($B269,INDIRECT($C269&amp;"!B:B"),0))</f>
        <v>11.05</v>
      </c>
      <c r="E269" s="7">
        <f ca="1">D269-LARGE(D$2:D$402,RBCount+WRCount)</f>
        <v>-68.750000000000014</v>
      </c>
      <c r="F269" s="1" t="str">
        <f ca="1">IF(H269&lt;=I269,"Starter",IF(G269&gt;=LARGE(G:G,FlexOn*LeagueInfo!$F$2),"Starter","Bench"))</f>
        <v>Bench</v>
      </c>
      <c r="G269" s="1">
        <f ca="1">IF(H269&gt;I269,D269,0)</f>
        <v>11.05</v>
      </c>
      <c r="H269" s="1">
        <f ca="1">INDEX(INDIRECT(""&amp;C269&amp;"!A2:A489"),MATCH(B269,INDIRECT(""&amp;C269&amp;"!B2:B489"),0))</f>
        <v>154</v>
      </c>
      <c r="I269" s="1">
        <f>IF(C269="RB",LeagueInfo!$D$4*LeagueInfo!$F$2,LeagueInfo!$D$5*LeagueInfo!$F$2)</f>
        <v>24</v>
      </c>
    </row>
    <row r="270" spans="1:9" x14ac:dyDescent="0.25">
      <c r="A270" s="1">
        <f ca="1">RANK(E270,E$2:E$402)</f>
        <v>261</v>
      </c>
      <c r="B270" s="1" t="s">
        <v>473</v>
      </c>
      <c r="C270" s="1" t="s">
        <v>32</v>
      </c>
      <c r="D270" s="1">
        <f ca="1">INDEX(INDIRECT($C270&amp;"!O:O"),MATCH($B270,INDIRECT($C270&amp;"!B:B"),0))</f>
        <v>12.67</v>
      </c>
      <c r="E270" s="7">
        <f ca="1">D270-LARGE(D$2:D$402,RBCount+WRCount)</f>
        <v>-67.13000000000001</v>
      </c>
      <c r="F270" s="1" t="str">
        <f ca="1">IF(H270&lt;=I270,"Starter",IF(G270&gt;=LARGE(G:G,FlexOn*LeagueInfo!$F$2),"Starter","Bench"))</f>
        <v>Bench</v>
      </c>
      <c r="G270" s="1">
        <f ca="1">IF(H270&gt;I270,D270,0)</f>
        <v>12.67</v>
      </c>
      <c r="H270" s="1">
        <f ca="1">INDEX(INDIRECT(""&amp;C270&amp;"!A2:A489"),MATCH(B270,INDIRECT(""&amp;C270&amp;"!B2:B489"),0))</f>
        <v>111</v>
      </c>
      <c r="I270" s="1">
        <f>IF(C270="RB",LeagueInfo!$D$4*LeagueInfo!$F$2,LeagueInfo!$D$5*LeagueInfo!$F$2)</f>
        <v>24</v>
      </c>
    </row>
    <row r="271" spans="1:9" x14ac:dyDescent="0.25">
      <c r="A271" s="1">
        <f ca="1">RANK(E271,E$2:E$402)</f>
        <v>272</v>
      </c>
      <c r="B271" s="1" t="s">
        <v>699</v>
      </c>
      <c r="C271" s="1" t="s">
        <v>39</v>
      </c>
      <c r="D271" s="1">
        <f ca="1">INDEX(INDIRECT($C271&amp;"!O:O"),MATCH($B271,INDIRECT($C271&amp;"!B:B"),0))</f>
        <v>10.829999999999998</v>
      </c>
      <c r="E271" s="7">
        <f ca="1">D271-LARGE(D$2:D$402,RBCount+WRCount)</f>
        <v>-68.970000000000013</v>
      </c>
      <c r="F271" s="1" t="str">
        <f ca="1">IF(H271&lt;=I271,"Starter",IF(G271&gt;=LARGE(G:G,FlexOn*LeagueInfo!$F$2),"Starter","Bench"))</f>
        <v>Bench</v>
      </c>
      <c r="G271" s="1">
        <f ca="1">IF(H271&gt;I271,D271,0)</f>
        <v>10.829999999999998</v>
      </c>
      <c r="H271" s="1">
        <f ca="1">INDEX(INDIRECT(""&amp;C271&amp;"!A2:A489"),MATCH(B271,INDIRECT(""&amp;C271&amp;"!B2:B489"),0))</f>
        <v>155</v>
      </c>
      <c r="I271" s="1">
        <f>IF(C271="RB",LeagueInfo!$D$4*LeagueInfo!$F$2,LeagueInfo!$D$5*LeagueInfo!$F$2)</f>
        <v>24</v>
      </c>
    </row>
    <row r="272" spans="1:9" x14ac:dyDescent="0.25">
      <c r="A272" s="1">
        <f ca="1">RANK(E272,E$2:E$402)</f>
        <v>264</v>
      </c>
      <c r="B272" s="1" t="s">
        <v>483</v>
      </c>
      <c r="C272" s="1" t="s">
        <v>32</v>
      </c>
      <c r="D272" s="1">
        <f ca="1">INDEX(INDIRECT($C272&amp;"!O:O"),MATCH($B272,INDIRECT($C272&amp;"!B:B"),0))</f>
        <v>12.299999999999999</v>
      </c>
      <c r="E272" s="7">
        <f ca="1">D272-LARGE(D$2:D$402,RBCount+WRCount)</f>
        <v>-67.500000000000014</v>
      </c>
      <c r="F272" s="1" t="str">
        <f ca="1">IF(H272&lt;=I272,"Starter",IF(G272&gt;=LARGE(G:G,FlexOn*LeagueInfo!$F$2),"Starter","Bench"))</f>
        <v>Bench</v>
      </c>
      <c r="G272" s="1">
        <f ca="1">IF(H272&gt;I272,D272,0)</f>
        <v>12.299999999999999</v>
      </c>
      <c r="H272" s="1">
        <f ca="1">INDEX(INDIRECT(""&amp;C272&amp;"!A2:A489"),MATCH(B272,INDIRECT(""&amp;C272&amp;"!B2:B489"),0))</f>
        <v>113</v>
      </c>
      <c r="I272" s="1">
        <f>IF(C272="RB",LeagueInfo!$D$4*LeagueInfo!$F$2,LeagueInfo!$D$5*LeagueInfo!$F$2)</f>
        <v>24</v>
      </c>
    </row>
    <row r="273" spans="1:9" x14ac:dyDescent="0.25">
      <c r="A273" s="1">
        <f ca="1">RANK(E273,E$2:E$402)</f>
        <v>273</v>
      </c>
      <c r="B273" s="1" t="s">
        <v>634</v>
      </c>
      <c r="C273" s="1" t="s">
        <v>39</v>
      </c>
      <c r="D273" s="1">
        <f ca="1">INDEX(INDIRECT($C273&amp;"!O:O"),MATCH($B273,INDIRECT($C273&amp;"!B:B"),0))</f>
        <v>10.8</v>
      </c>
      <c r="E273" s="7">
        <f ca="1">D273-LARGE(D$2:D$402,RBCount+WRCount)</f>
        <v>-69.000000000000014</v>
      </c>
      <c r="F273" s="1" t="str">
        <f ca="1">IF(H273&lt;=I273,"Starter",IF(G273&gt;=LARGE(G:G,FlexOn*LeagueInfo!$F$2),"Starter","Bench"))</f>
        <v>Bench</v>
      </c>
      <c r="G273" s="1">
        <f ca="1">IF(H273&gt;I273,D273,0)</f>
        <v>10.8</v>
      </c>
      <c r="H273" s="1">
        <f ca="1">INDEX(INDIRECT(""&amp;C273&amp;"!A2:A489"),MATCH(B273,INDIRECT(""&amp;C273&amp;"!B2:B489"),0))</f>
        <v>156</v>
      </c>
      <c r="I273" s="1">
        <f>IF(C273="RB",LeagueInfo!$D$4*LeagueInfo!$F$2,LeagueInfo!$D$5*LeagueInfo!$F$2)</f>
        <v>24</v>
      </c>
    </row>
    <row r="274" spans="1:9" x14ac:dyDescent="0.25">
      <c r="A274" s="1">
        <f ca="1">RANK(E274,E$2:E$402)</f>
        <v>274</v>
      </c>
      <c r="B274" s="1" t="s">
        <v>653</v>
      </c>
      <c r="C274" s="1" t="s">
        <v>39</v>
      </c>
      <c r="D274" s="1">
        <f ca="1">INDEX(INDIRECT($C274&amp;"!O:O"),MATCH($B274,INDIRECT($C274&amp;"!B:B"),0))</f>
        <v>10.48</v>
      </c>
      <c r="E274" s="7">
        <f ca="1">D274-LARGE(D$2:D$402,RBCount+WRCount)</f>
        <v>-69.320000000000007</v>
      </c>
      <c r="F274" s="1" t="str">
        <f ca="1">IF(H274&lt;=I274,"Starter",IF(G274&gt;=LARGE(G:G,FlexOn*LeagueInfo!$F$2),"Starter","Bench"))</f>
        <v>Bench</v>
      </c>
      <c r="G274" s="1">
        <f ca="1">IF(H274&gt;I274,D274,0)</f>
        <v>10.48</v>
      </c>
      <c r="H274" s="1">
        <f ca="1">INDEX(INDIRECT(""&amp;C274&amp;"!A2:A489"),MATCH(B274,INDIRECT(""&amp;C274&amp;"!B2:B489"),0))</f>
        <v>157</v>
      </c>
      <c r="I274" s="1">
        <f>IF(C274="RB",LeagueInfo!$D$4*LeagueInfo!$F$2,LeagueInfo!$D$5*LeagueInfo!$F$2)</f>
        <v>24</v>
      </c>
    </row>
    <row r="275" spans="1:9" x14ac:dyDescent="0.25">
      <c r="A275" s="1">
        <f ca="1">RANK(E275,E$2:E$402)</f>
        <v>276</v>
      </c>
      <c r="B275" s="1" t="s">
        <v>654</v>
      </c>
      <c r="C275" s="1" t="s">
        <v>39</v>
      </c>
      <c r="D275" s="1">
        <f ca="1">INDEX(INDIRECT($C275&amp;"!O:O"),MATCH($B275,INDIRECT($C275&amp;"!B:B"),0))</f>
        <v>10.280000000000001</v>
      </c>
      <c r="E275" s="7">
        <f ca="1">D275-LARGE(D$2:D$402,RBCount+WRCount)</f>
        <v>-69.52000000000001</v>
      </c>
      <c r="F275" s="1" t="str">
        <f ca="1">IF(H275&lt;=I275,"Starter",IF(G275&gt;=LARGE(G:G,FlexOn*LeagueInfo!$F$2),"Starter","Bench"))</f>
        <v>Bench</v>
      </c>
      <c r="G275" s="1">
        <f ca="1">IF(H275&gt;I275,D275,0)</f>
        <v>10.280000000000001</v>
      </c>
      <c r="H275" s="1">
        <f ca="1">INDEX(INDIRECT(""&amp;C275&amp;"!A2:A489"),MATCH(B275,INDIRECT(""&amp;C275&amp;"!B2:B489"),0))</f>
        <v>158</v>
      </c>
      <c r="I275" s="1">
        <f>IF(C275="RB",LeagueInfo!$D$4*LeagueInfo!$F$2,LeagueInfo!$D$5*LeagueInfo!$F$2)</f>
        <v>24</v>
      </c>
    </row>
    <row r="276" spans="1:9" x14ac:dyDescent="0.25">
      <c r="A276" s="1">
        <f ca="1">RANK(E276,E$2:E$402)</f>
        <v>287</v>
      </c>
      <c r="B276" s="1" t="s">
        <v>660</v>
      </c>
      <c r="C276" s="1" t="s">
        <v>39</v>
      </c>
      <c r="D276" s="1">
        <f ca="1">INDEX(INDIRECT($C276&amp;"!O:O"),MATCH($B276,INDIRECT($C276&amp;"!B:B"),0))</f>
        <v>9.4700000000000006</v>
      </c>
      <c r="E276" s="7">
        <f ca="1">D276-LARGE(D$2:D$402,RBCount+WRCount)</f>
        <v>-70.330000000000013</v>
      </c>
      <c r="F276" s="1" t="str">
        <f ca="1">IF(H276&lt;=I276,"Starter",IF(G276&gt;=LARGE(G:G,FlexOn*LeagueInfo!$F$2),"Starter","Bench"))</f>
        <v>Bench</v>
      </c>
      <c r="G276" s="1">
        <f ca="1">IF(H276&gt;I276,D276,0)</f>
        <v>9.4700000000000006</v>
      </c>
      <c r="H276" s="1">
        <f ca="1">INDEX(INDIRECT(""&amp;C276&amp;"!A2:A489"),MATCH(B276,INDIRECT(""&amp;C276&amp;"!B2:B489"),0))</f>
        <v>162</v>
      </c>
      <c r="I276" s="1">
        <f>IF(C276="RB",LeagueInfo!$D$4*LeagueInfo!$F$2,LeagueInfo!$D$5*LeagueInfo!$F$2)</f>
        <v>24</v>
      </c>
    </row>
    <row r="277" spans="1:9" x14ac:dyDescent="0.25">
      <c r="A277" s="1">
        <f ca="1">RANK(E277,E$2:E$402)</f>
        <v>279</v>
      </c>
      <c r="B277" s="1" t="s">
        <v>662</v>
      </c>
      <c r="C277" s="1" t="s">
        <v>39</v>
      </c>
      <c r="D277" s="1">
        <f ca="1">INDEX(INDIRECT($C277&amp;"!O:O"),MATCH($B277,INDIRECT($C277&amp;"!B:B"),0))</f>
        <v>9.9600000000000009</v>
      </c>
      <c r="E277" s="7">
        <f ca="1">D277-LARGE(D$2:D$402,RBCount+WRCount)</f>
        <v>-69.84</v>
      </c>
      <c r="F277" s="1" t="str">
        <f ca="1">IF(H277&lt;=I277,"Starter",IF(G277&gt;=LARGE(G:G,FlexOn*LeagueInfo!$F$2),"Starter","Bench"))</f>
        <v>Bench</v>
      </c>
      <c r="G277" s="1">
        <f ca="1">IF(H277&gt;I277,D277,0)</f>
        <v>9.9600000000000009</v>
      </c>
      <c r="H277" s="1">
        <f ca="1">INDEX(INDIRECT(""&amp;C277&amp;"!A2:A489"),MATCH(B277,INDIRECT(""&amp;C277&amp;"!B2:B489"),0))</f>
        <v>159</v>
      </c>
      <c r="I277" s="1">
        <f>IF(C277="RB",LeagueInfo!$D$4*LeagueInfo!$F$2,LeagueInfo!$D$5*LeagueInfo!$F$2)</f>
        <v>24</v>
      </c>
    </row>
    <row r="278" spans="1:9" x14ac:dyDescent="0.25">
      <c r="A278" s="1">
        <f ca="1">RANK(E278,E$2:E$402)</f>
        <v>281</v>
      </c>
      <c r="B278" s="1" t="s">
        <v>656</v>
      </c>
      <c r="C278" s="1" t="s">
        <v>39</v>
      </c>
      <c r="D278" s="1">
        <f ca="1">INDEX(INDIRECT($C278&amp;"!O:O"),MATCH($B278,INDIRECT($C278&amp;"!B:B"),0))</f>
        <v>9.8000000000000007</v>
      </c>
      <c r="E278" s="7">
        <f ca="1">D278-LARGE(D$2:D$402,RBCount+WRCount)</f>
        <v>-70.000000000000014</v>
      </c>
      <c r="F278" s="1" t="str">
        <f ca="1">IF(H278&lt;=I278,"Starter",IF(G278&gt;=LARGE(G:G,FlexOn*LeagueInfo!$F$2),"Starter","Bench"))</f>
        <v>Bench</v>
      </c>
      <c r="G278" s="1">
        <f ca="1">IF(H278&gt;I278,D278,0)</f>
        <v>9.8000000000000007</v>
      </c>
      <c r="H278" s="1">
        <f ca="1">INDEX(INDIRECT(""&amp;C278&amp;"!A2:A489"),MATCH(B278,INDIRECT(""&amp;C278&amp;"!B2:B489"),0))</f>
        <v>160</v>
      </c>
      <c r="I278" s="1">
        <f>IF(C278="RB",LeagueInfo!$D$4*LeagueInfo!$F$2,LeagueInfo!$D$5*LeagueInfo!$F$2)</f>
        <v>24</v>
      </c>
    </row>
    <row r="279" spans="1:9" x14ac:dyDescent="0.25">
      <c r="A279" s="1">
        <f ca="1">RANK(E279,E$2:E$402)</f>
        <v>289</v>
      </c>
      <c r="B279" s="1" t="s">
        <v>501</v>
      </c>
      <c r="C279" s="1" t="s">
        <v>32</v>
      </c>
      <c r="D279" s="1">
        <f ca="1">INDEX(INDIRECT($C279&amp;"!O:O"),MATCH($B279,INDIRECT($C279&amp;"!B:B"),0))</f>
        <v>9.39</v>
      </c>
      <c r="E279" s="7">
        <f ca="1">D279-LARGE(D$2:D$402,RBCount+WRCount)</f>
        <v>-70.410000000000011</v>
      </c>
      <c r="F279" s="1" t="str">
        <f ca="1">IF(H279&lt;=I279,"Starter",IF(G279&gt;=LARGE(G:G,FlexOn*LeagueInfo!$F$2),"Starter","Bench"))</f>
        <v>Bench</v>
      </c>
      <c r="G279" s="1">
        <f ca="1">IF(H279&gt;I279,D279,0)</f>
        <v>9.39</v>
      </c>
      <c r="H279" s="1">
        <f ca="1">INDEX(INDIRECT(""&amp;C279&amp;"!A2:A489"),MATCH(B279,INDIRECT(""&amp;C279&amp;"!B2:B489"),0))</f>
        <v>126</v>
      </c>
      <c r="I279" s="1">
        <f>IF(C279="RB",LeagueInfo!$D$4*LeagueInfo!$F$2,LeagueInfo!$D$5*LeagueInfo!$F$2)</f>
        <v>24</v>
      </c>
    </row>
    <row r="280" spans="1:9" x14ac:dyDescent="0.25">
      <c r="A280" s="1">
        <f ca="1">RANK(E280,E$2:E$402)</f>
        <v>271</v>
      </c>
      <c r="B280" s="1" t="s">
        <v>502</v>
      </c>
      <c r="C280" s="1" t="s">
        <v>32</v>
      </c>
      <c r="D280" s="1">
        <f ca="1">INDEX(INDIRECT($C280&amp;"!O:O"),MATCH($B280,INDIRECT($C280&amp;"!B:B"),0))</f>
        <v>10.96</v>
      </c>
      <c r="E280" s="7">
        <f ca="1">D280-LARGE(D$2:D$402,RBCount+WRCount)</f>
        <v>-68.84</v>
      </c>
      <c r="F280" s="1" t="str">
        <f ca="1">IF(H280&lt;=I280,"Starter",IF(G280&gt;=LARGE(G:G,FlexOn*LeagueInfo!$F$2),"Starter","Bench"))</f>
        <v>Bench</v>
      </c>
      <c r="G280" s="1">
        <f ca="1">IF(H280&gt;I280,D280,0)</f>
        <v>10.96</v>
      </c>
      <c r="H280" s="1">
        <f ca="1">INDEX(INDIRECT(""&amp;C280&amp;"!A2:A489"),MATCH(B280,INDIRECT(""&amp;C280&amp;"!B2:B489"),0))</f>
        <v>117</v>
      </c>
      <c r="I280" s="1">
        <f>IF(C280="RB",LeagueInfo!$D$4*LeagueInfo!$F$2,LeagueInfo!$D$5*LeagueInfo!$F$2)</f>
        <v>24</v>
      </c>
    </row>
    <row r="281" spans="1:9" x14ac:dyDescent="0.25">
      <c r="A281" s="1">
        <f ca="1">RANK(E281,E$2:E$402)</f>
        <v>296</v>
      </c>
      <c r="B281" s="1" t="s">
        <v>668</v>
      </c>
      <c r="C281" s="1" t="s">
        <v>39</v>
      </c>
      <c r="D281" s="1">
        <f ca="1">INDEX(INDIRECT($C281&amp;"!O:O"),MATCH($B281,INDIRECT($C281&amp;"!B:B"),0))</f>
        <v>8.89</v>
      </c>
      <c r="E281" s="7">
        <f ca="1">D281-LARGE(D$2:D$402,RBCount+WRCount)</f>
        <v>-70.910000000000011</v>
      </c>
      <c r="F281" s="1" t="str">
        <f ca="1">IF(H281&lt;=I281,"Starter",IF(G281&gt;=LARGE(G:G,FlexOn*LeagueInfo!$F$2),"Starter","Bench"))</f>
        <v>Bench</v>
      </c>
      <c r="G281" s="1">
        <f ca="1">IF(H281&gt;I281,D281,0)</f>
        <v>8.89</v>
      </c>
      <c r="H281" s="1">
        <f ca="1">INDEX(INDIRECT(""&amp;C281&amp;"!A2:A489"),MATCH(B281,INDIRECT(""&amp;C281&amp;"!B2:B489"),0))</f>
        <v>169</v>
      </c>
      <c r="I281" s="1">
        <f>IF(C281="RB",LeagueInfo!$D$4*LeagueInfo!$F$2,LeagueInfo!$D$5*LeagueInfo!$F$2)</f>
        <v>24</v>
      </c>
    </row>
    <row r="282" spans="1:9" x14ac:dyDescent="0.25">
      <c r="A282" s="1">
        <f ca="1">RANK(E282,E$2:E$402)</f>
        <v>278</v>
      </c>
      <c r="B282" s="1" t="s">
        <v>497</v>
      </c>
      <c r="C282" s="1" t="s">
        <v>32</v>
      </c>
      <c r="D282" s="1">
        <f ca="1">INDEX(INDIRECT($C282&amp;"!O:O"),MATCH($B282,INDIRECT($C282&amp;"!B:B"),0))</f>
        <v>10.19</v>
      </c>
      <c r="E282" s="7">
        <f ca="1">D282-LARGE(D$2:D$402,RBCount+WRCount)</f>
        <v>-69.610000000000014</v>
      </c>
      <c r="F282" s="1" t="str">
        <f ca="1">IF(H282&lt;=I282,"Starter",IF(G282&gt;=LARGE(G:G,FlexOn*LeagueInfo!$F$2),"Starter","Bench"))</f>
        <v>Bench</v>
      </c>
      <c r="G282" s="1">
        <f ca="1">IF(H282&gt;I282,D282,0)</f>
        <v>10.19</v>
      </c>
      <c r="H282" s="1">
        <f ca="1">INDEX(INDIRECT(""&amp;C282&amp;"!A2:A489"),MATCH(B282,INDIRECT(""&amp;C282&amp;"!B2:B489"),0))</f>
        <v>120</v>
      </c>
      <c r="I282" s="1">
        <f>IF(C282="RB",LeagueInfo!$D$4*LeagueInfo!$F$2,LeagueInfo!$D$5*LeagueInfo!$F$2)</f>
        <v>24</v>
      </c>
    </row>
    <row r="283" spans="1:9" x14ac:dyDescent="0.25">
      <c r="A283" s="1">
        <f ca="1">RANK(E283,E$2:E$402)</f>
        <v>282</v>
      </c>
      <c r="B283" s="1" t="s">
        <v>657</v>
      </c>
      <c r="C283" s="1" t="s">
        <v>39</v>
      </c>
      <c r="D283" s="1">
        <f ca="1">INDEX(INDIRECT($C283&amp;"!O:O"),MATCH($B283,INDIRECT($C283&amp;"!B:B"),0))</f>
        <v>9.7800000000000011</v>
      </c>
      <c r="E283" s="7">
        <f ca="1">D283-LARGE(D$2:D$402,RBCount+WRCount)</f>
        <v>-70.02000000000001</v>
      </c>
      <c r="F283" s="1" t="str">
        <f ca="1">IF(H283&lt;=I283,"Starter",IF(G283&gt;=LARGE(G:G,FlexOn*LeagueInfo!$F$2),"Starter","Bench"))</f>
        <v>Bench</v>
      </c>
      <c r="G283" s="1">
        <f ca="1">IF(H283&gt;I283,D283,0)</f>
        <v>9.7800000000000011</v>
      </c>
      <c r="H283" s="1">
        <f ca="1">INDEX(INDIRECT(""&amp;C283&amp;"!A2:A489"),MATCH(B283,INDIRECT(""&amp;C283&amp;"!B2:B489"),0))</f>
        <v>161</v>
      </c>
      <c r="I283" s="1">
        <f>IF(C283="RB",LeagueInfo!$D$4*LeagueInfo!$F$2,LeagueInfo!$D$5*LeagueInfo!$F$2)</f>
        <v>24</v>
      </c>
    </row>
    <row r="284" spans="1:9" x14ac:dyDescent="0.25">
      <c r="A284" s="1">
        <f ca="1">RANK(E284,E$2:E$402)</f>
        <v>284</v>
      </c>
      <c r="B284" s="1" t="s">
        <v>537</v>
      </c>
      <c r="C284" s="1" t="s">
        <v>32</v>
      </c>
      <c r="D284" s="1">
        <f ca="1">INDEX(INDIRECT($C284&amp;"!O:O"),MATCH($B284,INDIRECT($C284&amp;"!B:B"),0))</f>
        <v>9.58</v>
      </c>
      <c r="E284" s="7">
        <f ca="1">D284-LARGE(D$2:D$402,RBCount+WRCount)</f>
        <v>-70.220000000000013</v>
      </c>
      <c r="F284" s="1" t="str">
        <f ca="1">IF(H284&lt;=I284,"Starter",IF(G284&gt;=LARGE(G:G,FlexOn*LeagueInfo!$F$2),"Starter","Bench"))</f>
        <v>Bench</v>
      </c>
      <c r="G284" s="1">
        <f ca="1">IF(H284&gt;I284,D284,0)</f>
        <v>9.58</v>
      </c>
      <c r="H284" s="1">
        <f ca="1">INDEX(INDIRECT(""&amp;C284&amp;"!A2:A489"),MATCH(B284,INDIRECT(""&amp;C284&amp;"!B2:B489"),0))</f>
        <v>123</v>
      </c>
      <c r="I284" s="1">
        <f>IF(C284="RB",LeagueInfo!$D$4*LeagueInfo!$F$2,LeagueInfo!$D$5*LeagueInfo!$F$2)</f>
        <v>24</v>
      </c>
    </row>
    <row r="285" spans="1:9" x14ac:dyDescent="0.25">
      <c r="A285" s="1">
        <f ca="1">RANK(E285,E$2:E$402)</f>
        <v>284</v>
      </c>
      <c r="B285" s="1" t="s">
        <v>539</v>
      </c>
      <c r="C285" s="1" t="s">
        <v>32</v>
      </c>
      <c r="D285" s="1">
        <f ca="1">INDEX(INDIRECT($C285&amp;"!O:O"),MATCH($B285,INDIRECT($C285&amp;"!B:B"),0))</f>
        <v>9.58</v>
      </c>
      <c r="E285" s="7">
        <f ca="1">D285-LARGE(D$2:D$402,RBCount+WRCount)</f>
        <v>-70.220000000000013</v>
      </c>
      <c r="F285" s="1" t="str">
        <f ca="1">IF(H285&lt;=I285,"Starter",IF(G285&gt;=LARGE(G:G,FlexOn*LeagueInfo!$F$2),"Starter","Bench"))</f>
        <v>Bench</v>
      </c>
      <c r="G285" s="1">
        <f ca="1">IF(H285&gt;I285,D285,0)</f>
        <v>9.58</v>
      </c>
      <c r="H285" s="1">
        <f ca="1">INDEX(INDIRECT(""&amp;C285&amp;"!A2:A489"),MATCH(B285,INDIRECT(""&amp;C285&amp;"!B2:B489"),0))</f>
        <v>123</v>
      </c>
      <c r="I285" s="1">
        <f>IF(C285="RB",LeagueInfo!$D$4*LeagueInfo!$F$2,LeagueInfo!$D$5*LeagueInfo!$F$2)</f>
        <v>24</v>
      </c>
    </row>
    <row r="286" spans="1:9" x14ac:dyDescent="0.25">
      <c r="A286" s="1">
        <f ca="1">RANK(E286,E$2:E$402)</f>
        <v>269</v>
      </c>
      <c r="B286" s="1" t="s">
        <v>486</v>
      </c>
      <c r="C286" s="1" t="s">
        <v>32</v>
      </c>
      <c r="D286" s="1">
        <f ca="1">INDEX(INDIRECT($C286&amp;"!O:O"),MATCH($B286,INDIRECT($C286&amp;"!B:B"),0))</f>
        <v>11.650000000000002</v>
      </c>
      <c r="E286" s="7">
        <f ca="1">D286-LARGE(D$2:D$402,RBCount+WRCount)</f>
        <v>-68.150000000000006</v>
      </c>
      <c r="F286" s="1" t="str">
        <f ca="1">IF(H286&lt;=I286,"Starter",IF(G286&gt;=LARGE(G:G,FlexOn*LeagueInfo!$F$2),"Starter","Bench"))</f>
        <v>Bench</v>
      </c>
      <c r="G286" s="1">
        <f ca="1">IF(H286&gt;I286,D286,0)</f>
        <v>11.650000000000002</v>
      </c>
      <c r="H286" s="1">
        <f ca="1">INDEX(INDIRECT(""&amp;C286&amp;"!A2:A489"),MATCH(B286,INDIRECT(""&amp;C286&amp;"!B2:B489"),0))</f>
        <v>116</v>
      </c>
      <c r="I286" s="1">
        <f>IF(C286="RB",LeagueInfo!$D$4*LeagueInfo!$F$2,LeagueInfo!$D$5*LeagueInfo!$F$2)</f>
        <v>24</v>
      </c>
    </row>
    <row r="287" spans="1:9" x14ac:dyDescent="0.25">
      <c r="A287" s="1">
        <f ca="1">RANK(E287,E$2:E$402)</f>
        <v>292</v>
      </c>
      <c r="B287" s="1" t="s">
        <v>665</v>
      </c>
      <c r="C287" s="1" t="s">
        <v>39</v>
      </c>
      <c r="D287" s="1">
        <f ca="1">INDEX(INDIRECT($C287&amp;"!O:O"),MATCH($B287,INDIRECT($C287&amp;"!B:B"),0))</f>
        <v>9.2200000000000006</v>
      </c>
      <c r="E287" s="7">
        <f ca="1">D287-LARGE(D$2:D$402,RBCount+WRCount)</f>
        <v>-70.580000000000013</v>
      </c>
      <c r="F287" s="1" t="str">
        <f ca="1">IF(H287&lt;=I287,"Starter",IF(G287&gt;=LARGE(G:G,FlexOn*LeagueInfo!$F$2),"Starter","Bench"))</f>
        <v>Bench</v>
      </c>
      <c r="G287" s="1">
        <f ca="1">IF(H287&gt;I287,D287,0)</f>
        <v>9.2200000000000006</v>
      </c>
      <c r="H287" s="1">
        <f ca="1">INDEX(INDIRECT(""&amp;C287&amp;"!A2:A489"),MATCH(B287,INDIRECT(""&amp;C287&amp;"!B2:B489"),0))</f>
        <v>166</v>
      </c>
      <c r="I287" s="1">
        <f>IF(C287="RB",LeagueInfo!$D$4*LeagueInfo!$F$2,LeagueInfo!$D$5*LeagueInfo!$F$2)</f>
        <v>24</v>
      </c>
    </row>
    <row r="288" spans="1:9" x14ac:dyDescent="0.25">
      <c r="A288" s="1">
        <f ca="1">RANK(E288,E$2:E$402)</f>
        <v>303</v>
      </c>
      <c r="B288" s="1" t="s">
        <v>646</v>
      </c>
      <c r="C288" s="1" t="s">
        <v>39</v>
      </c>
      <c r="D288" s="1">
        <f ca="1">INDEX(INDIRECT($C288&amp;"!O:O"),MATCH($B288,INDIRECT($C288&amp;"!B:B"),0))</f>
        <v>8.56</v>
      </c>
      <c r="E288" s="7">
        <f ca="1">D288-LARGE(D$2:D$402,RBCount+WRCount)</f>
        <v>-71.240000000000009</v>
      </c>
      <c r="F288" s="1" t="str">
        <f ca="1">IF(H288&lt;=I288,"Starter",IF(G288&gt;=LARGE(G:G,FlexOn*LeagueInfo!$F$2),"Starter","Bench"))</f>
        <v>Bench</v>
      </c>
      <c r="G288" s="1">
        <f ca="1">IF(H288&gt;I288,D288,0)</f>
        <v>8.56</v>
      </c>
      <c r="H288" s="1">
        <f ca="1">INDEX(INDIRECT(""&amp;C288&amp;"!A2:A489"),MATCH(B288,INDIRECT(""&amp;C288&amp;"!B2:B489"),0))</f>
        <v>176</v>
      </c>
      <c r="I288" s="1">
        <f>IF(C288="RB",LeagueInfo!$D$4*LeagueInfo!$F$2,LeagueInfo!$D$5*LeagueInfo!$F$2)</f>
        <v>24</v>
      </c>
    </row>
    <row r="289" spans="1:9" x14ac:dyDescent="0.25">
      <c r="A289" s="1">
        <f ca="1">RANK(E289,E$2:E$402)</f>
        <v>288</v>
      </c>
      <c r="B289" s="1" t="s">
        <v>651</v>
      </c>
      <c r="C289" s="1" t="s">
        <v>39</v>
      </c>
      <c r="D289" s="1">
        <f ca="1">INDEX(INDIRECT($C289&amp;"!O:O"),MATCH($B289,INDIRECT($C289&amp;"!B:B"),0))</f>
        <v>9.4</v>
      </c>
      <c r="E289" s="7">
        <f ca="1">D289-LARGE(D$2:D$402,RBCount+WRCount)</f>
        <v>-70.400000000000006</v>
      </c>
      <c r="F289" s="1" t="str">
        <f ca="1">IF(H289&lt;=I289,"Starter",IF(G289&gt;=LARGE(G:G,FlexOn*LeagueInfo!$F$2),"Starter","Bench"))</f>
        <v>Bench</v>
      </c>
      <c r="G289" s="1">
        <f ca="1">IF(H289&gt;I289,D289,0)</f>
        <v>9.4</v>
      </c>
      <c r="H289" s="1">
        <f ca="1">INDEX(INDIRECT(""&amp;C289&amp;"!A2:A489"),MATCH(B289,INDIRECT(""&amp;C289&amp;"!B2:B489"),0))</f>
        <v>163</v>
      </c>
      <c r="I289" s="1">
        <f>IF(C289="RB",LeagueInfo!$D$4*LeagueInfo!$F$2,LeagueInfo!$D$5*LeagueInfo!$F$2)</f>
        <v>24</v>
      </c>
    </row>
    <row r="290" spans="1:9" x14ac:dyDescent="0.25">
      <c r="A290" s="1">
        <f ca="1">RANK(E290,E$2:E$402)</f>
        <v>304</v>
      </c>
      <c r="B290" s="1" t="s">
        <v>707</v>
      </c>
      <c r="C290" s="1" t="s">
        <v>39</v>
      </c>
      <c r="D290" s="1">
        <f ca="1">INDEX(INDIRECT($C290&amp;"!O:O"),MATCH($B290,INDIRECT($C290&amp;"!B:B"),0))</f>
        <v>8.5</v>
      </c>
      <c r="E290" s="7">
        <f ca="1">D290-LARGE(D$2:D$402,RBCount+WRCount)</f>
        <v>-71.300000000000011</v>
      </c>
      <c r="F290" s="1" t="str">
        <f ca="1">IF(H290&lt;=I290,"Starter",IF(G290&gt;=LARGE(G:G,FlexOn*LeagueInfo!$F$2),"Starter","Bench"))</f>
        <v>Bench</v>
      </c>
      <c r="G290" s="1">
        <f ca="1">IF(H290&gt;I290,D290,0)</f>
        <v>8.5</v>
      </c>
      <c r="H290" s="1">
        <f ca="1">INDEX(INDIRECT(""&amp;C290&amp;"!A2:A489"),MATCH(B290,INDIRECT(""&amp;C290&amp;"!B2:B489"),0))</f>
        <v>177</v>
      </c>
      <c r="I290" s="1">
        <f>IF(C290="RB",LeagueInfo!$D$4*LeagueInfo!$F$2,LeagueInfo!$D$5*LeagueInfo!$F$2)</f>
        <v>24</v>
      </c>
    </row>
    <row r="291" spans="1:9" x14ac:dyDescent="0.25">
      <c r="A291" s="1">
        <f ca="1">RANK(E291,E$2:E$402)</f>
        <v>290</v>
      </c>
      <c r="B291" s="1" t="s">
        <v>640</v>
      </c>
      <c r="C291" s="1" t="s">
        <v>39</v>
      </c>
      <c r="D291" s="1">
        <f ca="1">INDEX(INDIRECT($C291&amp;"!O:O"),MATCH($B291,INDIRECT($C291&amp;"!B:B"),0))</f>
        <v>9.3800000000000008</v>
      </c>
      <c r="E291" s="7">
        <f ca="1">D291-LARGE(D$2:D$402,RBCount+WRCount)</f>
        <v>-70.420000000000016</v>
      </c>
      <c r="F291" s="1" t="str">
        <f ca="1">IF(H291&lt;=I291,"Starter",IF(G291&gt;=LARGE(G:G,FlexOn*LeagueInfo!$F$2),"Starter","Bench"))</f>
        <v>Bench</v>
      </c>
      <c r="G291" s="1">
        <f ca="1">IF(H291&gt;I291,D291,0)</f>
        <v>9.3800000000000008</v>
      </c>
      <c r="H291" s="1">
        <f ca="1">INDEX(INDIRECT(""&amp;C291&amp;"!A2:A489"),MATCH(B291,INDIRECT(""&amp;C291&amp;"!B2:B489"),0))</f>
        <v>164</v>
      </c>
      <c r="I291" s="1">
        <f>IF(C291="RB",LeagueInfo!$D$4*LeagueInfo!$F$2,LeagueInfo!$D$5*LeagueInfo!$F$2)</f>
        <v>24</v>
      </c>
    </row>
    <row r="292" spans="1:9" x14ac:dyDescent="0.25">
      <c r="A292" s="1">
        <f ca="1">RANK(E292,E$2:E$402)</f>
        <v>277</v>
      </c>
      <c r="B292" s="1" t="s">
        <v>492</v>
      </c>
      <c r="C292" s="1" t="s">
        <v>32</v>
      </c>
      <c r="D292" s="1">
        <f ca="1">INDEX(INDIRECT($C292&amp;"!O:O"),MATCH($B292,INDIRECT($C292&amp;"!B:B"),0))</f>
        <v>10.200000000000001</v>
      </c>
      <c r="E292" s="7">
        <f ca="1">D292-LARGE(D$2:D$402,RBCount+WRCount)</f>
        <v>-69.600000000000009</v>
      </c>
      <c r="F292" s="1" t="str">
        <f ca="1">IF(H292&lt;=I292,"Starter",IF(G292&gt;=LARGE(G:G,FlexOn*LeagueInfo!$F$2),"Starter","Bench"))</f>
        <v>Bench</v>
      </c>
      <c r="G292" s="1">
        <f ca="1">IF(H292&gt;I292,D292,0)</f>
        <v>10.200000000000001</v>
      </c>
      <c r="H292" s="1">
        <f ca="1">INDEX(INDIRECT(""&amp;C292&amp;"!A2:A489"),MATCH(B292,INDIRECT(""&amp;C292&amp;"!B2:B489"),0))</f>
        <v>119</v>
      </c>
      <c r="I292" s="1">
        <f>IF(C292="RB",LeagueInfo!$D$4*LeagueInfo!$F$2,LeagueInfo!$D$5*LeagueInfo!$F$2)</f>
        <v>24</v>
      </c>
    </row>
    <row r="293" spans="1:9" x14ac:dyDescent="0.25">
      <c r="A293" s="1">
        <f ca="1">RANK(E293,E$2:E$402)</f>
        <v>295</v>
      </c>
      <c r="B293" s="1" t="s">
        <v>667</v>
      </c>
      <c r="C293" s="1" t="s">
        <v>39</v>
      </c>
      <c r="D293" s="1">
        <f ca="1">INDEX(INDIRECT($C293&amp;"!O:O"),MATCH($B293,INDIRECT($C293&amp;"!B:B"),0))</f>
        <v>8.9499999999999993</v>
      </c>
      <c r="E293" s="7">
        <f ca="1">D293-LARGE(D$2:D$402,RBCount+WRCount)</f>
        <v>-70.850000000000009</v>
      </c>
      <c r="F293" s="1" t="str">
        <f ca="1">IF(H293&lt;=I293,"Starter",IF(G293&gt;=LARGE(G:G,FlexOn*LeagueInfo!$F$2),"Starter","Bench"))</f>
        <v>Bench</v>
      </c>
      <c r="G293" s="1">
        <f ca="1">IF(H293&gt;I293,D293,0)</f>
        <v>8.9499999999999993</v>
      </c>
      <c r="H293" s="1">
        <f ca="1">INDEX(INDIRECT(""&amp;C293&amp;"!A2:A489"),MATCH(B293,INDIRECT(""&amp;C293&amp;"!B2:B489"),0))</f>
        <v>168</v>
      </c>
      <c r="I293" s="1">
        <f>IF(C293="RB",LeagueInfo!$D$4*LeagueInfo!$F$2,LeagueInfo!$D$5*LeagueInfo!$F$2)</f>
        <v>24</v>
      </c>
    </row>
    <row r="294" spans="1:9" x14ac:dyDescent="0.25">
      <c r="A294" s="1">
        <f ca="1">RANK(E294,E$2:E$402)</f>
        <v>313</v>
      </c>
      <c r="B294" s="1" t="s">
        <v>683</v>
      </c>
      <c r="C294" s="1" t="s">
        <v>39</v>
      </c>
      <c r="D294" s="1">
        <f ca="1">INDEX(INDIRECT($C294&amp;"!O:O"),MATCH($B294,INDIRECT($C294&amp;"!B:B"),0))</f>
        <v>8.1900000000000013</v>
      </c>
      <c r="E294" s="7">
        <f ca="1">D294-LARGE(D$2:D$402,RBCount+WRCount)</f>
        <v>-71.610000000000014</v>
      </c>
      <c r="F294" s="1" t="str">
        <f ca="1">IF(H294&lt;=I294,"Starter",IF(G294&gt;=LARGE(G:G,FlexOn*LeagueInfo!$F$2),"Starter","Bench"))</f>
        <v>Bench</v>
      </c>
      <c r="G294" s="1">
        <f ca="1">IF(H294&gt;I294,D294,0)</f>
        <v>8.1900000000000013</v>
      </c>
      <c r="H294" s="1">
        <f ca="1">INDEX(INDIRECT(""&amp;C294&amp;"!A2:A489"),MATCH(B294,INDIRECT(""&amp;C294&amp;"!B2:B489"),0))</f>
        <v>185</v>
      </c>
      <c r="I294" s="1">
        <f>IF(C294="RB",LeagueInfo!$D$4*LeagueInfo!$F$2,LeagueInfo!$D$5*LeagueInfo!$F$2)</f>
        <v>24</v>
      </c>
    </row>
    <row r="295" spans="1:9" x14ac:dyDescent="0.25">
      <c r="A295" s="1">
        <f ca="1">RANK(E295,E$2:E$402)</f>
        <v>301</v>
      </c>
      <c r="B295" s="1" t="s">
        <v>672</v>
      </c>
      <c r="C295" s="1" t="s">
        <v>39</v>
      </c>
      <c r="D295" s="1">
        <f ca="1">INDEX(INDIRECT($C295&amp;"!O:O"),MATCH($B295,INDIRECT($C295&amp;"!B:B"),0))</f>
        <v>8.620000000000001</v>
      </c>
      <c r="E295" s="7">
        <f ca="1">D295-LARGE(D$2:D$402,RBCount+WRCount)</f>
        <v>-71.180000000000007</v>
      </c>
      <c r="F295" s="1" t="str">
        <f ca="1">IF(H295&lt;=I295,"Starter",IF(G295&gt;=LARGE(G:G,FlexOn*LeagueInfo!$F$2),"Starter","Bench"))</f>
        <v>Bench</v>
      </c>
      <c r="G295" s="1">
        <f ca="1">IF(H295&gt;I295,D295,0)</f>
        <v>8.620000000000001</v>
      </c>
      <c r="H295" s="1">
        <f ca="1">INDEX(INDIRECT(""&amp;C295&amp;"!A2:A489"),MATCH(B295,INDIRECT(""&amp;C295&amp;"!B2:B489"),0))</f>
        <v>174</v>
      </c>
      <c r="I295" s="1">
        <f>IF(C295="RB",LeagueInfo!$D$4*LeagueInfo!$F$2,LeagueInfo!$D$5*LeagueInfo!$F$2)</f>
        <v>24</v>
      </c>
    </row>
    <row r="296" spans="1:9" x14ac:dyDescent="0.25">
      <c r="A296" s="1">
        <f ca="1">RANK(E296,E$2:E$402)</f>
        <v>337</v>
      </c>
      <c r="B296" s="1" t="s">
        <v>541</v>
      </c>
      <c r="C296" s="1" t="s">
        <v>32</v>
      </c>
      <c r="D296" s="1">
        <f ca="1">INDEX(INDIRECT($C296&amp;"!O:O"),MATCH($B296,INDIRECT($C296&amp;"!B:B"),0))</f>
        <v>7.13</v>
      </c>
      <c r="E296" s="7">
        <f ca="1">D296-LARGE(D$2:D$402,RBCount+WRCount)</f>
        <v>-72.670000000000016</v>
      </c>
      <c r="F296" s="1" t="str">
        <f ca="1">IF(H296&lt;=I296,"Starter",IF(G296&gt;=LARGE(G:G,FlexOn*LeagueInfo!$F$2),"Starter","Bench"))</f>
        <v>Bench</v>
      </c>
      <c r="G296" s="1">
        <f ca="1">IF(H296&gt;I296,D296,0)</f>
        <v>7.13</v>
      </c>
      <c r="H296" s="1">
        <f ca="1">INDEX(INDIRECT(""&amp;C296&amp;"!A2:A489"),MATCH(B296,INDIRECT(""&amp;C296&amp;"!B2:B489"),0))</f>
        <v>136</v>
      </c>
      <c r="I296" s="1">
        <f>IF(C296="RB",LeagueInfo!$D$4*LeagueInfo!$F$2,LeagueInfo!$D$5*LeagueInfo!$F$2)</f>
        <v>24</v>
      </c>
    </row>
    <row r="297" spans="1:9" x14ac:dyDescent="0.25">
      <c r="A297" s="1">
        <f ca="1">RANK(E297,E$2:E$402)</f>
        <v>286</v>
      </c>
      <c r="B297" s="1" t="s">
        <v>495</v>
      </c>
      <c r="C297" s="1" t="s">
        <v>32</v>
      </c>
      <c r="D297" s="1">
        <f ca="1">INDEX(INDIRECT($C297&amp;"!O:O"),MATCH($B297,INDIRECT($C297&amp;"!B:B"),0))</f>
        <v>9.5100000000000016</v>
      </c>
      <c r="E297" s="7">
        <f ca="1">D297-LARGE(D$2:D$402,RBCount+WRCount)</f>
        <v>-70.290000000000006</v>
      </c>
      <c r="F297" s="1" t="str">
        <f ca="1">IF(H297&lt;=I297,"Starter",IF(G297&gt;=LARGE(G:G,FlexOn*LeagueInfo!$F$2),"Starter","Bench"))</f>
        <v>Bench</v>
      </c>
      <c r="G297" s="1">
        <f ca="1">IF(H297&gt;I297,D297,0)</f>
        <v>9.5100000000000016</v>
      </c>
      <c r="H297" s="1">
        <f ca="1">INDEX(INDIRECT(""&amp;C297&amp;"!A2:A489"),MATCH(B297,INDIRECT(""&amp;C297&amp;"!B2:B489"),0))</f>
        <v>125</v>
      </c>
      <c r="I297" s="1">
        <f>IF(C297="RB",LeagueInfo!$D$4*LeagueInfo!$F$2,LeagueInfo!$D$5*LeagueInfo!$F$2)</f>
        <v>24</v>
      </c>
    </row>
    <row r="298" spans="1:9" x14ac:dyDescent="0.25">
      <c r="A298" s="1">
        <f ca="1">RANK(E298,E$2:E$402)</f>
        <v>294</v>
      </c>
      <c r="B298" s="1" t="s">
        <v>648</v>
      </c>
      <c r="C298" s="1" t="s">
        <v>39</v>
      </c>
      <c r="D298" s="1">
        <f ca="1">INDEX(INDIRECT($C298&amp;"!O:O"),MATCH($B298,INDIRECT($C298&amp;"!B:B"),0))</f>
        <v>8.9600000000000009</v>
      </c>
      <c r="E298" s="7">
        <f ca="1">D298-LARGE(D$2:D$402,RBCount+WRCount)</f>
        <v>-70.84</v>
      </c>
      <c r="F298" s="1" t="str">
        <f ca="1">IF(H298&lt;=I298,"Starter",IF(G298&gt;=LARGE(G:G,FlexOn*LeagueInfo!$F$2),"Starter","Bench"))</f>
        <v>Bench</v>
      </c>
      <c r="G298" s="1">
        <f ca="1">IF(H298&gt;I298,D298,0)</f>
        <v>8.9600000000000009</v>
      </c>
      <c r="H298" s="1">
        <f ca="1">INDEX(INDIRECT(""&amp;C298&amp;"!A2:A489"),MATCH(B298,INDIRECT(""&amp;C298&amp;"!B2:B489"),0))</f>
        <v>167</v>
      </c>
      <c r="I298" s="1">
        <f>IF(C298="RB",LeagueInfo!$D$4*LeagueInfo!$F$2,LeagueInfo!$D$5*LeagueInfo!$F$2)</f>
        <v>24</v>
      </c>
    </row>
    <row r="299" spans="1:9" x14ac:dyDescent="0.25">
      <c r="A299" s="1">
        <f ca="1">RANK(E299,E$2:E$402)</f>
        <v>283</v>
      </c>
      <c r="B299" s="1" t="s">
        <v>474</v>
      </c>
      <c r="C299" s="1" t="s">
        <v>32</v>
      </c>
      <c r="D299" s="1">
        <f ca="1">INDEX(INDIRECT($C299&amp;"!O:O"),MATCH($B299,INDIRECT($C299&amp;"!B:B"),0))</f>
        <v>9.6500000000000021</v>
      </c>
      <c r="E299" s="7">
        <f ca="1">D299-LARGE(D$2:D$402,RBCount+WRCount)</f>
        <v>-70.150000000000006</v>
      </c>
      <c r="F299" s="1" t="str">
        <f ca="1">IF(H299&lt;=I299,"Starter",IF(G299&gt;=LARGE(G:G,FlexOn*LeagueInfo!$F$2),"Starter","Bench"))</f>
        <v>Bench</v>
      </c>
      <c r="G299" s="1">
        <f ca="1">IF(H299&gt;I299,D299,0)</f>
        <v>9.6500000000000021</v>
      </c>
      <c r="H299" s="1">
        <f ca="1">INDEX(INDIRECT(""&amp;C299&amp;"!A2:A489"),MATCH(B299,INDIRECT(""&amp;C299&amp;"!B2:B489"),0))</f>
        <v>122</v>
      </c>
      <c r="I299" s="1">
        <f>IF(C299="RB",LeagueInfo!$D$4*LeagueInfo!$F$2,LeagueInfo!$D$5*LeagueInfo!$F$2)</f>
        <v>24</v>
      </c>
    </row>
    <row r="300" spans="1:9" x14ac:dyDescent="0.25">
      <c r="A300" s="1">
        <f ca="1">RANK(E300,E$2:E$402)</f>
        <v>291</v>
      </c>
      <c r="B300" s="1" t="s">
        <v>636</v>
      </c>
      <c r="C300" s="1" t="s">
        <v>39</v>
      </c>
      <c r="D300" s="1">
        <f ca="1">INDEX(INDIRECT($C300&amp;"!O:O"),MATCH($B300,INDIRECT($C300&amp;"!B:B"),0))</f>
        <v>9.2500000000000018</v>
      </c>
      <c r="E300" s="7">
        <f ca="1">D300-LARGE(D$2:D$402,RBCount+WRCount)</f>
        <v>-70.550000000000011</v>
      </c>
      <c r="F300" s="1" t="str">
        <f ca="1">IF(H300&lt;=I300,"Starter",IF(G300&gt;=LARGE(G:G,FlexOn*LeagueInfo!$F$2),"Starter","Bench"))</f>
        <v>Bench</v>
      </c>
      <c r="G300" s="1">
        <f ca="1">IF(H300&gt;I300,D300,0)</f>
        <v>9.2500000000000018</v>
      </c>
      <c r="H300" s="1">
        <f ca="1">INDEX(INDIRECT(""&amp;C300&amp;"!A2:A489"),MATCH(B300,INDIRECT(""&amp;C300&amp;"!B2:B489"),0))</f>
        <v>165</v>
      </c>
      <c r="I300" s="1">
        <f>IF(C300="RB",LeagueInfo!$D$4*LeagueInfo!$F$2,LeagueInfo!$D$5*LeagueInfo!$F$2)</f>
        <v>24</v>
      </c>
    </row>
    <row r="301" spans="1:9" x14ac:dyDescent="0.25">
      <c r="A301" s="1">
        <f ca="1">RANK(E301,E$2:E$402)</f>
        <v>275</v>
      </c>
      <c r="B301" s="1" t="s">
        <v>487</v>
      </c>
      <c r="C301" s="1" t="s">
        <v>32</v>
      </c>
      <c r="D301" s="1">
        <f ca="1">INDEX(INDIRECT($C301&amp;"!O:O"),MATCH($B301,INDIRECT($C301&amp;"!B:B"),0))</f>
        <v>10.3</v>
      </c>
      <c r="E301" s="7">
        <f ca="1">D301-LARGE(D$2:D$402,RBCount+WRCount)</f>
        <v>-69.500000000000014</v>
      </c>
      <c r="F301" s="1" t="str">
        <f ca="1">IF(H301&lt;=I301,"Starter",IF(G301&gt;=LARGE(G:G,FlexOn*LeagueInfo!$F$2),"Starter","Bench"))</f>
        <v>Bench</v>
      </c>
      <c r="G301" s="1">
        <f ca="1">IF(H301&gt;I301,D301,0)</f>
        <v>10.3</v>
      </c>
      <c r="H301" s="1">
        <f ca="1">INDEX(INDIRECT(""&amp;C301&amp;"!A2:A489"),MATCH(B301,INDIRECT(""&amp;C301&amp;"!B2:B489"),0))</f>
        <v>118</v>
      </c>
      <c r="I301" s="1">
        <f>IF(C301="RB",LeagueInfo!$D$4*LeagueInfo!$F$2,LeagueInfo!$D$5*LeagueInfo!$F$2)</f>
        <v>24</v>
      </c>
    </row>
    <row r="302" spans="1:9" x14ac:dyDescent="0.25">
      <c r="A302" s="1">
        <f ca="1">RANK(E302,E$2:E$402)</f>
        <v>307</v>
      </c>
      <c r="B302" s="1" t="s">
        <v>632</v>
      </c>
      <c r="C302" s="1" t="s">
        <v>39</v>
      </c>
      <c r="D302" s="1">
        <f ca="1">INDEX(INDIRECT($C302&amp;"!O:O"),MATCH($B302,INDIRECT($C302&amp;"!B:B"),0))</f>
        <v>8.4000000000000021</v>
      </c>
      <c r="E302" s="7">
        <f ca="1">D302-LARGE(D$2:D$402,RBCount+WRCount)</f>
        <v>-71.400000000000006</v>
      </c>
      <c r="F302" s="1" t="str">
        <f ca="1">IF(H302&lt;=I302,"Starter",IF(G302&gt;=LARGE(G:G,FlexOn*LeagueInfo!$F$2),"Starter","Bench"))</f>
        <v>Bench</v>
      </c>
      <c r="G302" s="1">
        <f ca="1">IF(H302&gt;I302,D302,0)</f>
        <v>8.4000000000000021</v>
      </c>
      <c r="H302" s="1">
        <f ca="1">INDEX(INDIRECT(""&amp;C302&amp;"!A2:A489"),MATCH(B302,INDIRECT(""&amp;C302&amp;"!B2:B489"),0))</f>
        <v>180</v>
      </c>
      <c r="I302" s="1">
        <f>IF(C302="RB",LeagueInfo!$D$4*LeagueInfo!$F$2,LeagueInfo!$D$5*LeagueInfo!$F$2)</f>
        <v>24</v>
      </c>
    </row>
    <row r="303" spans="1:9" x14ac:dyDescent="0.25">
      <c r="A303" s="1">
        <f ca="1">RANK(E303,E$2:E$402)</f>
        <v>298</v>
      </c>
      <c r="B303" s="1" t="s">
        <v>670</v>
      </c>
      <c r="C303" s="1" t="s">
        <v>39</v>
      </c>
      <c r="D303" s="1">
        <f ca="1">INDEX(INDIRECT($C303&amp;"!O:O"),MATCH($B303,INDIRECT($C303&amp;"!B:B"),0))</f>
        <v>8.7000000000000011</v>
      </c>
      <c r="E303" s="7">
        <f ca="1">D303-LARGE(D$2:D$402,RBCount+WRCount)</f>
        <v>-71.100000000000009</v>
      </c>
      <c r="F303" s="1" t="str">
        <f ca="1">IF(H303&lt;=I303,"Starter",IF(G303&gt;=LARGE(G:G,FlexOn*LeagueInfo!$F$2),"Starter","Bench"))</f>
        <v>Bench</v>
      </c>
      <c r="G303" s="1">
        <f ca="1">IF(H303&gt;I303,D303,0)</f>
        <v>8.7000000000000011</v>
      </c>
      <c r="H303" s="1">
        <f ca="1">INDEX(INDIRECT(""&amp;C303&amp;"!A2:A489"),MATCH(B303,INDIRECT(""&amp;C303&amp;"!B2:B489"),0))</f>
        <v>171</v>
      </c>
      <c r="I303" s="1">
        <f>IF(C303="RB",LeagueInfo!$D$4*LeagueInfo!$F$2,LeagueInfo!$D$5*LeagueInfo!$F$2)</f>
        <v>24</v>
      </c>
    </row>
    <row r="304" spans="1:9" x14ac:dyDescent="0.25">
      <c r="A304" s="1">
        <f ca="1">RANK(E304,E$2:E$402)</f>
        <v>318</v>
      </c>
      <c r="B304" s="1" t="s">
        <v>652</v>
      </c>
      <c r="C304" s="1" t="s">
        <v>39</v>
      </c>
      <c r="D304" s="1">
        <f ca="1">INDEX(INDIRECT($C304&amp;"!O:O"),MATCH($B304,INDIRECT($C304&amp;"!B:B"),0))</f>
        <v>7.879999999999999</v>
      </c>
      <c r="E304" s="7">
        <f ca="1">D304-LARGE(D$2:D$402,RBCount+WRCount)</f>
        <v>-71.920000000000016</v>
      </c>
      <c r="F304" s="1" t="str">
        <f ca="1">IF(H304&lt;=I304,"Starter",IF(G304&gt;=LARGE(G:G,FlexOn*LeagueInfo!$F$2),"Starter","Bench"))</f>
        <v>Bench</v>
      </c>
      <c r="G304" s="1">
        <f ca="1">IF(H304&gt;I304,D304,0)</f>
        <v>7.879999999999999</v>
      </c>
      <c r="H304" s="1">
        <f ca="1">INDEX(INDIRECT(""&amp;C304&amp;"!A2:A489"),MATCH(B304,INDIRECT(""&amp;C304&amp;"!B2:B489"),0))</f>
        <v>188</v>
      </c>
      <c r="I304" s="1">
        <f>IF(C304="RB",LeagueInfo!$D$4*LeagueInfo!$F$2,LeagueInfo!$D$5*LeagueInfo!$F$2)</f>
        <v>24</v>
      </c>
    </row>
    <row r="305" spans="1:9" x14ac:dyDescent="0.25">
      <c r="A305" s="1">
        <f ca="1">RANK(E305,E$2:E$402)</f>
        <v>298</v>
      </c>
      <c r="B305" s="1" t="s">
        <v>671</v>
      </c>
      <c r="C305" s="1" t="s">
        <v>39</v>
      </c>
      <c r="D305" s="1">
        <f ca="1">INDEX(INDIRECT($C305&amp;"!O:O"),MATCH($B305,INDIRECT($C305&amp;"!B:B"),0))</f>
        <v>8.7000000000000011</v>
      </c>
      <c r="E305" s="7">
        <f ca="1">D305-LARGE(D$2:D$402,RBCount+WRCount)</f>
        <v>-71.100000000000009</v>
      </c>
      <c r="F305" s="1" t="str">
        <f ca="1">IF(H305&lt;=I305,"Starter",IF(G305&gt;=LARGE(G:G,FlexOn*LeagueInfo!$F$2),"Starter","Bench"))</f>
        <v>Bench</v>
      </c>
      <c r="G305" s="1">
        <f ca="1">IF(H305&gt;I305,D305,0)</f>
        <v>8.7000000000000011</v>
      </c>
      <c r="H305" s="1">
        <f ca="1">INDEX(INDIRECT(""&amp;C305&amp;"!A2:A489"),MATCH(B305,INDIRECT(""&amp;C305&amp;"!B2:B489"),0))</f>
        <v>171</v>
      </c>
      <c r="I305" s="1">
        <f>IF(C305="RB",LeagueInfo!$D$4*LeagueInfo!$F$2,LeagueInfo!$D$5*LeagueInfo!$F$2)</f>
        <v>24</v>
      </c>
    </row>
    <row r="306" spans="1:9" x14ac:dyDescent="0.25">
      <c r="A306" s="1">
        <f ca="1">RANK(E306,E$2:E$402)</f>
        <v>306</v>
      </c>
      <c r="B306" s="1" t="s">
        <v>673</v>
      </c>
      <c r="C306" s="1" t="s">
        <v>39</v>
      </c>
      <c r="D306" s="1">
        <f ca="1">INDEX(INDIRECT($C306&amp;"!O:O"),MATCH($B306,INDIRECT($C306&amp;"!B:B"),0))</f>
        <v>8.43</v>
      </c>
      <c r="E306" s="7">
        <f ca="1">D306-LARGE(D$2:D$402,RBCount+WRCount)</f>
        <v>-71.37</v>
      </c>
      <c r="F306" s="1" t="str">
        <f ca="1">IF(H306&lt;=I306,"Starter",IF(G306&gt;=LARGE(G:G,FlexOn*LeagueInfo!$F$2),"Starter","Bench"))</f>
        <v>Bench</v>
      </c>
      <c r="G306" s="1">
        <f ca="1">IF(H306&gt;I306,D306,0)</f>
        <v>8.43</v>
      </c>
      <c r="H306" s="1">
        <f ca="1">INDEX(INDIRECT(""&amp;C306&amp;"!A2:A489"),MATCH(B306,INDIRECT(""&amp;C306&amp;"!B2:B489"),0))</f>
        <v>179</v>
      </c>
      <c r="I306" s="1">
        <f>IF(C306="RB",LeagueInfo!$D$4*LeagueInfo!$F$2,LeagueInfo!$D$5*LeagueInfo!$F$2)</f>
        <v>24</v>
      </c>
    </row>
    <row r="307" spans="1:9" x14ac:dyDescent="0.25">
      <c r="A307" s="1">
        <f ca="1">RANK(E307,E$2:E$402)</f>
        <v>314</v>
      </c>
      <c r="B307" s="1" t="s">
        <v>678</v>
      </c>
      <c r="C307" s="1" t="s">
        <v>39</v>
      </c>
      <c r="D307" s="1">
        <f ca="1">INDEX(INDIRECT($C307&amp;"!O:O"),MATCH($B307,INDIRECT($C307&amp;"!B:B"),0))</f>
        <v>8.1700000000000017</v>
      </c>
      <c r="E307" s="7">
        <f ca="1">D307-LARGE(D$2:D$402,RBCount+WRCount)</f>
        <v>-71.63000000000001</v>
      </c>
      <c r="F307" s="1" t="str">
        <f ca="1">IF(H307&lt;=I307,"Starter",IF(G307&gt;=LARGE(G:G,FlexOn*LeagueInfo!$F$2),"Starter","Bench"))</f>
        <v>Bench</v>
      </c>
      <c r="G307" s="1">
        <f ca="1">IF(H307&gt;I307,D307,0)</f>
        <v>8.1700000000000017</v>
      </c>
      <c r="H307" s="1">
        <f ca="1">INDEX(INDIRECT(""&amp;C307&amp;"!A2:A489"),MATCH(B307,INDIRECT(""&amp;C307&amp;"!B2:B489"),0))</f>
        <v>186</v>
      </c>
      <c r="I307" s="1">
        <f>IF(C307="RB",LeagueInfo!$D$4*LeagueInfo!$F$2,LeagueInfo!$D$5*LeagueInfo!$F$2)</f>
        <v>24</v>
      </c>
    </row>
    <row r="308" spans="1:9" x14ac:dyDescent="0.25">
      <c r="A308" s="1">
        <f ca="1">RANK(E308,E$2:E$402)</f>
        <v>302</v>
      </c>
      <c r="B308" s="1" t="s">
        <v>664</v>
      </c>
      <c r="C308" s="1" t="s">
        <v>39</v>
      </c>
      <c r="D308" s="1">
        <f ca="1">INDEX(INDIRECT($C308&amp;"!O:O"),MATCH($B308,INDIRECT($C308&amp;"!B:B"),0))</f>
        <v>8.6000000000000014</v>
      </c>
      <c r="E308" s="7">
        <f ca="1">D308-LARGE(D$2:D$402,RBCount+WRCount)</f>
        <v>-71.200000000000017</v>
      </c>
      <c r="F308" s="1" t="str">
        <f ca="1">IF(H308&lt;=I308,"Starter",IF(G308&gt;=LARGE(G:G,FlexOn*LeagueInfo!$F$2),"Starter","Bench"))</f>
        <v>Bench</v>
      </c>
      <c r="G308" s="1">
        <f ca="1">IF(H308&gt;I308,D308,0)</f>
        <v>8.6000000000000014</v>
      </c>
      <c r="H308" s="1">
        <f ca="1">INDEX(INDIRECT(""&amp;C308&amp;"!A2:A489"),MATCH(B308,INDIRECT(""&amp;C308&amp;"!B2:B489"),0))</f>
        <v>175</v>
      </c>
      <c r="I308" s="1">
        <f>IF(C308="RB",LeagueInfo!$D$4*LeagueInfo!$F$2,LeagueInfo!$D$5*LeagueInfo!$F$2)</f>
        <v>24</v>
      </c>
    </row>
    <row r="309" spans="1:9" x14ac:dyDescent="0.25">
      <c r="A309" s="1">
        <f ca="1">RANK(E309,E$2:E$402)</f>
        <v>311</v>
      </c>
      <c r="B309" s="1" t="s">
        <v>677</v>
      </c>
      <c r="C309" s="1" t="s">
        <v>39</v>
      </c>
      <c r="D309" s="1">
        <f ca="1">INDEX(INDIRECT($C309&amp;"!O:O"),MATCH($B309,INDIRECT($C309&amp;"!B:B"),0))</f>
        <v>8.25</v>
      </c>
      <c r="E309" s="7">
        <f ca="1">D309-LARGE(D$2:D$402,RBCount+WRCount)</f>
        <v>-71.550000000000011</v>
      </c>
      <c r="F309" s="1" t="str">
        <f ca="1">IF(H309&lt;=I309,"Starter",IF(G309&gt;=LARGE(G:G,FlexOn*LeagueInfo!$F$2),"Starter","Bench"))</f>
        <v>Bench</v>
      </c>
      <c r="G309" s="1">
        <f ca="1">IF(H309&gt;I309,D309,0)</f>
        <v>8.25</v>
      </c>
      <c r="H309" s="1">
        <f ca="1">INDEX(INDIRECT(""&amp;C309&amp;"!A2:A489"),MATCH(B309,INDIRECT(""&amp;C309&amp;"!B2:B489"),0))</f>
        <v>183</v>
      </c>
      <c r="I309" s="1">
        <f>IF(C309="RB",LeagueInfo!$D$4*LeagueInfo!$F$2,LeagueInfo!$D$5*LeagueInfo!$F$2)</f>
        <v>24</v>
      </c>
    </row>
    <row r="310" spans="1:9" x14ac:dyDescent="0.25">
      <c r="A310" s="1">
        <f ca="1">RANK(E310,E$2:E$402)</f>
        <v>304</v>
      </c>
      <c r="B310" s="1" t="s">
        <v>927</v>
      </c>
      <c r="C310" s="1" t="s">
        <v>39</v>
      </c>
      <c r="D310" s="1">
        <f ca="1">INDEX(INDIRECT($C310&amp;"!O:O"),MATCH($B310,INDIRECT($C310&amp;"!B:B"),0))</f>
        <v>8.5</v>
      </c>
      <c r="E310" s="7">
        <f ca="1">D310-LARGE(D$2:D$402,RBCount+WRCount)</f>
        <v>-71.300000000000011</v>
      </c>
      <c r="F310" s="1" t="str">
        <f ca="1">IF(H310&lt;=I310,"Starter",IF(G310&gt;=LARGE(G:G,FlexOn*LeagueInfo!$F$2),"Starter","Bench"))</f>
        <v>Bench</v>
      </c>
      <c r="G310" s="1">
        <f ca="1">IF(H310&gt;I310,D310,0)</f>
        <v>8.5</v>
      </c>
      <c r="H310" s="1">
        <f ca="1">INDEX(INDIRECT(""&amp;C310&amp;"!A2:A489"),MATCH(B310,INDIRECT(""&amp;C310&amp;"!B2:B489"),0))</f>
        <v>177</v>
      </c>
      <c r="I310" s="1">
        <f>IF(C310="RB",LeagueInfo!$D$4*LeagueInfo!$F$2,LeagueInfo!$D$5*LeagueInfo!$F$2)</f>
        <v>24</v>
      </c>
    </row>
    <row r="311" spans="1:9" x14ac:dyDescent="0.25">
      <c r="A311" s="1">
        <f ca="1">RANK(E311,E$2:E$402)</f>
        <v>320</v>
      </c>
      <c r="B311" s="1" t="s">
        <v>680</v>
      </c>
      <c r="C311" s="1" t="s">
        <v>39</v>
      </c>
      <c r="D311" s="1">
        <f ca="1">INDEX(INDIRECT($C311&amp;"!O:O"),MATCH($B311,INDIRECT($C311&amp;"!B:B"),0))</f>
        <v>7.8400000000000007</v>
      </c>
      <c r="E311" s="7">
        <f ca="1">D311-LARGE(D$2:D$402,RBCount+WRCount)</f>
        <v>-71.960000000000008</v>
      </c>
      <c r="F311" s="1" t="str">
        <f ca="1">IF(H311&lt;=I311,"Starter",IF(G311&gt;=LARGE(G:G,FlexOn*LeagueInfo!$F$2),"Starter","Bench"))</f>
        <v>Bench</v>
      </c>
      <c r="G311" s="1">
        <f ca="1">IF(H311&gt;I311,D311,0)</f>
        <v>7.8400000000000007</v>
      </c>
      <c r="H311" s="1">
        <f ca="1">INDEX(INDIRECT(""&amp;C311&amp;"!A2:A489"),MATCH(B311,INDIRECT(""&amp;C311&amp;"!B2:B489"),0))</f>
        <v>190</v>
      </c>
      <c r="I311" s="1">
        <f>IF(C311="RB",LeagueInfo!$D$4*LeagueInfo!$F$2,LeagueInfo!$D$5*LeagueInfo!$F$2)</f>
        <v>24</v>
      </c>
    </row>
    <row r="312" spans="1:9" x14ac:dyDescent="0.25">
      <c r="A312" s="1">
        <f ca="1">RANK(E312,E$2:E$402)</f>
        <v>308</v>
      </c>
      <c r="B312" s="1" t="s">
        <v>674</v>
      </c>
      <c r="C312" s="1" t="s">
        <v>39</v>
      </c>
      <c r="D312" s="1">
        <f ca="1">INDEX(INDIRECT($C312&amp;"!O:O"),MATCH($B312,INDIRECT($C312&amp;"!B:B"),0))</f>
        <v>8.3500000000000014</v>
      </c>
      <c r="E312" s="7">
        <f ca="1">D312-LARGE(D$2:D$402,RBCount+WRCount)</f>
        <v>-71.450000000000017</v>
      </c>
      <c r="F312" s="1" t="str">
        <f ca="1">IF(H312&lt;=I312,"Starter",IF(G312&gt;=LARGE(G:G,FlexOn*LeagueInfo!$F$2),"Starter","Bench"))</f>
        <v>Bench</v>
      </c>
      <c r="G312" s="1">
        <f ca="1">IF(H312&gt;I312,D312,0)</f>
        <v>8.3500000000000014</v>
      </c>
      <c r="H312" s="1">
        <f ca="1">INDEX(INDIRECT(""&amp;C312&amp;"!A2:A489"),MATCH(B312,INDIRECT(""&amp;C312&amp;"!B2:B489"),0))</f>
        <v>181</v>
      </c>
      <c r="I312" s="1">
        <f>IF(C312="RB",LeagueInfo!$D$4*LeagueInfo!$F$2,LeagueInfo!$D$5*LeagueInfo!$F$2)</f>
        <v>24</v>
      </c>
    </row>
    <row r="313" spans="1:9" x14ac:dyDescent="0.25">
      <c r="A313" s="1">
        <f ca="1">RANK(E313,E$2:E$402)</f>
        <v>312</v>
      </c>
      <c r="B313" s="1" t="s">
        <v>666</v>
      </c>
      <c r="C313" s="1" t="s">
        <v>39</v>
      </c>
      <c r="D313" s="1">
        <f ca="1">INDEX(INDIRECT($C313&amp;"!O:O"),MATCH($B313,INDIRECT($C313&amp;"!B:B"),0))</f>
        <v>8.2000000000000011</v>
      </c>
      <c r="E313" s="7">
        <f ca="1">D313-LARGE(D$2:D$402,RBCount+WRCount)</f>
        <v>-71.600000000000009</v>
      </c>
      <c r="F313" s="1" t="str">
        <f ca="1">IF(H313&lt;=I313,"Starter",IF(G313&gt;=LARGE(G:G,FlexOn*LeagueInfo!$F$2),"Starter","Bench"))</f>
        <v>Bench</v>
      </c>
      <c r="G313" s="1">
        <f ca="1">IF(H313&gt;I313,D313,0)</f>
        <v>8.2000000000000011</v>
      </c>
      <c r="H313" s="1">
        <f ca="1">INDEX(INDIRECT(""&amp;C313&amp;"!A2:A489"),MATCH(B313,INDIRECT(""&amp;C313&amp;"!B2:B489"),0))</f>
        <v>184</v>
      </c>
      <c r="I313" s="1">
        <f>IF(C313="RB",LeagueInfo!$D$4*LeagueInfo!$F$2,LeagueInfo!$D$5*LeagueInfo!$F$2)</f>
        <v>24</v>
      </c>
    </row>
    <row r="314" spans="1:9" x14ac:dyDescent="0.25">
      <c r="A314" s="1">
        <f ca="1">RANK(E314,E$2:E$402)</f>
        <v>320</v>
      </c>
      <c r="B314" s="1" t="s">
        <v>682</v>
      </c>
      <c r="C314" s="1" t="s">
        <v>39</v>
      </c>
      <c r="D314" s="1">
        <f ca="1">INDEX(INDIRECT($C314&amp;"!O:O"),MATCH($B314,INDIRECT($C314&amp;"!B:B"),0))</f>
        <v>7.8400000000000007</v>
      </c>
      <c r="E314" s="7">
        <f ca="1">D314-LARGE(D$2:D$402,RBCount+WRCount)</f>
        <v>-71.960000000000008</v>
      </c>
      <c r="F314" s="1" t="str">
        <f ca="1">IF(H314&lt;=I314,"Starter",IF(G314&gt;=LARGE(G:G,FlexOn*LeagueInfo!$F$2),"Starter","Bench"))</f>
        <v>Bench</v>
      </c>
      <c r="G314" s="1">
        <f ca="1">IF(H314&gt;I314,D314,0)</f>
        <v>7.8400000000000007</v>
      </c>
      <c r="H314" s="1">
        <f ca="1">INDEX(INDIRECT(""&amp;C314&amp;"!A2:A489"),MATCH(B314,INDIRECT(""&amp;C314&amp;"!B2:B489"),0))</f>
        <v>190</v>
      </c>
      <c r="I314" s="1">
        <f>IF(C314="RB",LeagueInfo!$D$4*LeagueInfo!$F$2,LeagueInfo!$D$5*LeagueInfo!$F$2)</f>
        <v>24</v>
      </c>
    </row>
    <row r="315" spans="1:9" x14ac:dyDescent="0.25">
      <c r="A315" s="1">
        <f ca="1">RANK(E315,E$2:E$402)</f>
        <v>309</v>
      </c>
      <c r="B315" s="1" t="s">
        <v>675</v>
      </c>
      <c r="C315" s="1" t="s">
        <v>39</v>
      </c>
      <c r="D315" s="1">
        <f ca="1">INDEX(INDIRECT($C315&amp;"!O:O"),MATCH($B315,INDIRECT($C315&amp;"!B:B"),0))</f>
        <v>8.2800000000000011</v>
      </c>
      <c r="E315" s="7">
        <f ca="1">D315-LARGE(D$2:D$402,RBCount+WRCount)</f>
        <v>-71.52000000000001</v>
      </c>
      <c r="F315" s="1" t="str">
        <f ca="1">IF(H315&lt;=I315,"Starter",IF(G315&gt;=LARGE(G:G,FlexOn*LeagueInfo!$F$2),"Starter","Bench"))</f>
        <v>Bench</v>
      </c>
      <c r="G315" s="1">
        <f ca="1">IF(H315&gt;I315,D315,0)</f>
        <v>8.2800000000000011</v>
      </c>
      <c r="H315" s="1">
        <f ca="1">INDEX(INDIRECT(""&amp;C315&amp;"!A2:A489"),MATCH(B315,INDIRECT(""&amp;C315&amp;"!B2:B489"),0))</f>
        <v>182</v>
      </c>
      <c r="I315" s="1">
        <f>IF(C315="RB",LeagueInfo!$D$4*LeagueInfo!$F$2,LeagueInfo!$D$5*LeagueInfo!$F$2)</f>
        <v>24</v>
      </c>
    </row>
    <row r="316" spans="1:9" x14ac:dyDescent="0.25">
      <c r="A316" s="1">
        <f ca="1">RANK(E316,E$2:E$402)</f>
        <v>300</v>
      </c>
      <c r="B316" s="1" t="s">
        <v>655</v>
      </c>
      <c r="C316" s="1" t="s">
        <v>39</v>
      </c>
      <c r="D316" s="1">
        <f ca="1">INDEX(INDIRECT($C316&amp;"!O:O"),MATCH($B316,INDIRECT($C316&amp;"!B:B"),0))</f>
        <v>8.66</v>
      </c>
      <c r="E316" s="7">
        <f ca="1">D316-LARGE(D$2:D$402,RBCount+WRCount)</f>
        <v>-71.140000000000015</v>
      </c>
      <c r="F316" s="1" t="str">
        <f ca="1">IF(H316&lt;=I316,"Starter",IF(G316&gt;=LARGE(G:G,FlexOn*LeagueInfo!$F$2),"Starter","Bench"))</f>
        <v>Bench</v>
      </c>
      <c r="G316" s="1">
        <f ca="1">IF(H316&gt;I316,D316,0)</f>
        <v>8.66</v>
      </c>
      <c r="H316" s="1">
        <f ca="1">INDEX(INDIRECT(""&amp;C316&amp;"!A2:A489"),MATCH(B316,INDIRECT(""&amp;C316&amp;"!B2:B489"),0))</f>
        <v>173</v>
      </c>
      <c r="I316" s="1">
        <f>IF(C316="RB",LeagueInfo!$D$4*LeagueInfo!$F$2,LeagueInfo!$D$5*LeagueInfo!$F$2)</f>
        <v>24</v>
      </c>
    </row>
    <row r="317" spans="1:9" x14ac:dyDescent="0.25">
      <c r="A317" s="1">
        <f ca="1">RANK(E317,E$2:E$402)</f>
        <v>319</v>
      </c>
      <c r="B317" s="1" t="s">
        <v>690</v>
      </c>
      <c r="C317" s="1" t="s">
        <v>39</v>
      </c>
      <c r="D317" s="1">
        <f ca="1">INDEX(INDIRECT($C317&amp;"!O:O"),MATCH($B317,INDIRECT($C317&amp;"!B:B"),0))</f>
        <v>7.8599999999999994</v>
      </c>
      <c r="E317" s="7">
        <f ca="1">D317-LARGE(D$2:D$402,RBCount+WRCount)</f>
        <v>-71.940000000000012</v>
      </c>
      <c r="F317" s="1" t="str">
        <f ca="1">IF(H317&lt;=I317,"Starter",IF(G317&gt;=LARGE(G:G,FlexOn*LeagueInfo!$F$2),"Starter","Bench"))</f>
        <v>Bench</v>
      </c>
      <c r="G317" s="1">
        <f ca="1">IF(H317&gt;I317,D317,0)</f>
        <v>7.8599999999999994</v>
      </c>
      <c r="H317" s="1">
        <f ca="1">INDEX(INDIRECT(""&amp;C317&amp;"!A2:A489"),MATCH(B317,INDIRECT(""&amp;C317&amp;"!B2:B489"),0))</f>
        <v>189</v>
      </c>
      <c r="I317" s="1">
        <f>IF(C317="RB",LeagueInfo!$D$4*LeagueInfo!$F$2,LeagueInfo!$D$5*LeagueInfo!$F$2)</f>
        <v>24</v>
      </c>
    </row>
    <row r="318" spans="1:9" x14ac:dyDescent="0.25">
      <c r="A318" s="1">
        <f ca="1">RANK(E318,E$2:E$402)</f>
        <v>327</v>
      </c>
      <c r="B318" s="1" t="s">
        <v>676</v>
      </c>
      <c r="C318" s="1" t="s">
        <v>39</v>
      </c>
      <c r="D318" s="1">
        <f ca="1">INDEX(INDIRECT($C318&amp;"!O:O"),MATCH($B318,INDIRECT($C318&amp;"!B:B"),0))</f>
        <v>7.62</v>
      </c>
      <c r="E318" s="7">
        <f ca="1">D318-LARGE(D$2:D$402,RBCount+WRCount)</f>
        <v>-72.180000000000007</v>
      </c>
      <c r="F318" s="1" t="str">
        <f ca="1">IF(H318&lt;=I318,"Starter",IF(G318&gt;=LARGE(G:G,FlexOn*LeagueInfo!$F$2),"Starter","Bench"))</f>
        <v>Bench</v>
      </c>
      <c r="G318" s="1">
        <f ca="1">IF(H318&gt;I318,D318,0)</f>
        <v>7.62</v>
      </c>
      <c r="H318" s="1">
        <f ca="1">INDEX(INDIRECT(""&amp;C318&amp;"!A2:A489"),MATCH(B318,INDIRECT(""&amp;C318&amp;"!B2:B489"),0))</f>
        <v>195</v>
      </c>
      <c r="I318" s="1">
        <f>IF(C318="RB",LeagueInfo!$D$4*LeagueInfo!$F$2,LeagueInfo!$D$5*LeagueInfo!$F$2)</f>
        <v>24</v>
      </c>
    </row>
    <row r="319" spans="1:9" x14ac:dyDescent="0.25">
      <c r="A319" s="1">
        <f ca="1">RANK(E319,E$2:E$402)</f>
        <v>316</v>
      </c>
      <c r="B319" s="1" t="s">
        <v>621</v>
      </c>
      <c r="C319" s="1" t="s">
        <v>39</v>
      </c>
      <c r="D319" s="1">
        <f ca="1">INDEX(INDIRECT($C319&amp;"!O:O"),MATCH($B319,INDIRECT($C319&amp;"!B:B"),0))</f>
        <v>7.96</v>
      </c>
      <c r="E319" s="7">
        <f ca="1">D319-LARGE(D$2:D$402,RBCount+WRCount)</f>
        <v>-71.840000000000018</v>
      </c>
      <c r="F319" s="1" t="str">
        <f ca="1">IF(H319&lt;=I319,"Starter",IF(G319&gt;=LARGE(G:G,FlexOn*LeagueInfo!$F$2),"Starter","Bench"))</f>
        <v>Bench</v>
      </c>
      <c r="G319" s="1">
        <f ca="1">IF(H319&gt;I319,D319,0)</f>
        <v>7.96</v>
      </c>
      <c r="H319" s="1">
        <f ca="1">INDEX(INDIRECT(""&amp;C319&amp;"!A2:A489"),MATCH(B319,INDIRECT(""&amp;C319&amp;"!B2:B489"),0))</f>
        <v>187</v>
      </c>
      <c r="I319" s="1">
        <f>IF(C319="RB",LeagueInfo!$D$4*LeagueInfo!$F$2,LeagueInfo!$D$5*LeagueInfo!$F$2)</f>
        <v>24</v>
      </c>
    </row>
    <row r="320" spans="1:9" x14ac:dyDescent="0.25">
      <c r="A320" s="1">
        <f ca="1">RANK(E320,E$2:E$402)</f>
        <v>293</v>
      </c>
      <c r="B320" s="1" t="s">
        <v>493</v>
      </c>
      <c r="C320" s="1" t="s">
        <v>32</v>
      </c>
      <c r="D320" s="1">
        <f ca="1">INDEX(INDIRECT($C320&amp;"!O:O"),MATCH($B320,INDIRECT($C320&amp;"!B:B"),0))</f>
        <v>9.1</v>
      </c>
      <c r="E320" s="7">
        <f ca="1">D320-LARGE(D$2:D$402,RBCount+WRCount)</f>
        <v>-70.700000000000017</v>
      </c>
      <c r="F320" s="1" t="str">
        <f ca="1">IF(H320&lt;=I320,"Starter",IF(G320&gt;=LARGE(G:G,FlexOn*LeagueInfo!$F$2),"Starter","Bench"))</f>
        <v>Bench</v>
      </c>
      <c r="G320" s="1">
        <f ca="1">IF(H320&gt;I320,D320,0)</f>
        <v>9.1</v>
      </c>
      <c r="H320" s="1">
        <f ca="1">INDEX(INDIRECT(""&amp;C320&amp;"!A2:A489"),MATCH(B320,INDIRECT(""&amp;C320&amp;"!B2:B489"),0))</f>
        <v>127</v>
      </c>
      <c r="I320" s="1">
        <f>IF(C320="RB",LeagueInfo!$D$4*LeagueInfo!$F$2,LeagueInfo!$D$5*LeagueInfo!$F$2)</f>
        <v>24</v>
      </c>
    </row>
    <row r="321" spans="1:9" x14ac:dyDescent="0.25">
      <c r="A321" s="1">
        <f ca="1">RANK(E321,E$2:E$402)</f>
        <v>297</v>
      </c>
      <c r="B321" s="1" t="s">
        <v>669</v>
      </c>
      <c r="C321" s="1" t="s">
        <v>39</v>
      </c>
      <c r="D321" s="1">
        <f ca="1">INDEX(INDIRECT($C321&amp;"!O:O"),MATCH($B321,INDIRECT($C321&amp;"!B:B"),0))</f>
        <v>8.84</v>
      </c>
      <c r="E321" s="7">
        <f ca="1">D321-LARGE(D$2:D$402,RBCount+WRCount)</f>
        <v>-70.960000000000008</v>
      </c>
      <c r="F321" s="1" t="str">
        <f ca="1">IF(H321&lt;=I321,"Starter",IF(G321&gt;=LARGE(G:G,FlexOn*LeagueInfo!$F$2),"Starter","Bench"))</f>
        <v>Bench</v>
      </c>
      <c r="G321" s="1">
        <f ca="1">IF(H321&gt;I321,D321,0)</f>
        <v>8.84</v>
      </c>
      <c r="H321" s="1">
        <f ca="1">INDEX(INDIRECT(""&amp;C321&amp;"!A2:A489"),MATCH(B321,INDIRECT(""&amp;C321&amp;"!B2:B489"),0))</f>
        <v>170</v>
      </c>
      <c r="I321" s="1">
        <f>IF(C321="RB",LeagueInfo!$D$4*LeagueInfo!$F$2,LeagueInfo!$D$5*LeagueInfo!$F$2)</f>
        <v>24</v>
      </c>
    </row>
    <row r="322" spans="1:9" x14ac:dyDescent="0.25">
      <c r="A322" s="1">
        <f ca="1">RANK(E322,E$2:E$402)</f>
        <v>334</v>
      </c>
      <c r="B322" s="1" t="s">
        <v>644</v>
      </c>
      <c r="C322" s="1" t="s">
        <v>39</v>
      </c>
      <c r="D322" s="1">
        <f ca="1">INDEX(INDIRECT($C322&amp;"!O:O"),MATCH($B322,INDIRECT($C322&amp;"!B:B"),0))</f>
        <v>7.37</v>
      </c>
      <c r="E322" s="7">
        <f ca="1">D322-LARGE(D$2:D$402,RBCount+WRCount)</f>
        <v>-72.430000000000007</v>
      </c>
      <c r="F322" s="1" t="str">
        <f ca="1">IF(H322&lt;=I322,"Starter",IF(G322&gt;=LARGE(G:G,FlexOn*LeagueInfo!$F$2),"Starter","Bench"))</f>
        <v>Bench</v>
      </c>
      <c r="G322" s="1">
        <f ca="1">IF(H322&gt;I322,D322,0)</f>
        <v>7.37</v>
      </c>
      <c r="H322" s="1">
        <f ca="1">INDEX(INDIRECT(""&amp;C322&amp;"!A2:A489"),MATCH(B322,INDIRECT(""&amp;C322&amp;"!B2:B489"),0))</f>
        <v>200</v>
      </c>
      <c r="I322" s="1">
        <f>IF(C322="RB",LeagueInfo!$D$4*LeagueInfo!$F$2,LeagueInfo!$D$5*LeagueInfo!$F$2)</f>
        <v>24</v>
      </c>
    </row>
    <row r="323" spans="1:9" x14ac:dyDescent="0.25">
      <c r="A323" s="1">
        <f ca="1">RANK(E323,E$2:E$402)</f>
        <v>328</v>
      </c>
      <c r="B323" s="1" t="s">
        <v>638</v>
      </c>
      <c r="C323" s="1" t="s">
        <v>39</v>
      </c>
      <c r="D323" s="1">
        <f ca="1">INDEX(INDIRECT($C323&amp;"!O:O"),MATCH($B323,INDIRECT($C323&amp;"!B:B"),0))</f>
        <v>7.61</v>
      </c>
      <c r="E323" s="7">
        <f ca="1">D323-LARGE(D$2:D$402,RBCount+WRCount)</f>
        <v>-72.190000000000012</v>
      </c>
      <c r="F323" s="1" t="str">
        <f ca="1">IF(H323&lt;=I323,"Starter",IF(G323&gt;=LARGE(G:G,FlexOn*LeagueInfo!$F$2),"Starter","Bench"))</f>
        <v>Bench</v>
      </c>
      <c r="G323" s="1">
        <f ca="1">IF(H323&gt;I323,D323,0)</f>
        <v>7.61</v>
      </c>
      <c r="H323" s="1">
        <f ca="1">INDEX(INDIRECT(""&amp;C323&amp;"!A2:A489"),MATCH(B323,INDIRECT(""&amp;C323&amp;"!B2:B489"),0))</f>
        <v>196</v>
      </c>
      <c r="I323" s="1">
        <f>IF(C323="RB",LeagueInfo!$D$4*LeagueInfo!$F$2,LeagueInfo!$D$5*LeagueInfo!$F$2)</f>
        <v>24</v>
      </c>
    </row>
    <row r="324" spans="1:9" x14ac:dyDescent="0.25">
      <c r="A324" s="1">
        <f ca="1">RANK(E324,E$2:E$402)</f>
        <v>339</v>
      </c>
      <c r="B324" s="1" t="s">
        <v>693</v>
      </c>
      <c r="C324" s="1" t="s">
        <v>39</v>
      </c>
      <c r="D324" s="1">
        <f ca="1">INDEX(INDIRECT($C324&amp;"!O:O"),MATCH($B324,INDIRECT($C324&amp;"!B:B"),0))</f>
        <v>7.0700000000000012</v>
      </c>
      <c r="E324" s="7">
        <f ca="1">D324-LARGE(D$2:D$402,RBCount+WRCount)</f>
        <v>-72.73</v>
      </c>
      <c r="F324" s="1" t="str">
        <f ca="1">IF(H324&lt;=I324,"Starter",IF(G324&gt;=LARGE(G:G,FlexOn*LeagueInfo!$F$2),"Starter","Bench"))</f>
        <v>Bench</v>
      </c>
      <c r="G324" s="1">
        <f ca="1">IF(H324&gt;I324,D324,0)</f>
        <v>7.0700000000000012</v>
      </c>
      <c r="H324" s="1">
        <f ca="1">INDEX(INDIRECT(""&amp;C324&amp;"!A2:A489"),MATCH(B324,INDIRECT(""&amp;C324&amp;"!B2:B489"),0))</f>
        <v>202</v>
      </c>
      <c r="I324" s="1">
        <f>IF(C324="RB",LeagueInfo!$D$4*LeagueInfo!$F$2,LeagueInfo!$D$5*LeagueInfo!$F$2)</f>
        <v>24</v>
      </c>
    </row>
    <row r="325" spans="1:9" x14ac:dyDescent="0.25">
      <c r="A325" s="1">
        <f ca="1">RANK(E325,E$2:E$402)</f>
        <v>338</v>
      </c>
      <c r="B325" s="1" t="s">
        <v>512</v>
      </c>
      <c r="C325" s="1" t="s">
        <v>32</v>
      </c>
      <c r="D325" s="1">
        <f ca="1">INDEX(INDIRECT($C325&amp;"!O:O"),MATCH($B325,INDIRECT($C325&amp;"!B:B"),0))</f>
        <v>7.1</v>
      </c>
      <c r="E325" s="7">
        <f ca="1">D325-LARGE(D$2:D$402,RBCount+WRCount)</f>
        <v>-72.700000000000017</v>
      </c>
      <c r="F325" s="1" t="str">
        <f ca="1">IF(H325&lt;=I325,"Starter",IF(G325&gt;=LARGE(G:G,FlexOn*LeagueInfo!$F$2),"Starter","Bench"))</f>
        <v>Bench</v>
      </c>
      <c r="G325" s="1">
        <f ca="1">IF(H325&gt;I325,D325,0)</f>
        <v>7.1</v>
      </c>
      <c r="H325" s="1">
        <f ca="1">INDEX(INDIRECT(""&amp;C325&amp;"!A2:A489"),MATCH(B325,INDIRECT(""&amp;C325&amp;"!B2:B489"),0))</f>
        <v>137</v>
      </c>
      <c r="I325" s="1">
        <f>IF(C325="RB",LeagueInfo!$D$4*LeagueInfo!$F$2,LeagueInfo!$D$5*LeagueInfo!$F$2)</f>
        <v>24</v>
      </c>
    </row>
    <row r="326" spans="1:9" x14ac:dyDescent="0.25">
      <c r="A326" s="1">
        <f ca="1">RANK(E326,E$2:E$402)</f>
        <v>323</v>
      </c>
      <c r="B326" s="1" t="s">
        <v>684</v>
      </c>
      <c r="C326" s="1" t="s">
        <v>39</v>
      </c>
      <c r="D326" s="1">
        <f ca="1">INDEX(INDIRECT($C326&amp;"!O:O"),MATCH($B326,INDIRECT($C326&amp;"!B:B"),0))</f>
        <v>7.7</v>
      </c>
      <c r="E326" s="7">
        <f ca="1">D326-LARGE(D$2:D$402,RBCount+WRCount)</f>
        <v>-72.100000000000009</v>
      </c>
      <c r="F326" s="1" t="str">
        <f ca="1">IF(H326&lt;=I326,"Starter",IF(G326&gt;=LARGE(G:G,FlexOn*LeagueInfo!$F$2),"Starter","Bench"))</f>
        <v>Bench</v>
      </c>
      <c r="G326" s="1">
        <f ca="1">IF(H326&gt;I326,D326,0)</f>
        <v>7.7</v>
      </c>
      <c r="H326" s="1">
        <f ca="1">INDEX(INDIRECT(""&amp;C326&amp;"!A2:A489"),MATCH(B326,INDIRECT(""&amp;C326&amp;"!B2:B489"),0))</f>
        <v>193</v>
      </c>
      <c r="I326" s="1">
        <f>IF(C326="RB",LeagueInfo!$D$4*LeagueInfo!$F$2,LeagueInfo!$D$5*LeagueInfo!$F$2)</f>
        <v>24</v>
      </c>
    </row>
    <row r="327" spans="1:9" x14ac:dyDescent="0.25">
      <c r="A327" s="1">
        <f ca="1">RANK(E327,E$2:E$402)</f>
        <v>331</v>
      </c>
      <c r="B327" s="1" t="s">
        <v>691</v>
      </c>
      <c r="C327" s="1" t="s">
        <v>39</v>
      </c>
      <c r="D327" s="1">
        <f ca="1">INDEX(INDIRECT($C327&amp;"!O:O"),MATCH($B327,INDIRECT($C327&amp;"!B:B"),0))</f>
        <v>7.4</v>
      </c>
      <c r="E327" s="7">
        <f ca="1">D327-LARGE(D$2:D$402,RBCount+WRCount)</f>
        <v>-72.400000000000006</v>
      </c>
      <c r="F327" s="1" t="str">
        <f ca="1">IF(H327&lt;=I327,"Starter",IF(G327&gt;=LARGE(G:G,FlexOn*LeagueInfo!$F$2),"Starter","Bench"))</f>
        <v>Bench</v>
      </c>
      <c r="G327" s="1">
        <f ca="1">IF(H327&gt;I327,D327,0)</f>
        <v>7.4</v>
      </c>
      <c r="H327" s="1">
        <f ca="1">INDEX(INDIRECT(""&amp;C327&amp;"!A2:A489"),MATCH(B327,INDIRECT(""&amp;C327&amp;"!B2:B489"),0))</f>
        <v>198</v>
      </c>
      <c r="I327" s="1">
        <f>IF(C327="RB",LeagueInfo!$D$4*LeagueInfo!$F$2,LeagueInfo!$D$5*LeagueInfo!$F$2)</f>
        <v>24</v>
      </c>
    </row>
    <row r="328" spans="1:9" x14ac:dyDescent="0.25">
      <c r="A328" s="1">
        <f ca="1">RANK(E328,E$2:E$402)</f>
        <v>331</v>
      </c>
      <c r="B328" s="1" t="s">
        <v>692</v>
      </c>
      <c r="C328" s="1" t="s">
        <v>39</v>
      </c>
      <c r="D328" s="1">
        <f ca="1">INDEX(INDIRECT($C328&amp;"!O:O"),MATCH($B328,INDIRECT($C328&amp;"!B:B"),0))</f>
        <v>7.4</v>
      </c>
      <c r="E328" s="7">
        <f ca="1">D328-LARGE(D$2:D$402,RBCount+WRCount)</f>
        <v>-72.400000000000006</v>
      </c>
      <c r="F328" s="1" t="str">
        <f ca="1">IF(H328&lt;=I328,"Starter",IF(G328&gt;=LARGE(G:G,FlexOn*LeagueInfo!$F$2),"Starter","Bench"))</f>
        <v>Bench</v>
      </c>
      <c r="G328" s="1">
        <f ca="1">IF(H328&gt;I328,D328,0)</f>
        <v>7.4</v>
      </c>
      <c r="H328" s="1">
        <f ca="1">INDEX(INDIRECT(""&amp;C328&amp;"!A2:A489"),MATCH(B328,INDIRECT(""&amp;C328&amp;"!B2:B489"),0))</f>
        <v>198</v>
      </c>
      <c r="I328" s="1">
        <f>IF(C328="RB",LeagueInfo!$D$4*LeagueInfo!$F$2,LeagueInfo!$D$5*LeagueInfo!$F$2)</f>
        <v>24</v>
      </c>
    </row>
    <row r="329" spans="1:9" x14ac:dyDescent="0.25">
      <c r="A329" s="1">
        <f ca="1">RANK(E329,E$2:E$402)</f>
        <v>322</v>
      </c>
      <c r="B329" s="1" t="s">
        <v>685</v>
      </c>
      <c r="C329" s="1" t="s">
        <v>39</v>
      </c>
      <c r="D329" s="1">
        <f ca="1">INDEX(INDIRECT($C329&amp;"!O:O"),MATCH($B329,INDIRECT($C329&amp;"!B:B"),0))</f>
        <v>7.7100000000000009</v>
      </c>
      <c r="E329" s="7">
        <f ca="1">D329-LARGE(D$2:D$402,RBCount+WRCount)</f>
        <v>-72.09</v>
      </c>
      <c r="F329" s="1" t="str">
        <f ca="1">IF(H329&lt;=I329,"Starter",IF(G329&gt;=LARGE(G:G,FlexOn*LeagueInfo!$F$2),"Starter","Bench"))</f>
        <v>Bench</v>
      </c>
      <c r="G329" s="1">
        <f ca="1">IF(H329&gt;I329,D329,0)</f>
        <v>7.7100000000000009</v>
      </c>
      <c r="H329" s="1">
        <f ca="1">INDEX(INDIRECT(""&amp;C329&amp;"!A2:A489"),MATCH(B329,INDIRECT(""&amp;C329&amp;"!B2:B489"),0))</f>
        <v>192</v>
      </c>
      <c r="I329" s="1">
        <f>IF(C329="RB",LeagueInfo!$D$4*LeagueInfo!$F$2,LeagueInfo!$D$5*LeagueInfo!$F$2)</f>
        <v>24</v>
      </c>
    </row>
    <row r="330" spans="1:9" x14ac:dyDescent="0.25">
      <c r="A330" s="1">
        <f ca="1">RANK(E330,E$2:E$402)</f>
        <v>330</v>
      </c>
      <c r="B330" s="1" t="s">
        <v>661</v>
      </c>
      <c r="C330" s="1" t="s">
        <v>39</v>
      </c>
      <c r="D330" s="1">
        <f ca="1">INDEX(INDIRECT($C330&amp;"!O:O"),MATCH($B330,INDIRECT($C330&amp;"!B:B"),0))</f>
        <v>7.5000000000000009</v>
      </c>
      <c r="E330" s="7">
        <f ca="1">D330-LARGE(D$2:D$402,RBCount+WRCount)</f>
        <v>-72.300000000000011</v>
      </c>
      <c r="F330" s="1" t="str">
        <f ca="1">IF(H330&lt;=I330,"Starter",IF(G330&gt;=LARGE(G:G,FlexOn*LeagueInfo!$F$2),"Starter","Bench"))</f>
        <v>Bench</v>
      </c>
      <c r="G330" s="1">
        <f ca="1">IF(H330&gt;I330,D330,0)</f>
        <v>7.5000000000000009</v>
      </c>
      <c r="H330" s="1">
        <f ca="1">INDEX(INDIRECT(""&amp;C330&amp;"!A2:A489"),MATCH(B330,INDIRECT(""&amp;C330&amp;"!B2:B489"),0))</f>
        <v>197</v>
      </c>
      <c r="I330" s="1">
        <f>IF(C330="RB",LeagueInfo!$D$4*LeagueInfo!$F$2,LeagueInfo!$D$5*LeagueInfo!$F$2)</f>
        <v>24</v>
      </c>
    </row>
    <row r="331" spans="1:9" x14ac:dyDescent="0.25">
      <c r="A331" s="1">
        <f ca="1">RANK(E331,E$2:E$402)</f>
        <v>323</v>
      </c>
      <c r="B331" s="1" t="s">
        <v>681</v>
      </c>
      <c r="C331" s="1" t="s">
        <v>39</v>
      </c>
      <c r="D331" s="1">
        <f ca="1">INDEX(INDIRECT($C331&amp;"!O:O"),MATCH($B331,INDIRECT($C331&amp;"!B:B"),0))</f>
        <v>7.7</v>
      </c>
      <c r="E331" s="7">
        <f ca="1">D331-LARGE(D$2:D$402,RBCount+WRCount)</f>
        <v>-72.100000000000009</v>
      </c>
      <c r="F331" s="1" t="str">
        <f ca="1">IF(H331&lt;=I331,"Starter",IF(G331&gt;=LARGE(G:G,FlexOn*LeagueInfo!$F$2),"Starter","Bench"))</f>
        <v>Bench</v>
      </c>
      <c r="G331" s="1">
        <f ca="1">IF(H331&gt;I331,D331,0)</f>
        <v>7.7</v>
      </c>
      <c r="H331" s="1">
        <f ca="1">INDEX(INDIRECT(""&amp;C331&amp;"!A2:A489"),MATCH(B331,INDIRECT(""&amp;C331&amp;"!B2:B489"),0))</f>
        <v>193</v>
      </c>
      <c r="I331" s="1">
        <f>IF(C331="RB",LeagueInfo!$D$4*LeagueInfo!$F$2,LeagueInfo!$D$5*LeagueInfo!$F$2)</f>
        <v>24</v>
      </c>
    </row>
    <row r="332" spans="1:9" x14ac:dyDescent="0.25">
      <c r="A332" s="1">
        <f ca="1">RANK(E332,E$2:E$402)</f>
        <v>336</v>
      </c>
      <c r="B332" s="1" t="s">
        <v>696</v>
      </c>
      <c r="C332" s="1" t="s">
        <v>39</v>
      </c>
      <c r="D332" s="1">
        <f ca="1">INDEX(INDIRECT($C332&amp;"!O:O"),MATCH($B332,INDIRECT($C332&amp;"!B:B"),0))</f>
        <v>7.2</v>
      </c>
      <c r="E332" s="7">
        <f ca="1">D332-LARGE(D$2:D$402,RBCount+WRCount)</f>
        <v>-72.600000000000009</v>
      </c>
      <c r="F332" s="1" t="str">
        <f ca="1">IF(H332&lt;=I332,"Starter",IF(G332&gt;=LARGE(G:G,FlexOn*LeagueInfo!$F$2),"Starter","Bench"))</f>
        <v>Bench</v>
      </c>
      <c r="G332" s="1">
        <f ca="1">IF(H332&gt;I332,D332,0)</f>
        <v>7.2</v>
      </c>
      <c r="H332" s="1">
        <f ca="1">INDEX(INDIRECT(""&amp;C332&amp;"!A2:A489"),MATCH(B332,INDIRECT(""&amp;C332&amp;"!B2:B489"),0))</f>
        <v>201</v>
      </c>
      <c r="I332" s="1">
        <f>IF(C332="RB",LeagueInfo!$D$4*LeagueInfo!$F$2,LeagueInfo!$D$5*LeagueInfo!$F$2)</f>
        <v>24</v>
      </c>
    </row>
    <row r="333" spans="1:9" x14ac:dyDescent="0.25">
      <c r="A333" s="1">
        <f ca="1">RANK(E333,E$2:E$402)</f>
        <v>341</v>
      </c>
      <c r="B333" s="1" t="s">
        <v>698</v>
      </c>
      <c r="C333" s="1" t="s">
        <v>39</v>
      </c>
      <c r="D333" s="1">
        <f ca="1">INDEX(INDIRECT($C333&amp;"!O:O"),MATCH($B333,INDIRECT($C333&amp;"!B:B"),0))</f>
        <v>7.03</v>
      </c>
      <c r="E333" s="7">
        <f ca="1">D333-LARGE(D$2:D$402,RBCount+WRCount)</f>
        <v>-72.77000000000001</v>
      </c>
      <c r="F333" s="1" t="str">
        <f ca="1">IF(H333&lt;=I333,"Starter",IF(G333&gt;=LARGE(G:G,FlexOn*LeagueInfo!$F$2),"Starter","Bench"))</f>
        <v>Bench</v>
      </c>
      <c r="G333" s="1">
        <f ca="1">IF(H333&gt;I333,D333,0)</f>
        <v>7.03</v>
      </c>
      <c r="H333" s="1">
        <f ca="1">INDEX(INDIRECT(""&amp;C333&amp;"!A2:A489"),MATCH(B333,INDIRECT(""&amp;C333&amp;"!B2:B489"),0))</f>
        <v>204</v>
      </c>
      <c r="I333" s="1">
        <f>IF(C333="RB",LeagueInfo!$D$4*LeagueInfo!$F$2,LeagueInfo!$D$5*LeagueInfo!$F$2)</f>
        <v>24</v>
      </c>
    </row>
    <row r="334" spans="1:9" x14ac:dyDescent="0.25">
      <c r="A334" s="1">
        <f ca="1">RANK(E334,E$2:E$402)</f>
        <v>326</v>
      </c>
      <c r="B334" s="1" t="s">
        <v>506</v>
      </c>
      <c r="C334" s="1" t="s">
        <v>32</v>
      </c>
      <c r="D334" s="1">
        <f ca="1">INDEX(INDIRECT($C334&amp;"!O:O"),MATCH($B334,INDIRECT($C334&amp;"!B:B"),0))</f>
        <v>7.6300000000000017</v>
      </c>
      <c r="E334" s="7">
        <f ca="1">D334-LARGE(D$2:D$402,RBCount+WRCount)</f>
        <v>-72.170000000000016</v>
      </c>
      <c r="F334" s="1" t="str">
        <f ca="1">IF(H334&lt;=I334,"Starter",IF(G334&gt;=LARGE(G:G,FlexOn*LeagueInfo!$F$2),"Starter","Bench"))</f>
        <v>Bench</v>
      </c>
      <c r="G334" s="1">
        <f ca="1">IF(H334&gt;I334,D334,0)</f>
        <v>7.6300000000000017</v>
      </c>
      <c r="H334" s="1">
        <f ca="1">INDEX(INDIRECT(""&amp;C334&amp;"!A2:A489"),MATCH(B334,INDIRECT(""&amp;C334&amp;"!B2:B489"),0))</f>
        <v>132</v>
      </c>
      <c r="I334" s="1">
        <f>IF(C334="RB",LeagueInfo!$D$4*LeagueInfo!$F$2,LeagueInfo!$D$5*LeagueInfo!$F$2)</f>
        <v>24</v>
      </c>
    </row>
    <row r="335" spans="1:9" x14ac:dyDescent="0.25">
      <c r="A335" s="1">
        <f ca="1">RANK(E335,E$2:E$402)</f>
        <v>309</v>
      </c>
      <c r="B335" s="1" t="s">
        <v>494</v>
      </c>
      <c r="C335" s="1" t="s">
        <v>32</v>
      </c>
      <c r="D335" s="1">
        <f ca="1">INDEX(INDIRECT($C335&amp;"!O:O"),MATCH($B335,INDIRECT($C335&amp;"!B:B"),0))</f>
        <v>8.2800000000000011</v>
      </c>
      <c r="E335" s="7">
        <f ca="1">D335-LARGE(D$2:D$402,RBCount+WRCount)</f>
        <v>-71.52000000000001</v>
      </c>
      <c r="F335" s="1" t="str">
        <f ca="1">IF(H335&lt;=I335,"Starter",IF(G335&gt;=LARGE(G:G,FlexOn*LeagueInfo!$F$2),"Starter","Bench"))</f>
        <v>Bench</v>
      </c>
      <c r="G335" s="1">
        <f ca="1">IF(H335&gt;I335,D335,0)</f>
        <v>8.2800000000000011</v>
      </c>
      <c r="H335" s="1">
        <f ca="1">INDEX(INDIRECT(""&amp;C335&amp;"!A2:A489"),MATCH(B335,INDIRECT(""&amp;C335&amp;"!B2:B489"),0))</f>
        <v>128</v>
      </c>
      <c r="I335" s="1">
        <f>IF(C335="RB",LeagueInfo!$D$4*LeagueInfo!$F$2,LeagueInfo!$D$5*LeagueInfo!$F$2)</f>
        <v>24</v>
      </c>
    </row>
    <row r="336" spans="1:9" x14ac:dyDescent="0.25">
      <c r="A336" s="1">
        <f ca="1">RANK(E336,E$2:E$402)</f>
        <v>345</v>
      </c>
      <c r="B336" s="1" t="s">
        <v>511</v>
      </c>
      <c r="C336" s="1" t="s">
        <v>32</v>
      </c>
      <c r="D336" s="1">
        <f ca="1">INDEX(INDIRECT($C336&amp;"!O:O"),MATCH($B336,INDIRECT($C336&amp;"!B:B"),0))</f>
        <v>6.9500000000000011</v>
      </c>
      <c r="E336" s="7">
        <f ca="1">D336-LARGE(D$2:D$402,RBCount+WRCount)</f>
        <v>-72.850000000000009</v>
      </c>
      <c r="F336" s="1" t="str">
        <f ca="1">IF(H336&lt;=I336,"Starter",IF(G336&gt;=LARGE(G:G,FlexOn*LeagueInfo!$F$2),"Starter","Bench"))</f>
        <v>Bench</v>
      </c>
      <c r="G336" s="1">
        <f ca="1">IF(H336&gt;I336,D336,0)</f>
        <v>6.9500000000000011</v>
      </c>
      <c r="H336" s="1">
        <f ca="1">INDEX(INDIRECT(""&amp;C336&amp;"!A2:A489"),MATCH(B336,INDIRECT(""&amp;C336&amp;"!B2:B489"),0))</f>
        <v>139</v>
      </c>
      <c r="I336" s="1">
        <f>IF(C336="RB",LeagueInfo!$D$4*LeagueInfo!$F$2,LeagueInfo!$D$5*LeagueInfo!$F$2)</f>
        <v>24</v>
      </c>
    </row>
    <row r="337" spans="1:9" x14ac:dyDescent="0.25">
      <c r="A337" s="1">
        <f ca="1">RANK(E337,E$2:E$402)</f>
        <v>340</v>
      </c>
      <c r="B337" s="1" t="s">
        <v>697</v>
      </c>
      <c r="C337" s="1" t="s">
        <v>39</v>
      </c>
      <c r="D337" s="1">
        <f ca="1">INDEX(INDIRECT($C337&amp;"!O:O"),MATCH($B337,INDIRECT($C337&amp;"!B:B"),0))</f>
        <v>7.05</v>
      </c>
      <c r="E337" s="7">
        <f ca="1">D337-LARGE(D$2:D$402,RBCount+WRCount)</f>
        <v>-72.750000000000014</v>
      </c>
      <c r="F337" s="1" t="str">
        <f ca="1">IF(H337&lt;=I337,"Starter",IF(G337&gt;=LARGE(G:G,FlexOn*LeagueInfo!$F$2),"Starter","Bench"))</f>
        <v>Bench</v>
      </c>
      <c r="G337" s="1">
        <f ca="1">IF(H337&gt;I337,D337,0)</f>
        <v>7.05</v>
      </c>
      <c r="H337" s="1">
        <f ca="1">INDEX(INDIRECT(""&amp;C337&amp;"!A2:A489"),MATCH(B337,INDIRECT(""&amp;C337&amp;"!B2:B489"),0))</f>
        <v>203</v>
      </c>
      <c r="I337" s="1">
        <f>IF(C337="RB",LeagueInfo!$D$4*LeagueInfo!$F$2,LeagueInfo!$D$5*LeagueInfo!$F$2)</f>
        <v>24</v>
      </c>
    </row>
    <row r="338" spans="1:9" x14ac:dyDescent="0.25">
      <c r="A338" s="1">
        <f ca="1">RANK(E338,E$2:E$402)</f>
        <v>344</v>
      </c>
      <c r="B338" s="1" t="s">
        <v>663</v>
      </c>
      <c r="C338" s="1" t="s">
        <v>39</v>
      </c>
      <c r="D338" s="1">
        <f ca="1">INDEX(INDIRECT($C338&amp;"!O:O"),MATCH($B338,INDIRECT($C338&amp;"!B:B"),0))</f>
        <v>6.9799999999999995</v>
      </c>
      <c r="E338" s="7">
        <f ca="1">D338-LARGE(D$2:D$402,RBCount+WRCount)</f>
        <v>-72.820000000000007</v>
      </c>
      <c r="F338" s="1" t="str">
        <f ca="1">IF(H338&lt;=I338,"Starter",IF(G338&gt;=LARGE(G:G,FlexOn*LeagueInfo!$F$2),"Starter","Bench"))</f>
        <v>Bench</v>
      </c>
      <c r="G338" s="1">
        <f ca="1">IF(H338&gt;I338,D338,0)</f>
        <v>6.9799999999999995</v>
      </c>
      <c r="H338" s="1">
        <f ca="1">INDEX(INDIRECT(""&amp;C338&amp;"!A2:A489"),MATCH(B338,INDIRECT(""&amp;C338&amp;"!B2:B489"),0))</f>
        <v>206</v>
      </c>
      <c r="I338" s="1">
        <f>IF(C338="RB",LeagueInfo!$D$4*LeagueInfo!$F$2,LeagueInfo!$D$5*LeagueInfo!$F$2)</f>
        <v>24</v>
      </c>
    </row>
    <row r="339" spans="1:9" x14ac:dyDescent="0.25">
      <c r="A339" s="1">
        <f ca="1">RANK(E339,E$2:E$402)</f>
        <v>346</v>
      </c>
      <c r="B339" s="1" t="s">
        <v>703</v>
      </c>
      <c r="C339" s="1" t="s">
        <v>39</v>
      </c>
      <c r="D339" s="1">
        <f ca="1">INDEX(INDIRECT($C339&amp;"!O:O"),MATCH($B339,INDIRECT($C339&amp;"!B:B"),0))</f>
        <v>6.83</v>
      </c>
      <c r="E339" s="7">
        <f ca="1">D339-LARGE(D$2:D$402,RBCount+WRCount)</f>
        <v>-72.970000000000013</v>
      </c>
      <c r="F339" s="1" t="str">
        <f ca="1">IF(H339&lt;=I339,"Starter",IF(G339&gt;=LARGE(G:G,FlexOn*LeagueInfo!$F$2),"Starter","Bench"))</f>
        <v>Bench</v>
      </c>
      <c r="G339" s="1">
        <f ca="1">IF(H339&gt;I339,D339,0)</f>
        <v>6.83</v>
      </c>
      <c r="H339" s="1">
        <f ca="1">INDEX(INDIRECT(""&amp;C339&amp;"!A2:A489"),MATCH(B339,INDIRECT(""&amp;C339&amp;"!B2:B489"),0))</f>
        <v>207</v>
      </c>
      <c r="I339" s="1">
        <f>IF(C339="RB",LeagueInfo!$D$4*LeagueInfo!$F$2,LeagueInfo!$D$5*LeagueInfo!$F$2)</f>
        <v>24</v>
      </c>
    </row>
    <row r="340" spans="1:9" x14ac:dyDescent="0.25">
      <c r="A340" s="1">
        <f ca="1">RANK(E340,E$2:E$402)</f>
        <v>348</v>
      </c>
      <c r="B340" s="1" t="s">
        <v>645</v>
      </c>
      <c r="C340" s="1" t="s">
        <v>39</v>
      </c>
      <c r="D340" s="1">
        <f ca="1">INDEX(INDIRECT($C340&amp;"!O:O"),MATCH($B340,INDIRECT($C340&amp;"!B:B"),0))</f>
        <v>6.7700000000000014</v>
      </c>
      <c r="E340" s="7">
        <f ca="1">D340-LARGE(D$2:D$402,RBCount+WRCount)</f>
        <v>-73.030000000000015</v>
      </c>
      <c r="F340" s="1" t="str">
        <f ca="1">IF(H340&lt;=I340,"Starter",IF(G340&gt;=LARGE(G:G,FlexOn*LeagueInfo!$F$2),"Starter","Bench"))</f>
        <v>Bench</v>
      </c>
      <c r="G340" s="1">
        <f ca="1">IF(H340&gt;I340,D340,0)</f>
        <v>6.7700000000000014</v>
      </c>
      <c r="H340" s="1">
        <f ca="1">INDEX(INDIRECT(""&amp;C340&amp;"!A2:A489"),MATCH(B340,INDIRECT(""&amp;C340&amp;"!B2:B489"),0))</f>
        <v>208</v>
      </c>
      <c r="I340" s="1">
        <f>IF(C340="RB",LeagueInfo!$D$4*LeagueInfo!$F$2,LeagueInfo!$D$5*LeagueInfo!$F$2)</f>
        <v>24</v>
      </c>
    </row>
    <row r="341" spans="1:9" x14ac:dyDescent="0.25">
      <c r="A341" s="1">
        <f ca="1">RANK(E341,E$2:E$402)</f>
        <v>331</v>
      </c>
      <c r="B341" s="1" t="s">
        <v>923</v>
      </c>
      <c r="C341" s="1" t="s">
        <v>32</v>
      </c>
      <c r="D341" s="1">
        <f ca="1">INDEX(INDIRECT($C341&amp;"!O:O"),MATCH($B341,INDIRECT($C341&amp;"!B:B"),0))</f>
        <v>7.4</v>
      </c>
      <c r="E341" s="7">
        <f ca="1">D341-LARGE(D$2:D$402,RBCount+WRCount)</f>
        <v>-72.400000000000006</v>
      </c>
      <c r="F341" s="1" t="str">
        <f ca="1">IF(H341&lt;=I341,"Starter",IF(G341&gt;=LARGE(G:G,FlexOn*LeagueInfo!$F$2),"Starter","Bench"))</f>
        <v>Bench</v>
      </c>
      <c r="G341" s="1">
        <f ca="1">IF(H341&gt;I341,D341,0)</f>
        <v>7.4</v>
      </c>
      <c r="H341" s="1">
        <f ca="1">INDEX(INDIRECT(""&amp;C341&amp;"!A2:A489"),MATCH(B341,INDIRECT(""&amp;C341&amp;"!B2:B489"),0))</f>
        <v>134</v>
      </c>
      <c r="I341" s="1">
        <f>IF(C341="RB",LeagueInfo!$D$4*LeagueInfo!$F$2,LeagueInfo!$D$5*LeagueInfo!$F$2)</f>
        <v>24</v>
      </c>
    </row>
    <row r="342" spans="1:9" x14ac:dyDescent="0.25">
      <c r="A342" s="1">
        <f ca="1">RANK(E342,E$2:E$402)</f>
        <v>341</v>
      </c>
      <c r="B342" s="1" t="s">
        <v>688</v>
      </c>
      <c r="C342" s="1" t="s">
        <v>39</v>
      </c>
      <c r="D342" s="1">
        <f ca="1">INDEX(INDIRECT($C342&amp;"!O:O"),MATCH($B342,INDIRECT($C342&amp;"!B:B"),0))</f>
        <v>7.03</v>
      </c>
      <c r="E342" s="7">
        <f ca="1">D342-LARGE(D$2:D$402,RBCount+WRCount)</f>
        <v>-72.77000000000001</v>
      </c>
      <c r="F342" s="1" t="str">
        <f ca="1">IF(H342&lt;=I342,"Starter",IF(G342&gt;=LARGE(G:G,FlexOn*LeagueInfo!$F$2),"Starter","Bench"))</f>
        <v>Bench</v>
      </c>
      <c r="G342" s="1">
        <f ca="1">IF(H342&gt;I342,D342,0)</f>
        <v>7.03</v>
      </c>
      <c r="H342" s="1">
        <f ca="1">INDEX(INDIRECT(""&amp;C342&amp;"!A2:A489"),MATCH(B342,INDIRECT(""&amp;C342&amp;"!B2:B489"),0))</f>
        <v>204</v>
      </c>
      <c r="I342" s="1">
        <f>IF(C342="RB",LeagueInfo!$D$4*LeagueInfo!$F$2,LeagueInfo!$D$5*LeagueInfo!$F$2)</f>
        <v>24</v>
      </c>
    </row>
    <row r="343" spans="1:9" x14ac:dyDescent="0.25">
      <c r="A343" s="1">
        <f ca="1">RANK(E343,E$2:E$402)</f>
        <v>351</v>
      </c>
      <c r="B343" s="1" t="s">
        <v>705</v>
      </c>
      <c r="C343" s="1" t="s">
        <v>39</v>
      </c>
      <c r="D343" s="1">
        <f ca="1">INDEX(INDIRECT($C343&amp;"!O:O"),MATCH($B343,INDIRECT($C343&amp;"!B:B"),0))</f>
        <v>6.7100000000000009</v>
      </c>
      <c r="E343" s="7">
        <f ca="1">D343-LARGE(D$2:D$402,RBCount+WRCount)</f>
        <v>-73.09</v>
      </c>
      <c r="F343" s="1" t="str">
        <f ca="1">IF(H343&lt;=I343,"Starter",IF(G343&gt;=LARGE(G:G,FlexOn*LeagueInfo!$F$2),"Starter","Bench"))</f>
        <v>Bench</v>
      </c>
      <c r="G343" s="1">
        <f ca="1">IF(H343&gt;I343,D343,0)</f>
        <v>6.7100000000000009</v>
      </c>
      <c r="H343" s="1">
        <f ca="1">INDEX(INDIRECT(""&amp;C343&amp;"!A2:A489"),MATCH(B343,INDIRECT(""&amp;C343&amp;"!B2:B489"),0))</f>
        <v>209</v>
      </c>
      <c r="I343" s="1">
        <f>IF(C343="RB",LeagueInfo!$D$4*LeagueInfo!$F$2,LeagueInfo!$D$5*LeagueInfo!$F$2)</f>
        <v>24</v>
      </c>
    </row>
    <row r="344" spans="1:9" x14ac:dyDescent="0.25">
      <c r="A344" s="1">
        <f ca="1">RANK(E344,E$2:E$402)</f>
        <v>325</v>
      </c>
      <c r="B344" s="1" t="s">
        <v>544</v>
      </c>
      <c r="C344" s="1" t="s">
        <v>32</v>
      </c>
      <c r="D344" s="1">
        <f ca="1">INDEX(INDIRECT($C344&amp;"!O:O"),MATCH($B344,INDIRECT($C344&amp;"!B:B"),0))</f>
        <v>7.65</v>
      </c>
      <c r="E344" s="7">
        <f ca="1">D344-LARGE(D$2:D$402,RBCount+WRCount)</f>
        <v>-72.150000000000006</v>
      </c>
      <c r="F344" s="1" t="str">
        <f ca="1">IF(H344&lt;=I344,"Starter",IF(G344&gt;=LARGE(G:G,FlexOn*LeagueInfo!$F$2),"Starter","Bench"))</f>
        <v>Bench</v>
      </c>
      <c r="G344" s="1">
        <f ca="1">IF(H344&gt;I344,D344,0)</f>
        <v>7.65</v>
      </c>
      <c r="H344" s="1">
        <f ca="1">INDEX(INDIRECT(""&amp;C344&amp;"!A2:A489"),MATCH(B344,INDIRECT(""&amp;C344&amp;"!B2:B489"),0))</f>
        <v>131</v>
      </c>
      <c r="I344" s="1">
        <f>IF(C344="RB",LeagueInfo!$D$4*LeagueInfo!$F$2,LeagueInfo!$D$5*LeagueInfo!$F$2)</f>
        <v>24</v>
      </c>
    </row>
    <row r="345" spans="1:9" x14ac:dyDescent="0.25">
      <c r="A345" s="1">
        <f ca="1">RANK(E345,E$2:E$402)</f>
        <v>353</v>
      </c>
      <c r="B345" s="1" t="s">
        <v>650</v>
      </c>
      <c r="C345" s="1" t="s">
        <v>39</v>
      </c>
      <c r="D345" s="1">
        <f ca="1">INDEX(INDIRECT($C345&amp;"!O:O"),MATCH($B345,INDIRECT($C345&amp;"!B:B"),0))</f>
        <v>6.4300000000000006</v>
      </c>
      <c r="E345" s="7">
        <f ca="1">D345-LARGE(D$2:D$402,RBCount+WRCount)</f>
        <v>-73.37</v>
      </c>
      <c r="F345" s="1" t="str">
        <f ca="1">IF(H345&lt;=I345,"Starter",IF(G345&gt;=LARGE(G:G,FlexOn*LeagueInfo!$F$2),"Starter","Bench"))</f>
        <v>Bench</v>
      </c>
      <c r="G345" s="1">
        <f ca="1">IF(H345&gt;I345,D345,0)</f>
        <v>6.4300000000000006</v>
      </c>
      <c r="H345" s="1">
        <f ca="1">INDEX(INDIRECT(""&amp;C345&amp;"!A2:A489"),MATCH(B345,INDIRECT(""&amp;C345&amp;"!B2:B489"),0))</f>
        <v>210</v>
      </c>
      <c r="I345" s="1">
        <f>IF(C345="RB",LeagueInfo!$D$4*LeagueInfo!$F$2,LeagueInfo!$D$5*LeagueInfo!$F$2)</f>
        <v>24</v>
      </c>
    </row>
    <row r="346" spans="1:9" x14ac:dyDescent="0.25">
      <c r="A346" s="1">
        <f ca="1">RANK(E346,E$2:E$402)</f>
        <v>343</v>
      </c>
      <c r="B346" s="1" t="s">
        <v>540</v>
      </c>
      <c r="C346" s="1" t="s">
        <v>32</v>
      </c>
      <c r="D346" s="1">
        <f ca="1">INDEX(INDIRECT($C346&amp;"!O:O"),MATCH($B346,INDIRECT($C346&amp;"!B:B"),0))</f>
        <v>7.02</v>
      </c>
      <c r="E346" s="7">
        <f ca="1">D346-LARGE(D$2:D$402,RBCount+WRCount)</f>
        <v>-72.780000000000015</v>
      </c>
      <c r="F346" s="1" t="str">
        <f ca="1">IF(H346&lt;=I346,"Starter",IF(G346&gt;=LARGE(G:G,FlexOn*LeagueInfo!$F$2),"Starter","Bench"))</f>
        <v>Bench</v>
      </c>
      <c r="G346" s="1">
        <f ca="1">IF(H346&gt;I346,D346,0)</f>
        <v>7.02</v>
      </c>
      <c r="H346" s="1">
        <f ca="1">INDEX(INDIRECT(""&amp;C346&amp;"!A2:A489"),MATCH(B346,INDIRECT(""&amp;C346&amp;"!B2:B489"),0))</f>
        <v>138</v>
      </c>
      <c r="I346" s="1">
        <f>IF(C346="RB",LeagueInfo!$D$4*LeagueInfo!$F$2,LeagueInfo!$D$5*LeagueInfo!$F$2)</f>
        <v>24</v>
      </c>
    </row>
    <row r="347" spans="1:9" x14ac:dyDescent="0.25">
      <c r="A347" s="1">
        <f ca="1">RANK(E347,E$2:E$402)</f>
        <v>317</v>
      </c>
      <c r="B347" s="1" t="s">
        <v>504</v>
      </c>
      <c r="C347" s="1" t="s">
        <v>32</v>
      </c>
      <c r="D347" s="1">
        <f ca="1">INDEX(INDIRECT($C347&amp;"!O:O"),MATCH($B347,INDIRECT($C347&amp;"!B:B"),0))</f>
        <v>7.8999999999999995</v>
      </c>
      <c r="E347" s="7">
        <f ca="1">D347-LARGE(D$2:D$402,RBCount+WRCount)</f>
        <v>-71.900000000000006</v>
      </c>
      <c r="F347" s="1" t="str">
        <f ca="1">IF(H347&lt;=I347,"Starter",IF(G347&gt;=LARGE(G:G,FlexOn*LeagueInfo!$F$2),"Starter","Bench"))</f>
        <v>Bench</v>
      </c>
      <c r="G347" s="1">
        <f ca="1">IF(H347&gt;I347,D347,0)</f>
        <v>7.8999999999999995</v>
      </c>
      <c r="H347" s="1">
        <f ca="1">INDEX(INDIRECT(""&amp;C347&amp;"!A2:A489"),MATCH(B347,INDIRECT(""&amp;C347&amp;"!B2:B489"),0))</f>
        <v>130</v>
      </c>
      <c r="I347" s="1">
        <f>IF(C347="RB",LeagueInfo!$D$4*LeagueInfo!$F$2,LeagueInfo!$D$5*LeagueInfo!$F$2)</f>
        <v>24</v>
      </c>
    </row>
    <row r="348" spans="1:9" x14ac:dyDescent="0.25">
      <c r="A348" s="1">
        <f ca="1">RANK(E348,E$2:E$402)</f>
        <v>315</v>
      </c>
      <c r="B348" s="1" t="s">
        <v>503</v>
      </c>
      <c r="C348" s="1" t="s">
        <v>32</v>
      </c>
      <c r="D348" s="1">
        <f ca="1">INDEX(INDIRECT($C348&amp;"!O:O"),MATCH($B348,INDIRECT($C348&amp;"!B:B"),0))</f>
        <v>8.06</v>
      </c>
      <c r="E348" s="7">
        <f ca="1">D348-LARGE(D$2:D$402,RBCount+WRCount)</f>
        <v>-71.740000000000009</v>
      </c>
      <c r="F348" s="1" t="str">
        <f ca="1">IF(H348&lt;=I348,"Starter",IF(G348&gt;=LARGE(G:G,FlexOn*LeagueInfo!$F$2),"Starter","Bench"))</f>
        <v>Bench</v>
      </c>
      <c r="G348" s="1">
        <f ca="1">IF(H348&gt;I348,D348,0)</f>
        <v>8.06</v>
      </c>
      <c r="H348" s="1">
        <f ca="1">INDEX(INDIRECT(""&amp;C348&amp;"!A2:A489"),MATCH(B348,INDIRECT(""&amp;C348&amp;"!B2:B489"),0))</f>
        <v>129</v>
      </c>
      <c r="I348" s="1">
        <f>IF(C348="RB",LeagueInfo!$D$4*LeagueInfo!$F$2,LeagueInfo!$D$5*LeagueInfo!$F$2)</f>
        <v>24</v>
      </c>
    </row>
    <row r="349" spans="1:9" x14ac:dyDescent="0.25">
      <c r="A349" s="1">
        <f ca="1">RANK(E349,E$2:E$402)</f>
        <v>329</v>
      </c>
      <c r="B349" s="1" t="s">
        <v>508</v>
      </c>
      <c r="C349" s="1" t="s">
        <v>32</v>
      </c>
      <c r="D349" s="1">
        <f ca="1">INDEX(INDIRECT($C349&amp;"!O:O"),MATCH($B349,INDIRECT($C349&amp;"!B:B"),0))</f>
        <v>7.5400000000000009</v>
      </c>
      <c r="E349" s="7">
        <f ca="1">D349-LARGE(D$2:D$402,RBCount+WRCount)</f>
        <v>-72.260000000000005</v>
      </c>
      <c r="F349" s="1" t="str">
        <f ca="1">IF(H349&lt;=I349,"Starter",IF(G349&gt;=LARGE(G:G,FlexOn*LeagueInfo!$F$2),"Starter","Bench"))</f>
        <v>Bench</v>
      </c>
      <c r="G349" s="1">
        <f ca="1">IF(H349&gt;I349,D349,0)</f>
        <v>7.5400000000000009</v>
      </c>
      <c r="H349" s="1">
        <f ca="1">INDEX(INDIRECT(""&amp;C349&amp;"!A2:A489"),MATCH(B349,INDIRECT(""&amp;C349&amp;"!B2:B489"),0))</f>
        <v>133</v>
      </c>
      <c r="I349" s="1">
        <f>IF(C349="RB",LeagueInfo!$D$4*LeagueInfo!$F$2,LeagueInfo!$D$5*LeagueInfo!$F$2)</f>
        <v>24</v>
      </c>
    </row>
    <row r="350" spans="1:9" x14ac:dyDescent="0.25">
      <c r="A350" s="1">
        <f ca="1">RANK(E350,E$2:E$402)</f>
        <v>363</v>
      </c>
      <c r="B350" s="1" t="s">
        <v>702</v>
      </c>
      <c r="C350" s="1" t="s">
        <v>39</v>
      </c>
      <c r="D350" s="1">
        <f ca="1">INDEX(INDIRECT($C350&amp;"!O:O"),MATCH($B350,INDIRECT($C350&amp;"!B:B"),0))</f>
        <v>5.7799999999999994</v>
      </c>
      <c r="E350" s="7">
        <f ca="1">D350-LARGE(D$2:D$402,RBCount+WRCount)</f>
        <v>-74.02000000000001</v>
      </c>
      <c r="F350" s="1" t="str">
        <f ca="1">IF(H350&lt;=I350,"Starter",IF(G350&gt;=LARGE(G:G,FlexOn*LeagueInfo!$F$2),"Starter","Bench"))</f>
        <v>Bench</v>
      </c>
      <c r="G350" s="1">
        <f ca="1">IF(H350&gt;I350,D350,0)</f>
        <v>5.7799999999999994</v>
      </c>
      <c r="H350" s="1">
        <f ca="1">INDEX(INDIRECT(""&amp;C350&amp;"!A2:A489"),MATCH(B350,INDIRECT(""&amp;C350&amp;"!B2:B489"),0))</f>
        <v>217</v>
      </c>
      <c r="I350" s="1">
        <f>IF(C350="RB",LeagueInfo!$D$4*LeagueInfo!$F$2,LeagueInfo!$D$5*LeagueInfo!$F$2)</f>
        <v>24</v>
      </c>
    </row>
    <row r="351" spans="1:9" x14ac:dyDescent="0.25">
      <c r="A351" s="1">
        <f ca="1">RANK(E351,E$2:E$402)</f>
        <v>352</v>
      </c>
      <c r="B351" s="1" t="s">
        <v>514</v>
      </c>
      <c r="C351" s="1" t="s">
        <v>32</v>
      </c>
      <c r="D351" s="1">
        <f ca="1">INDEX(INDIRECT($C351&amp;"!O:O"),MATCH($B351,INDIRECT($C351&amp;"!B:B"),0))</f>
        <v>6.65</v>
      </c>
      <c r="E351" s="7">
        <f ca="1">D351-LARGE(D$2:D$402,RBCount+WRCount)</f>
        <v>-73.150000000000006</v>
      </c>
      <c r="F351" s="1" t="str">
        <f ca="1">IF(H351&lt;=I351,"Starter",IF(G351&gt;=LARGE(G:G,FlexOn*LeagueInfo!$F$2),"Starter","Bench"))</f>
        <v>Bench</v>
      </c>
      <c r="G351" s="1">
        <f ca="1">IF(H351&gt;I351,D351,0)</f>
        <v>6.65</v>
      </c>
      <c r="H351" s="1">
        <f ca="1">INDEX(INDIRECT(""&amp;C351&amp;"!A2:A489"),MATCH(B351,INDIRECT(""&amp;C351&amp;"!B2:B489"),0))</f>
        <v>143</v>
      </c>
      <c r="I351" s="1">
        <f>IF(C351="RB",LeagueInfo!$D$4*LeagueInfo!$F$2,LeagueInfo!$D$5*LeagueInfo!$F$2)</f>
        <v>24</v>
      </c>
    </row>
    <row r="352" spans="1:9" x14ac:dyDescent="0.25">
      <c r="A352" s="1">
        <f ca="1">RANK(E352,E$2:E$402)</f>
        <v>355</v>
      </c>
      <c r="B352" s="1" t="s">
        <v>637</v>
      </c>
      <c r="C352" s="1" t="s">
        <v>39</v>
      </c>
      <c r="D352" s="1">
        <f ca="1">INDEX(INDIRECT($C352&amp;"!O:O"),MATCH($B352,INDIRECT($C352&amp;"!B:B"),0))</f>
        <v>6.3999999999999995</v>
      </c>
      <c r="E352" s="7">
        <f ca="1">D352-LARGE(D$2:D$402,RBCount+WRCount)</f>
        <v>-73.400000000000006</v>
      </c>
      <c r="F352" s="1" t="str">
        <f ca="1">IF(H352&lt;=I352,"Starter",IF(G352&gt;=LARGE(G:G,FlexOn*LeagueInfo!$F$2),"Starter","Bench"))</f>
        <v>Bench</v>
      </c>
      <c r="G352" s="1">
        <f ca="1">IF(H352&gt;I352,D352,0)</f>
        <v>6.3999999999999995</v>
      </c>
      <c r="H352" s="1">
        <f ca="1">INDEX(INDIRECT(""&amp;C352&amp;"!A2:A489"),MATCH(B352,INDIRECT(""&amp;C352&amp;"!B2:B489"),0))</f>
        <v>211</v>
      </c>
      <c r="I352" s="1">
        <f>IF(C352="RB",LeagueInfo!$D$4*LeagueInfo!$F$2,LeagueInfo!$D$5*LeagueInfo!$F$2)</f>
        <v>24</v>
      </c>
    </row>
    <row r="353" spans="1:9" x14ac:dyDescent="0.25">
      <c r="A353" s="1">
        <f ca="1">RANK(E353,E$2:E$402)</f>
        <v>356</v>
      </c>
      <c r="B353" s="1" t="s">
        <v>700</v>
      </c>
      <c r="C353" s="1" t="s">
        <v>39</v>
      </c>
      <c r="D353" s="1">
        <f ca="1">INDEX(INDIRECT($C353&amp;"!O:O"),MATCH($B353,INDIRECT($C353&amp;"!B:B"),0))</f>
        <v>6.24</v>
      </c>
      <c r="E353" s="7">
        <f ca="1">D353-LARGE(D$2:D$402,RBCount+WRCount)</f>
        <v>-73.560000000000016</v>
      </c>
      <c r="F353" s="1" t="str">
        <f ca="1">IF(H353&lt;=I353,"Starter",IF(G353&gt;=LARGE(G:G,FlexOn*LeagueInfo!$F$2),"Starter","Bench"))</f>
        <v>Bench</v>
      </c>
      <c r="G353" s="1">
        <f ca="1">IF(H353&gt;I353,D353,0)</f>
        <v>6.24</v>
      </c>
      <c r="H353" s="1">
        <f ca="1">INDEX(INDIRECT(""&amp;C353&amp;"!A2:A489"),MATCH(B353,INDIRECT(""&amp;C353&amp;"!B2:B489"),0))</f>
        <v>212</v>
      </c>
      <c r="I353" s="1">
        <f>IF(C353="RB",LeagueInfo!$D$4*LeagueInfo!$F$2,LeagueInfo!$D$5*LeagueInfo!$F$2)</f>
        <v>24</v>
      </c>
    </row>
    <row r="354" spans="1:9" x14ac:dyDescent="0.25">
      <c r="A354" s="1">
        <f ca="1">RANK(E354,E$2:E$402)</f>
        <v>335</v>
      </c>
      <c r="B354" s="1" t="s">
        <v>510</v>
      </c>
      <c r="C354" s="1" t="s">
        <v>32</v>
      </c>
      <c r="D354" s="1">
        <f ca="1">INDEX(INDIRECT($C354&amp;"!O:O"),MATCH($B354,INDIRECT($C354&amp;"!B:B"),0))</f>
        <v>7.33</v>
      </c>
      <c r="E354" s="7">
        <f ca="1">D354-LARGE(D$2:D$402,RBCount+WRCount)</f>
        <v>-72.470000000000013</v>
      </c>
      <c r="F354" s="1" t="str">
        <f ca="1">IF(H354&lt;=I354,"Starter",IF(G354&gt;=LARGE(G:G,FlexOn*LeagueInfo!$F$2),"Starter","Bench"))</f>
        <v>Bench</v>
      </c>
      <c r="G354" s="1">
        <f ca="1">IF(H354&gt;I354,D354,0)</f>
        <v>7.33</v>
      </c>
      <c r="H354" s="1">
        <f ca="1">INDEX(INDIRECT(""&amp;C354&amp;"!A2:A489"),MATCH(B354,INDIRECT(""&amp;C354&amp;"!B2:B489"),0))</f>
        <v>135</v>
      </c>
      <c r="I354" s="1">
        <f>IF(C354="RB",LeagueInfo!$D$4*LeagueInfo!$F$2,LeagueInfo!$D$5*LeagueInfo!$F$2)</f>
        <v>24</v>
      </c>
    </row>
    <row r="355" spans="1:9" x14ac:dyDescent="0.25">
      <c r="A355" s="1">
        <f ca="1">RANK(E355,E$2:E$402)</f>
        <v>350</v>
      </c>
      <c r="B355" s="1" t="s">
        <v>543</v>
      </c>
      <c r="C355" s="1" t="s">
        <v>32</v>
      </c>
      <c r="D355" s="1">
        <f ca="1">INDEX(INDIRECT($C355&amp;"!O:O"),MATCH($B355,INDIRECT($C355&amp;"!B:B"),0))</f>
        <v>6.7200000000000006</v>
      </c>
      <c r="E355" s="7">
        <f ca="1">D355-LARGE(D$2:D$402,RBCount+WRCount)</f>
        <v>-73.080000000000013</v>
      </c>
      <c r="F355" s="1" t="str">
        <f ca="1">IF(H355&lt;=I355,"Starter",IF(G355&gt;=LARGE(G:G,FlexOn*LeagueInfo!$F$2),"Starter","Bench"))</f>
        <v>Bench</v>
      </c>
      <c r="G355" s="1">
        <f ca="1">IF(H355&gt;I355,D355,0)</f>
        <v>6.7200000000000006</v>
      </c>
      <c r="H355" s="1">
        <f ca="1">INDEX(INDIRECT(""&amp;C355&amp;"!A2:A489"),MATCH(B355,INDIRECT(""&amp;C355&amp;"!B2:B489"),0))</f>
        <v>142</v>
      </c>
      <c r="I355" s="1">
        <f>IF(C355="RB",LeagueInfo!$D$4*LeagueInfo!$F$2,LeagueInfo!$D$5*LeagueInfo!$F$2)</f>
        <v>24</v>
      </c>
    </row>
    <row r="356" spans="1:9" x14ac:dyDescent="0.25">
      <c r="A356" s="1">
        <f ca="1">RANK(E356,E$2:E$402)</f>
        <v>359</v>
      </c>
      <c r="B356" s="1" t="s">
        <v>622</v>
      </c>
      <c r="C356" s="1" t="s">
        <v>39</v>
      </c>
      <c r="D356" s="1">
        <f ca="1">INDEX(INDIRECT($C356&amp;"!O:O"),MATCH($B356,INDIRECT($C356&amp;"!B:B"),0))</f>
        <v>6.0700000000000012</v>
      </c>
      <c r="E356" s="7">
        <f ca="1">D356-LARGE(D$2:D$402,RBCount+WRCount)</f>
        <v>-73.73</v>
      </c>
      <c r="F356" s="1" t="str">
        <f ca="1">IF(H356&lt;=I356,"Starter",IF(G356&gt;=LARGE(G:G,FlexOn*LeagueInfo!$F$2),"Starter","Bench"))</f>
        <v>Bench</v>
      </c>
      <c r="G356" s="1">
        <f ca="1">IF(H356&gt;I356,D356,0)</f>
        <v>6.0700000000000012</v>
      </c>
      <c r="H356" s="1">
        <f ca="1">INDEX(INDIRECT(""&amp;C356&amp;"!A2:A489"),MATCH(B356,INDIRECT(""&amp;C356&amp;"!B2:B489"),0))</f>
        <v>214</v>
      </c>
      <c r="I356" s="1">
        <f>IF(C356="RB",LeagueInfo!$D$4*LeagueInfo!$F$2,LeagueInfo!$D$5*LeagueInfo!$F$2)</f>
        <v>24</v>
      </c>
    </row>
    <row r="357" spans="1:9" x14ac:dyDescent="0.25">
      <c r="A357" s="1">
        <f ca="1">RANK(E357,E$2:E$402)</f>
        <v>358</v>
      </c>
      <c r="B357" s="1" t="s">
        <v>701</v>
      </c>
      <c r="C357" s="1" t="s">
        <v>39</v>
      </c>
      <c r="D357" s="1">
        <f ca="1">INDEX(INDIRECT($C357&amp;"!O:O"),MATCH($B357,INDIRECT($C357&amp;"!B:B"),0))</f>
        <v>6.1000000000000005</v>
      </c>
      <c r="E357" s="7">
        <f ca="1">D357-LARGE(D$2:D$402,RBCount+WRCount)</f>
        <v>-73.700000000000017</v>
      </c>
      <c r="F357" s="1" t="str">
        <f ca="1">IF(H357&lt;=I357,"Starter",IF(G357&gt;=LARGE(G:G,FlexOn*LeagueInfo!$F$2),"Starter","Bench"))</f>
        <v>Bench</v>
      </c>
      <c r="G357" s="1">
        <f ca="1">IF(H357&gt;I357,D357,0)</f>
        <v>6.1000000000000005</v>
      </c>
      <c r="H357" s="1">
        <f ca="1">INDEX(INDIRECT(""&amp;C357&amp;"!A2:A489"),MATCH(B357,INDIRECT(""&amp;C357&amp;"!B2:B489"),0))</f>
        <v>213</v>
      </c>
      <c r="I357" s="1">
        <f>IF(C357="RB",LeagueInfo!$D$4*LeagueInfo!$F$2,LeagueInfo!$D$5*LeagueInfo!$F$2)</f>
        <v>24</v>
      </c>
    </row>
    <row r="358" spans="1:9" x14ac:dyDescent="0.25">
      <c r="A358" s="1">
        <f ca="1">RANK(E358,E$2:E$402)</f>
        <v>354</v>
      </c>
      <c r="B358" s="1" t="s">
        <v>545</v>
      </c>
      <c r="C358" s="1" t="s">
        <v>32</v>
      </c>
      <c r="D358" s="1">
        <f ca="1">INDEX(INDIRECT($C358&amp;"!O:O"),MATCH($B358,INDIRECT($C358&amp;"!B:B"),0))</f>
        <v>6.42</v>
      </c>
      <c r="E358" s="7">
        <f ca="1">D358-LARGE(D$2:D$402,RBCount+WRCount)</f>
        <v>-73.38000000000001</v>
      </c>
      <c r="F358" s="1" t="str">
        <f ca="1">IF(H358&lt;=I358,"Starter",IF(G358&gt;=LARGE(G:G,FlexOn*LeagueInfo!$F$2),"Starter","Bench"))</f>
        <v>Bench</v>
      </c>
      <c r="G358" s="1">
        <f ca="1">IF(H358&gt;I358,D358,0)</f>
        <v>6.42</v>
      </c>
      <c r="H358" s="1">
        <f ca="1">INDEX(INDIRECT(""&amp;C358&amp;"!A2:A489"),MATCH(B358,INDIRECT(""&amp;C358&amp;"!B2:B489"),0))</f>
        <v>144</v>
      </c>
      <c r="I358" s="1">
        <f>IF(C358="RB",LeagueInfo!$D$4*LeagueInfo!$F$2,LeagueInfo!$D$5*LeagueInfo!$F$2)</f>
        <v>24</v>
      </c>
    </row>
    <row r="359" spans="1:9" x14ac:dyDescent="0.25">
      <c r="A359" s="1">
        <f ca="1">RANK(E359,E$2:E$402)</f>
        <v>357</v>
      </c>
      <c r="B359" s="1" t="s">
        <v>535</v>
      </c>
      <c r="C359" s="1" t="s">
        <v>32</v>
      </c>
      <c r="D359" s="1">
        <f ca="1">INDEX(INDIRECT($C359&amp;"!O:O"),MATCH($B359,INDIRECT($C359&amp;"!B:B"),0))</f>
        <v>6.1400000000000006</v>
      </c>
      <c r="E359" s="7">
        <f ca="1">D359-LARGE(D$2:D$402,RBCount+WRCount)</f>
        <v>-73.660000000000011</v>
      </c>
      <c r="F359" s="1" t="str">
        <f ca="1">IF(H359&lt;=I359,"Starter",IF(G359&gt;=LARGE(G:G,FlexOn*LeagueInfo!$F$2),"Starter","Bench"))</f>
        <v>Bench</v>
      </c>
      <c r="G359" s="1">
        <f ca="1">IF(H359&gt;I359,D359,0)</f>
        <v>6.1400000000000006</v>
      </c>
      <c r="H359" s="1">
        <f ca="1">INDEX(INDIRECT(""&amp;C359&amp;"!A2:A489"),MATCH(B359,INDIRECT(""&amp;C359&amp;"!B2:B489"),0))</f>
        <v>145</v>
      </c>
      <c r="I359" s="1">
        <f>IF(C359="RB",LeagueInfo!$D$4*LeagueInfo!$F$2,LeagueInfo!$D$5*LeagueInfo!$F$2)</f>
        <v>24</v>
      </c>
    </row>
    <row r="360" spans="1:9" x14ac:dyDescent="0.25">
      <c r="A360" s="1">
        <f ca="1">RANK(E360,E$2:E$402)</f>
        <v>362</v>
      </c>
      <c r="B360" s="1" t="s">
        <v>659</v>
      </c>
      <c r="C360" s="1" t="s">
        <v>39</v>
      </c>
      <c r="D360" s="1">
        <f ca="1">INDEX(INDIRECT($C360&amp;"!O:O"),MATCH($B360,INDIRECT($C360&amp;"!B:B"),0))</f>
        <v>5.83</v>
      </c>
      <c r="E360" s="7">
        <f ca="1">D360-LARGE(D$2:D$402,RBCount+WRCount)</f>
        <v>-73.970000000000013</v>
      </c>
      <c r="F360" s="1" t="str">
        <f ca="1">IF(H360&lt;=I360,"Starter",IF(G360&gt;=LARGE(G:G,FlexOn*LeagueInfo!$F$2),"Starter","Bench"))</f>
        <v>Bench</v>
      </c>
      <c r="G360" s="1">
        <f ca="1">IF(H360&gt;I360,D360,0)</f>
        <v>5.83</v>
      </c>
      <c r="H360" s="1">
        <f ca="1">INDEX(INDIRECT(""&amp;C360&amp;"!A2:A489"),MATCH(B360,INDIRECT(""&amp;C360&amp;"!B2:B489"),0))</f>
        <v>216</v>
      </c>
      <c r="I360" s="1">
        <f>IF(C360="RB",LeagueInfo!$D$4*LeagueInfo!$F$2,LeagueInfo!$D$5*LeagueInfo!$F$2)</f>
        <v>24</v>
      </c>
    </row>
    <row r="361" spans="1:9" x14ac:dyDescent="0.25">
      <c r="A361" s="1">
        <f ca="1">RANK(E361,E$2:E$402)</f>
        <v>361</v>
      </c>
      <c r="B361" s="1" t="s">
        <v>686</v>
      </c>
      <c r="C361" s="1" t="s">
        <v>39</v>
      </c>
      <c r="D361" s="1">
        <f ca="1">INDEX(INDIRECT($C361&amp;"!O:O"),MATCH($B361,INDIRECT($C361&amp;"!B:B"),0))</f>
        <v>5.870000000000001</v>
      </c>
      <c r="E361" s="7">
        <f ca="1">D361-LARGE(D$2:D$402,RBCount+WRCount)</f>
        <v>-73.930000000000007</v>
      </c>
      <c r="F361" s="1" t="str">
        <f ca="1">IF(H361&lt;=I361,"Starter",IF(G361&gt;=LARGE(G:G,FlexOn*LeagueInfo!$F$2),"Starter","Bench"))</f>
        <v>Bench</v>
      </c>
      <c r="G361" s="1">
        <f ca="1">IF(H361&gt;I361,D361,0)</f>
        <v>5.870000000000001</v>
      </c>
      <c r="H361" s="1">
        <f ca="1">INDEX(INDIRECT(""&amp;C361&amp;"!A2:A489"),MATCH(B361,INDIRECT(""&amp;C361&amp;"!B2:B489"),0))</f>
        <v>215</v>
      </c>
      <c r="I361" s="1">
        <f>IF(C361="RB",LeagueInfo!$D$4*LeagueInfo!$F$2,LeagueInfo!$D$5*LeagueInfo!$F$2)</f>
        <v>24</v>
      </c>
    </row>
    <row r="362" spans="1:9" x14ac:dyDescent="0.25">
      <c r="A362" s="1">
        <f ca="1">RANK(E362,E$2:E$402)</f>
        <v>365</v>
      </c>
      <c r="B362" s="1" t="s">
        <v>694</v>
      </c>
      <c r="C362" s="1" t="s">
        <v>39</v>
      </c>
      <c r="D362" s="1">
        <f ca="1">INDEX(INDIRECT($C362&amp;"!O:O"),MATCH($B362,INDIRECT($C362&amp;"!B:B"),0))</f>
        <v>5.6000000000000005</v>
      </c>
      <c r="E362" s="7">
        <f ca="1">D362-LARGE(D$2:D$402,RBCount+WRCount)</f>
        <v>-74.200000000000017</v>
      </c>
      <c r="F362" s="1" t="str">
        <f ca="1">IF(H362&lt;=I362,"Starter",IF(G362&gt;=LARGE(G:G,FlexOn*LeagueInfo!$F$2),"Starter","Bench"))</f>
        <v>Bench</v>
      </c>
      <c r="G362" s="1">
        <f ca="1">IF(H362&gt;I362,D362,0)</f>
        <v>5.6000000000000005</v>
      </c>
      <c r="H362" s="1">
        <f ca="1">INDEX(INDIRECT(""&amp;C362&amp;"!A2:A489"),MATCH(B362,INDIRECT(""&amp;C362&amp;"!B2:B489"),0))</f>
        <v>218</v>
      </c>
      <c r="I362" s="1">
        <f>IF(C362="RB",LeagueInfo!$D$4*LeagueInfo!$F$2,LeagueInfo!$D$5*LeagueInfo!$F$2)</f>
        <v>24</v>
      </c>
    </row>
    <row r="363" spans="1:9" x14ac:dyDescent="0.25">
      <c r="A363" s="1">
        <f ca="1">RANK(E363,E$2:E$402)</f>
        <v>347</v>
      </c>
      <c r="B363" s="1" t="s">
        <v>513</v>
      </c>
      <c r="C363" s="1" t="s">
        <v>32</v>
      </c>
      <c r="D363" s="1">
        <f ca="1">INDEX(INDIRECT($C363&amp;"!O:O"),MATCH($B363,INDIRECT($C363&amp;"!B:B"),0))</f>
        <v>6.8</v>
      </c>
      <c r="E363" s="7">
        <f ca="1">D363-LARGE(D$2:D$402,RBCount+WRCount)</f>
        <v>-73.000000000000014</v>
      </c>
      <c r="F363" s="1" t="str">
        <f ca="1">IF(H363&lt;=I363,"Starter",IF(G363&gt;=LARGE(G:G,FlexOn*LeagueInfo!$F$2),"Starter","Bench"))</f>
        <v>Bench</v>
      </c>
      <c r="G363" s="1">
        <f ca="1">IF(H363&gt;I363,D363,0)</f>
        <v>6.8</v>
      </c>
      <c r="H363" s="1">
        <f ca="1">INDEX(INDIRECT(""&amp;C363&amp;"!A2:A489"),MATCH(B363,INDIRECT(""&amp;C363&amp;"!B2:B489"),0))</f>
        <v>140</v>
      </c>
      <c r="I363" s="1">
        <f>IF(C363="RB",LeagueInfo!$D$4*LeagueInfo!$F$2,LeagueInfo!$D$5*LeagueInfo!$F$2)</f>
        <v>24</v>
      </c>
    </row>
    <row r="364" spans="1:9" x14ac:dyDescent="0.25">
      <c r="A364" s="1">
        <f ca="1">RANK(E364,E$2:E$402)</f>
        <v>349</v>
      </c>
      <c r="B364" s="1" t="s">
        <v>505</v>
      </c>
      <c r="C364" s="1" t="s">
        <v>32</v>
      </c>
      <c r="D364" s="1">
        <f ca="1">INDEX(INDIRECT($C364&amp;"!O:O"),MATCH($B364,INDIRECT($C364&amp;"!B:B"),0))</f>
        <v>6.7600000000000007</v>
      </c>
      <c r="E364" s="7">
        <f ca="1">D364-LARGE(D$2:D$402,RBCount+WRCount)</f>
        <v>-73.040000000000006</v>
      </c>
      <c r="F364" s="1" t="str">
        <f ca="1">IF(H364&lt;=I364,"Starter",IF(G364&gt;=LARGE(G:G,FlexOn*LeagueInfo!$F$2),"Starter","Bench"))</f>
        <v>Bench</v>
      </c>
      <c r="G364" s="1">
        <f ca="1">IF(H364&gt;I364,D364,0)</f>
        <v>6.7600000000000007</v>
      </c>
      <c r="H364" s="1">
        <f ca="1">INDEX(INDIRECT(""&amp;C364&amp;"!A2:A489"),MATCH(B364,INDIRECT(""&amp;C364&amp;"!B2:B489"),0))</f>
        <v>141</v>
      </c>
      <c r="I364" s="1">
        <f>IF(C364="RB",LeagueInfo!$D$4*LeagueInfo!$F$2,LeagueInfo!$D$5*LeagueInfo!$F$2)</f>
        <v>24</v>
      </c>
    </row>
    <row r="365" spans="1:9" x14ac:dyDescent="0.25">
      <c r="A365" s="1">
        <f ca="1">RANK(E365,E$2:E$402)</f>
        <v>371</v>
      </c>
      <c r="B365" s="1" t="s">
        <v>706</v>
      </c>
      <c r="C365" s="1" t="s">
        <v>39</v>
      </c>
      <c r="D365" s="1">
        <f ca="1">INDEX(INDIRECT($C365&amp;"!O:O"),MATCH($B365,INDIRECT($C365&amp;"!B:B"),0))</f>
        <v>5.0400000000000009</v>
      </c>
      <c r="E365" s="7">
        <f ca="1">D365-LARGE(D$2:D$402,RBCount+WRCount)</f>
        <v>-74.760000000000005</v>
      </c>
      <c r="F365" s="1" t="str">
        <f ca="1">IF(H365&lt;=I365,"Starter",IF(G365&gt;=LARGE(G:G,FlexOn*LeagueInfo!$F$2),"Starter","Bench"))</f>
        <v>Bench</v>
      </c>
      <c r="G365" s="1">
        <f ca="1">IF(H365&gt;I365,D365,0)</f>
        <v>5.0400000000000009</v>
      </c>
      <c r="H365" s="1">
        <f ca="1">INDEX(INDIRECT(""&amp;C365&amp;"!A2:A489"),MATCH(B365,INDIRECT(""&amp;C365&amp;"!B2:B489"),0))</f>
        <v>222</v>
      </c>
      <c r="I365" s="1">
        <f>IF(C365="RB",LeagueInfo!$D$4*LeagueInfo!$F$2,LeagueInfo!$D$5*LeagueInfo!$F$2)</f>
        <v>24</v>
      </c>
    </row>
    <row r="366" spans="1:9" x14ac:dyDescent="0.25">
      <c r="A366" s="1">
        <f ca="1">RANK(E366,E$2:E$402)</f>
        <v>360</v>
      </c>
      <c r="B366" s="1" t="s">
        <v>517</v>
      </c>
      <c r="C366" s="1" t="s">
        <v>32</v>
      </c>
      <c r="D366" s="1">
        <f ca="1">INDEX(INDIRECT($C366&amp;"!O:O"),MATCH($B366,INDIRECT($C366&amp;"!B:B"),0))</f>
        <v>5.9799999999999995</v>
      </c>
      <c r="E366" s="7">
        <f ca="1">D366-LARGE(D$2:D$402,RBCount+WRCount)</f>
        <v>-73.820000000000007</v>
      </c>
      <c r="F366" s="1" t="str">
        <f ca="1">IF(H366&lt;=I366,"Starter",IF(G366&gt;=LARGE(G:G,FlexOn*LeagueInfo!$F$2),"Starter","Bench"))</f>
        <v>Bench</v>
      </c>
      <c r="G366" s="1">
        <f ca="1">IF(H366&gt;I366,D366,0)</f>
        <v>5.9799999999999995</v>
      </c>
      <c r="H366" s="1">
        <f ca="1">INDEX(INDIRECT(""&amp;C366&amp;"!A2:A489"),MATCH(B366,INDIRECT(""&amp;C366&amp;"!B2:B489"),0))</f>
        <v>146</v>
      </c>
      <c r="I366" s="1">
        <f>IF(C366="RB",LeagueInfo!$D$4*LeagueInfo!$F$2,LeagueInfo!$D$5*LeagueInfo!$F$2)</f>
        <v>24</v>
      </c>
    </row>
    <row r="367" spans="1:9" x14ac:dyDescent="0.25">
      <c r="A367" s="1">
        <f ca="1">RANK(E367,E$2:E$402)</f>
        <v>369</v>
      </c>
      <c r="B367" s="1" t="s">
        <v>641</v>
      </c>
      <c r="C367" s="1" t="s">
        <v>39</v>
      </c>
      <c r="D367" s="1">
        <f ca="1">INDEX(INDIRECT($C367&amp;"!O:O"),MATCH($B367,INDIRECT($C367&amp;"!B:B"),0))</f>
        <v>5.1000000000000005</v>
      </c>
      <c r="E367" s="7">
        <f ca="1">D367-LARGE(D$2:D$402,RBCount+WRCount)</f>
        <v>-74.700000000000017</v>
      </c>
      <c r="F367" s="1" t="str">
        <f ca="1">IF(H367&lt;=I367,"Starter",IF(G367&gt;=LARGE(G:G,FlexOn*LeagueInfo!$F$2),"Starter","Bench"))</f>
        <v>Bench</v>
      </c>
      <c r="G367" s="1">
        <f ca="1">IF(H367&gt;I367,D367,0)</f>
        <v>5.1000000000000005</v>
      </c>
      <c r="H367" s="1">
        <f ca="1">INDEX(INDIRECT(""&amp;C367&amp;"!A2:A489"),MATCH(B367,INDIRECT(""&amp;C367&amp;"!B2:B489"),0))</f>
        <v>221</v>
      </c>
      <c r="I367" s="1">
        <f>IF(C367="RB",LeagueInfo!$D$4*LeagueInfo!$F$2,LeagueInfo!$D$5*LeagueInfo!$F$2)</f>
        <v>24</v>
      </c>
    </row>
    <row r="368" spans="1:9" x14ac:dyDescent="0.25">
      <c r="A368" s="1">
        <f ca="1">RANK(E368,E$2:E$402)</f>
        <v>366</v>
      </c>
      <c r="B368" s="1" t="s">
        <v>695</v>
      </c>
      <c r="C368" s="1" t="s">
        <v>39</v>
      </c>
      <c r="D368" s="1">
        <f ca="1">INDEX(INDIRECT($C368&amp;"!O:O"),MATCH($B368,INDIRECT($C368&amp;"!B:B"),0))</f>
        <v>5.45</v>
      </c>
      <c r="E368" s="7">
        <f ca="1">D368-LARGE(D$2:D$402,RBCount+WRCount)</f>
        <v>-74.350000000000009</v>
      </c>
      <c r="F368" s="1" t="str">
        <f ca="1">IF(H368&lt;=I368,"Starter",IF(G368&gt;=LARGE(G:G,FlexOn*LeagueInfo!$F$2),"Starter","Bench"))</f>
        <v>Bench</v>
      </c>
      <c r="G368" s="1">
        <f ca="1">IF(H368&gt;I368,D368,0)</f>
        <v>5.45</v>
      </c>
      <c r="H368" s="1">
        <f ca="1">INDEX(INDIRECT(""&amp;C368&amp;"!A2:A489"),MATCH(B368,INDIRECT(""&amp;C368&amp;"!B2:B489"),0))</f>
        <v>219</v>
      </c>
      <c r="I368" s="1">
        <f>IF(C368="RB",LeagueInfo!$D$4*LeagueInfo!$F$2,LeagueInfo!$D$5*LeagueInfo!$F$2)</f>
        <v>24</v>
      </c>
    </row>
    <row r="369" spans="1:9" x14ac:dyDescent="0.25">
      <c r="A369" s="1">
        <f ca="1">RANK(E369,E$2:E$402)</f>
        <v>374</v>
      </c>
      <c r="B369" s="1" t="s">
        <v>626</v>
      </c>
      <c r="C369" s="1" t="s">
        <v>39</v>
      </c>
      <c r="D369" s="1">
        <f ca="1">INDEX(INDIRECT($C369&amp;"!O:O"),MATCH($B369,INDIRECT($C369&amp;"!B:B"),0))</f>
        <v>4.9700000000000006</v>
      </c>
      <c r="E369" s="7">
        <f ca="1">D369-LARGE(D$2:D$402,RBCount+WRCount)</f>
        <v>-74.830000000000013</v>
      </c>
      <c r="F369" s="1" t="str">
        <f ca="1">IF(H369&lt;=I369,"Starter",IF(G369&gt;=LARGE(G:G,FlexOn*LeagueInfo!$F$2),"Starter","Bench"))</f>
        <v>Bench</v>
      </c>
      <c r="G369" s="1">
        <f ca="1">IF(H369&gt;I369,D369,0)</f>
        <v>4.9700000000000006</v>
      </c>
      <c r="H369" s="1">
        <f ca="1">INDEX(INDIRECT(""&amp;C369&amp;"!A2:A489"),MATCH(B369,INDIRECT(""&amp;C369&amp;"!B2:B489"),0))</f>
        <v>223</v>
      </c>
      <c r="I369" s="1">
        <f>IF(C369="RB",LeagueInfo!$D$4*LeagueInfo!$F$2,LeagueInfo!$D$5*LeagueInfo!$F$2)</f>
        <v>24</v>
      </c>
    </row>
    <row r="370" spans="1:9" x14ac:dyDescent="0.25">
      <c r="A370" s="1">
        <f ca="1">RANK(E370,E$2:E$402)</f>
        <v>367</v>
      </c>
      <c r="B370" s="1" t="s">
        <v>689</v>
      </c>
      <c r="C370" s="1" t="s">
        <v>39</v>
      </c>
      <c r="D370" s="1">
        <f ca="1">INDEX(INDIRECT($C370&amp;"!O:O"),MATCH($B370,INDIRECT($C370&amp;"!B:B"),0))</f>
        <v>5.25</v>
      </c>
      <c r="E370" s="7">
        <f ca="1">D370-LARGE(D$2:D$402,RBCount+WRCount)</f>
        <v>-74.550000000000011</v>
      </c>
      <c r="F370" s="1" t="str">
        <f ca="1">IF(H370&lt;=I370,"Starter",IF(G370&gt;=LARGE(G:G,FlexOn*LeagueInfo!$F$2),"Starter","Bench"))</f>
        <v>Bench</v>
      </c>
      <c r="G370" s="1">
        <f ca="1">IF(H370&gt;I370,D370,0)</f>
        <v>5.25</v>
      </c>
      <c r="H370" s="1">
        <f ca="1">INDEX(INDIRECT(""&amp;C370&amp;"!A2:A489"),MATCH(B370,INDIRECT(""&amp;C370&amp;"!B2:B489"),0))</f>
        <v>220</v>
      </c>
      <c r="I370" s="1">
        <f>IF(C370="RB",LeagueInfo!$D$4*LeagueInfo!$F$2,LeagueInfo!$D$5*LeagueInfo!$F$2)</f>
        <v>24</v>
      </c>
    </row>
    <row r="371" spans="1:9" x14ac:dyDescent="0.25">
      <c r="A371" s="1">
        <f ca="1">RANK(E371,E$2:E$402)</f>
        <v>364</v>
      </c>
      <c r="B371" s="1" t="s">
        <v>499</v>
      </c>
      <c r="C371" s="1" t="s">
        <v>32</v>
      </c>
      <c r="D371" s="1">
        <f ca="1">INDEX(INDIRECT($C371&amp;"!O:O"),MATCH($B371,INDIRECT($C371&amp;"!B:B"),0))</f>
        <v>5.7</v>
      </c>
      <c r="E371" s="7">
        <f ca="1">D371-LARGE(D$2:D$402,RBCount+WRCount)</f>
        <v>-74.100000000000009</v>
      </c>
      <c r="F371" s="1" t="str">
        <f ca="1">IF(H371&lt;=I371,"Starter",IF(G371&gt;=LARGE(G:G,FlexOn*LeagueInfo!$F$2),"Starter","Bench"))</f>
        <v>Bench</v>
      </c>
      <c r="G371" s="1">
        <f ca="1">IF(H371&gt;I371,D371,0)</f>
        <v>5.7</v>
      </c>
      <c r="H371" s="1">
        <f ca="1">INDEX(INDIRECT(""&amp;C371&amp;"!A2:A489"),MATCH(B371,INDIRECT(""&amp;C371&amp;"!B2:B489"),0))</f>
        <v>147</v>
      </c>
      <c r="I371" s="1">
        <f>IF(C371="RB",LeagueInfo!$D$4*LeagueInfo!$F$2,LeagueInfo!$D$5*LeagueInfo!$F$2)</f>
        <v>24</v>
      </c>
    </row>
    <row r="372" spans="1:9" x14ac:dyDescent="0.25">
      <c r="A372" s="1">
        <f ca="1">RANK(E372,E$2:E$402)</f>
        <v>368</v>
      </c>
      <c r="B372" s="1" t="s">
        <v>516</v>
      </c>
      <c r="C372" s="1" t="s">
        <v>32</v>
      </c>
      <c r="D372" s="1">
        <f ca="1">INDEX(INDIRECT($C372&amp;"!O:O"),MATCH($B372,INDIRECT($C372&amp;"!B:B"),0))</f>
        <v>5.18</v>
      </c>
      <c r="E372" s="7">
        <f ca="1">D372-LARGE(D$2:D$402,RBCount+WRCount)</f>
        <v>-74.62</v>
      </c>
      <c r="F372" s="1" t="str">
        <f ca="1">IF(H372&lt;=I372,"Starter",IF(G372&gt;=LARGE(G:G,FlexOn*LeagueInfo!$F$2),"Starter","Bench"))</f>
        <v>Bench</v>
      </c>
      <c r="G372" s="1">
        <f ca="1">IF(H372&gt;I372,D372,0)</f>
        <v>5.18</v>
      </c>
      <c r="H372" s="1">
        <f ca="1">INDEX(INDIRECT(""&amp;C372&amp;"!A2:A489"),MATCH(B372,INDIRECT(""&amp;C372&amp;"!B2:B489"),0))</f>
        <v>148</v>
      </c>
      <c r="I372" s="1">
        <f>IF(C372="RB",LeagueInfo!$D$4*LeagueInfo!$F$2,LeagueInfo!$D$5*LeagueInfo!$F$2)</f>
        <v>24</v>
      </c>
    </row>
    <row r="373" spans="1:9" x14ac:dyDescent="0.25">
      <c r="A373" s="1">
        <f ca="1">RANK(E373,E$2:E$402)</f>
        <v>370</v>
      </c>
      <c r="B373" s="1" t="s">
        <v>542</v>
      </c>
      <c r="C373" s="1" t="s">
        <v>32</v>
      </c>
      <c r="D373" s="1">
        <f ca="1">INDEX(INDIRECT($C373&amp;"!O:O"),MATCH($B373,INDIRECT($C373&amp;"!B:B"),0))</f>
        <v>5.07</v>
      </c>
      <c r="E373" s="7">
        <f ca="1">D373-LARGE(D$2:D$402,RBCount+WRCount)</f>
        <v>-74.730000000000018</v>
      </c>
      <c r="F373" s="1" t="str">
        <f ca="1">IF(H373&lt;=I373,"Starter",IF(G373&gt;=LARGE(G:G,FlexOn*LeagueInfo!$F$2),"Starter","Bench"))</f>
        <v>Bench</v>
      </c>
      <c r="G373" s="1">
        <f ca="1">IF(H373&gt;I373,D373,0)</f>
        <v>5.07</v>
      </c>
      <c r="H373" s="1">
        <f ca="1">INDEX(INDIRECT(""&amp;C373&amp;"!A2:A489"),MATCH(B373,INDIRECT(""&amp;C373&amp;"!B2:B489"),0))</f>
        <v>149</v>
      </c>
      <c r="I373" s="1">
        <f>IF(C373="RB",LeagueInfo!$D$4*LeagueInfo!$F$2,LeagueInfo!$D$5*LeagueInfo!$F$2)</f>
        <v>24</v>
      </c>
    </row>
    <row r="374" spans="1:9" x14ac:dyDescent="0.25">
      <c r="A374" s="1">
        <f ca="1">RANK(E374,E$2:E$402)</f>
        <v>373</v>
      </c>
      <c r="B374" s="1" t="s">
        <v>518</v>
      </c>
      <c r="C374" s="1" t="s">
        <v>32</v>
      </c>
      <c r="D374" s="1">
        <f ca="1">INDEX(INDIRECT($C374&amp;"!O:O"),MATCH($B374,INDIRECT($C374&amp;"!B:B"),0))</f>
        <v>5</v>
      </c>
      <c r="E374" s="7">
        <f ca="1">D374-LARGE(D$2:D$402,RBCount+WRCount)</f>
        <v>-74.800000000000011</v>
      </c>
      <c r="F374" s="1" t="str">
        <f ca="1">IF(H374&lt;=I374,"Starter",IF(G374&gt;=LARGE(G:G,FlexOn*LeagueInfo!$F$2),"Starter","Bench"))</f>
        <v>Bench</v>
      </c>
      <c r="G374" s="1">
        <f ca="1">IF(H374&gt;I374,D374,0)</f>
        <v>5</v>
      </c>
      <c r="H374" s="1">
        <f ca="1">INDEX(INDIRECT(""&amp;C374&amp;"!A2:A489"),MATCH(B374,INDIRECT(""&amp;C374&amp;"!B2:B489"),0))</f>
        <v>151</v>
      </c>
      <c r="I374" s="1">
        <f>IF(C374="RB",LeagueInfo!$D$4*LeagueInfo!$F$2,LeagueInfo!$D$5*LeagueInfo!$F$2)</f>
        <v>24</v>
      </c>
    </row>
    <row r="375" spans="1:9" x14ac:dyDescent="0.25">
      <c r="A375" s="1">
        <f ca="1">RANK(E375,E$2:E$402)</f>
        <v>378</v>
      </c>
      <c r="B375" s="1" t="s">
        <v>642</v>
      </c>
      <c r="C375" s="1" t="s">
        <v>39</v>
      </c>
      <c r="D375" s="1">
        <f ca="1">INDEX(INDIRECT($C375&amp;"!O:O"),MATCH($B375,INDIRECT($C375&amp;"!B:B"),0))</f>
        <v>4.4200000000000017</v>
      </c>
      <c r="E375" s="7">
        <f ca="1">D375-LARGE(D$2:D$402,RBCount+WRCount)</f>
        <v>-75.38000000000001</v>
      </c>
      <c r="F375" s="1" t="str">
        <f ca="1">IF(H375&lt;=I375,"Starter",IF(G375&gt;=LARGE(G:G,FlexOn*LeagueInfo!$F$2),"Starter","Bench"))</f>
        <v>Bench</v>
      </c>
      <c r="G375" s="1">
        <f ca="1">IF(H375&gt;I375,D375,0)</f>
        <v>4.4200000000000017</v>
      </c>
      <c r="H375" s="1">
        <f ca="1">INDEX(INDIRECT(""&amp;C375&amp;"!A2:A489"),MATCH(B375,INDIRECT(""&amp;C375&amp;"!B2:B489"),0))</f>
        <v>225</v>
      </c>
      <c r="I375" s="1">
        <f>IF(C375="RB",LeagueInfo!$D$4*LeagueInfo!$F$2,LeagueInfo!$D$5*LeagueInfo!$F$2)</f>
        <v>24</v>
      </c>
    </row>
    <row r="376" spans="1:9" x14ac:dyDescent="0.25">
      <c r="A376" s="1">
        <f ca="1">RANK(E376,E$2:E$402)</f>
        <v>377</v>
      </c>
      <c r="B376" s="1" t="s">
        <v>649</v>
      </c>
      <c r="C376" s="1" t="s">
        <v>39</v>
      </c>
      <c r="D376" s="1">
        <f ca="1">INDEX(INDIRECT($C376&amp;"!O:O"),MATCH($B376,INDIRECT($C376&amp;"!B:B"),0))</f>
        <v>4.4600000000000009</v>
      </c>
      <c r="E376" s="7">
        <f ca="1">D376-LARGE(D$2:D$402,RBCount+WRCount)</f>
        <v>-75.34</v>
      </c>
      <c r="F376" s="1" t="str">
        <f ca="1">IF(H376&lt;=I376,"Starter",IF(G376&gt;=LARGE(G:G,FlexOn*LeagueInfo!$F$2),"Starter","Bench"))</f>
        <v>Bench</v>
      </c>
      <c r="G376" s="1">
        <f ca="1">IF(H376&gt;I376,D376,0)</f>
        <v>4.4600000000000009</v>
      </c>
      <c r="H376" s="1">
        <f ca="1">INDEX(INDIRECT(""&amp;C376&amp;"!A2:A489"),MATCH(B376,INDIRECT(""&amp;C376&amp;"!B2:B489"),0))</f>
        <v>224</v>
      </c>
      <c r="I376" s="1">
        <f>IF(C376="RB",LeagueInfo!$D$4*LeagueInfo!$F$2,LeagueInfo!$D$5*LeagueInfo!$F$2)</f>
        <v>24</v>
      </c>
    </row>
    <row r="377" spans="1:9" x14ac:dyDescent="0.25">
      <c r="A377" s="1">
        <f ca="1">RANK(E377,E$2:E$402)</f>
        <v>376</v>
      </c>
      <c r="B377" s="1" t="s">
        <v>496</v>
      </c>
      <c r="C377" s="1" t="s">
        <v>32</v>
      </c>
      <c r="D377" s="1">
        <f ca="1">INDEX(INDIRECT($C377&amp;"!O:O"),MATCH($B377,INDIRECT($C377&amp;"!B:B"),0))</f>
        <v>4.4899999999999993</v>
      </c>
      <c r="E377" s="7">
        <f ca="1">D377-LARGE(D$2:D$402,RBCount+WRCount)</f>
        <v>-75.310000000000016</v>
      </c>
      <c r="F377" s="1" t="str">
        <f ca="1">IF(H377&lt;=I377,"Starter",IF(G377&gt;=LARGE(G:G,FlexOn*LeagueInfo!$F$2),"Starter","Bench"))</f>
        <v>Bench</v>
      </c>
      <c r="G377" s="1">
        <f ca="1">IF(H377&gt;I377,D377,0)</f>
        <v>4.4899999999999993</v>
      </c>
      <c r="H377" s="1">
        <f ca="1">INDEX(INDIRECT(""&amp;C377&amp;"!A2:A489"),MATCH(B377,INDIRECT(""&amp;C377&amp;"!B2:B489"),0))</f>
        <v>153</v>
      </c>
      <c r="I377" s="1">
        <f>IF(C377="RB",LeagueInfo!$D$4*LeagueInfo!$F$2,LeagueInfo!$D$5*LeagueInfo!$F$2)</f>
        <v>24</v>
      </c>
    </row>
    <row r="378" spans="1:9" x14ac:dyDescent="0.25">
      <c r="A378" s="1">
        <f ca="1">RANK(E378,E$2:E$402)</f>
        <v>371</v>
      </c>
      <c r="B378" s="1" t="s">
        <v>515</v>
      </c>
      <c r="C378" s="1" t="s">
        <v>32</v>
      </c>
      <c r="D378" s="1">
        <f ca="1">INDEX(INDIRECT($C378&amp;"!O:O"),MATCH($B378,INDIRECT($C378&amp;"!B:B"),0))</f>
        <v>5.04</v>
      </c>
      <c r="E378" s="7">
        <f ca="1">D378-LARGE(D$2:D$402,RBCount+WRCount)</f>
        <v>-74.760000000000005</v>
      </c>
      <c r="F378" s="1" t="str">
        <f ca="1">IF(H378&lt;=I378,"Starter",IF(G378&gt;=LARGE(G:G,FlexOn*LeagueInfo!$F$2),"Starter","Bench"))</f>
        <v>Bench</v>
      </c>
      <c r="G378" s="1">
        <f ca="1">IF(H378&gt;I378,D378,0)</f>
        <v>5.04</v>
      </c>
      <c r="H378" s="1">
        <f ca="1">INDEX(INDIRECT(""&amp;C378&amp;"!A2:A489"),MATCH(B378,INDIRECT(""&amp;C378&amp;"!B2:B489"),0))</f>
        <v>150</v>
      </c>
      <c r="I378" s="1">
        <f>IF(C378="RB",LeagueInfo!$D$4*LeagueInfo!$F$2,LeagueInfo!$D$5*LeagueInfo!$F$2)</f>
        <v>24</v>
      </c>
    </row>
    <row r="379" spans="1:9" x14ac:dyDescent="0.25">
      <c r="A379" s="1">
        <f ca="1">RANK(E379,E$2:E$402)</f>
        <v>388</v>
      </c>
      <c r="B379" s="1" t="s">
        <v>324</v>
      </c>
      <c r="C379" s="1" t="s">
        <v>39</v>
      </c>
      <c r="D379" s="1">
        <f ca="1">INDEX(INDIRECT($C379&amp;"!O:O"),MATCH($B379,INDIRECT($C379&amp;"!B:B"),0))</f>
        <v>3.6300000000000003</v>
      </c>
      <c r="E379" s="7">
        <f ca="1">D379-LARGE(D$2:D$402,RBCount+WRCount)</f>
        <v>-76.170000000000016</v>
      </c>
      <c r="F379" s="1" t="str">
        <f ca="1">IF(H379&lt;=I379,"Starter",IF(G379&gt;=LARGE(G:G,FlexOn*LeagueInfo!$F$2),"Starter","Bench"))</f>
        <v>Bench</v>
      </c>
      <c r="G379" s="1">
        <f ca="1">IF(H379&gt;I379,D379,0)</f>
        <v>3.6300000000000003</v>
      </c>
      <c r="H379" s="1">
        <f ca="1">INDEX(INDIRECT(""&amp;C379&amp;"!A2:A489"),MATCH(B379,INDIRECT(""&amp;C379&amp;"!B2:B489"),0))</f>
        <v>226</v>
      </c>
      <c r="I379" s="1">
        <f>IF(C379="RB",LeagueInfo!$D$4*LeagueInfo!$F$2,LeagueInfo!$D$5*LeagueInfo!$F$2)</f>
        <v>24</v>
      </c>
    </row>
    <row r="380" spans="1:9" x14ac:dyDescent="0.25">
      <c r="A380" s="1">
        <f ca="1">RANK(E380,E$2:E$402)</f>
        <v>380</v>
      </c>
      <c r="B380" s="1" t="s">
        <v>521</v>
      </c>
      <c r="C380" s="1" t="s">
        <v>32</v>
      </c>
      <c r="D380" s="1">
        <f ca="1">INDEX(INDIRECT($C380&amp;"!O:O"),MATCH($B380,INDIRECT($C380&amp;"!B:B"),0))</f>
        <v>4.2</v>
      </c>
      <c r="E380" s="7">
        <f ca="1">D380-LARGE(D$2:D$402,RBCount+WRCount)</f>
        <v>-75.600000000000009</v>
      </c>
      <c r="F380" s="1" t="str">
        <f ca="1">IF(H380&lt;=I380,"Starter",IF(G380&gt;=LARGE(G:G,FlexOn*LeagueInfo!$F$2),"Starter","Bench"))</f>
        <v>Bench</v>
      </c>
      <c r="G380" s="1">
        <f ca="1">IF(H380&gt;I380,D380,0)</f>
        <v>4.2</v>
      </c>
      <c r="H380" s="1">
        <f ca="1">INDEX(INDIRECT(""&amp;C380&amp;"!A2:A489"),MATCH(B380,INDIRECT(""&amp;C380&amp;"!B2:B489"),0))</f>
        <v>155</v>
      </c>
      <c r="I380" s="1">
        <f>IF(C380="RB",LeagueInfo!$D$4*LeagueInfo!$F$2,LeagueInfo!$D$5*LeagueInfo!$F$2)</f>
        <v>24</v>
      </c>
    </row>
    <row r="381" spans="1:9" x14ac:dyDescent="0.25">
      <c r="A381" s="1">
        <f ca="1">RANK(E381,E$2:E$402)</f>
        <v>379</v>
      </c>
      <c r="B381" s="1" t="s">
        <v>524</v>
      </c>
      <c r="C381" s="1" t="s">
        <v>32</v>
      </c>
      <c r="D381" s="1">
        <f ca="1">INDEX(INDIRECT($C381&amp;"!O:O"),MATCH($B381,INDIRECT($C381&amp;"!B:B"),0))</f>
        <v>4.2300000000000004</v>
      </c>
      <c r="E381" s="7">
        <f ca="1">D381-LARGE(D$2:D$402,RBCount+WRCount)</f>
        <v>-75.570000000000007</v>
      </c>
      <c r="F381" s="1" t="str">
        <f ca="1">IF(H381&lt;=I381,"Starter",IF(G381&gt;=LARGE(G:G,FlexOn*LeagueInfo!$F$2),"Starter","Bench"))</f>
        <v>Bench</v>
      </c>
      <c r="G381" s="1">
        <f ca="1">IF(H381&gt;I381,D381,0)</f>
        <v>4.2300000000000004</v>
      </c>
      <c r="H381" s="1">
        <f ca="1">INDEX(INDIRECT(""&amp;C381&amp;"!A2:A489"),MATCH(B381,INDIRECT(""&amp;C381&amp;"!B2:B489"),0))</f>
        <v>154</v>
      </c>
      <c r="I381" s="1">
        <f>IF(C381="RB",LeagueInfo!$D$4*LeagueInfo!$F$2,LeagueInfo!$D$5*LeagueInfo!$F$2)</f>
        <v>24</v>
      </c>
    </row>
    <row r="382" spans="1:9" x14ac:dyDescent="0.25">
      <c r="A382" s="1">
        <f ca="1">RANK(E382,E$2:E$402)</f>
        <v>385</v>
      </c>
      <c r="B382" s="1" t="s">
        <v>525</v>
      </c>
      <c r="C382" s="1" t="s">
        <v>32</v>
      </c>
      <c r="D382" s="1">
        <f ca="1">INDEX(INDIRECT($C382&amp;"!O:O"),MATCH($B382,INDIRECT($C382&amp;"!B:B"),0))</f>
        <v>3.87</v>
      </c>
      <c r="E382" s="7">
        <f ca="1">D382-LARGE(D$2:D$402,RBCount+WRCount)</f>
        <v>-75.930000000000007</v>
      </c>
      <c r="F382" s="1" t="str">
        <f ca="1">IF(H382&lt;=I382,"Starter",IF(G382&gt;=LARGE(G:G,FlexOn*LeagueInfo!$F$2),"Starter","Bench"))</f>
        <v>Bench</v>
      </c>
      <c r="G382" s="1">
        <f ca="1">IF(H382&gt;I382,D382,0)</f>
        <v>3.87</v>
      </c>
      <c r="H382" s="1">
        <f ca="1">INDEX(INDIRECT(""&amp;C382&amp;"!A2:A489"),MATCH(B382,INDIRECT(""&amp;C382&amp;"!B2:B489"),0))</f>
        <v>160</v>
      </c>
      <c r="I382" s="1">
        <f>IF(C382="RB",LeagueInfo!$D$4*LeagueInfo!$F$2,LeagueInfo!$D$5*LeagueInfo!$F$2)</f>
        <v>24</v>
      </c>
    </row>
    <row r="383" spans="1:9" x14ac:dyDescent="0.25">
      <c r="A383" s="1">
        <f ca="1">RANK(E383,E$2:E$402)</f>
        <v>381</v>
      </c>
      <c r="B383" s="1" t="s">
        <v>528</v>
      </c>
      <c r="C383" s="1" t="s">
        <v>32</v>
      </c>
      <c r="D383" s="1">
        <f ca="1">INDEX(INDIRECT($C383&amp;"!O:O"),MATCH($B383,INDIRECT($C383&amp;"!B:B"),0))</f>
        <v>4.0500000000000007</v>
      </c>
      <c r="E383" s="7">
        <f ca="1">D383-LARGE(D$2:D$402,RBCount+WRCount)</f>
        <v>-75.750000000000014</v>
      </c>
      <c r="F383" s="1" t="str">
        <f ca="1">IF(H383&lt;=I383,"Starter",IF(G383&gt;=LARGE(G:G,FlexOn*LeagueInfo!$F$2),"Starter","Bench"))</f>
        <v>Bench</v>
      </c>
      <c r="G383" s="1">
        <f ca="1">IF(H383&gt;I383,D383,0)</f>
        <v>4.0500000000000007</v>
      </c>
      <c r="H383" s="1">
        <f ca="1">INDEX(INDIRECT(""&amp;C383&amp;"!A2:A489"),MATCH(B383,INDIRECT(""&amp;C383&amp;"!B2:B489"),0))</f>
        <v>156</v>
      </c>
      <c r="I383" s="1">
        <f>IF(C383="RB",LeagueInfo!$D$4*LeagueInfo!$F$2,LeagueInfo!$D$5*LeagueInfo!$F$2)</f>
        <v>24</v>
      </c>
    </row>
    <row r="384" spans="1:9" x14ac:dyDescent="0.25">
      <c r="A384" s="1">
        <f ca="1">RANK(E384,E$2:E$402)</f>
        <v>387</v>
      </c>
      <c r="B384" s="1" t="s">
        <v>546</v>
      </c>
      <c r="C384" s="1" t="s">
        <v>32</v>
      </c>
      <c r="D384" s="1">
        <f ca="1">INDEX(INDIRECT($C384&amp;"!O:O"),MATCH($B384,INDIRECT($C384&amp;"!B:B"),0))</f>
        <v>3.7300000000000004</v>
      </c>
      <c r="E384" s="7">
        <f ca="1">D384-LARGE(D$2:D$402,RBCount+WRCount)</f>
        <v>-76.070000000000007</v>
      </c>
      <c r="F384" s="1" t="str">
        <f ca="1">IF(H384&lt;=I384,"Starter",IF(G384&gt;=LARGE(G:G,FlexOn*LeagueInfo!$F$2),"Starter","Bench"))</f>
        <v>Bench</v>
      </c>
      <c r="G384" s="1">
        <f ca="1">IF(H384&gt;I384,D384,0)</f>
        <v>3.7300000000000004</v>
      </c>
      <c r="H384" s="1">
        <f ca="1">INDEX(INDIRECT(""&amp;C384&amp;"!A2:A489"),MATCH(B384,INDIRECT(""&amp;C384&amp;"!B2:B489"),0))</f>
        <v>162</v>
      </c>
      <c r="I384" s="1">
        <f>IF(C384="RB",LeagueInfo!$D$4*LeagueInfo!$F$2,LeagueInfo!$D$5*LeagueInfo!$F$2)</f>
        <v>24</v>
      </c>
    </row>
    <row r="385" spans="1:9" x14ac:dyDescent="0.25">
      <c r="A385" s="1">
        <f ca="1">RANK(E385,E$2:E$402)</f>
        <v>384</v>
      </c>
      <c r="B385" s="1" t="s">
        <v>522</v>
      </c>
      <c r="C385" s="1" t="s">
        <v>32</v>
      </c>
      <c r="D385" s="1">
        <f ca="1">INDEX(INDIRECT($C385&amp;"!O:O"),MATCH($B385,INDIRECT($C385&amp;"!B:B"),0))</f>
        <v>3.9299999999999997</v>
      </c>
      <c r="E385" s="7">
        <f ca="1">D385-LARGE(D$2:D$402,RBCount+WRCount)</f>
        <v>-75.87</v>
      </c>
      <c r="F385" s="1" t="str">
        <f ca="1">IF(H385&lt;=I385,"Starter",IF(G385&gt;=LARGE(G:G,FlexOn*LeagueInfo!$F$2),"Starter","Bench"))</f>
        <v>Bench</v>
      </c>
      <c r="G385" s="1">
        <f ca="1">IF(H385&gt;I385,D385,0)</f>
        <v>3.9299999999999997</v>
      </c>
      <c r="H385" s="1">
        <f ca="1">INDEX(INDIRECT(""&amp;C385&amp;"!A2:A489"),MATCH(B385,INDIRECT(""&amp;C385&amp;"!B2:B489"),0))</f>
        <v>159</v>
      </c>
      <c r="I385" s="1">
        <f>IF(C385="RB",LeagueInfo!$D$4*LeagueInfo!$F$2,LeagueInfo!$D$5*LeagueInfo!$F$2)</f>
        <v>24</v>
      </c>
    </row>
    <row r="386" spans="1:9" x14ac:dyDescent="0.25">
      <c r="A386" s="1">
        <f ca="1">RANK(E386,E$2:E$402)</f>
        <v>386</v>
      </c>
      <c r="B386" s="1" t="s">
        <v>325</v>
      </c>
      <c r="C386" s="1" t="s">
        <v>32</v>
      </c>
      <c r="D386" s="1">
        <f ca="1">INDEX(INDIRECT($C386&amp;"!O:O"),MATCH($B386,INDIRECT($C386&amp;"!B:B"),0))</f>
        <v>3.7600000000000002</v>
      </c>
      <c r="E386" s="7">
        <f ca="1">D386-LARGE(D$2:D$402,RBCount+WRCount)</f>
        <v>-76.040000000000006</v>
      </c>
      <c r="F386" s="1" t="str">
        <f ca="1">IF(H386&lt;=I386,"Starter",IF(G386&gt;=LARGE(G:G,FlexOn*LeagueInfo!$F$2),"Starter","Bench"))</f>
        <v>Bench</v>
      </c>
      <c r="G386" s="1">
        <f ca="1">IF(H386&gt;I386,D386,0)</f>
        <v>3.7600000000000002</v>
      </c>
      <c r="H386" s="1">
        <f ca="1">INDEX(INDIRECT(""&amp;C386&amp;"!A2:A489"),MATCH(B386,INDIRECT(""&amp;C386&amp;"!B2:B489"),0))</f>
        <v>161</v>
      </c>
      <c r="I386" s="1">
        <f>IF(C386="RB",LeagueInfo!$D$4*LeagueInfo!$F$2,LeagueInfo!$D$5*LeagueInfo!$F$2)</f>
        <v>24</v>
      </c>
    </row>
    <row r="387" spans="1:9" x14ac:dyDescent="0.25">
      <c r="A387" s="1">
        <f ca="1">RANK(E387,E$2:E$402)</f>
        <v>375</v>
      </c>
      <c r="B387" s="1" t="s">
        <v>924</v>
      </c>
      <c r="C387" s="1" t="s">
        <v>32</v>
      </c>
      <c r="D387" s="1">
        <f ca="1">INDEX(INDIRECT($C387&amp;"!O:O"),MATCH($B387,INDIRECT($C387&amp;"!B:B"),0))</f>
        <v>4.5000000000000009</v>
      </c>
      <c r="E387" s="7">
        <f ca="1">D387-LARGE(D$2:D$402,RBCount+WRCount)</f>
        <v>-75.300000000000011</v>
      </c>
      <c r="F387" s="1" t="str">
        <f ca="1">IF(H387&lt;=I387,"Starter",IF(G387&gt;=LARGE(G:G,FlexOn*LeagueInfo!$F$2),"Starter","Bench"))</f>
        <v>Bench</v>
      </c>
      <c r="G387" s="1">
        <f ca="1">IF(H387&gt;I387,D387,0)</f>
        <v>4.5000000000000009</v>
      </c>
      <c r="H387" s="1">
        <f ca="1">INDEX(INDIRECT(""&amp;C387&amp;"!A2:A489"),MATCH(B387,INDIRECT(""&amp;C387&amp;"!B2:B489"),0))</f>
        <v>152</v>
      </c>
      <c r="I387" s="1">
        <f>IF(C387="RB",LeagueInfo!$D$4*LeagueInfo!$F$2,LeagueInfo!$D$5*LeagueInfo!$F$2)</f>
        <v>24</v>
      </c>
    </row>
    <row r="388" spans="1:9" x14ac:dyDescent="0.25">
      <c r="A388" s="1">
        <f ca="1">RANK(E388,E$2:E$402)</f>
        <v>382</v>
      </c>
      <c r="B388" s="1" t="s">
        <v>520</v>
      </c>
      <c r="C388" s="1" t="s">
        <v>32</v>
      </c>
      <c r="D388" s="1">
        <f ca="1">INDEX(INDIRECT($C388&amp;"!O:O"),MATCH($B388,INDIRECT($C388&amp;"!B:B"),0))</f>
        <v>4.0200000000000005</v>
      </c>
      <c r="E388" s="7">
        <f ca="1">D388-LARGE(D$2:D$402,RBCount+WRCount)</f>
        <v>-75.780000000000015</v>
      </c>
      <c r="F388" s="1" t="str">
        <f ca="1">IF(H388&lt;=I388,"Starter",IF(G388&gt;=LARGE(G:G,FlexOn*LeagueInfo!$F$2),"Starter","Bench"))</f>
        <v>Bench</v>
      </c>
      <c r="G388" s="1">
        <f ca="1">IF(H388&gt;I388,D388,0)</f>
        <v>4.0200000000000005</v>
      </c>
      <c r="H388" s="1">
        <f ca="1">INDEX(INDIRECT(""&amp;C388&amp;"!A2:A489"),MATCH(B388,INDIRECT(""&amp;C388&amp;"!B2:B489"),0))</f>
        <v>157</v>
      </c>
      <c r="I388" s="1">
        <f>IF(C388="RB",LeagueInfo!$D$4*LeagueInfo!$F$2,LeagueInfo!$D$5*LeagueInfo!$F$2)</f>
        <v>24</v>
      </c>
    </row>
    <row r="389" spans="1:9" x14ac:dyDescent="0.25">
      <c r="A389" s="1">
        <f ca="1">RANK(E389,E$2:E$402)</f>
        <v>389</v>
      </c>
      <c r="B389" s="1" t="s">
        <v>527</v>
      </c>
      <c r="C389" s="1" t="s">
        <v>32</v>
      </c>
      <c r="D389" s="1">
        <f ca="1">INDEX(INDIRECT($C389&amp;"!O:O"),MATCH($B389,INDIRECT($C389&amp;"!B:B"),0))</f>
        <v>3.33</v>
      </c>
      <c r="E389" s="7">
        <f ca="1">D389-LARGE(D$2:D$402,RBCount+WRCount)</f>
        <v>-76.470000000000013</v>
      </c>
      <c r="F389" s="1" t="str">
        <f ca="1">IF(H389&lt;=I389,"Starter",IF(G389&gt;=LARGE(G:G,FlexOn*LeagueInfo!$F$2),"Starter","Bench"))</f>
        <v>Bench</v>
      </c>
      <c r="G389" s="1">
        <f ca="1">IF(H389&gt;I389,D389,0)</f>
        <v>3.33</v>
      </c>
      <c r="H389" s="1">
        <f ca="1">INDEX(INDIRECT(""&amp;C389&amp;"!A2:A489"),MATCH(B389,INDIRECT(""&amp;C389&amp;"!B2:B489"),0))</f>
        <v>163</v>
      </c>
      <c r="I389" s="1">
        <f>IF(C389="RB",LeagueInfo!$D$4*LeagueInfo!$F$2,LeagueInfo!$D$5*LeagueInfo!$F$2)</f>
        <v>24</v>
      </c>
    </row>
    <row r="390" spans="1:9" x14ac:dyDescent="0.25">
      <c r="A390" s="1">
        <f ca="1">RANK(E390,E$2:E$402)</f>
        <v>383</v>
      </c>
      <c r="B390" s="1" t="s">
        <v>523</v>
      </c>
      <c r="C390" s="1" t="s">
        <v>32</v>
      </c>
      <c r="D390" s="1">
        <f ca="1">INDEX(INDIRECT($C390&amp;"!O:O"),MATCH($B390,INDIRECT($C390&amp;"!B:B"),0))</f>
        <v>4</v>
      </c>
      <c r="E390" s="7">
        <f ca="1">D390-LARGE(D$2:D$402,RBCount+WRCount)</f>
        <v>-75.800000000000011</v>
      </c>
      <c r="F390" s="1" t="str">
        <f ca="1">IF(H390&lt;=I390,"Starter",IF(G390&gt;=LARGE(G:G,FlexOn*LeagueInfo!$F$2),"Starter","Bench"))</f>
        <v>Bench</v>
      </c>
      <c r="G390" s="1">
        <f ca="1">IF(H390&gt;I390,D390,0)</f>
        <v>4</v>
      </c>
      <c r="H390" s="1">
        <f ca="1">INDEX(INDIRECT(""&amp;C390&amp;"!A2:A489"),MATCH(B390,INDIRECT(""&amp;C390&amp;"!B2:B489"),0))</f>
        <v>158</v>
      </c>
      <c r="I390" s="1">
        <f>IF(C390="RB",LeagueInfo!$D$4*LeagueInfo!$F$2,LeagueInfo!$D$5*LeagueInfo!$F$2)</f>
        <v>24</v>
      </c>
    </row>
    <row r="391" spans="1:9" x14ac:dyDescent="0.25">
      <c r="A391" s="1">
        <f ca="1">RANK(E391,E$2:E$402)</f>
        <v>390</v>
      </c>
      <c r="B391" s="1" t="s">
        <v>538</v>
      </c>
      <c r="C391" s="1" t="s">
        <v>32</v>
      </c>
      <c r="D391" s="1">
        <f ca="1">INDEX(INDIRECT($C391&amp;"!O:O"),MATCH($B391,INDIRECT($C391&amp;"!B:B"),0))</f>
        <v>2.9600000000000004</v>
      </c>
      <c r="E391" s="7">
        <f ca="1">D391-LARGE(D$2:D$402,RBCount+WRCount)</f>
        <v>-76.840000000000018</v>
      </c>
      <c r="F391" s="1" t="str">
        <f ca="1">IF(H391&lt;=I391,"Starter",IF(G391&gt;=LARGE(G:G,FlexOn*LeagueInfo!$F$2),"Starter","Bench"))</f>
        <v>Bench</v>
      </c>
      <c r="G391" s="1">
        <f ca="1">IF(H391&gt;I391,D391,0)</f>
        <v>2.9600000000000004</v>
      </c>
      <c r="H391" s="1">
        <f ca="1">INDEX(INDIRECT(""&amp;C391&amp;"!A2:A489"),MATCH(B391,INDIRECT(""&amp;C391&amp;"!B2:B489"),0))</f>
        <v>164</v>
      </c>
      <c r="I391" s="1">
        <f>IF(C391="RB",LeagueInfo!$D$4*LeagueInfo!$F$2,LeagueInfo!$D$5*LeagueInfo!$F$2)</f>
        <v>24</v>
      </c>
    </row>
    <row r="392" spans="1:9" x14ac:dyDescent="0.25">
      <c r="A392" s="1">
        <f ca="1">RANK(E392,E$2:E$402)</f>
        <v>391</v>
      </c>
      <c r="B392" s="1" t="s">
        <v>532</v>
      </c>
      <c r="C392" s="1" t="s">
        <v>32</v>
      </c>
      <c r="D392" s="1">
        <f ca="1">INDEX(INDIRECT($C392&amp;"!O:O"),MATCH($B392,INDIRECT($C392&amp;"!B:B"),0))</f>
        <v>2.8000000000000003</v>
      </c>
      <c r="E392" s="7">
        <f ca="1">D392-LARGE(D$2:D$402,RBCount+WRCount)</f>
        <v>-77.000000000000014</v>
      </c>
      <c r="F392" s="1" t="str">
        <f ca="1">IF(H392&lt;=I392,"Starter",IF(G392&gt;=LARGE(G:G,FlexOn*LeagueInfo!$F$2),"Starter","Bench"))</f>
        <v>Bench</v>
      </c>
      <c r="G392" s="1">
        <f ca="1">IF(H392&gt;I392,D392,0)</f>
        <v>2.8000000000000003</v>
      </c>
      <c r="H392" s="1">
        <f ca="1">INDEX(INDIRECT(""&amp;C392&amp;"!A2:A489"),MATCH(B392,INDIRECT(""&amp;C392&amp;"!B2:B489"),0))</f>
        <v>165</v>
      </c>
      <c r="I392" s="1">
        <f>IF(C392="RB",LeagueInfo!$D$4*LeagueInfo!$F$2,LeagueInfo!$D$5*LeagueInfo!$F$2)</f>
        <v>24</v>
      </c>
    </row>
    <row r="393" spans="1:9" x14ac:dyDescent="0.25">
      <c r="A393" s="1">
        <f ca="1">RANK(E393,E$2:E$402)</f>
        <v>392</v>
      </c>
      <c r="B393" s="1" t="s">
        <v>529</v>
      </c>
      <c r="C393" s="1" t="s">
        <v>32</v>
      </c>
      <c r="D393" s="1">
        <f ca="1">INDEX(INDIRECT($C393&amp;"!O:O"),MATCH($B393,INDIRECT($C393&amp;"!B:B"),0))</f>
        <v>2.2400000000000002</v>
      </c>
      <c r="E393" s="7">
        <f ca="1">D393-LARGE(D$2:D$402,RBCount+WRCount)</f>
        <v>-77.560000000000016</v>
      </c>
      <c r="F393" s="1" t="str">
        <f ca="1">IF(H393&lt;=I393,"Starter",IF(G393&gt;=LARGE(G:G,FlexOn*LeagueInfo!$F$2),"Starter","Bench"))</f>
        <v>Bench</v>
      </c>
      <c r="G393" s="1">
        <f ca="1">IF(H393&gt;I393,D393,0)</f>
        <v>2.2400000000000002</v>
      </c>
      <c r="H393" s="1">
        <f ca="1">INDEX(INDIRECT(""&amp;C393&amp;"!A2:A489"),MATCH(B393,INDIRECT(""&amp;C393&amp;"!B2:B489"),0))</f>
        <v>166</v>
      </c>
      <c r="I393" s="1">
        <f>IF(C393="RB",LeagueInfo!$D$4*LeagueInfo!$F$2,LeagueInfo!$D$5*LeagueInfo!$F$2)</f>
        <v>24</v>
      </c>
    </row>
    <row r="394" spans="1:9" x14ac:dyDescent="0.25">
      <c r="A394" s="1">
        <f ca="1">RANK(E394,E$2:E$402)</f>
        <v>393</v>
      </c>
      <c r="B394" s="1" t="s">
        <v>526</v>
      </c>
      <c r="C394" s="1" t="s">
        <v>32</v>
      </c>
      <c r="D394" s="1">
        <f ca="1">INDEX(INDIRECT($C394&amp;"!O:O"),MATCH($B394,INDIRECT($C394&amp;"!B:B"),0))</f>
        <v>2.1</v>
      </c>
      <c r="E394" s="7">
        <f ca="1">D394-LARGE(D$2:D$402,RBCount+WRCount)</f>
        <v>-77.700000000000017</v>
      </c>
      <c r="F394" s="1" t="str">
        <f ca="1">IF(H394&lt;=I394,"Starter",IF(G394&gt;=LARGE(G:G,FlexOn*LeagueInfo!$F$2),"Starter","Bench"))</f>
        <v>Bench</v>
      </c>
      <c r="G394" s="1">
        <f ca="1">IF(H394&gt;I394,D394,0)</f>
        <v>2.1</v>
      </c>
      <c r="H394" s="1">
        <f ca="1">INDEX(INDIRECT(""&amp;C394&amp;"!A2:A489"),MATCH(B394,INDIRECT(""&amp;C394&amp;"!B2:B489"),0))</f>
        <v>167</v>
      </c>
      <c r="I394" s="1">
        <f>IF(C394="RB",LeagueInfo!$D$4*LeagueInfo!$F$2,LeagueInfo!$D$5*LeagueInfo!$F$2)</f>
        <v>24</v>
      </c>
    </row>
    <row r="395" spans="1:9" x14ac:dyDescent="0.25">
      <c r="A395" s="1">
        <f ca="1">RANK(E395,E$2:E$402)</f>
        <v>395</v>
      </c>
      <c r="B395" s="1" t="s">
        <v>530</v>
      </c>
      <c r="C395" s="1" t="s">
        <v>32</v>
      </c>
      <c r="D395" s="1">
        <f ca="1">INDEX(INDIRECT($C395&amp;"!O:O"),MATCH($B395,INDIRECT($C395&amp;"!B:B"),0))</f>
        <v>1.5100000000000002</v>
      </c>
      <c r="E395" s="7">
        <f ca="1">D395-LARGE(D$2:D$402,RBCount+WRCount)</f>
        <v>-78.290000000000006</v>
      </c>
      <c r="F395" s="1" t="str">
        <f ca="1">IF(H395&lt;=I395,"Starter",IF(G395&gt;=LARGE(G:G,FlexOn*LeagueInfo!$F$2),"Starter","Bench"))</f>
        <v>Bench</v>
      </c>
      <c r="G395" s="1">
        <f ca="1">IF(H395&gt;I395,D395,0)</f>
        <v>1.5100000000000002</v>
      </c>
      <c r="H395" s="1">
        <f ca="1">INDEX(INDIRECT(""&amp;C395&amp;"!A2:A489"),MATCH(B395,INDIRECT(""&amp;C395&amp;"!B2:B489"),0))</f>
        <v>169</v>
      </c>
      <c r="I395" s="1">
        <f>IF(C395="RB",LeagueInfo!$D$4*LeagueInfo!$F$2,LeagueInfo!$D$5*LeagueInfo!$F$2)</f>
        <v>24</v>
      </c>
    </row>
    <row r="396" spans="1:9" x14ac:dyDescent="0.25">
      <c r="A396" s="1">
        <f ca="1">RANK(E396,E$2:E$402)</f>
        <v>394</v>
      </c>
      <c r="B396" s="1" t="s">
        <v>925</v>
      </c>
      <c r="C396" s="1" t="s">
        <v>32</v>
      </c>
      <c r="D396" s="1">
        <f ca="1">INDEX(INDIRECT($C396&amp;"!O:O"),MATCH($B396,INDIRECT($C396&amp;"!B:B"),0))</f>
        <v>1.6</v>
      </c>
      <c r="E396" s="7">
        <f ca="1">D396-LARGE(D$2:D$402,RBCount+WRCount)</f>
        <v>-78.200000000000017</v>
      </c>
      <c r="F396" s="1" t="str">
        <f ca="1">IF(H396&lt;=I396,"Starter",IF(G396&gt;=LARGE(G:G,FlexOn*LeagueInfo!$F$2),"Starter","Bench"))</f>
        <v>Bench</v>
      </c>
      <c r="G396" s="1">
        <f ca="1">IF(H396&gt;I396,D396,0)</f>
        <v>1.6</v>
      </c>
      <c r="H396" s="1">
        <f ca="1">INDEX(INDIRECT(""&amp;C396&amp;"!A2:A489"),MATCH(B396,INDIRECT(""&amp;C396&amp;"!B2:B489"),0))</f>
        <v>168</v>
      </c>
      <c r="I396" s="1">
        <f>IF(C396="RB",LeagueInfo!$D$4*LeagueInfo!$F$2,LeagueInfo!$D$5*LeagueInfo!$F$2)</f>
        <v>24</v>
      </c>
    </row>
    <row r="397" spans="1:9" x14ac:dyDescent="0.25">
      <c r="A397" s="1">
        <f ca="1">RANK(E397,E$2:E$402)</f>
        <v>397</v>
      </c>
      <c r="B397" s="1" t="s">
        <v>545</v>
      </c>
      <c r="C397" s="1" t="s">
        <v>39</v>
      </c>
      <c r="D397" s="1">
        <f ca="1">INDEX(INDIRECT($C397&amp;"!O:O"),MATCH($B397,INDIRECT($C397&amp;"!B:B"),0))</f>
        <v>1.1000000000000001</v>
      </c>
      <c r="E397" s="7">
        <f ca="1">D397-LARGE(D$2:D$402,RBCount+WRCount)</f>
        <v>-78.700000000000017</v>
      </c>
      <c r="F397" s="1" t="str">
        <f ca="1">IF(H397&lt;=I397,"Starter",IF(G397&gt;=LARGE(G:G,FlexOn*LeagueInfo!$F$2),"Starter","Bench"))</f>
        <v>Bench</v>
      </c>
      <c r="G397" s="1">
        <f ca="1">IF(H397&gt;I397,D397,0)</f>
        <v>1.1000000000000001</v>
      </c>
      <c r="H397" s="1">
        <f ca="1">INDEX(INDIRECT(""&amp;C397&amp;"!A2:A489"),MATCH(B397,INDIRECT(""&amp;C397&amp;"!B2:B489"),0))</f>
        <v>227</v>
      </c>
      <c r="I397" s="1">
        <f>IF(C397="RB",LeagueInfo!$D$4*LeagueInfo!$F$2,LeagueInfo!$D$5*LeagueInfo!$F$2)</f>
        <v>24</v>
      </c>
    </row>
    <row r="398" spans="1:9" x14ac:dyDescent="0.25">
      <c r="A398" s="1">
        <f ca="1">RANK(E398,E$2:E$402)</f>
        <v>396</v>
      </c>
      <c r="B398" s="1" t="s">
        <v>531</v>
      </c>
      <c r="C398" s="1" t="s">
        <v>32</v>
      </c>
      <c r="D398" s="1">
        <f ca="1">INDEX(INDIRECT($C398&amp;"!O:O"),MATCH($B398,INDIRECT($C398&amp;"!B:B"),0))</f>
        <v>1.4000000000000001</v>
      </c>
      <c r="E398" s="7">
        <f ca="1">D398-LARGE(D$2:D$402,RBCount+WRCount)</f>
        <v>-78.400000000000006</v>
      </c>
      <c r="F398" s="1" t="str">
        <f ca="1">IF(H398&lt;=I398,"Starter",IF(G398&gt;=LARGE(G:G,FlexOn*LeagueInfo!$F$2),"Starter","Bench"))</f>
        <v>Bench</v>
      </c>
      <c r="G398" s="1">
        <f ca="1">IF(H398&gt;I398,D398,0)</f>
        <v>1.4000000000000001</v>
      </c>
      <c r="H398" s="1">
        <f ca="1">INDEX(INDIRECT(""&amp;C398&amp;"!A2:A489"),MATCH(B398,INDIRECT(""&amp;C398&amp;"!B2:B489"),0))</f>
        <v>170</v>
      </c>
      <c r="I398" s="1">
        <f>IF(C398="RB",LeagueInfo!$D$4*LeagueInfo!$F$2,LeagueInfo!$D$5*LeagueInfo!$F$2)</f>
        <v>24</v>
      </c>
    </row>
    <row r="399" spans="1:9" x14ac:dyDescent="0.25">
      <c r="A399" s="1">
        <f ca="1">RANK(E399,E$2:E$402)</f>
        <v>397</v>
      </c>
      <c r="B399" s="1" t="s">
        <v>533</v>
      </c>
      <c r="C399" s="1" t="s">
        <v>32</v>
      </c>
      <c r="D399" s="1">
        <f ca="1">INDEX(INDIRECT($C399&amp;"!O:O"),MATCH($B399,INDIRECT($C399&amp;"!B:B"),0))</f>
        <v>1.1000000000000001</v>
      </c>
      <c r="E399" s="7">
        <f ca="1">D399-LARGE(D$2:D$402,RBCount+WRCount)</f>
        <v>-78.700000000000017</v>
      </c>
      <c r="F399" s="1" t="str">
        <f ca="1">IF(H399&lt;=I399,"Starter",IF(G399&gt;=LARGE(G:G,FlexOn*LeagueInfo!$F$2),"Starter","Bench"))</f>
        <v>Bench</v>
      </c>
      <c r="G399" s="1">
        <f ca="1">IF(H399&gt;I399,D399,0)</f>
        <v>1.1000000000000001</v>
      </c>
      <c r="H399" s="1">
        <f ca="1">INDEX(INDIRECT(""&amp;C399&amp;"!A2:A489"),MATCH(B399,INDIRECT(""&amp;C399&amp;"!B2:B489"),0))</f>
        <v>171</v>
      </c>
      <c r="I399" s="1">
        <f>IF(C399="RB",LeagueInfo!$D$4*LeagueInfo!$F$2,LeagueInfo!$D$5*LeagueInfo!$F$2)</f>
        <v>24</v>
      </c>
    </row>
    <row r="400" spans="1:9" x14ac:dyDescent="0.25">
      <c r="A400" s="1">
        <f ca="1">RANK(E400,E$2:E$402)</f>
        <v>397</v>
      </c>
      <c r="B400" s="1" t="s">
        <v>534</v>
      </c>
      <c r="C400" s="1" t="s">
        <v>32</v>
      </c>
      <c r="D400" s="1">
        <f ca="1">INDEX(INDIRECT($C400&amp;"!O:O"),MATCH($B400,INDIRECT($C400&amp;"!B:B"),0))</f>
        <v>1.1000000000000001</v>
      </c>
      <c r="E400" s="7">
        <f ca="1">D400-LARGE(D$2:D$402,RBCount+WRCount)</f>
        <v>-78.700000000000017</v>
      </c>
      <c r="F400" s="1" t="str">
        <f ca="1">IF(H400&lt;=I400,"Starter",IF(G400&gt;=LARGE(G:G,FlexOn*LeagueInfo!$F$2),"Starter","Bench"))</f>
        <v>Bench</v>
      </c>
      <c r="G400" s="1">
        <f ca="1">IF(H400&gt;I400,D400,0)</f>
        <v>1.1000000000000001</v>
      </c>
      <c r="H400" s="1">
        <f ca="1">INDEX(INDIRECT(""&amp;C400&amp;"!A2:A489"),MATCH(B400,INDIRECT(""&amp;C400&amp;"!B2:B489"),0))</f>
        <v>171</v>
      </c>
      <c r="I400" s="1">
        <f>IF(C400="RB",LeagueInfo!$D$4*LeagueInfo!$F$2,LeagueInfo!$D$5*LeagueInfo!$F$2)</f>
        <v>24</v>
      </c>
    </row>
    <row r="401" spans="1:9" x14ac:dyDescent="0.25">
      <c r="A401" s="1">
        <f ca="1">RANK(E401,E$2:E$402)</f>
        <v>400</v>
      </c>
      <c r="B401" s="1" t="s">
        <v>928</v>
      </c>
      <c r="C401" s="1" t="s">
        <v>39</v>
      </c>
      <c r="D401" s="1">
        <f ca="1">INDEX(INDIRECT($C401&amp;"!O:O"),MATCH($B401,INDIRECT($C401&amp;"!B:B"),0))</f>
        <v>0.9</v>
      </c>
      <c r="E401" s="7">
        <f ca="1">D401-LARGE(D$2:D$402,RBCount+WRCount)</f>
        <v>-78.900000000000006</v>
      </c>
      <c r="F401" s="1" t="str">
        <f ca="1">IF(H401&lt;=I401,"Starter",IF(G401&gt;=LARGE(G:G,FlexOn*LeagueInfo!$F$2),"Starter","Bench"))</f>
        <v>Bench</v>
      </c>
      <c r="G401" s="1">
        <f ca="1">IF(H401&gt;I401,D401,0)</f>
        <v>0.9</v>
      </c>
      <c r="H401" s="1">
        <f ca="1">INDEX(INDIRECT(""&amp;C401&amp;"!A2:A489"),MATCH(B401,INDIRECT(""&amp;C401&amp;"!B2:B489"),0))</f>
        <v>228</v>
      </c>
      <c r="I401" s="1">
        <f>IF(C401="RB",LeagueInfo!$D$4*LeagueInfo!$F$2,LeagueInfo!$D$5*LeagueInfo!$F$2)</f>
        <v>24</v>
      </c>
    </row>
    <row r="402" spans="1:9" x14ac:dyDescent="0.25">
      <c r="A402" s="1">
        <f ca="1">RANK(E402,E$2:E$402)</f>
        <v>401</v>
      </c>
      <c r="B402" s="1" t="s">
        <v>708</v>
      </c>
      <c r="C402" s="1" t="s">
        <v>39</v>
      </c>
      <c r="D402" s="1">
        <f ca="1">INDEX(INDIRECT($C402&amp;"!O:O"),MATCH($B402,INDIRECT($C402&amp;"!B:B"),0))</f>
        <v>0.21000000000000002</v>
      </c>
      <c r="E402" s="7">
        <f ca="1">D402-LARGE(D$2:D$402,RBCount+WRCount)</f>
        <v>-79.590000000000018</v>
      </c>
      <c r="F402" s="1" t="str">
        <f ca="1">IF(H402&lt;=I402,"Starter",IF(G402&gt;=LARGE(G:G,FlexOn*LeagueInfo!$F$2),"Starter","Bench"))</f>
        <v>Bench</v>
      </c>
      <c r="G402" s="1">
        <f ca="1">IF(H402&gt;I402,D402,0)</f>
        <v>0.21000000000000002</v>
      </c>
      <c r="H402" s="1">
        <f ca="1">INDEX(INDIRECT(""&amp;C402&amp;"!A2:A489"),MATCH(B402,INDIRECT(""&amp;C402&amp;"!B2:B489"),0))</f>
        <v>229</v>
      </c>
      <c r="I402" s="1">
        <f>IF(C402="RB",LeagueInfo!$D$4*LeagueInfo!$F$2,LeagueInfo!$D$5*LeagueInfo!$F$2)</f>
        <v>24</v>
      </c>
    </row>
    <row r="403" spans="1:9" x14ac:dyDescent="0.25">
      <c r="A403"/>
      <c r="B403"/>
      <c r="C403"/>
      <c r="D403"/>
      <c r="E403"/>
      <c r="F403"/>
      <c r="G403"/>
      <c r="H403"/>
      <c r="I403"/>
    </row>
    <row r="404" spans="1:9" x14ac:dyDescent="0.25">
      <c r="A404"/>
      <c r="B404"/>
      <c r="C404"/>
      <c r="D404"/>
      <c r="E404"/>
      <c r="F404"/>
      <c r="G404"/>
      <c r="H404"/>
      <c r="I404"/>
    </row>
  </sheetData>
  <sortState ref="A2:J415">
    <sortCondition descending="1" ref="E2"/>
  </sortState>
  <conditionalFormatting sqref="B197:C402">
    <cfRule type="expression" dxfId="55" priority="260">
      <formula>$J197="Yes"</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574"/>
  <sheetViews>
    <sheetView workbookViewId="0">
      <selection activeCell="B403" sqref="B403:C529"/>
    </sheetView>
  </sheetViews>
  <sheetFormatPr defaultColWidth="8.85546875" defaultRowHeight="15" x14ac:dyDescent="0.25"/>
  <cols>
    <col min="1" max="1" width="8.85546875" style="1"/>
    <col min="2" max="2" width="23.42578125" style="1" bestFit="1" customWidth="1"/>
    <col min="3" max="3" width="4.42578125" style="1" bestFit="1" customWidth="1"/>
    <col min="4" max="8" width="8.85546875" style="1"/>
    <col min="9" max="9" width="12" style="1" customWidth="1"/>
    <col min="10" max="16384" width="8.85546875" style="1"/>
  </cols>
  <sheetData>
    <row r="1" spans="1:10" ht="24.75" x14ac:dyDescent="0.25">
      <c r="A1" s="2" t="s">
        <v>328</v>
      </c>
      <c r="B1" s="2" t="s">
        <v>89</v>
      </c>
      <c r="C1" s="2" t="s">
        <v>329</v>
      </c>
      <c r="D1" s="3" t="s">
        <v>338</v>
      </c>
      <c r="E1" s="4" t="s">
        <v>18</v>
      </c>
      <c r="F1" s="4" t="s">
        <v>711</v>
      </c>
      <c r="G1" s="4" t="s">
        <v>712</v>
      </c>
      <c r="H1" s="4" t="s">
        <v>713</v>
      </c>
      <c r="I1" s="4" t="s">
        <v>714</v>
      </c>
      <c r="J1" s="4"/>
    </row>
    <row r="2" spans="1:10" x14ac:dyDescent="0.25">
      <c r="A2" s="47">
        <f ca="1">RANK(E2,E$2:E$574)</f>
        <v>1</v>
      </c>
      <c r="B2" t="s">
        <v>94</v>
      </c>
      <c r="C2" t="s">
        <v>32</v>
      </c>
      <c r="D2" s="1">
        <f ca="1">INDEX(INDIRECT($C2&amp;"!O:O"),MATCH($B2,INDIRECT($C2&amp;"!B:B"),0))</f>
        <v>281.99000000000007</v>
      </c>
      <c r="E2" s="254">
        <f ca="1">D2-LARGE(D$2:D$467,RBCount+WRCount+TECount)</f>
        <v>205.15000000000006</v>
      </c>
      <c r="F2" s="1" t="str">
        <f ca="1">IF(H2&lt;=I2,"Starter",IF(G2&gt;=LARGE(G:G,FlexOn*LeagueInfo!$F$2),"Starter","Bench"))</f>
        <v>Starter</v>
      </c>
      <c r="G2" s="1">
        <f ca="1">IF(H2&gt;I2,D2,0)</f>
        <v>0</v>
      </c>
      <c r="H2" s="1">
        <f ca="1">INDEX(INDIRECT(""&amp;C2&amp;"!A2:A489"),MATCH(B2,INDIRECT(""&amp;C2&amp;"!B2:B489"),0))</f>
        <v>1</v>
      </c>
      <c r="I2" s="1">
        <f>IF(C2="RB",LeagueInfo!$D$4*LeagueInfo!$F$2,IF(C2="WR",LeagueInfo!$D$5*LeagueInfo!$F$2,IF(C2="TE",LeagueInfo!$D$6*LeagueInfo!$F$2)))</f>
        <v>24</v>
      </c>
    </row>
    <row r="3" spans="1:10" x14ac:dyDescent="0.25">
      <c r="A3" s="47">
        <f ca="1">RANK(E3,E$2:E$574)</f>
        <v>2</v>
      </c>
      <c r="B3" t="s">
        <v>96</v>
      </c>
      <c r="C3" t="s">
        <v>32</v>
      </c>
      <c r="D3" s="1">
        <f ca="1">INDEX(INDIRECT($C3&amp;"!O:O"),MATCH($B3,INDIRECT($C3&amp;"!B:B"),0))</f>
        <v>261.18</v>
      </c>
      <c r="E3" s="254">
        <f ca="1">D3-LARGE(D$2:D$467,RBCount+WRCount+TECount)</f>
        <v>184.34</v>
      </c>
      <c r="F3" s="1" t="str">
        <f ca="1">IF(H3&lt;=I3,"Starter",IF(G3&gt;=LARGE(G:G,FlexOn*LeagueInfo!$F$2),"Starter","Bench"))</f>
        <v>Starter</v>
      </c>
      <c r="G3" s="1">
        <f ca="1">IF(H3&gt;I3,D3,0)</f>
        <v>0</v>
      </c>
      <c r="H3" s="1">
        <f ca="1">INDEX(INDIRECT(""&amp;C3&amp;"!A2:A489"),MATCH(B3,INDIRECT(""&amp;C3&amp;"!B2:B489"),0))</f>
        <v>2</v>
      </c>
      <c r="I3" s="1">
        <f>IF(C3="RB",LeagueInfo!$D$4*LeagueInfo!$F$2,IF(C3="WR",LeagueInfo!$D$5*LeagueInfo!$F$2,IF(C3="TE",LeagueInfo!$D$6*LeagueInfo!$F$2)))</f>
        <v>24</v>
      </c>
    </row>
    <row r="4" spans="1:10" x14ac:dyDescent="0.25">
      <c r="A4" s="47">
        <f ca="1">RANK(E4,E$2:E$574)</f>
        <v>7</v>
      </c>
      <c r="B4" t="s">
        <v>100</v>
      </c>
      <c r="C4" t="s">
        <v>39</v>
      </c>
      <c r="D4" s="1">
        <f ca="1">INDEX(INDIRECT($C4&amp;"!O:O"),MATCH($B4,INDIRECT($C4&amp;"!B:B"),0))</f>
        <v>203.86999999999998</v>
      </c>
      <c r="E4" s="254">
        <f ca="1">D4-LARGE(D$2:D$467,RBCount+WRCount+TECount)</f>
        <v>127.02999999999997</v>
      </c>
      <c r="F4" s="1" t="str">
        <f ca="1">IF(H4&lt;=I4,"Starter",IF(G4&gt;=LARGE(G:G,FlexOn*LeagueInfo!$F$2),"Starter","Bench"))</f>
        <v>Starter</v>
      </c>
      <c r="G4" s="1">
        <f ca="1">IF(H4&gt;I4,D4,0)</f>
        <v>0</v>
      </c>
      <c r="H4" s="1">
        <f ca="1">INDEX(INDIRECT(""&amp;C4&amp;"!A2:A489"),MATCH(B4,INDIRECT(""&amp;C4&amp;"!B2:B489"),0))</f>
        <v>2</v>
      </c>
      <c r="I4" s="1">
        <f>IF(C4="RB",LeagueInfo!$D$4*LeagueInfo!$F$2,IF(C4="WR",LeagueInfo!$D$5*LeagueInfo!$F$2,IF(C4="TE",LeagueInfo!$D$6*LeagueInfo!$F$2)))</f>
        <v>24</v>
      </c>
    </row>
    <row r="5" spans="1:10" x14ac:dyDescent="0.25">
      <c r="A5" s="47">
        <f ca="1">RANK(E5,E$2:E$574)</f>
        <v>4</v>
      </c>
      <c r="B5" t="s">
        <v>102</v>
      </c>
      <c r="C5" t="s">
        <v>39</v>
      </c>
      <c r="D5" s="1">
        <f ca="1">INDEX(INDIRECT($C5&amp;"!O:O"),MATCH($B5,INDIRECT($C5&amp;"!B:B"),0))</f>
        <v>205.82999999999998</v>
      </c>
      <c r="E5" s="254">
        <f ca="1">D5-LARGE(D$2:D$467,RBCount+WRCount+TECount)</f>
        <v>128.98999999999998</v>
      </c>
      <c r="F5" s="1" t="str">
        <f ca="1">IF(H5&lt;=I5,"Starter",IF(G5&gt;=LARGE(G:G,FlexOn*LeagueInfo!$F$2),"Starter","Bench"))</f>
        <v>Starter</v>
      </c>
      <c r="G5" s="1">
        <f ca="1">IF(H5&gt;I5,D5,0)</f>
        <v>0</v>
      </c>
      <c r="H5" s="1">
        <f ca="1">INDEX(INDIRECT(""&amp;C5&amp;"!A2:A489"),MATCH(B5,INDIRECT(""&amp;C5&amp;"!B2:B489"),0))</f>
        <v>1</v>
      </c>
      <c r="I5" s="1">
        <f>IF(C5="RB",LeagueInfo!$D$4*LeagueInfo!$F$2,IF(C5="WR",LeagueInfo!$D$5*LeagueInfo!$F$2,IF(C5="TE",LeagueInfo!$D$6*LeagueInfo!$F$2)))</f>
        <v>24</v>
      </c>
    </row>
    <row r="6" spans="1:10" x14ac:dyDescent="0.25">
      <c r="A6" s="47">
        <f ca="1">RANK(E6,E$2:E$574)</f>
        <v>3</v>
      </c>
      <c r="B6" t="s">
        <v>104</v>
      </c>
      <c r="C6" t="s">
        <v>32</v>
      </c>
      <c r="D6" s="1">
        <f ca="1">INDEX(INDIRECT($C6&amp;"!O:O"),MATCH($B6,INDIRECT($C6&amp;"!B:B"),0))</f>
        <v>217.33000000000004</v>
      </c>
      <c r="E6" s="254">
        <f ca="1">D6-LARGE(D$2:D$467,RBCount+WRCount+TECount)</f>
        <v>140.49000000000004</v>
      </c>
      <c r="F6" s="1" t="str">
        <f ca="1">IF(H6&lt;=I6,"Starter",IF(G6&gt;=LARGE(G:G,FlexOn*LeagueInfo!$F$2),"Starter","Bench"))</f>
        <v>Starter</v>
      </c>
      <c r="G6" s="1">
        <f ca="1">IF(H6&gt;I6,D6,0)</f>
        <v>0</v>
      </c>
      <c r="H6" s="1">
        <f ca="1">INDEX(INDIRECT(""&amp;C6&amp;"!A2:A489"),MATCH(B6,INDIRECT(""&amp;C6&amp;"!B2:B489"),0))</f>
        <v>3</v>
      </c>
      <c r="I6" s="1">
        <f>IF(C6="RB",LeagueInfo!$D$4*LeagueInfo!$F$2,IF(C6="WR",LeagueInfo!$D$5*LeagueInfo!$F$2,IF(C6="TE",LeagueInfo!$D$6*LeagueInfo!$F$2)))</f>
        <v>24</v>
      </c>
    </row>
    <row r="7" spans="1:10" x14ac:dyDescent="0.25">
      <c r="A7" s="47">
        <f ca="1">RANK(E7,E$2:E$574)</f>
        <v>10</v>
      </c>
      <c r="B7" t="s">
        <v>101</v>
      </c>
      <c r="C7" t="s">
        <v>39</v>
      </c>
      <c r="D7" s="1">
        <f ca="1">INDEX(INDIRECT($C7&amp;"!O:O"),MATCH($B7,INDIRECT($C7&amp;"!B:B"),0))</f>
        <v>190.75</v>
      </c>
      <c r="E7" s="254">
        <f ca="1">D7-LARGE(D$2:D$467,RBCount+WRCount+TECount)</f>
        <v>113.91</v>
      </c>
      <c r="F7" s="1" t="str">
        <f ca="1">IF(H7&lt;=I7,"Starter",IF(G7&gt;=LARGE(G:G,FlexOn*LeagueInfo!$F$2),"Starter","Bench"))</f>
        <v>Starter</v>
      </c>
      <c r="G7" s="1">
        <f ca="1">IF(H7&gt;I7,D7,0)</f>
        <v>0</v>
      </c>
      <c r="H7" s="1">
        <f ca="1">INDEX(INDIRECT(""&amp;C7&amp;"!A2:A489"),MATCH(B7,INDIRECT(""&amp;C7&amp;"!B2:B489"),0))</f>
        <v>3</v>
      </c>
      <c r="I7" s="1">
        <f>IF(C7="RB",LeagueInfo!$D$4*LeagueInfo!$F$2,IF(C7="WR",LeagueInfo!$D$5*LeagueInfo!$F$2,IF(C7="TE",LeagueInfo!$D$6*LeagueInfo!$F$2)))</f>
        <v>24</v>
      </c>
    </row>
    <row r="8" spans="1:10" x14ac:dyDescent="0.25">
      <c r="A8" s="47">
        <f ca="1">RANK(E8,E$2:E$574)</f>
        <v>5</v>
      </c>
      <c r="B8" t="s">
        <v>110</v>
      </c>
      <c r="C8" t="s">
        <v>32</v>
      </c>
      <c r="D8" s="1">
        <f ca="1">INDEX(INDIRECT($C8&amp;"!O:O"),MATCH($B8,INDIRECT($C8&amp;"!B:B"),0))</f>
        <v>205.38</v>
      </c>
      <c r="E8" s="254">
        <f ca="1">D8-LARGE(D$2:D$467,RBCount+WRCount+TECount)</f>
        <v>128.54</v>
      </c>
      <c r="F8" s="1" t="str">
        <f ca="1">IF(H8&lt;=I8,"Starter",IF(G8&gt;=LARGE(G:G,FlexOn*LeagueInfo!$F$2),"Starter","Bench"))</f>
        <v>Starter</v>
      </c>
      <c r="G8" s="1">
        <f ca="1">IF(H8&gt;I8,D8,0)</f>
        <v>0</v>
      </c>
      <c r="H8" s="1">
        <f ca="1">INDEX(INDIRECT(""&amp;C8&amp;"!A2:A489"),MATCH(B8,INDIRECT(""&amp;C8&amp;"!B2:B489"),0))</f>
        <v>4</v>
      </c>
      <c r="I8" s="1">
        <f>IF(C8="RB",LeagueInfo!$D$4*LeagueInfo!$F$2,IF(C8="WR",LeagueInfo!$D$5*LeagueInfo!$F$2,IF(C8="TE",LeagueInfo!$D$6*LeagueInfo!$F$2)))</f>
        <v>24</v>
      </c>
    </row>
    <row r="9" spans="1:10" x14ac:dyDescent="0.25">
      <c r="A9" s="47">
        <f ca="1">RANK(E9,E$2:E$574)</f>
        <v>13</v>
      </c>
      <c r="B9" t="s">
        <v>103</v>
      </c>
      <c r="C9" t="s">
        <v>39</v>
      </c>
      <c r="D9" s="1">
        <f ca="1">INDEX(INDIRECT($C9&amp;"!O:O"),MATCH($B9,INDIRECT($C9&amp;"!B:B"),0))</f>
        <v>183.65</v>
      </c>
      <c r="E9" s="254">
        <f ca="1">D9-LARGE(D$2:D$467,RBCount+WRCount+TECount)</f>
        <v>106.81</v>
      </c>
      <c r="F9" s="1" t="str">
        <f ca="1">IF(H9&lt;=I9,"Starter",IF(G9&gt;=LARGE(G:G,FlexOn*LeagueInfo!$F$2),"Starter","Bench"))</f>
        <v>Starter</v>
      </c>
      <c r="G9" s="1">
        <f ca="1">IF(H9&gt;I9,D9,0)</f>
        <v>0</v>
      </c>
      <c r="H9" s="1">
        <f ca="1">INDEX(INDIRECT(""&amp;C9&amp;"!A2:A489"),MATCH(B9,INDIRECT(""&amp;C9&amp;"!B2:B489"),0))</f>
        <v>4</v>
      </c>
      <c r="I9" s="1">
        <f>IF(C9="RB",LeagueInfo!$D$4*LeagueInfo!$F$2,IF(C9="WR",LeagueInfo!$D$5*LeagueInfo!$F$2,IF(C9="TE",LeagueInfo!$D$6*LeagueInfo!$F$2)))</f>
        <v>24</v>
      </c>
    </row>
    <row r="10" spans="1:10" x14ac:dyDescent="0.25">
      <c r="A10" s="47">
        <f ca="1">RANK(E10,E$2:E$574)</f>
        <v>14</v>
      </c>
      <c r="B10" t="s">
        <v>109</v>
      </c>
      <c r="C10" t="s">
        <v>39</v>
      </c>
      <c r="D10" s="1">
        <f ca="1">INDEX(INDIRECT($C10&amp;"!O:O"),MATCH($B10,INDIRECT($C10&amp;"!B:B"),0))</f>
        <v>183.32</v>
      </c>
      <c r="E10" s="254">
        <f ca="1">D10-LARGE(D$2:D$467,RBCount+WRCount+TECount)</f>
        <v>106.47999999999999</v>
      </c>
      <c r="F10" s="1" t="str">
        <f ca="1">IF(H10&lt;=I10,"Starter",IF(G10&gt;=LARGE(G:G,FlexOn*LeagueInfo!$F$2),"Starter","Bench"))</f>
        <v>Starter</v>
      </c>
      <c r="G10" s="1">
        <f ca="1">IF(H10&gt;I10,D10,0)</f>
        <v>0</v>
      </c>
      <c r="H10" s="1">
        <f ca="1">INDEX(INDIRECT(""&amp;C10&amp;"!A2:A489"),MATCH(B10,INDIRECT(""&amp;C10&amp;"!B2:B489"),0))</f>
        <v>5</v>
      </c>
      <c r="I10" s="1">
        <f>IF(C10="RB",LeagueInfo!$D$4*LeagueInfo!$F$2,IF(C10="WR",LeagueInfo!$D$5*LeagueInfo!$F$2,IF(C10="TE",LeagueInfo!$D$6*LeagueInfo!$F$2)))</f>
        <v>24</v>
      </c>
    </row>
    <row r="11" spans="1:10" x14ac:dyDescent="0.25">
      <c r="A11" s="47">
        <f ca="1">RANK(E11,E$2:E$574)</f>
        <v>8</v>
      </c>
      <c r="B11" t="s">
        <v>105</v>
      </c>
      <c r="C11" t="s">
        <v>32</v>
      </c>
      <c r="D11" s="1">
        <f ca="1">INDEX(INDIRECT($C11&amp;"!O:O"),MATCH($B11,INDIRECT($C11&amp;"!B:B"),0))</f>
        <v>203.7</v>
      </c>
      <c r="E11" s="254">
        <f ca="1">D11-LARGE(D$2:D$467,RBCount+WRCount+TECount)</f>
        <v>126.85999999999999</v>
      </c>
      <c r="F11" s="1" t="str">
        <f ca="1">IF(H11&lt;=I11,"Starter",IF(G11&gt;=LARGE(G:G,FlexOn*LeagueInfo!$F$2),"Starter","Bench"))</f>
        <v>Starter</v>
      </c>
      <c r="G11" s="1">
        <f ca="1">IF(H11&gt;I11,D11,0)</f>
        <v>0</v>
      </c>
      <c r="H11" s="1">
        <f ca="1">INDEX(INDIRECT(""&amp;C11&amp;"!A2:A489"),MATCH(B11,INDIRECT(""&amp;C11&amp;"!B2:B489"),0))</f>
        <v>6</v>
      </c>
      <c r="I11" s="1">
        <f>IF(C11="RB",LeagueInfo!$D$4*LeagueInfo!$F$2,IF(C11="WR",LeagueInfo!$D$5*LeagueInfo!$F$2,IF(C11="TE",LeagueInfo!$D$6*LeagueInfo!$F$2)))</f>
        <v>24</v>
      </c>
    </row>
    <row r="12" spans="1:10" x14ac:dyDescent="0.25">
      <c r="A12" s="47">
        <f ca="1">RANK(E12,E$2:E$574)</f>
        <v>6</v>
      </c>
      <c r="B12" t="s">
        <v>106</v>
      </c>
      <c r="C12" t="s">
        <v>32</v>
      </c>
      <c r="D12" s="1">
        <f ca="1">INDEX(INDIRECT($C12&amp;"!O:O"),MATCH($B12,INDIRECT($C12&amp;"!B:B"),0))</f>
        <v>204.15</v>
      </c>
      <c r="E12" s="254">
        <f ca="1">D12-LARGE(D$2:D$467,RBCount+WRCount+TECount)</f>
        <v>127.31</v>
      </c>
      <c r="F12" s="1" t="str">
        <f ca="1">IF(H12&lt;=I12,"Starter",IF(G12&gt;=LARGE(G:G,FlexOn*LeagueInfo!$F$2),"Starter","Bench"))</f>
        <v>Starter</v>
      </c>
      <c r="G12" s="1">
        <f ca="1">IF(H12&gt;I12,D12,0)</f>
        <v>0</v>
      </c>
      <c r="H12" s="1">
        <f ca="1">INDEX(INDIRECT(""&amp;C12&amp;"!A2:A489"),MATCH(B12,INDIRECT(""&amp;C12&amp;"!B2:B489"),0))</f>
        <v>5</v>
      </c>
      <c r="I12" s="1">
        <f>IF(C12="RB",LeagueInfo!$D$4*LeagueInfo!$F$2,IF(C12="WR",LeagueInfo!$D$5*LeagueInfo!$F$2,IF(C12="TE",LeagueInfo!$D$6*LeagueInfo!$F$2)))</f>
        <v>24</v>
      </c>
    </row>
    <row r="13" spans="1:10" x14ac:dyDescent="0.25">
      <c r="A13" s="47">
        <f ca="1">RANK(E13,E$2:E$574)</f>
        <v>9</v>
      </c>
      <c r="B13" t="s">
        <v>108</v>
      </c>
      <c r="C13" t="s">
        <v>32</v>
      </c>
      <c r="D13" s="1">
        <f ca="1">INDEX(INDIRECT($C13&amp;"!O:O"),MATCH($B13,INDIRECT($C13&amp;"!B:B"),0))</f>
        <v>200.57</v>
      </c>
      <c r="E13" s="254">
        <f ca="1">D13-LARGE(D$2:D$467,RBCount+WRCount+TECount)</f>
        <v>123.72999999999999</v>
      </c>
      <c r="F13" s="1" t="str">
        <f ca="1">IF(H13&lt;=I13,"Starter",IF(G13&gt;=LARGE(G:G,FlexOn*LeagueInfo!$F$2),"Starter","Bench"))</f>
        <v>Starter</v>
      </c>
      <c r="G13" s="1">
        <f ca="1">IF(H13&gt;I13,D13,0)</f>
        <v>0</v>
      </c>
      <c r="H13" s="1">
        <f ca="1">INDEX(INDIRECT(""&amp;C13&amp;"!A2:A489"),MATCH(B13,INDIRECT(""&amp;C13&amp;"!B2:B489"),0))</f>
        <v>7</v>
      </c>
      <c r="I13" s="1">
        <f>IF(C13="RB",LeagueInfo!$D$4*LeagueInfo!$F$2,IF(C13="WR",LeagueInfo!$D$5*LeagueInfo!$F$2,IF(C13="TE",LeagueInfo!$D$6*LeagueInfo!$F$2)))</f>
        <v>24</v>
      </c>
    </row>
    <row r="14" spans="1:10" x14ac:dyDescent="0.25">
      <c r="A14" s="47">
        <f ca="1">RANK(E14,E$2:E$574)</f>
        <v>16</v>
      </c>
      <c r="B14" t="s">
        <v>107</v>
      </c>
      <c r="C14" t="s">
        <v>39</v>
      </c>
      <c r="D14" s="1">
        <f ca="1">INDEX(INDIRECT($C14&amp;"!O:O"),MATCH($B14,INDIRECT($C14&amp;"!B:B"),0))</f>
        <v>173.07000000000002</v>
      </c>
      <c r="E14" s="254">
        <f ca="1">D14-LARGE(D$2:D$467,RBCount+WRCount+TECount)</f>
        <v>96.230000000000018</v>
      </c>
      <c r="F14" s="1" t="str">
        <f ca="1">IF(H14&lt;=I14,"Starter",IF(G14&gt;=LARGE(G:G,FlexOn*LeagueInfo!$F$2),"Starter","Bench"))</f>
        <v>Starter</v>
      </c>
      <c r="G14" s="1">
        <f ca="1">IF(H14&gt;I14,D14,0)</f>
        <v>0</v>
      </c>
      <c r="H14" s="1">
        <f ca="1">INDEX(INDIRECT(""&amp;C14&amp;"!A2:A489"),MATCH(B14,INDIRECT(""&amp;C14&amp;"!B2:B489"),0))</f>
        <v>6</v>
      </c>
      <c r="I14" s="1">
        <f>IF(C14="RB",LeagueInfo!$D$4*LeagueInfo!$F$2,IF(C14="WR",LeagueInfo!$D$5*LeagueInfo!$F$2,IF(C14="TE",LeagueInfo!$D$6*LeagueInfo!$F$2)))</f>
        <v>24</v>
      </c>
    </row>
    <row r="15" spans="1:10" x14ac:dyDescent="0.25">
      <c r="A15" s="47">
        <f ca="1">RANK(E15,E$2:E$574)</f>
        <v>19</v>
      </c>
      <c r="B15" t="s">
        <v>111</v>
      </c>
      <c r="C15" t="s">
        <v>39</v>
      </c>
      <c r="D15" s="1">
        <f ca="1">INDEX(INDIRECT($C15&amp;"!O:O"),MATCH($B15,INDIRECT($C15&amp;"!B:B"),0))</f>
        <v>168.28</v>
      </c>
      <c r="E15" s="254">
        <f ca="1">D15-LARGE(D$2:D$467,RBCount+WRCount+TECount)</f>
        <v>91.44</v>
      </c>
      <c r="F15" s="1" t="str">
        <f ca="1">IF(H15&lt;=I15,"Starter",IF(G15&gt;=LARGE(G:G,FlexOn*LeagueInfo!$F$2),"Starter","Bench"))</f>
        <v>Starter</v>
      </c>
      <c r="G15" s="1">
        <f ca="1">IF(H15&gt;I15,D15,0)</f>
        <v>0</v>
      </c>
      <c r="H15" s="1">
        <f ca="1">INDEX(INDIRECT(""&amp;C15&amp;"!A2:A489"),MATCH(B15,INDIRECT(""&amp;C15&amp;"!B2:B489"),0))</f>
        <v>7</v>
      </c>
      <c r="I15" s="1">
        <f>IF(C15="RB",LeagueInfo!$D$4*LeagueInfo!$F$2,IF(C15="WR",LeagueInfo!$D$5*LeagueInfo!$F$2,IF(C15="TE",LeagueInfo!$D$6*LeagueInfo!$F$2)))</f>
        <v>24</v>
      </c>
    </row>
    <row r="16" spans="1:10" x14ac:dyDescent="0.25">
      <c r="A16" s="47">
        <f ca="1">RANK(E16,E$2:E$574)</f>
        <v>11</v>
      </c>
      <c r="B16" t="s">
        <v>113</v>
      </c>
      <c r="C16" t="s">
        <v>32</v>
      </c>
      <c r="D16" s="1">
        <f ca="1">INDEX(INDIRECT($C16&amp;"!O:O"),MATCH($B16,INDIRECT($C16&amp;"!B:B"),0))</f>
        <v>190.04999999999998</v>
      </c>
      <c r="E16" s="254">
        <f ca="1">D16-LARGE(D$2:D$467,RBCount+WRCount+TECount)</f>
        <v>113.20999999999998</v>
      </c>
      <c r="F16" s="1" t="str">
        <f ca="1">IF(H16&lt;=I16,"Starter",IF(G16&gt;=LARGE(G:G,FlexOn*LeagueInfo!$F$2),"Starter","Bench"))</f>
        <v>Starter</v>
      </c>
      <c r="G16" s="1">
        <f ca="1">IF(H16&gt;I16,D16,0)</f>
        <v>0</v>
      </c>
      <c r="H16" s="1">
        <f ca="1">INDEX(INDIRECT(""&amp;C16&amp;"!A2:A489"),MATCH(B16,INDIRECT(""&amp;C16&amp;"!B2:B489"),0))</f>
        <v>8</v>
      </c>
      <c r="I16" s="1">
        <f>IF(C16="RB",LeagueInfo!$D$4*LeagueInfo!$F$2,IF(C16="WR",LeagueInfo!$D$5*LeagueInfo!$F$2,IF(C16="TE",LeagueInfo!$D$6*LeagueInfo!$F$2)))</f>
        <v>24</v>
      </c>
    </row>
    <row r="17" spans="1:9" x14ac:dyDescent="0.25">
      <c r="A17" s="47">
        <f ca="1">RANK(E17,E$2:E$574)</f>
        <v>20</v>
      </c>
      <c r="B17" t="s">
        <v>114</v>
      </c>
      <c r="C17" t="s">
        <v>39</v>
      </c>
      <c r="D17" s="1">
        <f ca="1">INDEX(INDIRECT($C17&amp;"!O:O"),MATCH($B17,INDIRECT($C17&amp;"!B:B"),0))</f>
        <v>163.15</v>
      </c>
      <c r="E17" s="254">
        <f ca="1">D17-LARGE(D$2:D$467,RBCount+WRCount+TECount)</f>
        <v>86.31</v>
      </c>
      <c r="F17" s="1" t="str">
        <f ca="1">IF(H17&lt;=I17,"Starter",IF(G17&gt;=LARGE(G:G,FlexOn*LeagueInfo!$F$2),"Starter","Bench"))</f>
        <v>Starter</v>
      </c>
      <c r="G17" s="1">
        <f ca="1">IF(H17&gt;I17,D17,0)</f>
        <v>0</v>
      </c>
      <c r="H17" s="1">
        <f ca="1">INDEX(INDIRECT(""&amp;C17&amp;"!A2:A489"),MATCH(B17,INDIRECT(""&amp;C17&amp;"!B2:B489"),0))</f>
        <v>8</v>
      </c>
      <c r="I17" s="1">
        <f>IF(C17="RB",LeagueInfo!$D$4*LeagueInfo!$F$2,IF(C17="WR",LeagueInfo!$D$5*LeagueInfo!$F$2,IF(C17="TE",LeagueInfo!$D$6*LeagueInfo!$F$2)))</f>
        <v>24</v>
      </c>
    </row>
    <row r="18" spans="1:9" x14ac:dyDescent="0.25">
      <c r="A18" s="47">
        <f ca="1">RANK(E18,E$2:E$574)</f>
        <v>12</v>
      </c>
      <c r="B18" t="s">
        <v>118</v>
      </c>
      <c r="C18" t="s">
        <v>32</v>
      </c>
      <c r="D18" s="1">
        <f ca="1">INDEX(INDIRECT($C18&amp;"!O:O"),MATCH($B18,INDIRECT($C18&amp;"!B:B"),0))</f>
        <v>184.11</v>
      </c>
      <c r="E18" s="254">
        <f ca="1">D18-LARGE(D$2:D$467,RBCount+WRCount+TECount)</f>
        <v>107.27000000000001</v>
      </c>
      <c r="F18" s="1" t="str">
        <f ca="1">IF(H18&lt;=I18,"Starter",IF(G18&gt;=LARGE(G:G,FlexOn*LeagueInfo!$F$2),"Starter","Bench"))</f>
        <v>Starter</v>
      </c>
      <c r="G18" s="1">
        <f ca="1">IF(H18&gt;I18,D18,0)</f>
        <v>0</v>
      </c>
      <c r="H18" s="1">
        <f ca="1">INDEX(INDIRECT(""&amp;C18&amp;"!A2:A489"),MATCH(B18,INDIRECT(""&amp;C18&amp;"!B2:B489"),0))</f>
        <v>9</v>
      </c>
      <c r="I18" s="1">
        <f>IF(C18="RB",LeagueInfo!$D$4*LeagueInfo!$F$2,IF(C18="WR",LeagueInfo!$D$5*LeagueInfo!$F$2,IF(C18="TE",LeagueInfo!$D$6*LeagueInfo!$F$2)))</f>
        <v>24</v>
      </c>
    </row>
    <row r="19" spans="1:9" x14ac:dyDescent="0.25">
      <c r="A19" s="47">
        <f ca="1">RANK(E19,E$2:E$574)</f>
        <v>26</v>
      </c>
      <c r="B19" t="s">
        <v>116</v>
      </c>
      <c r="C19" t="s">
        <v>39</v>
      </c>
      <c r="D19" s="1">
        <f ca="1">INDEX(INDIRECT($C19&amp;"!O:O"),MATCH($B19,INDIRECT($C19&amp;"!B:B"),0))</f>
        <v>157.4</v>
      </c>
      <c r="E19" s="254">
        <f ca="1">D19-LARGE(D$2:D$467,RBCount+WRCount+TECount)</f>
        <v>80.56</v>
      </c>
      <c r="F19" s="1" t="str">
        <f ca="1">IF(H19&lt;=I19,"Starter",IF(G19&gt;=LARGE(G:G,FlexOn*LeagueInfo!$F$2),"Starter","Bench"))</f>
        <v>Starter</v>
      </c>
      <c r="G19" s="1">
        <f ca="1">IF(H19&gt;I19,D19,0)</f>
        <v>0</v>
      </c>
      <c r="H19" s="1">
        <f ca="1">INDEX(INDIRECT(""&amp;C19&amp;"!A2:A489"),MATCH(B19,INDIRECT(""&amp;C19&amp;"!B2:B489"),0))</f>
        <v>10</v>
      </c>
      <c r="I19" s="1">
        <f>IF(C19="RB",LeagueInfo!$D$4*LeagueInfo!$F$2,IF(C19="WR",LeagueInfo!$D$5*LeagueInfo!$F$2,IF(C19="TE",LeagueInfo!$D$6*LeagueInfo!$F$2)))</f>
        <v>24</v>
      </c>
    </row>
    <row r="20" spans="1:9" x14ac:dyDescent="0.25">
      <c r="A20" s="47">
        <f ca="1">RANK(E20,E$2:E$574)</f>
        <v>27</v>
      </c>
      <c r="B20" t="s">
        <v>115</v>
      </c>
      <c r="C20" t="s">
        <v>39</v>
      </c>
      <c r="D20" s="1">
        <f ca="1">INDEX(INDIRECT($C20&amp;"!O:O"),MATCH($B20,INDIRECT($C20&amp;"!B:B"),0))</f>
        <v>156.87</v>
      </c>
      <c r="E20" s="254">
        <f ca="1">D20-LARGE(D$2:D$467,RBCount+WRCount+TECount)</f>
        <v>80.03</v>
      </c>
      <c r="F20" s="1" t="str">
        <f ca="1">IF(H20&lt;=I20,"Starter",IF(G20&gt;=LARGE(G:G,FlexOn*LeagueInfo!$F$2),"Starter","Bench"))</f>
        <v>Starter</v>
      </c>
      <c r="G20" s="1">
        <f ca="1">IF(H20&gt;I20,D20,0)</f>
        <v>0</v>
      </c>
      <c r="H20" s="1">
        <f ca="1">INDEX(INDIRECT(""&amp;C20&amp;"!A2:A489"),MATCH(B20,INDIRECT(""&amp;C20&amp;"!B2:B489"),0))</f>
        <v>11</v>
      </c>
      <c r="I20" s="1">
        <f>IF(C20="RB",LeagueInfo!$D$4*LeagueInfo!$F$2,IF(C20="WR",LeagueInfo!$D$5*LeagueInfo!$F$2,IF(C20="TE",LeagueInfo!$D$6*LeagueInfo!$F$2)))</f>
        <v>24</v>
      </c>
    </row>
    <row r="21" spans="1:9" x14ac:dyDescent="0.25">
      <c r="A21" s="47">
        <f ca="1">RANK(E21,E$2:E$574)</f>
        <v>21</v>
      </c>
      <c r="B21" t="s">
        <v>117</v>
      </c>
      <c r="C21" t="s">
        <v>47</v>
      </c>
      <c r="D21" s="1">
        <f ca="1">INDEX(INDIRECT($C21&amp;"!O:O"),MATCH($B21,INDIRECT($C21&amp;"!B:B"),0))</f>
        <v>162.16</v>
      </c>
      <c r="E21" s="254">
        <f ca="1">D21-LARGE(D$2:D$467,RBCount+WRCount+TECount)</f>
        <v>85.32</v>
      </c>
      <c r="F21" s="1" t="str">
        <f ca="1">IF(H21&lt;=I21,"Starter",IF(G21&gt;=LARGE(G:G,FlexOn*LeagueInfo!$F$2),"Starter","Bench"))</f>
        <v>Starter</v>
      </c>
      <c r="G21" s="1">
        <f ca="1">IF(H21&gt;I21,D21,0)</f>
        <v>0</v>
      </c>
      <c r="H21" s="1">
        <f ca="1">INDEX(INDIRECT(""&amp;C21&amp;"!A2:A489"),MATCH(B21,INDIRECT(""&amp;C21&amp;"!B2:B489"),0))</f>
        <v>1</v>
      </c>
      <c r="I21" s="1">
        <f>IF(C21="RB",LeagueInfo!$D$4*LeagueInfo!$F$2,IF(C21="WR",LeagueInfo!$D$5*LeagueInfo!$F$2,IF(C21="TE",LeagueInfo!$D$6*LeagueInfo!$F$2)))</f>
        <v>12</v>
      </c>
    </row>
    <row r="22" spans="1:9" x14ac:dyDescent="0.25">
      <c r="A22" s="47">
        <f ca="1">RANK(E22,E$2:E$574)</f>
        <v>23</v>
      </c>
      <c r="B22" t="s">
        <v>112</v>
      </c>
      <c r="C22" t="s">
        <v>39</v>
      </c>
      <c r="D22" s="1">
        <f ca="1">INDEX(INDIRECT($C22&amp;"!O:O"),MATCH($B22,INDIRECT($C22&amp;"!B:B"),0))</f>
        <v>158.69000000000003</v>
      </c>
      <c r="E22" s="254">
        <f ca="1">D22-LARGE(D$2:D$467,RBCount+WRCount+TECount)</f>
        <v>81.850000000000023</v>
      </c>
      <c r="F22" s="1" t="str">
        <f ca="1">IF(H22&lt;=I22,"Starter",IF(G22&gt;=LARGE(G:G,FlexOn*LeagueInfo!$F$2),"Starter","Bench"))</f>
        <v>Starter</v>
      </c>
      <c r="G22" s="1">
        <f ca="1">IF(H22&gt;I22,D22,0)</f>
        <v>0</v>
      </c>
      <c r="H22" s="1">
        <f ca="1">INDEX(INDIRECT(""&amp;C22&amp;"!A2:A489"),MATCH(B22,INDIRECT(""&amp;C22&amp;"!B2:B489"),0))</f>
        <v>9</v>
      </c>
      <c r="I22" s="1">
        <f>IF(C22="RB",LeagueInfo!$D$4*LeagueInfo!$F$2,IF(C22="WR",LeagueInfo!$D$5*LeagueInfo!$F$2,IF(C22="TE",LeagueInfo!$D$6*LeagueInfo!$F$2)))</f>
        <v>24</v>
      </c>
    </row>
    <row r="23" spans="1:9" x14ac:dyDescent="0.25">
      <c r="A23" s="47">
        <f ca="1">RANK(E23,E$2:E$574)</f>
        <v>28</v>
      </c>
      <c r="B23" t="s">
        <v>123</v>
      </c>
      <c r="C23" t="s">
        <v>39</v>
      </c>
      <c r="D23" s="1">
        <f ca="1">INDEX(INDIRECT($C23&amp;"!O:O"),MATCH($B23,INDIRECT($C23&amp;"!B:B"),0))</f>
        <v>154.84</v>
      </c>
      <c r="E23" s="254">
        <f ca="1">D23-LARGE(D$2:D$467,RBCount+WRCount+TECount)</f>
        <v>78</v>
      </c>
      <c r="F23" s="1" t="str">
        <f ca="1">IF(H23&lt;=I23,"Starter",IF(G23&gt;=LARGE(G:G,FlexOn*LeagueInfo!$F$2),"Starter","Bench"))</f>
        <v>Starter</v>
      </c>
      <c r="G23" s="1">
        <f ca="1">IF(H23&gt;I23,D23,0)</f>
        <v>0</v>
      </c>
      <c r="H23" s="1">
        <f ca="1">INDEX(INDIRECT(""&amp;C23&amp;"!A2:A489"),MATCH(B23,INDIRECT(""&amp;C23&amp;"!B2:B489"),0))</f>
        <v>12</v>
      </c>
      <c r="I23" s="1">
        <f>IF(C23="RB",LeagueInfo!$D$4*LeagueInfo!$F$2,IF(C23="WR",LeagueInfo!$D$5*LeagueInfo!$F$2,IF(C23="TE",LeagueInfo!$D$6*LeagueInfo!$F$2)))</f>
        <v>24</v>
      </c>
    </row>
    <row r="24" spans="1:9" x14ac:dyDescent="0.25">
      <c r="A24" s="47">
        <f ca="1">RANK(E24,E$2:E$574)</f>
        <v>15</v>
      </c>
      <c r="B24" t="s">
        <v>120</v>
      </c>
      <c r="C24" t="s">
        <v>32</v>
      </c>
      <c r="D24" s="1">
        <f ca="1">INDEX(INDIRECT($C24&amp;"!O:O"),MATCH($B24,INDIRECT($C24&amp;"!B:B"),0))</f>
        <v>175.31000000000003</v>
      </c>
      <c r="E24" s="254">
        <f ca="1">D24-LARGE(D$2:D$467,RBCount+WRCount+TECount)</f>
        <v>98.470000000000027</v>
      </c>
      <c r="F24" s="1" t="str">
        <f ca="1">IF(H24&lt;=I24,"Starter",IF(G24&gt;=LARGE(G:G,FlexOn*LeagueInfo!$F$2),"Starter","Bench"))</f>
        <v>Starter</v>
      </c>
      <c r="G24" s="1">
        <f ca="1">IF(H24&gt;I24,D24,0)</f>
        <v>0</v>
      </c>
      <c r="H24" s="1">
        <f ca="1">INDEX(INDIRECT(""&amp;C24&amp;"!A2:A489"),MATCH(B24,INDIRECT(""&amp;C24&amp;"!B2:B489"),0))</f>
        <v>10</v>
      </c>
      <c r="I24" s="1">
        <f>IF(C24="RB",LeagueInfo!$D$4*LeagueInfo!$F$2,IF(C24="WR",LeagueInfo!$D$5*LeagueInfo!$F$2,IF(C24="TE",LeagueInfo!$D$6*LeagueInfo!$F$2)))</f>
        <v>24</v>
      </c>
    </row>
    <row r="25" spans="1:9" x14ac:dyDescent="0.25">
      <c r="A25" s="47">
        <f ca="1">RANK(E25,E$2:E$574)</f>
        <v>17</v>
      </c>
      <c r="B25" t="s">
        <v>121</v>
      </c>
      <c r="C25" t="s">
        <v>32</v>
      </c>
      <c r="D25" s="1">
        <f ca="1">INDEX(INDIRECT($C25&amp;"!O:O"),MATCH($B25,INDIRECT($C25&amp;"!B:B"),0))</f>
        <v>172.23</v>
      </c>
      <c r="E25" s="254">
        <f ca="1">D25-LARGE(D$2:D$467,RBCount+WRCount+TECount)</f>
        <v>95.389999999999986</v>
      </c>
      <c r="F25" s="1" t="str">
        <f ca="1">IF(H25&lt;=I25,"Starter",IF(G25&gt;=LARGE(G:G,FlexOn*LeagueInfo!$F$2),"Starter","Bench"))</f>
        <v>Starter</v>
      </c>
      <c r="G25" s="1">
        <f ca="1">IF(H25&gt;I25,D25,0)</f>
        <v>0</v>
      </c>
      <c r="H25" s="1">
        <f ca="1">INDEX(INDIRECT(""&amp;C25&amp;"!A2:A489"),MATCH(B25,INDIRECT(""&amp;C25&amp;"!B2:B489"),0))</f>
        <v>11</v>
      </c>
      <c r="I25" s="1">
        <f>IF(C25="RB",LeagueInfo!$D$4*LeagueInfo!$F$2,IF(C25="WR",LeagueInfo!$D$5*LeagueInfo!$F$2,IF(C25="TE",LeagueInfo!$D$6*LeagueInfo!$F$2)))</f>
        <v>24</v>
      </c>
    </row>
    <row r="26" spans="1:9" x14ac:dyDescent="0.25">
      <c r="A26" s="47">
        <f ca="1">RANK(E26,E$2:E$574)</f>
        <v>37</v>
      </c>
      <c r="B26" t="s">
        <v>124</v>
      </c>
      <c r="C26" t="s">
        <v>39</v>
      </c>
      <c r="D26" s="1">
        <f ca="1">INDEX(INDIRECT($C26&amp;"!O:O"),MATCH($B26,INDIRECT($C26&amp;"!B:B"),0))</f>
        <v>143.82</v>
      </c>
      <c r="E26" s="254">
        <f ca="1">D26-LARGE(D$2:D$467,RBCount+WRCount+TECount)</f>
        <v>66.97999999999999</v>
      </c>
      <c r="F26" s="1" t="str">
        <f ca="1">IF(H26&lt;=I26,"Starter",IF(G26&gt;=LARGE(G:G,FlexOn*LeagueInfo!$F$2),"Starter","Bench"))</f>
        <v>Starter</v>
      </c>
      <c r="G26" s="1">
        <f ca="1">IF(H26&gt;I26,D26,0)</f>
        <v>0</v>
      </c>
      <c r="H26" s="1">
        <f ca="1">INDEX(INDIRECT(""&amp;C26&amp;"!A2:A489"),MATCH(B26,INDIRECT(""&amp;C26&amp;"!B2:B489"),0))</f>
        <v>14</v>
      </c>
      <c r="I26" s="1">
        <f>IF(C26="RB",LeagueInfo!$D$4*LeagueInfo!$F$2,IF(C26="WR",LeagueInfo!$D$5*LeagueInfo!$F$2,IF(C26="TE",LeagueInfo!$D$6*LeagueInfo!$F$2)))</f>
        <v>24</v>
      </c>
    </row>
    <row r="27" spans="1:9" x14ac:dyDescent="0.25">
      <c r="A27" s="47">
        <f ca="1">RANK(E27,E$2:E$574)</f>
        <v>35</v>
      </c>
      <c r="B27" t="s">
        <v>119</v>
      </c>
      <c r="C27" t="s">
        <v>39</v>
      </c>
      <c r="D27" s="1">
        <f ca="1">INDEX(INDIRECT($C27&amp;"!O:O"),MATCH($B27,INDIRECT($C27&amp;"!B:B"),0))</f>
        <v>145.25</v>
      </c>
      <c r="E27" s="254">
        <f ca="1">D27-LARGE(D$2:D$467,RBCount+WRCount+TECount)</f>
        <v>68.41</v>
      </c>
      <c r="F27" s="1" t="str">
        <f ca="1">IF(H27&lt;=I27,"Starter",IF(G27&gt;=LARGE(G:G,FlexOn*LeagueInfo!$F$2),"Starter","Bench"))</f>
        <v>Starter</v>
      </c>
      <c r="G27" s="1">
        <f ca="1">IF(H27&gt;I27,D27,0)</f>
        <v>0</v>
      </c>
      <c r="H27" s="1">
        <f ca="1">INDEX(INDIRECT(""&amp;C27&amp;"!A2:A489"),MATCH(B27,INDIRECT(""&amp;C27&amp;"!B2:B489"),0))</f>
        <v>13</v>
      </c>
      <c r="I27" s="1">
        <f>IF(C27="RB",LeagueInfo!$D$4*LeagueInfo!$F$2,IF(C27="WR",LeagueInfo!$D$5*LeagueInfo!$F$2,IF(C27="TE",LeagueInfo!$D$6*LeagueInfo!$F$2)))</f>
        <v>24</v>
      </c>
    </row>
    <row r="28" spans="1:9" x14ac:dyDescent="0.25">
      <c r="A28" s="47">
        <f ca="1">RANK(E28,E$2:E$574)</f>
        <v>38</v>
      </c>
      <c r="B28" t="s">
        <v>127</v>
      </c>
      <c r="C28" t="s">
        <v>39</v>
      </c>
      <c r="D28" s="1">
        <f ca="1">INDEX(INDIRECT($C28&amp;"!O:O"),MATCH($B28,INDIRECT($C28&amp;"!B:B"),0))</f>
        <v>143.66999999999999</v>
      </c>
      <c r="E28" s="254">
        <f ca="1">D28-LARGE(D$2:D$467,RBCount+WRCount+TECount)</f>
        <v>66.829999999999984</v>
      </c>
      <c r="F28" s="1" t="str">
        <f ca="1">IF(H28&lt;=I28,"Starter",IF(G28&gt;=LARGE(G:G,FlexOn*LeagueInfo!$F$2),"Starter","Bench"))</f>
        <v>Starter</v>
      </c>
      <c r="G28" s="1">
        <f ca="1">IF(H28&gt;I28,D28,0)</f>
        <v>0</v>
      </c>
      <c r="H28" s="1">
        <f ca="1">INDEX(INDIRECT(""&amp;C28&amp;"!A2:A489"),MATCH(B28,INDIRECT(""&amp;C28&amp;"!B2:B489"),0))</f>
        <v>15</v>
      </c>
      <c r="I28" s="1">
        <f>IF(C28="RB",LeagueInfo!$D$4*LeagueInfo!$F$2,IF(C28="WR",LeagueInfo!$D$5*LeagueInfo!$F$2,IF(C28="TE",LeagueInfo!$D$6*LeagueInfo!$F$2)))</f>
        <v>24</v>
      </c>
    </row>
    <row r="29" spans="1:9" x14ac:dyDescent="0.25">
      <c r="A29" s="47">
        <f ca="1">RANK(E29,E$2:E$574)</f>
        <v>39</v>
      </c>
      <c r="B29" t="s">
        <v>148</v>
      </c>
      <c r="C29" t="s">
        <v>39</v>
      </c>
      <c r="D29" s="1">
        <f ca="1">INDEX(INDIRECT($C29&amp;"!O:O"),MATCH($B29,INDIRECT($C29&amp;"!B:B"),0))</f>
        <v>139.88</v>
      </c>
      <c r="E29" s="254">
        <f ca="1">D29-LARGE(D$2:D$467,RBCount+WRCount+TECount)</f>
        <v>63.039999999999992</v>
      </c>
      <c r="F29" s="1" t="str">
        <f ca="1">IF(H29&lt;=I29,"Starter",IF(G29&gt;=LARGE(G:G,FlexOn*LeagueInfo!$F$2),"Starter","Bench"))</f>
        <v>Starter</v>
      </c>
      <c r="G29" s="1">
        <f ca="1">IF(H29&gt;I29,D29,0)</f>
        <v>0</v>
      </c>
      <c r="H29" s="1">
        <f ca="1">INDEX(INDIRECT(""&amp;C29&amp;"!A2:A489"),MATCH(B29,INDIRECT(""&amp;C29&amp;"!B2:B489"),0))</f>
        <v>16</v>
      </c>
      <c r="I29" s="1">
        <f>IF(C29="RB",LeagueInfo!$D$4*LeagueInfo!$F$2,IF(C29="WR",LeagueInfo!$D$5*LeagueInfo!$F$2,IF(C29="TE",LeagueInfo!$D$6*LeagueInfo!$F$2)))</f>
        <v>24</v>
      </c>
    </row>
    <row r="30" spans="1:9" x14ac:dyDescent="0.25">
      <c r="A30" s="47">
        <f ca="1">RANK(E30,E$2:E$574)</f>
        <v>18</v>
      </c>
      <c r="B30" t="s">
        <v>98</v>
      </c>
      <c r="C30" t="s">
        <v>32</v>
      </c>
      <c r="D30" s="1">
        <f ca="1">INDEX(INDIRECT($C30&amp;"!O:O"),MATCH($B30,INDIRECT($C30&amp;"!B:B"),0))</f>
        <v>168.93</v>
      </c>
      <c r="E30" s="254">
        <f ca="1">D30-LARGE(D$2:D$467,RBCount+WRCount+TECount)</f>
        <v>92.09</v>
      </c>
      <c r="F30" s="1" t="str">
        <f ca="1">IF(H30&lt;=I30,"Starter",IF(G30&gt;=LARGE(G:G,FlexOn*LeagueInfo!$F$2),"Starter","Bench"))</f>
        <v>Starter</v>
      </c>
      <c r="G30" s="1">
        <f ca="1">IF(H30&gt;I30,D30,0)</f>
        <v>0</v>
      </c>
      <c r="H30" s="1">
        <f ca="1">INDEX(INDIRECT(""&amp;C30&amp;"!A2:A489"),MATCH(B30,INDIRECT(""&amp;C30&amp;"!B2:B489"),0))</f>
        <v>12</v>
      </c>
      <c r="I30" s="1">
        <f>IF(C30="RB",LeagueInfo!$D$4*LeagueInfo!$F$2,IF(C30="WR",LeagueInfo!$D$5*LeagueInfo!$F$2,IF(C30="TE",LeagueInfo!$D$6*LeagueInfo!$F$2)))</f>
        <v>24</v>
      </c>
    </row>
    <row r="31" spans="1:9" x14ac:dyDescent="0.25">
      <c r="A31" s="47">
        <f ca="1">RANK(E31,E$2:E$574)</f>
        <v>22</v>
      </c>
      <c r="B31" t="s">
        <v>130</v>
      </c>
      <c r="C31" t="s">
        <v>32</v>
      </c>
      <c r="D31" s="1">
        <f ca="1">INDEX(INDIRECT($C31&amp;"!O:O"),MATCH($B31,INDIRECT($C31&amp;"!B:B"),0))</f>
        <v>161.6</v>
      </c>
      <c r="E31" s="254">
        <f ca="1">D31-LARGE(D$2:D$467,RBCount+WRCount+TECount)</f>
        <v>84.759999999999991</v>
      </c>
      <c r="F31" s="1" t="str">
        <f ca="1">IF(H31&lt;=I31,"Starter",IF(G31&gt;=LARGE(G:G,FlexOn*LeagueInfo!$F$2),"Starter","Bench"))</f>
        <v>Starter</v>
      </c>
      <c r="G31" s="1">
        <f ca="1">IF(H31&gt;I31,D31,0)</f>
        <v>0</v>
      </c>
      <c r="H31" s="1">
        <f ca="1">INDEX(INDIRECT(""&amp;C31&amp;"!A2:A489"),MATCH(B31,INDIRECT(""&amp;C31&amp;"!B2:B489"),0))</f>
        <v>13</v>
      </c>
      <c r="I31" s="1">
        <f>IF(C31="RB",LeagueInfo!$D$4*LeagueInfo!$F$2,IF(C31="WR",LeagueInfo!$D$5*LeagueInfo!$F$2,IF(C31="TE",LeagueInfo!$D$6*LeagueInfo!$F$2)))</f>
        <v>24</v>
      </c>
    </row>
    <row r="32" spans="1:9" x14ac:dyDescent="0.25">
      <c r="A32" s="47">
        <f ca="1">RANK(E32,E$2:E$574)</f>
        <v>52</v>
      </c>
      <c r="B32" t="s">
        <v>168</v>
      </c>
      <c r="C32" t="s">
        <v>39</v>
      </c>
      <c r="D32" s="1">
        <f ca="1">INDEX(INDIRECT($C32&amp;"!O:O"),MATCH($B32,INDIRECT($C32&amp;"!B:B"),0))</f>
        <v>131.91</v>
      </c>
      <c r="E32" s="254">
        <f ca="1">D32-LARGE(D$2:D$467,RBCount+WRCount+TECount)</f>
        <v>55.069999999999993</v>
      </c>
      <c r="F32" s="1" t="str">
        <f ca="1">IF(H32&lt;=I32,"Starter",IF(G32&gt;=LARGE(G:G,FlexOn*LeagueInfo!$F$2),"Starter","Bench"))</f>
        <v>Starter</v>
      </c>
      <c r="G32" s="1">
        <f ca="1">IF(H32&gt;I32,D32,0)</f>
        <v>0</v>
      </c>
      <c r="H32" s="1">
        <f ca="1">INDEX(INDIRECT(""&amp;C32&amp;"!A2:A489"),MATCH(B32,INDIRECT(""&amp;C32&amp;"!B2:B489"),0))</f>
        <v>24</v>
      </c>
      <c r="I32" s="1">
        <f>IF(C32="RB",LeagueInfo!$D$4*LeagueInfo!$F$2,IF(C32="WR",LeagueInfo!$D$5*LeagueInfo!$F$2,IF(C32="TE",LeagueInfo!$D$6*LeagueInfo!$F$2)))</f>
        <v>24</v>
      </c>
    </row>
    <row r="33" spans="1:9" x14ac:dyDescent="0.25">
      <c r="A33" s="47">
        <f ca="1">RANK(E33,E$2:E$574)</f>
        <v>25</v>
      </c>
      <c r="B33" t="s">
        <v>156</v>
      </c>
      <c r="C33" t="s">
        <v>32</v>
      </c>
      <c r="D33" s="1">
        <f ca="1">INDEX(INDIRECT($C33&amp;"!O:O"),MATCH($B33,INDIRECT($C33&amp;"!B:B"),0))</f>
        <v>158.12</v>
      </c>
      <c r="E33" s="254">
        <f ca="1">D33-LARGE(D$2:D$467,RBCount+WRCount+TECount)</f>
        <v>81.28</v>
      </c>
      <c r="F33" s="1" t="str">
        <f ca="1">IF(H33&lt;=I33,"Starter",IF(G33&gt;=LARGE(G:G,FlexOn*LeagueInfo!$F$2),"Starter","Bench"))</f>
        <v>Starter</v>
      </c>
      <c r="G33" s="1">
        <f ca="1">IF(H33&gt;I33,D33,0)</f>
        <v>0</v>
      </c>
      <c r="H33" s="1">
        <f ca="1">INDEX(INDIRECT(""&amp;C33&amp;"!A2:A489"),MATCH(B33,INDIRECT(""&amp;C33&amp;"!B2:B489"),0))</f>
        <v>15</v>
      </c>
      <c r="I33" s="1">
        <f>IF(C33="RB",LeagueInfo!$D$4*LeagueInfo!$F$2,IF(C33="WR",LeagueInfo!$D$5*LeagueInfo!$F$2,IF(C33="TE",LeagueInfo!$D$6*LeagueInfo!$F$2)))</f>
        <v>24</v>
      </c>
    </row>
    <row r="34" spans="1:9" x14ac:dyDescent="0.25">
      <c r="A34" s="47">
        <f ca="1">RANK(E34,E$2:E$574)</f>
        <v>48</v>
      </c>
      <c r="B34" t="s">
        <v>169</v>
      </c>
      <c r="C34" t="s">
        <v>39</v>
      </c>
      <c r="D34" s="1">
        <f ca="1">INDEX(INDIRECT($C34&amp;"!O:O"),MATCH($B34,INDIRECT($C34&amp;"!B:B"),0))</f>
        <v>132.91</v>
      </c>
      <c r="E34" s="254">
        <f ca="1">D34-LARGE(D$2:D$467,RBCount+WRCount+TECount)</f>
        <v>56.069999999999993</v>
      </c>
      <c r="F34" s="1" t="str">
        <f ca="1">IF(H34&lt;=I34,"Starter",IF(G34&gt;=LARGE(G:G,FlexOn*LeagueInfo!$F$2),"Starter","Bench"))</f>
        <v>Starter</v>
      </c>
      <c r="G34" s="1">
        <f ca="1">IF(H34&gt;I34,D34,0)</f>
        <v>0</v>
      </c>
      <c r="H34" s="1">
        <f ca="1">INDEX(INDIRECT(""&amp;C34&amp;"!A2:A489"),MATCH(B34,INDIRECT(""&amp;C34&amp;"!B2:B489"),0))</f>
        <v>21</v>
      </c>
      <c r="I34" s="1">
        <f>IF(C34="RB",LeagueInfo!$D$4*LeagueInfo!$F$2,IF(C34="WR",LeagueInfo!$D$5*LeagueInfo!$F$2,IF(C34="TE",LeagueInfo!$D$6*LeagueInfo!$F$2)))</f>
        <v>24</v>
      </c>
    </row>
    <row r="35" spans="1:9" x14ac:dyDescent="0.25">
      <c r="A35" s="47">
        <f ca="1">RANK(E35,E$2:E$574)</f>
        <v>40</v>
      </c>
      <c r="B35" t="s">
        <v>129</v>
      </c>
      <c r="C35" t="s">
        <v>39</v>
      </c>
      <c r="D35" s="1">
        <f ca="1">INDEX(INDIRECT($C35&amp;"!O:O"),MATCH($B35,INDIRECT($C35&amp;"!B:B"),0))</f>
        <v>139.18999999999997</v>
      </c>
      <c r="E35" s="254">
        <f ca="1">D35-LARGE(D$2:D$467,RBCount+WRCount+TECount)</f>
        <v>62.349999999999966</v>
      </c>
      <c r="F35" s="1" t="str">
        <f ca="1">IF(H35&lt;=I35,"Starter",IF(G35&gt;=LARGE(G:G,FlexOn*LeagueInfo!$F$2),"Starter","Bench"))</f>
        <v>Starter</v>
      </c>
      <c r="G35" s="1">
        <f ca="1">IF(H35&gt;I35,D35,0)</f>
        <v>0</v>
      </c>
      <c r="H35" s="1">
        <f ca="1">INDEX(INDIRECT(""&amp;C35&amp;"!A2:A489"),MATCH(B35,INDIRECT(""&amp;C35&amp;"!B2:B489"),0))</f>
        <v>17</v>
      </c>
      <c r="I35" s="1">
        <f>IF(C35="RB",LeagueInfo!$D$4*LeagueInfo!$F$2,IF(C35="WR",LeagueInfo!$D$5*LeagueInfo!$F$2,IF(C35="TE",LeagueInfo!$D$6*LeagueInfo!$F$2)))</f>
        <v>24</v>
      </c>
    </row>
    <row r="36" spans="1:9" x14ac:dyDescent="0.25">
      <c r="A36" s="47">
        <f ca="1">RANK(E36,E$2:E$574)</f>
        <v>44</v>
      </c>
      <c r="B36" t="s">
        <v>133</v>
      </c>
      <c r="C36" t="s">
        <v>47</v>
      </c>
      <c r="D36" s="1">
        <f ca="1">INDEX(INDIRECT($C36&amp;"!O:O"),MATCH($B36,INDIRECT($C36&amp;"!B:B"),0))</f>
        <v>135.10999999999999</v>
      </c>
      <c r="E36" s="254">
        <f ca="1">D36-LARGE(D$2:D$467,RBCount+WRCount+TECount)</f>
        <v>58.269999999999982</v>
      </c>
      <c r="F36" s="1" t="str">
        <f ca="1">IF(H36&lt;=I36,"Starter",IF(G36&gt;=LARGE(G:G,FlexOn*LeagueInfo!$F$2),"Starter","Bench"))</f>
        <v>Starter</v>
      </c>
      <c r="G36" s="1">
        <f ca="1">IF(H36&gt;I36,D36,0)</f>
        <v>0</v>
      </c>
      <c r="H36" s="1">
        <f ca="1">INDEX(INDIRECT(""&amp;C36&amp;"!A2:A489"),MATCH(B36,INDIRECT(""&amp;C36&amp;"!B2:B489"),0))</f>
        <v>2</v>
      </c>
      <c r="I36" s="1">
        <f>IF(C36="RB",LeagueInfo!$D$4*LeagueInfo!$F$2,IF(C36="WR",LeagueInfo!$D$5*LeagueInfo!$F$2,IF(C36="TE",LeagueInfo!$D$6*LeagueInfo!$F$2)))</f>
        <v>12</v>
      </c>
    </row>
    <row r="37" spans="1:9" x14ac:dyDescent="0.25">
      <c r="A37" s="47">
        <f ca="1">RANK(E37,E$2:E$574)</f>
        <v>24</v>
      </c>
      <c r="B37" t="s">
        <v>136</v>
      </c>
      <c r="C37" t="s">
        <v>32</v>
      </c>
      <c r="D37" s="1">
        <f ca="1">INDEX(INDIRECT($C37&amp;"!O:O"),MATCH($B37,INDIRECT($C37&amp;"!B:B"),0))</f>
        <v>158.43</v>
      </c>
      <c r="E37" s="254">
        <f ca="1">D37-LARGE(D$2:D$467,RBCount+WRCount+TECount)</f>
        <v>81.59</v>
      </c>
      <c r="F37" s="1" t="str">
        <f ca="1">IF(H37&lt;=I37,"Starter",IF(G37&gt;=LARGE(G:G,FlexOn*LeagueInfo!$F$2),"Starter","Bench"))</f>
        <v>Starter</v>
      </c>
      <c r="G37" s="1">
        <f ca="1">IF(H37&gt;I37,D37,0)</f>
        <v>0</v>
      </c>
      <c r="H37" s="1">
        <f ca="1">INDEX(INDIRECT(""&amp;C37&amp;"!A2:A489"),MATCH(B37,INDIRECT(""&amp;C37&amp;"!B2:B489"),0))</f>
        <v>14</v>
      </c>
      <c r="I37" s="1">
        <f>IF(C37="RB",LeagueInfo!$D$4*LeagueInfo!$F$2,IF(C37="WR",LeagueInfo!$D$5*LeagueInfo!$F$2,IF(C37="TE",LeagueInfo!$D$6*LeagueInfo!$F$2)))</f>
        <v>24</v>
      </c>
    </row>
    <row r="38" spans="1:9" x14ac:dyDescent="0.25">
      <c r="A38" s="47">
        <f ca="1">RANK(E38,E$2:E$574)</f>
        <v>30</v>
      </c>
      <c r="B38" t="s">
        <v>126</v>
      </c>
      <c r="C38" t="s">
        <v>32</v>
      </c>
      <c r="D38" s="1">
        <f ca="1">INDEX(INDIRECT($C38&amp;"!O:O"),MATCH($B38,INDIRECT($C38&amp;"!B:B"),0))</f>
        <v>149.09</v>
      </c>
      <c r="E38" s="254">
        <f ca="1">D38-LARGE(D$2:D$467,RBCount+WRCount+TECount)</f>
        <v>72.25</v>
      </c>
      <c r="F38" s="1" t="str">
        <f ca="1">IF(H38&lt;=I38,"Starter",IF(G38&gt;=LARGE(G:G,FlexOn*LeagueInfo!$F$2),"Starter","Bench"))</f>
        <v>Starter</v>
      </c>
      <c r="G38" s="1">
        <f ca="1">IF(H38&gt;I38,D38,0)</f>
        <v>0</v>
      </c>
      <c r="H38" s="1">
        <f ca="1">INDEX(INDIRECT(""&amp;C38&amp;"!A2:A489"),MATCH(B38,INDIRECT(""&amp;C38&amp;"!B2:B489"),0))</f>
        <v>17</v>
      </c>
      <c r="I38" s="1">
        <f>IF(C38="RB",LeagueInfo!$D$4*LeagueInfo!$F$2,IF(C38="WR",LeagueInfo!$D$5*LeagueInfo!$F$2,IF(C38="TE",LeagueInfo!$D$6*LeagueInfo!$F$2)))</f>
        <v>24</v>
      </c>
    </row>
    <row r="39" spans="1:9" x14ac:dyDescent="0.25">
      <c r="A39" s="47">
        <f ca="1">RANK(E39,E$2:E$574)</f>
        <v>29</v>
      </c>
      <c r="B39" t="s">
        <v>149</v>
      </c>
      <c r="C39" t="s">
        <v>32</v>
      </c>
      <c r="D39" s="1">
        <f ca="1">INDEX(INDIRECT($C39&amp;"!O:O"),MATCH($B39,INDIRECT($C39&amp;"!B:B"),0))</f>
        <v>150</v>
      </c>
      <c r="E39" s="254">
        <f ca="1">D39-LARGE(D$2:D$467,RBCount+WRCount+TECount)</f>
        <v>73.16</v>
      </c>
      <c r="F39" s="1" t="str">
        <f ca="1">IF(H39&lt;=I39,"Starter",IF(G39&gt;=LARGE(G:G,FlexOn*LeagueInfo!$F$2),"Starter","Bench"))</f>
        <v>Starter</v>
      </c>
      <c r="G39" s="1">
        <f ca="1">IF(H39&gt;I39,D39,0)</f>
        <v>0</v>
      </c>
      <c r="H39" s="1">
        <f ca="1">INDEX(INDIRECT(""&amp;C39&amp;"!A2:A489"),MATCH(B39,INDIRECT(""&amp;C39&amp;"!B2:B489"),0))</f>
        <v>16</v>
      </c>
      <c r="I39" s="1">
        <f>IF(C39="RB",LeagueInfo!$D$4*LeagueInfo!$F$2,IF(C39="WR",LeagueInfo!$D$5*LeagueInfo!$F$2,IF(C39="TE",LeagueInfo!$D$6*LeagueInfo!$F$2)))</f>
        <v>24</v>
      </c>
    </row>
    <row r="40" spans="1:9" x14ac:dyDescent="0.25">
      <c r="A40" s="47">
        <f ca="1">RANK(E40,E$2:E$574)</f>
        <v>56</v>
      </c>
      <c r="B40" t="s">
        <v>152</v>
      </c>
      <c r="C40" t="s">
        <v>39</v>
      </c>
      <c r="D40" s="1">
        <f ca="1">INDEX(INDIRECT($C40&amp;"!O:O"),MATCH($B40,INDIRECT($C40&amp;"!B:B"),0))</f>
        <v>127.40000000000002</v>
      </c>
      <c r="E40" s="254">
        <f ca="1">D40-LARGE(D$2:D$467,RBCount+WRCount+TECount)</f>
        <v>50.560000000000016</v>
      </c>
      <c r="F40" s="1" t="str">
        <f ca="1">IF(H40&lt;=I40,"Starter",IF(G40&gt;=LARGE(G:G,FlexOn*LeagueInfo!$F$2),"Starter","Bench"))</f>
        <v>Starter</v>
      </c>
      <c r="G40" s="1">
        <f ca="1">IF(H40&gt;I40,D40,0)</f>
        <v>127.40000000000002</v>
      </c>
      <c r="H40" s="1">
        <f ca="1">INDEX(INDIRECT(""&amp;C40&amp;"!A2:A489"),MATCH(B40,INDIRECT(""&amp;C40&amp;"!B2:B489"),0))</f>
        <v>26</v>
      </c>
      <c r="I40" s="1">
        <f>IF(C40="RB",LeagueInfo!$D$4*LeagueInfo!$F$2,IF(C40="WR",LeagueInfo!$D$5*LeagueInfo!$F$2,IF(C40="TE",LeagueInfo!$D$6*LeagueInfo!$F$2)))</f>
        <v>24</v>
      </c>
    </row>
    <row r="41" spans="1:9" x14ac:dyDescent="0.25">
      <c r="A41" s="47">
        <f ca="1">RANK(E41,E$2:E$574)</f>
        <v>50</v>
      </c>
      <c r="B41" t="s">
        <v>147</v>
      </c>
      <c r="C41" t="s">
        <v>47</v>
      </c>
      <c r="D41" s="1">
        <f ca="1">INDEX(INDIRECT($C41&amp;"!O:O"),MATCH($B41,INDIRECT($C41&amp;"!B:B"),0))</f>
        <v>132.16999999999999</v>
      </c>
      <c r="E41" s="254">
        <f ca="1">D41-LARGE(D$2:D$467,RBCount+WRCount+TECount)</f>
        <v>55.329999999999984</v>
      </c>
      <c r="F41" s="1" t="str">
        <f ca="1">IF(H41&lt;=I41,"Starter",IF(G41&gt;=LARGE(G:G,FlexOn*LeagueInfo!$F$2),"Starter","Bench"))</f>
        <v>Starter</v>
      </c>
      <c r="G41" s="1">
        <f ca="1">IF(H41&gt;I41,D41,0)</f>
        <v>0</v>
      </c>
      <c r="H41" s="1">
        <f ca="1">INDEX(INDIRECT(""&amp;C41&amp;"!A2:A489"),MATCH(B41,INDIRECT(""&amp;C41&amp;"!B2:B489"),0))</f>
        <v>3</v>
      </c>
      <c r="I41" s="1">
        <f>IF(C41="RB",LeagueInfo!$D$4*LeagueInfo!$F$2,IF(C41="WR",LeagueInfo!$D$5*LeagueInfo!$F$2,IF(C41="TE",LeagueInfo!$D$6*LeagueInfo!$F$2)))</f>
        <v>12</v>
      </c>
    </row>
    <row r="42" spans="1:9" x14ac:dyDescent="0.25">
      <c r="A42" s="47">
        <f ca="1">RANK(E42,E$2:E$574)</f>
        <v>43</v>
      </c>
      <c r="B42" t="s">
        <v>549</v>
      </c>
      <c r="C42" t="s">
        <v>39</v>
      </c>
      <c r="D42" s="1">
        <f ca="1">INDEX(INDIRECT($C42&amp;"!O:O"),MATCH($B42,INDIRECT($C42&amp;"!B:B"),0))</f>
        <v>135.24</v>
      </c>
      <c r="E42" s="254">
        <f ca="1">D42-LARGE(D$2:D$467,RBCount+WRCount+TECount)</f>
        <v>58.400000000000006</v>
      </c>
      <c r="F42" s="1" t="str">
        <f ca="1">IF(H42&lt;=I42,"Starter",IF(G42&gt;=LARGE(G:G,FlexOn*LeagueInfo!$F$2),"Starter","Bench"))</f>
        <v>Starter</v>
      </c>
      <c r="G42" s="1">
        <f ca="1">IF(H42&gt;I42,D42,0)</f>
        <v>0</v>
      </c>
      <c r="H42" s="1">
        <f ca="1">INDEX(INDIRECT(""&amp;C42&amp;"!A2:A489"),MATCH(B42,INDIRECT(""&amp;C42&amp;"!B2:B489"),0))</f>
        <v>18</v>
      </c>
      <c r="I42" s="1">
        <f>IF(C42="RB",LeagueInfo!$D$4*LeagueInfo!$F$2,IF(C42="WR",LeagueInfo!$D$5*LeagueInfo!$F$2,IF(C42="TE",LeagueInfo!$D$6*LeagueInfo!$F$2)))</f>
        <v>24</v>
      </c>
    </row>
    <row r="43" spans="1:9" x14ac:dyDescent="0.25">
      <c r="A43" s="47">
        <f ca="1">RANK(E43,E$2:E$574)</f>
        <v>36</v>
      </c>
      <c r="B43" t="s">
        <v>180</v>
      </c>
      <c r="C43" t="s">
        <v>32</v>
      </c>
      <c r="D43" s="1">
        <f ca="1">INDEX(INDIRECT($C43&amp;"!O:O"),MATCH($B43,INDIRECT($C43&amp;"!B:B"),0))</f>
        <v>143.94</v>
      </c>
      <c r="E43" s="254">
        <f ca="1">D43-LARGE(D$2:D$467,RBCount+WRCount+TECount)</f>
        <v>67.099999999999994</v>
      </c>
      <c r="F43" s="1" t="str">
        <f ca="1">IF(H43&lt;=I43,"Starter",IF(G43&gt;=LARGE(G:G,FlexOn*LeagueInfo!$F$2),"Starter","Bench"))</f>
        <v>Starter</v>
      </c>
      <c r="G43" s="1">
        <f ca="1">IF(H43&gt;I43,D43,0)</f>
        <v>0</v>
      </c>
      <c r="H43" s="1">
        <f ca="1">INDEX(INDIRECT(""&amp;C43&amp;"!A2:A489"),MATCH(B43,INDIRECT(""&amp;C43&amp;"!B2:B489"),0))</f>
        <v>22</v>
      </c>
      <c r="I43" s="1">
        <f>IF(C43="RB",LeagueInfo!$D$4*LeagueInfo!$F$2,IF(C43="WR",LeagueInfo!$D$5*LeagueInfo!$F$2,IF(C43="TE",LeagueInfo!$D$6*LeagueInfo!$F$2)))</f>
        <v>24</v>
      </c>
    </row>
    <row r="44" spans="1:9" x14ac:dyDescent="0.25">
      <c r="A44" s="47">
        <f ca="1">RANK(E44,E$2:E$574)</f>
        <v>31</v>
      </c>
      <c r="B44" t="s">
        <v>141</v>
      </c>
      <c r="C44" t="s">
        <v>32</v>
      </c>
      <c r="D44" s="1">
        <f ca="1">INDEX(INDIRECT($C44&amp;"!O:O"),MATCH($B44,INDIRECT($C44&amp;"!B:B"),0))</f>
        <v>148.84</v>
      </c>
      <c r="E44" s="254">
        <f ca="1">D44-LARGE(D$2:D$467,RBCount+WRCount+TECount)</f>
        <v>72</v>
      </c>
      <c r="F44" s="1" t="str">
        <f ca="1">IF(H44&lt;=I44,"Starter",IF(G44&gt;=LARGE(G:G,FlexOn*LeagueInfo!$F$2),"Starter","Bench"))</f>
        <v>Starter</v>
      </c>
      <c r="G44" s="1">
        <f ca="1">IF(H44&gt;I44,D44,0)</f>
        <v>0</v>
      </c>
      <c r="H44" s="1">
        <f ca="1">INDEX(INDIRECT(""&amp;C44&amp;"!A2:A489"),MATCH(B44,INDIRECT(""&amp;C44&amp;"!B2:B489"),0))</f>
        <v>18</v>
      </c>
      <c r="I44" s="1">
        <f>IF(C44="RB",LeagueInfo!$D$4*LeagueInfo!$F$2,IF(C44="WR",LeagueInfo!$D$5*LeagueInfo!$F$2,IF(C44="TE",LeagueInfo!$D$6*LeagueInfo!$F$2)))</f>
        <v>24</v>
      </c>
    </row>
    <row r="45" spans="1:9" x14ac:dyDescent="0.25">
      <c r="A45" s="47">
        <f ca="1">RANK(E45,E$2:E$574)</f>
        <v>51</v>
      </c>
      <c r="B45" t="s">
        <v>154</v>
      </c>
      <c r="C45" t="s">
        <v>39</v>
      </c>
      <c r="D45" s="1">
        <f ca="1">INDEX(INDIRECT($C45&amp;"!O:O"),MATCH($B45,INDIRECT($C45&amp;"!B:B"),0))</f>
        <v>131.99</v>
      </c>
      <c r="E45" s="254">
        <f ca="1">D45-LARGE(D$2:D$467,RBCount+WRCount+TECount)</f>
        <v>55.150000000000006</v>
      </c>
      <c r="F45" s="1" t="str">
        <f ca="1">IF(H45&lt;=I45,"Starter",IF(G45&gt;=LARGE(G:G,FlexOn*LeagueInfo!$F$2),"Starter","Bench"))</f>
        <v>Starter</v>
      </c>
      <c r="G45" s="1">
        <f ca="1">IF(H45&gt;I45,D45,0)</f>
        <v>0</v>
      </c>
      <c r="H45" s="1">
        <f ca="1">INDEX(INDIRECT(""&amp;C45&amp;"!A2:A489"),MATCH(B45,INDIRECT(""&amp;C45&amp;"!B2:B489"),0))</f>
        <v>23</v>
      </c>
      <c r="I45" s="1">
        <f>IF(C45="RB",LeagueInfo!$D$4*LeagueInfo!$F$2,IF(C45="WR",LeagueInfo!$D$5*LeagueInfo!$F$2,IF(C45="TE",LeagueInfo!$D$6*LeagueInfo!$F$2)))</f>
        <v>24</v>
      </c>
    </row>
    <row r="46" spans="1:9" x14ac:dyDescent="0.25">
      <c r="A46" s="47">
        <f ca="1">RANK(E46,E$2:E$574)</f>
        <v>46</v>
      </c>
      <c r="B46" t="s">
        <v>146</v>
      </c>
      <c r="C46" t="s">
        <v>39</v>
      </c>
      <c r="D46" s="1">
        <f ca="1">INDEX(INDIRECT($C46&amp;"!O:O"),MATCH($B46,INDIRECT($C46&amp;"!B:B"),0))</f>
        <v>133.38000000000002</v>
      </c>
      <c r="E46" s="254">
        <f ca="1">D46-LARGE(D$2:D$467,RBCount+WRCount+TECount)</f>
        <v>56.54000000000002</v>
      </c>
      <c r="F46" s="1" t="str">
        <f ca="1">IF(H46&lt;=I46,"Starter",IF(G46&gt;=LARGE(G:G,FlexOn*LeagueInfo!$F$2),"Starter","Bench"))</f>
        <v>Starter</v>
      </c>
      <c r="G46" s="1">
        <f ca="1">IF(H46&gt;I46,D46,0)</f>
        <v>0</v>
      </c>
      <c r="H46" s="1">
        <f ca="1">INDEX(INDIRECT(""&amp;C46&amp;"!A2:A489"),MATCH(B46,INDIRECT(""&amp;C46&amp;"!B2:B489"),0))</f>
        <v>19</v>
      </c>
      <c r="I46" s="1">
        <f>IF(C46="RB",LeagueInfo!$D$4*LeagueInfo!$F$2,IF(C46="WR",LeagueInfo!$D$5*LeagueInfo!$F$2,IF(C46="TE",LeagueInfo!$D$6*LeagueInfo!$F$2)))</f>
        <v>24</v>
      </c>
    </row>
    <row r="47" spans="1:9" x14ac:dyDescent="0.25">
      <c r="A47" s="47">
        <f ca="1">RANK(E47,E$2:E$574)</f>
        <v>47</v>
      </c>
      <c r="B47" t="s">
        <v>138</v>
      </c>
      <c r="C47" t="s">
        <v>39</v>
      </c>
      <c r="D47" s="1">
        <f ca="1">INDEX(INDIRECT($C47&amp;"!O:O"),MATCH($B47,INDIRECT($C47&amp;"!B:B"),0))</f>
        <v>133.19999999999999</v>
      </c>
      <c r="E47" s="254">
        <f ca="1">D47-LARGE(D$2:D$467,RBCount+WRCount+TECount)</f>
        <v>56.359999999999985</v>
      </c>
      <c r="F47" s="1" t="str">
        <f ca="1">IF(H47&lt;=I47,"Starter",IF(G47&gt;=LARGE(G:G,FlexOn*LeagueInfo!$F$2),"Starter","Bench"))</f>
        <v>Starter</v>
      </c>
      <c r="G47" s="1">
        <f ca="1">IF(H47&gt;I47,D47,0)</f>
        <v>0</v>
      </c>
      <c r="H47" s="1">
        <f ca="1">INDEX(INDIRECT(""&amp;C47&amp;"!A2:A489"),MATCH(B47,INDIRECT(""&amp;C47&amp;"!B2:B489"),0))</f>
        <v>20</v>
      </c>
      <c r="I47" s="1">
        <f>IF(C47="RB",LeagueInfo!$D$4*LeagueInfo!$F$2,IF(C47="WR",LeagueInfo!$D$5*LeagueInfo!$F$2,IF(C47="TE",LeagueInfo!$D$6*LeagueInfo!$F$2)))</f>
        <v>24</v>
      </c>
    </row>
    <row r="48" spans="1:9" x14ac:dyDescent="0.25">
      <c r="A48" s="47">
        <f ca="1">RANK(E48,E$2:E$574)</f>
        <v>59</v>
      </c>
      <c r="B48" t="s">
        <v>200</v>
      </c>
      <c r="C48" t="s">
        <v>39</v>
      </c>
      <c r="D48" s="1">
        <f ca="1">INDEX(INDIRECT($C48&amp;"!O:O"),MATCH($B48,INDIRECT($C48&amp;"!B:B"),0))</f>
        <v>125.42999999999999</v>
      </c>
      <c r="E48" s="254">
        <f ca="1">D48-LARGE(D$2:D$467,RBCount+WRCount+TECount)</f>
        <v>48.589999999999989</v>
      </c>
      <c r="F48" s="1" t="str">
        <f ca="1">IF(H48&lt;=I48,"Starter",IF(G48&gt;=LARGE(G:G,FlexOn*LeagueInfo!$F$2),"Starter","Bench"))</f>
        <v>Starter</v>
      </c>
      <c r="G48" s="1">
        <f ca="1">IF(H48&gt;I48,D48,0)</f>
        <v>125.42999999999999</v>
      </c>
      <c r="H48" s="1">
        <f ca="1">INDEX(INDIRECT(""&amp;C48&amp;"!A2:A489"),MATCH(B48,INDIRECT(""&amp;C48&amp;"!B2:B489"),0))</f>
        <v>28</v>
      </c>
      <c r="I48" s="1">
        <f>IF(C48="RB",LeagueInfo!$D$4*LeagueInfo!$F$2,IF(C48="WR",LeagueInfo!$D$5*LeagueInfo!$F$2,IF(C48="TE",LeagueInfo!$D$6*LeagueInfo!$F$2)))</f>
        <v>24</v>
      </c>
    </row>
    <row r="49" spans="1:9" x14ac:dyDescent="0.25">
      <c r="A49" s="47">
        <f ca="1">RANK(E49,E$2:E$574)</f>
        <v>57</v>
      </c>
      <c r="B49" t="s">
        <v>143</v>
      </c>
      <c r="C49" t="s">
        <v>39</v>
      </c>
      <c r="D49" s="1">
        <f ca="1">INDEX(INDIRECT($C49&amp;"!O:O"),MATCH($B49,INDIRECT($C49&amp;"!B:B"),0))</f>
        <v>126.83000000000003</v>
      </c>
      <c r="E49" s="254">
        <f ca="1">D49-LARGE(D$2:D$467,RBCount+WRCount+TECount)</f>
        <v>49.990000000000023</v>
      </c>
      <c r="F49" s="1" t="str">
        <f ca="1">IF(H49&lt;=I49,"Starter",IF(G49&gt;=LARGE(G:G,FlexOn*LeagueInfo!$F$2),"Starter","Bench"))</f>
        <v>Starter</v>
      </c>
      <c r="G49" s="1">
        <f ca="1">IF(H49&gt;I49,D49,0)</f>
        <v>126.83000000000003</v>
      </c>
      <c r="H49" s="1">
        <f ca="1">INDEX(INDIRECT(""&amp;C49&amp;"!A2:A489"),MATCH(B49,INDIRECT(""&amp;C49&amp;"!B2:B489"),0))</f>
        <v>27</v>
      </c>
      <c r="I49" s="1">
        <f>IF(C49="RB",LeagueInfo!$D$4*LeagueInfo!$F$2,IF(C49="WR",LeagueInfo!$D$5*LeagueInfo!$F$2,IF(C49="TE",LeagueInfo!$D$6*LeagueInfo!$F$2)))</f>
        <v>24</v>
      </c>
    </row>
    <row r="50" spans="1:9" x14ac:dyDescent="0.25">
      <c r="A50" s="47">
        <f ca="1">RANK(E50,E$2:E$574)</f>
        <v>49</v>
      </c>
      <c r="B50" t="s">
        <v>167</v>
      </c>
      <c r="C50" t="s">
        <v>39</v>
      </c>
      <c r="D50" s="1">
        <f ca="1">INDEX(INDIRECT($C50&amp;"!O:O"),MATCH($B50,INDIRECT($C50&amp;"!B:B"),0))</f>
        <v>132.67999999999998</v>
      </c>
      <c r="E50" s="254">
        <f ca="1">D50-LARGE(D$2:D$467,RBCount+WRCount+TECount)</f>
        <v>55.839999999999975</v>
      </c>
      <c r="F50" s="1" t="str">
        <f ca="1">IF(H50&lt;=I50,"Starter",IF(G50&gt;=LARGE(G:G,FlexOn*LeagueInfo!$F$2),"Starter","Bench"))</f>
        <v>Starter</v>
      </c>
      <c r="G50" s="1">
        <f ca="1">IF(H50&gt;I50,D50,0)</f>
        <v>0</v>
      </c>
      <c r="H50" s="1">
        <f ca="1">INDEX(INDIRECT(""&amp;C50&amp;"!A2:A489"),MATCH(B50,INDIRECT(""&amp;C50&amp;"!B2:B489"),0))</f>
        <v>22</v>
      </c>
      <c r="I50" s="1">
        <f>IF(C50="RB",LeagueInfo!$D$4*LeagueInfo!$F$2,IF(C50="WR",LeagueInfo!$D$5*LeagueInfo!$F$2,IF(C50="TE",LeagueInfo!$D$6*LeagueInfo!$F$2)))</f>
        <v>24</v>
      </c>
    </row>
    <row r="51" spans="1:9" x14ac:dyDescent="0.25">
      <c r="A51" s="47">
        <f ca="1">RANK(E51,E$2:E$574)</f>
        <v>32</v>
      </c>
      <c r="B51" t="s">
        <v>187</v>
      </c>
      <c r="C51" t="s">
        <v>32</v>
      </c>
      <c r="D51" s="1">
        <f ca="1">INDEX(INDIRECT($C51&amp;"!O:O"),MATCH($B51,INDIRECT($C51&amp;"!B:B"),0))</f>
        <v>147.16999999999999</v>
      </c>
      <c r="E51" s="254">
        <f ca="1">D51-LARGE(D$2:D$467,RBCount+WRCount+TECount)</f>
        <v>70.329999999999984</v>
      </c>
      <c r="F51" s="1" t="str">
        <f ca="1">IF(H51&lt;=I51,"Starter",IF(G51&gt;=LARGE(G:G,FlexOn*LeagueInfo!$F$2),"Starter","Bench"))</f>
        <v>Starter</v>
      </c>
      <c r="G51" s="1">
        <f ca="1">IF(H51&gt;I51,D51,0)</f>
        <v>0</v>
      </c>
      <c r="H51" s="1">
        <f ca="1">INDEX(INDIRECT(""&amp;C51&amp;"!A2:A489"),MATCH(B51,INDIRECT(""&amp;C51&amp;"!B2:B489"),0))</f>
        <v>19</v>
      </c>
      <c r="I51" s="1">
        <f>IF(C51="RB",LeagueInfo!$D$4*LeagueInfo!$F$2,IF(C51="WR",LeagueInfo!$D$5*LeagueInfo!$F$2,IF(C51="TE",LeagueInfo!$D$6*LeagueInfo!$F$2)))</f>
        <v>24</v>
      </c>
    </row>
    <row r="52" spans="1:9" x14ac:dyDescent="0.25">
      <c r="A52" s="47">
        <f ca="1">RANK(E52,E$2:E$574)</f>
        <v>34</v>
      </c>
      <c r="B52" t="s">
        <v>128</v>
      </c>
      <c r="C52" t="s">
        <v>32</v>
      </c>
      <c r="D52" s="1">
        <f ca="1">INDEX(INDIRECT($C52&amp;"!O:O"),MATCH($B52,INDIRECT($C52&amp;"!B:B"),0))</f>
        <v>145.53</v>
      </c>
      <c r="E52" s="254">
        <f ca="1">D52-LARGE(D$2:D$467,RBCount+WRCount+TECount)</f>
        <v>68.69</v>
      </c>
      <c r="F52" s="1" t="str">
        <f ca="1">IF(H52&lt;=I52,"Starter",IF(G52&gt;=LARGE(G:G,FlexOn*LeagueInfo!$F$2),"Starter","Bench"))</f>
        <v>Starter</v>
      </c>
      <c r="G52" s="1">
        <f ca="1">IF(H52&gt;I52,D52,0)</f>
        <v>0</v>
      </c>
      <c r="H52" s="1">
        <f ca="1">INDEX(INDIRECT(""&amp;C52&amp;"!A2:A489"),MATCH(B52,INDIRECT(""&amp;C52&amp;"!B2:B489"),0))</f>
        <v>21</v>
      </c>
      <c r="I52" s="1">
        <f>IF(C52="RB",LeagueInfo!$D$4*LeagueInfo!$F$2,IF(C52="WR",LeagueInfo!$D$5*LeagueInfo!$F$2,IF(C52="TE",LeagueInfo!$D$6*LeagueInfo!$F$2)))</f>
        <v>24</v>
      </c>
    </row>
    <row r="53" spans="1:9" x14ac:dyDescent="0.25">
      <c r="A53" s="47">
        <f ca="1">RANK(E53,E$2:E$574)</f>
        <v>60</v>
      </c>
      <c r="B53" t="s">
        <v>176</v>
      </c>
      <c r="C53" t="s">
        <v>39</v>
      </c>
      <c r="D53" s="1">
        <f ca="1">INDEX(INDIRECT($C53&amp;"!O:O"),MATCH($B53,INDIRECT($C53&amp;"!B:B"),0))</f>
        <v>125.12</v>
      </c>
      <c r="E53" s="254">
        <f ca="1">D53-LARGE(D$2:D$467,RBCount+WRCount+TECount)</f>
        <v>48.28</v>
      </c>
      <c r="F53" s="1" t="str">
        <f ca="1">IF(H53&lt;=I53,"Starter",IF(G53&gt;=LARGE(G:G,FlexOn*LeagueInfo!$F$2),"Starter","Bench"))</f>
        <v>Starter</v>
      </c>
      <c r="G53" s="1">
        <f ca="1">IF(H53&gt;I53,D53,0)</f>
        <v>125.12</v>
      </c>
      <c r="H53" s="1">
        <f ca="1">INDEX(INDIRECT(""&amp;C53&amp;"!A2:A489"),MATCH(B53,INDIRECT(""&amp;C53&amp;"!B2:B489"),0))</f>
        <v>29</v>
      </c>
      <c r="I53" s="1">
        <f>IF(C53="RB",LeagueInfo!$D$4*LeagueInfo!$F$2,IF(C53="WR",LeagueInfo!$D$5*LeagueInfo!$F$2,IF(C53="TE",LeagueInfo!$D$6*LeagueInfo!$F$2)))</f>
        <v>24</v>
      </c>
    </row>
    <row r="54" spans="1:9" x14ac:dyDescent="0.25">
      <c r="A54" s="47">
        <f ca="1">RANK(E54,E$2:E$574)</f>
        <v>54</v>
      </c>
      <c r="B54" t="s">
        <v>131</v>
      </c>
      <c r="C54" t="s">
        <v>39</v>
      </c>
      <c r="D54" s="1">
        <f ca="1">INDEX(INDIRECT($C54&amp;"!O:O"),MATCH($B54,INDIRECT($C54&amp;"!B:B"),0))</f>
        <v>128.08000000000001</v>
      </c>
      <c r="E54" s="254">
        <f ca="1">D54-LARGE(D$2:D$467,RBCount+WRCount+TECount)</f>
        <v>51.240000000000009</v>
      </c>
      <c r="F54" s="1" t="str">
        <f ca="1">IF(H54&lt;=I54,"Starter",IF(G54&gt;=LARGE(G:G,FlexOn*LeagueInfo!$F$2),"Starter","Bench"))</f>
        <v>Starter</v>
      </c>
      <c r="G54" s="1">
        <f ca="1">IF(H54&gt;I54,D54,0)</f>
        <v>128.08000000000001</v>
      </c>
      <c r="H54" s="1">
        <f ca="1">INDEX(INDIRECT(""&amp;C54&amp;"!A2:A489"),MATCH(B54,INDIRECT(""&amp;C54&amp;"!B2:B489"),0))</f>
        <v>25</v>
      </c>
      <c r="I54" s="1">
        <f>IF(C54="RB",LeagueInfo!$D$4*LeagueInfo!$F$2,IF(C54="WR",LeagueInfo!$D$5*LeagueInfo!$F$2,IF(C54="TE",LeagueInfo!$D$6*LeagueInfo!$F$2)))</f>
        <v>24</v>
      </c>
    </row>
    <row r="55" spans="1:9" x14ac:dyDescent="0.25">
      <c r="A55" s="47">
        <f ca="1">RANK(E55,E$2:E$574)</f>
        <v>33</v>
      </c>
      <c r="B55" t="s">
        <v>137</v>
      </c>
      <c r="C55" t="s">
        <v>32</v>
      </c>
      <c r="D55" s="1">
        <f ca="1">INDEX(INDIRECT($C55&amp;"!O:O"),MATCH($B55,INDIRECT($C55&amp;"!B:B"),0))</f>
        <v>146.94999999999999</v>
      </c>
      <c r="E55" s="254">
        <f ca="1">D55-LARGE(D$2:D$467,RBCount+WRCount+TECount)</f>
        <v>70.109999999999985</v>
      </c>
      <c r="F55" s="1" t="str">
        <f ca="1">IF(H55&lt;=I55,"Starter",IF(G55&gt;=LARGE(G:G,FlexOn*LeagueInfo!$F$2),"Starter","Bench"))</f>
        <v>Starter</v>
      </c>
      <c r="G55" s="1">
        <f ca="1">IF(H55&gt;I55,D55,0)</f>
        <v>0</v>
      </c>
      <c r="H55" s="1">
        <f ca="1">INDEX(INDIRECT(""&amp;C55&amp;"!A2:A489"),MATCH(B55,INDIRECT(""&amp;C55&amp;"!B2:B489"),0))</f>
        <v>20</v>
      </c>
      <c r="I55" s="1">
        <f>IF(C55="RB",LeagueInfo!$D$4*LeagueInfo!$F$2,IF(C55="WR",LeagueInfo!$D$5*LeagueInfo!$F$2,IF(C55="TE",LeagueInfo!$D$6*LeagueInfo!$F$2)))</f>
        <v>24</v>
      </c>
    </row>
    <row r="56" spans="1:9" x14ac:dyDescent="0.25">
      <c r="A56" s="47">
        <f ca="1">RANK(E56,E$2:E$574)</f>
        <v>66</v>
      </c>
      <c r="B56" t="s">
        <v>139</v>
      </c>
      <c r="C56" t="s">
        <v>47</v>
      </c>
      <c r="D56" s="1">
        <f ca="1">INDEX(INDIRECT($C56&amp;"!O:O"),MATCH($B56,INDIRECT($C56&amp;"!B:B"),0))</f>
        <v>119.86</v>
      </c>
      <c r="E56" s="254">
        <f ca="1">D56-LARGE(D$2:D$467,RBCount+WRCount+TECount)</f>
        <v>43.019999999999996</v>
      </c>
      <c r="F56" s="1" t="str">
        <f ca="1">IF(H56&lt;=I56,"Starter",IF(G56&gt;=LARGE(G:G,FlexOn*LeagueInfo!$F$2),"Starter","Bench"))</f>
        <v>Starter</v>
      </c>
      <c r="G56" s="1">
        <f ca="1">IF(H56&gt;I56,D56,0)</f>
        <v>0</v>
      </c>
      <c r="H56" s="1">
        <f ca="1">INDEX(INDIRECT(""&amp;C56&amp;"!A2:A489"),MATCH(B56,INDIRECT(""&amp;C56&amp;"!B2:B489"),0))</f>
        <v>4</v>
      </c>
      <c r="I56" s="1">
        <f>IF(C56="RB",LeagueInfo!$D$4*LeagueInfo!$F$2,IF(C56="WR",LeagueInfo!$D$5*LeagueInfo!$F$2,IF(C56="TE",LeagueInfo!$D$6*LeagueInfo!$F$2)))</f>
        <v>12</v>
      </c>
    </row>
    <row r="57" spans="1:9" x14ac:dyDescent="0.25">
      <c r="A57" s="47">
        <f ca="1">RANK(E57,E$2:E$574)</f>
        <v>65</v>
      </c>
      <c r="B57" t="s">
        <v>172</v>
      </c>
      <c r="C57" t="s">
        <v>39</v>
      </c>
      <c r="D57" s="1">
        <f ca="1">INDEX(INDIRECT($C57&amp;"!O:O"),MATCH($B57,INDIRECT($C57&amp;"!B:B"),0))</f>
        <v>120.64</v>
      </c>
      <c r="E57" s="254">
        <f ca="1">D57-LARGE(D$2:D$467,RBCount+WRCount+TECount)</f>
        <v>43.8</v>
      </c>
      <c r="F57" s="1" t="str">
        <f ca="1">IF(H57&lt;=I57,"Starter",IF(G57&gt;=LARGE(G:G,FlexOn*LeagueInfo!$F$2),"Starter","Bench"))</f>
        <v>Bench</v>
      </c>
      <c r="G57" s="1">
        <f ca="1">IF(H57&gt;I57,D57,0)</f>
        <v>120.64</v>
      </c>
      <c r="H57" s="1">
        <f ca="1">INDEX(INDIRECT(""&amp;C57&amp;"!A2:A489"),MATCH(B57,INDIRECT(""&amp;C57&amp;"!B2:B489"),0))</f>
        <v>31</v>
      </c>
      <c r="I57" s="1">
        <f>IF(C57="RB",LeagueInfo!$D$4*LeagueInfo!$F$2,IF(C57="WR",LeagueInfo!$D$5*LeagueInfo!$F$2,IF(C57="TE",LeagueInfo!$D$6*LeagueInfo!$F$2)))</f>
        <v>24</v>
      </c>
    </row>
    <row r="58" spans="1:9" x14ac:dyDescent="0.25">
      <c r="A58" s="47">
        <f ca="1">RANK(E58,E$2:E$574)</f>
        <v>69</v>
      </c>
      <c r="B58" t="s">
        <v>222</v>
      </c>
      <c r="C58" t="s">
        <v>39</v>
      </c>
      <c r="D58" s="1">
        <f ca="1">INDEX(INDIRECT($C58&amp;"!O:O"),MATCH($B58,INDIRECT($C58&amp;"!B:B"),0))</f>
        <v>118.86</v>
      </c>
      <c r="E58" s="254">
        <f ca="1">D58-LARGE(D$2:D$467,RBCount+WRCount+TECount)</f>
        <v>42.019999999999996</v>
      </c>
      <c r="F58" s="1" t="str">
        <f ca="1">IF(H58&lt;=I58,"Starter",IF(G58&gt;=LARGE(G:G,FlexOn*LeagueInfo!$F$2),"Starter","Bench"))</f>
        <v>Bench</v>
      </c>
      <c r="G58" s="1">
        <f ca="1">IF(H58&gt;I58,D58,0)</f>
        <v>118.86</v>
      </c>
      <c r="H58" s="1">
        <f ca="1">INDEX(INDIRECT(""&amp;C58&amp;"!A2:A489"),MATCH(B58,INDIRECT(""&amp;C58&amp;"!B2:B489"),0))</f>
        <v>33</v>
      </c>
      <c r="I58" s="1">
        <f>IF(C58="RB",LeagueInfo!$D$4*LeagueInfo!$F$2,IF(C58="WR",LeagueInfo!$D$5*LeagueInfo!$F$2,IF(C58="TE",LeagueInfo!$D$6*LeagueInfo!$F$2)))</f>
        <v>24</v>
      </c>
    </row>
    <row r="59" spans="1:9" x14ac:dyDescent="0.25">
      <c r="A59" s="47">
        <f ca="1">RANK(E59,E$2:E$574)</f>
        <v>41</v>
      </c>
      <c r="B59" t="s">
        <v>159</v>
      </c>
      <c r="C59" t="s">
        <v>32</v>
      </c>
      <c r="D59" s="1">
        <f ca="1">INDEX(INDIRECT($C59&amp;"!O:O"),MATCH($B59,INDIRECT($C59&amp;"!B:B"),0))</f>
        <v>136.91</v>
      </c>
      <c r="E59" s="254">
        <f ca="1">D59-LARGE(D$2:D$467,RBCount+WRCount+TECount)</f>
        <v>60.069999999999993</v>
      </c>
      <c r="F59" s="1" t="str">
        <f ca="1">IF(H59&lt;=I59,"Starter",IF(G59&gt;=LARGE(G:G,FlexOn*LeagueInfo!$F$2),"Starter","Bench"))</f>
        <v>Starter</v>
      </c>
      <c r="G59" s="1">
        <f ca="1">IF(H59&gt;I59,D59,0)</f>
        <v>0</v>
      </c>
      <c r="H59" s="1">
        <f ca="1">INDEX(INDIRECT(""&amp;C59&amp;"!A2:A489"),MATCH(B59,INDIRECT(""&amp;C59&amp;"!B2:B489"),0))</f>
        <v>23</v>
      </c>
      <c r="I59" s="1">
        <f>IF(C59="RB",LeagueInfo!$D$4*LeagueInfo!$F$2,IF(C59="WR",LeagueInfo!$D$5*LeagueInfo!$F$2,IF(C59="TE",LeagueInfo!$D$6*LeagueInfo!$F$2)))</f>
        <v>24</v>
      </c>
    </row>
    <row r="60" spans="1:9" x14ac:dyDescent="0.25">
      <c r="A60" s="47">
        <f ca="1">RANK(E60,E$2:E$574)</f>
        <v>42</v>
      </c>
      <c r="B60" t="s">
        <v>183</v>
      </c>
      <c r="C60" t="s">
        <v>32</v>
      </c>
      <c r="D60" s="1">
        <f ca="1">INDEX(INDIRECT($C60&amp;"!O:O"),MATCH($B60,INDIRECT($C60&amp;"!B:B"),0))</f>
        <v>136.69</v>
      </c>
      <c r="E60" s="254">
        <f ca="1">D60-LARGE(D$2:D$467,RBCount+WRCount+TECount)</f>
        <v>59.849999999999994</v>
      </c>
      <c r="F60" s="1" t="str">
        <f ca="1">IF(H60&lt;=I60,"Starter",IF(G60&gt;=LARGE(G:G,FlexOn*LeagueInfo!$F$2),"Starter","Bench"))</f>
        <v>Starter</v>
      </c>
      <c r="G60" s="1">
        <f ca="1">IF(H60&gt;I60,D60,0)</f>
        <v>0</v>
      </c>
      <c r="H60" s="1">
        <f ca="1">INDEX(INDIRECT(""&amp;C60&amp;"!A2:A489"),MATCH(B60,INDIRECT(""&amp;C60&amp;"!B2:B489"),0))</f>
        <v>24</v>
      </c>
      <c r="I60" s="1">
        <f>IF(C60="RB",LeagueInfo!$D$4*LeagueInfo!$F$2,IF(C60="WR",LeagueInfo!$D$5*LeagueInfo!$F$2,IF(C60="TE",LeagueInfo!$D$6*LeagueInfo!$F$2)))</f>
        <v>24</v>
      </c>
    </row>
    <row r="61" spans="1:9" x14ac:dyDescent="0.25">
      <c r="A61" s="47">
        <f ca="1">RANK(E61,E$2:E$574)</f>
        <v>62</v>
      </c>
      <c r="B61" t="s">
        <v>151</v>
      </c>
      <c r="C61" t="s">
        <v>39</v>
      </c>
      <c r="D61" s="1">
        <f ca="1">INDEX(INDIRECT($C61&amp;"!O:O"),MATCH($B61,INDIRECT($C61&amp;"!B:B"),0))</f>
        <v>123.56000000000002</v>
      </c>
      <c r="E61" s="254">
        <f ca="1">D61-LARGE(D$2:D$467,RBCount+WRCount+TECount)</f>
        <v>46.720000000000013</v>
      </c>
      <c r="F61" s="1" t="str">
        <f ca="1">IF(H61&lt;=I61,"Starter",IF(G61&gt;=LARGE(G:G,FlexOn*LeagueInfo!$F$2),"Starter","Bench"))</f>
        <v>Starter</v>
      </c>
      <c r="G61" s="1">
        <f ca="1">IF(H61&gt;I61,D61,0)</f>
        <v>123.56000000000002</v>
      </c>
      <c r="H61" s="1">
        <f ca="1">INDEX(INDIRECT(""&amp;C61&amp;"!A2:A489"),MATCH(B61,INDIRECT(""&amp;C61&amp;"!B2:B489"),0))</f>
        <v>30</v>
      </c>
      <c r="I61" s="1">
        <f>IF(C61="RB",LeagueInfo!$D$4*LeagueInfo!$F$2,IF(C61="WR",LeagueInfo!$D$5*LeagueInfo!$F$2,IF(C61="TE",LeagueInfo!$D$6*LeagueInfo!$F$2)))</f>
        <v>24</v>
      </c>
    </row>
    <row r="62" spans="1:9" x14ac:dyDescent="0.25">
      <c r="A62" s="47">
        <f ca="1">RANK(E62,E$2:E$574)</f>
        <v>67</v>
      </c>
      <c r="B62" t="s">
        <v>157</v>
      </c>
      <c r="C62" t="s">
        <v>47</v>
      </c>
      <c r="D62" s="1">
        <f ca="1">INDEX(INDIRECT($C62&amp;"!O:O"),MATCH($B62,INDIRECT($C62&amp;"!B:B"),0))</f>
        <v>119.81000000000002</v>
      </c>
      <c r="E62" s="254">
        <f ca="1">D62-LARGE(D$2:D$467,RBCount+WRCount+TECount)</f>
        <v>42.970000000000013</v>
      </c>
      <c r="F62" s="1" t="str">
        <f ca="1">IF(H62&lt;=I62,"Starter",IF(G62&gt;=LARGE(G:G,FlexOn*LeagueInfo!$F$2),"Starter","Bench"))</f>
        <v>Starter</v>
      </c>
      <c r="G62" s="1">
        <f ca="1">IF(H62&gt;I62,D62,0)</f>
        <v>0</v>
      </c>
      <c r="H62" s="1">
        <f ca="1">INDEX(INDIRECT(""&amp;C62&amp;"!A2:A489"),MATCH(B62,INDIRECT(""&amp;C62&amp;"!B2:B489"),0))</f>
        <v>5</v>
      </c>
      <c r="I62" s="1">
        <f>IF(C62="RB",LeagueInfo!$D$4*LeagueInfo!$F$2,IF(C62="WR",LeagueInfo!$D$5*LeagueInfo!$F$2,IF(C62="TE",LeagueInfo!$D$6*LeagueInfo!$F$2)))</f>
        <v>12</v>
      </c>
    </row>
    <row r="63" spans="1:9" x14ac:dyDescent="0.25">
      <c r="A63" s="47">
        <f ca="1">RANK(E63,E$2:E$574)</f>
        <v>68</v>
      </c>
      <c r="B63" t="s">
        <v>550</v>
      </c>
      <c r="C63" t="s">
        <v>39</v>
      </c>
      <c r="D63" s="1">
        <f ca="1">INDEX(INDIRECT($C63&amp;"!O:O"),MATCH($B63,INDIRECT($C63&amp;"!B:B"),0))</f>
        <v>119.52000000000001</v>
      </c>
      <c r="E63" s="254">
        <f ca="1">D63-LARGE(D$2:D$467,RBCount+WRCount+TECount)</f>
        <v>42.680000000000007</v>
      </c>
      <c r="F63" s="1" t="str">
        <f ca="1">IF(H63&lt;=I63,"Starter",IF(G63&gt;=LARGE(G:G,FlexOn*LeagueInfo!$F$2),"Starter","Bench"))</f>
        <v>Bench</v>
      </c>
      <c r="G63" s="1">
        <f ca="1">IF(H63&gt;I63,D63,0)</f>
        <v>119.52000000000001</v>
      </c>
      <c r="H63" s="1">
        <f ca="1">INDEX(INDIRECT(""&amp;C63&amp;"!A2:A489"),MATCH(B63,INDIRECT(""&amp;C63&amp;"!B2:B489"),0))</f>
        <v>32</v>
      </c>
      <c r="I63" s="1">
        <f>IF(C63="RB",LeagueInfo!$D$4*LeagueInfo!$F$2,IF(C63="WR",LeagueInfo!$D$5*LeagueInfo!$F$2,IF(C63="TE",LeagueInfo!$D$6*LeagueInfo!$F$2)))</f>
        <v>24</v>
      </c>
    </row>
    <row r="64" spans="1:9" x14ac:dyDescent="0.25">
      <c r="A64" s="47">
        <f ca="1">RANK(E64,E$2:E$574)</f>
        <v>71</v>
      </c>
      <c r="B64" t="s">
        <v>225</v>
      </c>
      <c r="C64" t="s">
        <v>39</v>
      </c>
      <c r="D64" s="1">
        <f ca="1">INDEX(INDIRECT($C64&amp;"!O:O"),MATCH($B64,INDIRECT($C64&amp;"!B:B"),0))</f>
        <v>115.98</v>
      </c>
      <c r="E64" s="254">
        <f ca="1">D64-LARGE(D$2:D$467,RBCount+WRCount+TECount)</f>
        <v>39.14</v>
      </c>
      <c r="F64" s="1" t="str">
        <f ca="1">IF(H64&lt;=I64,"Starter",IF(G64&gt;=LARGE(G:G,FlexOn*LeagueInfo!$F$2),"Starter","Bench"))</f>
        <v>Bench</v>
      </c>
      <c r="G64" s="1">
        <f ca="1">IF(H64&gt;I64,D64,0)</f>
        <v>115.98</v>
      </c>
      <c r="H64" s="1">
        <f ca="1">INDEX(INDIRECT(""&amp;C64&amp;"!A2:A489"),MATCH(B64,INDIRECT(""&amp;C64&amp;"!B2:B489"),0))</f>
        <v>35</v>
      </c>
      <c r="I64" s="1">
        <f>IF(C64="RB",LeagueInfo!$D$4*LeagueInfo!$F$2,IF(C64="WR",LeagueInfo!$D$5*LeagueInfo!$F$2,IF(C64="TE",LeagueInfo!$D$6*LeagueInfo!$F$2)))</f>
        <v>24</v>
      </c>
    </row>
    <row r="65" spans="1:9" x14ac:dyDescent="0.25">
      <c r="A65" s="47">
        <f ca="1">RANK(E65,E$2:E$574)</f>
        <v>70</v>
      </c>
      <c r="B65" t="s">
        <v>166</v>
      </c>
      <c r="C65" t="s">
        <v>39</v>
      </c>
      <c r="D65" s="1">
        <f ca="1">INDEX(INDIRECT($C65&amp;"!O:O"),MATCH($B65,INDIRECT($C65&amp;"!B:B"),0))</f>
        <v>117.29</v>
      </c>
      <c r="E65" s="254">
        <f ca="1">D65-LARGE(D$2:D$467,RBCount+WRCount+TECount)</f>
        <v>40.450000000000003</v>
      </c>
      <c r="F65" s="1" t="str">
        <f ca="1">IF(H65&lt;=I65,"Starter",IF(G65&gt;=LARGE(G:G,FlexOn*LeagueInfo!$F$2),"Starter","Bench"))</f>
        <v>Bench</v>
      </c>
      <c r="G65" s="1">
        <f ca="1">IF(H65&gt;I65,D65,0)</f>
        <v>117.29</v>
      </c>
      <c r="H65" s="1">
        <f ca="1">INDEX(INDIRECT(""&amp;C65&amp;"!A2:A489"),MATCH(B65,INDIRECT(""&amp;C65&amp;"!B2:B489"),0))</f>
        <v>34</v>
      </c>
      <c r="I65" s="1">
        <f>IF(C65="RB",LeagueInfo!$D$4*LeagueInfo!$F$2,IF(C65="WR",LeagueInfo!$D$5*LeagueInfo!$F$2,IF(C65="TE",LeagueInfo!$D$6*LeagueInfo!$F$2)))</f>
        <v>24</v>
      </c>
    </row>
    <row r="66" spans="1:9" x14ac:dyDescent="0.25">
      <c r="A66" s="47">
        <f ca="1">RANK(E66,E$2:E$574)</f>
        <v>45</v>
      </c>
      <c r="B66" t="s">
        <v>189</v>
      </c>
      <c r="C66" t="s">
        <v>32</v>
      </c>
      <c r="D66" s="1">
        <f ca="1">INDEX(INDIRECT($C66&amp;"!O:O"),MATCH($B66,INDIRECT($C66&amp;"!B:B"),0))</f>
        <v>134.91000000000003</v>
      </c>
      <c r="E66" s="254">
        <f ca="1">D66-LARGE(D$2:D$467,RBCount+WRCount+TECount)</f>
        <v>58.070000000000022</v>
      </c>
      <c r="F66" s="1" t="str">
        <f ca="1">IF(H66&lt;=I66,"Starter",IF(G66&gt;=LARGE(G:G,FlexOn*LeagueInfo!$F$2),"Starter","Bench"))</f>
        <v>Starter</v>
      </c>
      <c r="G66" s="1">
        <f ca="1">IF(H66&gt;I66,D66,0)</f>
        <v>134.91000000000003</v>
      </c>
      <c r="H66" s="1">
        <f ca="1">INDEX(INDIRECT(""&amp;C66&amp;"!A2:A489"),MATCH(B66,INDIRECT(""&amp;C66&amp;"!B2:B489"),0))</f>
        <v>25</v>
      </c>
      <c r="I66" s="1">
        <f>IF(C66="RB",LeagueInfo!$D$4*LeagueInfo!$F$2,IF(C66="WR",LeagueInfo!$D$5*LeagueInfo!$F$2,IF(C66="TE",LeagueInfo!$D$6*LeagueInfo!$F$2)))</f>
        <v>24</v>
      </c>
    </row>
    <row r="67" spans="1:9" x14ac:dyDescent="0.25">
      <c r="A67" s="47">
        <f ca="1">RANK(E67,E$2:E$574)</f>
        <v>80</v>
      </c>
      <c r="B67" t="s">
        <v>204</v>
      </c>
      <c r="C67" t="s">
        <v>47</v>
      </c>
      <c r="D67" s="1">
        <f ca="1">INDEX(INDIRECT($C67&amp;"!O:O"),MATCH($B67,INDIRECT($C67&amp;"!B:B"),0))</f>
        <v>109.99</v>
      </c>
      <c r="E67" s="254">
        <f ca="1">D67-LARGE(D$2:D$467,RBCount+WRCount+TECount)</f>
        <v>33.149999999999991</v>
      </c>
      <c r="F67" s="1" t="str">
        <f ca="1">IF(H67&lt;=I67,"Starter",IF(G67&gt;=LARGE(G:G,FlexOn*LeagueInfo!$F$2),"Starter","Bench"))</f>
        <v>Starter</v>
      </c>
      <c r="G67" s="1">
        <f ca="1">IF(H67&gt;I67,D67,0)</f>
        <v>0</v>
      </c>
      <c r="H67" s="1">
        <f ca="1">INDEX(INDIRECT(""&amp;C67&amp;"!A2:A489"),MATCH(B67,INDIRECT(""&amp;C67&amp;"!B2:B489"),0))</f>
        <v>6</v>
      </c>
      <c r="I67" s="1">
        <f>IF(C67="RB",LeagueInfo!$D$4*LeagueInfo!$F$2,IF(C67="WR",LeagueInfo!$D$5*LeagueInfo!$F$2,IF(C67="TE",LeagueInfo!$D$6*LeagueInfo!$F$2)))</f>
        <v>12</v>
      </c>
    </row>
    <row r="68" spans="1:9" x14ac:dyDescent="0.25">
      <c r="A68" s="47">
        <f ca="1">RANK(E68,E$2:E$574)</f>
        <v>74</v>
      </c>
      <c r="B68" t="s">
        <v>265</v>
      </c>
      <c r="C68" t="s">
        <v>39</v>
      </c>
      <c r="D68" s="1">
        <f ca="1">INDEX(INDIRECT($C68&amp;"!O:O"),MATCH($B68,INDIRECT($C68&amp;"!B:B"),0))</f>
        <v>113.85</v>
      </c>
      <c r="E68" s="254">
        <f ca="1">D68-LARGE(D$2:D$467,RBCount+WRCount+TECount)</f>
        <v>37.009999999999991</v>
      </c>
      <c r="F68" s="1" t="str">
        <f ca="1">IF(H68&lt;=I68,"Starter",IF(G68&gt;=LARGE(G:G,FlexOn*LeagueInfo!$F$2),"Starter","Bench"))</f>
        <v>Bench</v>
      </c>
      <c r="G68" s="1">
        <f ca="1">IF(H68&gt;I68,D68,0)</f>
        <v>113.85</v>
      </c>
      <c r="H68" s="1">
        <f ca="1">INDEX(INDIRECT(""&amp;C68&amp;"!A2:A489"),MATCH(B68,INDIRECT(""&amp;C68&amp;"!B2:B489"),0))</f>
        <v>37</v>
      </c>
      <c r="I68" s="1">
        <f>IF(C68="RB",LeagueInfo!$D$4*LeagueInfo!$F$2,IF(C68="WR",LeagueInfo!$D$5*LeagueInfo!$F$2,IF(C68="TE",LeagueInfo!$D$6*LeagueInfo!$F$2)))</f>
        <v>24</v>
      </c>
    </row>
    <row r="69" spans="1:9" x14ac:dyDescent="0.25">
      <c r="A69" s="47">
        <f ca="1">RANK(E69,E$2:E$574)</f>
        <v>53</v>
      </c>
      <c r="B69" t="s">
        <v>145</v>
      </c>
      <c r="C69" t="s">
        <v>32</v>
      </c>
      <c r="D69" s="1">
        <f ca="1">INDEX(INDIRECT($C69&amp;"!O:O"),MATCH($B69,INDIRECT($C69&amp;"!B:B"),0))</f>
        <v>129.82999999999998</v>
      </c>
      <c r="E69" s="254">
        <f ca="1">D69-LARGE(D$2:D$467,RBCount+WRCount+TECount)</f>
        <v>52.989999999999981</v>
      </c>
      <c r="F69" s="1" t="str">
        <f ca="1">IF(H69&lt;=I69,"Starter",IF(G69&gt;=LARGE(G:G,FlexOn*LeagueInfo!$F$2),"Starter","Bench"))</f>
        <v>Starter</v>
      </c>
      <c r="G69" s="1">
        <f ca="1">IF(H69&gt;I69,D69,0)</f>
        <v>129.82999999999998</v>
      </c>
      <c r="H69" s="1">
        <f ca="1">INDEX(INDIRECT(""&amp;C69&amp;"!A2:A489"),MATCH(B69,INDIRECT(""&amp;C69&amp;"!B2:B489"),0))</f>
        <v>26</v>
      </c>
      <c r="I69" s="1">
        <f>IF(C69="RB",LeagueInfo!$D$4*LeagueInfo!$F$2,IF(C69="WR",LeagueInfo!$D$5*LeagueInfo!$F$2,IF(C69="TE",LeagueInfo!$D$6*LeagueInfo!$F$2)))</f>
        <v>24</v>
      </c>
    </row>
    <row r="70" spans="1:9" x14ac:dyDescent="0.25">
      <c r="A70" s="47">
        <f ca="1">RANK(E70,E$2:E$574)</f>
        <v>84</v>
      </c>
      <c r="B70" t="s">
        <v>215</v>
      </c>
      <c r="C70" t="s">
        <v>39</v>
      </c>
      <c r="D70" s="1">
        <f ca="1">INDEX(INDIRECT($C70&amp;"!O:O"),MATCH($B70,INDIRECT($C70&amp;"!B:B"),0))</f>
        <v>108.55</v>
      </c>
      <c r="E70" s="254">
        <f ca="1">D70-LARGE(D$2:D$467,RBCount+WRCount+TECount)</f>
        <v>31.709999999999994</v>
      </c>
      <c r="F70" s="1" t="str">
        <f ca="1">IF(H70&lt;=I70,"Starter",IF(G70&gt;=LARGE(G:G,FlexOn*LeagueInfo!$F$2),"Starter","Bench"))</f>
        <v>Bench</v>
      </c>
      <c r="G70" s="1">
        <f ca="1">IF(H70&gt;I70,D70,0)</f>
        <v>108.55</v>
      </c>
      <c r="H70" s="1">
        <f ca="1">INDEX(INDIRECT(""&amp;C70&amp;"!A2:A489"),MATCH(B70,INDIRECT(""&amp;C70&amp;"!B2:B489"),0))</f>
        <v>42</v>
      </c>
      <c r="I70" s="1">
        <f>IF(C70="RB",LeagueInfo!$D$4*LeagueInfo!$F$2,IF(C70="WR",LeagueInfo!$D$5*LeagueInfo!$F$2,IF(C70="TE",LeagueInfo!$D$6*LeagueInfo!$F$2)))</f>
        <v>24</v>
      </c>
    </row>
    <row r="71" spans="1:9" x14ac:dyDescent="0.25">
      <c r="A71" s="47">
        <f ca="1">RANK(E71,E$2:E$574)</f>
        <v>78</v>
      </c>
      <c r="B71" t="s">
        <v>248</v>
      </c>
      <c r="C71" t="s">
        <v>39</v>
      </c>
      <c r="D71" s="1">
        <f ca="1">INDEX(INDIRECT($C71&amp;"!O:O"),MATCH($B71,INDIRECT($C71&amp;"!B:B"),0))</f>
        <v>111.28999999999999</v>
      </c>
      <c r="E71" s="254">
        <f ca="1">D71-LARGE(D$2:D$467,RBCount+WRCount+TECount)</f>
        <v>34.449999999999989</v>
      </c>
      <c r="F71" s="1" t="str">
        <f ca="1">IF(H71&lt;=I71,"Starter",IF(G71&gt;=LARGE(G:G,FlexOn*LeagueInfo!$F$2),"Starter","Bench"))</f>
        <v>Bench</v>
      </c>
      <c r="G71" s="1">
        <f ca="1">IF(H71&gt;I71,D71,0)</f>
        <v>111.28999999999999</v>
      </c>
      <c r="H71" s="1">
        <f ca="1">INDEX(INDIRECT(""&amp;C71&amp;"!A2:A489"),MATCH(B71,INDIRECT(""&amp;C71&amp;"!B2:B489"),0))</f>
        <v>40</v>
      </c>
      <c r="I71" s="1">
        <f>IF(C71="RB",LeagueInfo!$D$4*LeagueInfo!$F$2,IF(C71="WR",LeagueInfo!$D$5*LeagueInfo!$F$2,IF(C71="TE",LeagueInfo!$D$6*LeagueInfo!$F$2)))</f>
        <v>24</v>
      </c>
    </row>
    <row r="72" spans="1:9" x14ac:dyDescent="0.25">
      <c r="A72" s="47">
        <f ca="1">RANK(E72,E$2:E$574)</f>
        <v>55</v>
      </c>
      <c r="B72" t="s">
        <v>205</v>
      </c>
      <c r="C72" t="s">
        <v>32</v>
      </c>
      <c r="D72" s="1">
        <f ca="1">INDEX(INDIRECT($C72&amp;"!O:O"),MATCH($B72,INDIRECT($C72&amp;"!B:B"),0))</f>
        <v>127.69</v>
      </c>
      <c r="E72" s="254">
        <f ca="1">D72-LARGE(D$2:D$467,RBCount+WRCount+TECount)</f>
        <v>50.849999999999994</v>
      </c>
      <c r="F72" s="1" t="str">
        <f ca="1">IF(H72&lt;=I72,"Starter",IF(G72&gt;=LARGE(G:G,FlexOn*LeagueInfo!$F$2),"Starter","Bench"))</f>
        <v>Starter</v>
      </c>
      <c r="G72" s="1">
        <f ca="1">IF(H72&gt;I72,D72,0)</f>
        <v>127.69</v>
      </c>
      <c r="H72" s="1">
        <f ca="1">INDEX(INDIRECT(""&amp;C72&amp;"!A2:A489"),MATCH(B72,INDIRECT(""&amp;C72&amp;"!B2:B489"),0))</f>
        <v>27</v>
      </c>
      <c r="I72" s="1">
        <f>IF(C72="RB",LeagueInfo!$D$4*LeagueInfo!$F$2,IF(C72="WR",LeagueInfo!$D$5*LeagueInfo!$F$2,IF(C72="TE",LeagueInfo!$D$6*LeagueInfo!$F$2)))</f>
        <v>24</v>
      </c>
    </row>
    <row r="73" spans="1:9" x14ac:dyDescent="0.25">
      <c r="A73" s="47">
        <f ca="1">RANK(E73,E$2:E$574)</f>
        <v>75</v>
      </c>
      <c r="B73" t="s">
        <v>199</v>
      </c>
      <c r="C73" t="s">
        <v>39</v>
      </c>
      <c r="D73" s="1">
        <f ca="1">INDEX(INDIRECT($C73&amp;"!O:O"),MATCH($B73,INDIRECT($C73&amp;"!B:B"),0))</f>
        <v>113.36</v>
      </c>
      <c r="E73" s="254">
        <f ca="1">D73-LARGE(D$2:D$467,RBCount+WRCount+TECount)</f>
        <v>36.519999999999996</v>
      </c>
      <c r="F73" s="1" t="str">
        <f ca="1">IF(H73&lt;=I73,"Starter",IF(G73&gt;=LARGE(G:G,FlexOn*LeagueInfo!$F$2),"Starter","Bench"))</f>
        <v>Bench</v>
      </c>
      <c r="G73" s="1">
        <f ca="1">IF(H73&gt;I73,D73,0)</f>
        <v>113.36</v>
      </c>
      <c r="H73" s="1">
        <f ca="1">INDEX(INDIRECT(""&amp;C73&amp;"!A2:A489"),MATCH(B73,INDIRECT(""&amp;C73&amp;"!B2:B489"),0))</f>
        <v>38</v>
      </c>
      <c r="I73" s="1">
        <f>IF(C73="RB",LeagueInfo!$D$4*LeagueInfo!$F$2,IF(C73="WR",LeagueInfo!$D$5*LeagueInfo!$F$2,IF(C73="TE",LeagueInfo!$D$6*LeagueInfo!$F$2)))</f>
        <v>24</v>
      </c>
    </row>
    <row r="74" spans="1:9" x14ac:dyDescent="0.25">
      <c r="A74" s="47">
        <f ca="1">RANK(E74,E$2:E$574)</f>
        <v>93</v>
      </c>
      <c r="B74" t="s">
        <v>223</v>
      </c>
      <c r="C74" t="s">
        <v>47</v>
      </c>
      <c r="D74" s="1">
        <f ca="1">INDEX(INDIRECT($C74&amp;"!O:O"),MATCH($B74,INDIRECT($C74&amp;"!B:B"),0))</f>
        <v>105.23</v>
      </c>
      <c r="E74" s="254">
        <f ca="1">D74-LARGE(D$2:D$467,RBCount+WRCount+TECount)</f>
        <v>28.39</v>
      </c>
      <c r="F74" s="1" t="str">
        <f ca="1">IF(H74&lt;=I74,"Starter",IF(G74&gt;=LARGE(G:G,FlexOn*LeagueInfo!$F$2),"Starter","Bench"))</f>
        <v>Starter</v>
      </c>
      <c r="G74" s="1">
        <f ca="1">IF(H74&gt;I74,D74,0)</f>
        <v>0</v>
      </c>
      <c r="H74" s="1">
        <f ca="1">INDEX(INDIRECT(""&amp;C74&amp;"!A2:A489"),MATCH(B74,INDIRECT(""&amp;C74&amp;"!B2:B489"),0))</f>
        <v>9</v>
      </c>
      <c r="I74" s="1">
        <f>IF(C74="RB",LeagueInfo!$D$4*LeagueInfo!$F$2,IF(C74="WR",LeagueInfo!$D$5*LeagueInfo!$F$2,IF(C74="TE",LeagueInfo!$D$6*LeagueInfo!$F$2)))</f>
        <v>12</v>
      </c>
    </row>
    <row r="75" spans="1:9" x14ac:dyDescent="0.25">
      <c r="A75" s="47">
        <f ca="1">RANK(E75,E$2:E$574)</f>
        <v>73</v>
      </c>
      <c r="B75" t="s">
        <v>174</v>
      </c>
      <c r="C75" t="s">
        <v>39</v>
      </c>
      <c r="D75" s="1">
        <f ca="1">INDEX(INDIRECT($C75&amp;"!O:O"),MATCH($B75,INDIRECT($C75&amp;"!B:B"),0))</f>
        <v>115.07000000000001</v>
      </c>
      <c r="E75" s="254">
        <f ca="1">D75-LARGE(D$2:D$467,RBCount+WRCount+TECount)</f>
        <v>38.230000000000004</v>
      </c>
      <c r="F75" s="1" t="str">
        <f ca="1">IF(H75&lt;=I75,"Starter",IF(G75&gt;=LARGE(G:G,FlexOn*LeagueInfo!$F$2),"Starter","Bench"))</f>
        <v>Bench</v>
      </c>
      <c r="G75" s="1">
        <f ca="1">IF(H75&gt;I75,D75,0)</f>
        <v>115.07000000000001</v>
      </c>
      <c r="H75" s="1">
        <f ca="1">INDEX(INDIRECT(""&amp;C75&amp;"!A2:A489"),MATCH(B75,INDIRECT(""&amp;C75&amp;"!B2:B489"),0))</f>
        <v>36</v>
      </c>
      <c r="I75" s="1">
        <f>IF(C75="RB",LeagueInfo!$D$4*LeagueInfo!$F$2,IF(C75="WR",LeagueInfo!$D$5*LeagueInfo!$F$2,IF(C75="TE",LeagueInfo!$D$6*LeagueInfo!$F$2)))</f>
        <v>24</v>
      </c>
    </row>
    <row r="76" spans="1:9" x14ac:dyDescent="0.25">
      <c r="A76" s="47">
        <f ca="1">RANK(E76,E$2:E$574)</f>
        <v>79</v>
      </c>
      <c r="B76" t="s">
        <v>194</v>
      </c>
      <c r="C76" t="s">
        <v>32</v>
      </c>
      <c r="D76" s="1">
        <f ca="1">INDEX(INDIRECT($C76&amp;"!O:O"),MATCH($B76,INDIRECT($C76&amp;"!B:B"),0))</f>
        <v>110.80000000000001</v>
      </c>
      <c r="E76" s="254">
        <f ca="1">D76-LARGE(D$2:D$467,RBCount+WRCount+TECount)</f>
        <v>33.960000000000008</v>
      </c>
      <c r="F76" s="1" t="str">
        <f ca="1">IF(H76&lt;=I76,"Starter",IF(G76&gt;=LARGE(G:G,FlexOn*LeagueInfo!$F$2),"Starter","Bench"))</f>
        <v>Bench</v>
      </c>
      <c r="G76" s="1">
        <f ca="1">IF(H76&gt;I76,D76,0)</f>
        <v>110.80000000000001</v>
      </c>
      <c r="H76" s="1">
        <f ca="1">INDEX(INDIRECT(""&amp;C76&amp;"!A2:A489"),MATCH(B76,INDIRECT(""&amp;C76&amp;"!B2:B489"),0))</f>
        <v>34</v>
      </c>
      <c r="I76" s="1">
        <f>IF(C76="RB",LeagueInfo!$D$4*LeagueInfo!$F$2,IF(C76="WR",LeagueInfo!$D$5*LeagueInfo!$F$2,IF(C76="TE",LeagueInfo!$D$6*LeagueInfo!$F$2)))</f>
        <v>24</v>
      </c>
    </row>
    <row r="77" spans="1:9" x14ac:dyDescent="0.25">
      <c r="A77" s="47">
        <f ca="1">RANK(E77,E$2:E$574)</f>
        <v>82</v>
      </c>
      <c r="B77" t="s">
        <v>211</v>
      </c>
      <c r="C77" t="s">
        <v>32</v>
      </c>
      <c r="D77" s="1">
        <f ca="1">INDEX(INDIRECT($C77&amp;"!O:O"),MATCH($B77,INDIRECT($C77&amp;"!B:B"),0))</f>
        <v>109.46000000000001</v>
      </c>
      <c r="E77" s="254">
        <f ca="1">D77-LARGE(D$2:D$467,RBCount+WRCount+TECount)</f>
        <v>32.620000000000005</v>
      </c>
      <c r="F77" s="1" t="str">
        <f ca="1">IF(H77&lt;=I77,"Starter",IF(G77&gt;=LARGE(G:G,FlexOn*LeagueInfo!$F$2),"Starter","Bench"))</f>
        <v>Bench</v>
      </c>
      <c r="G77" s="1">
        <f ca="1">IF(H77&gt;I77,D77,0)</f>
        <v>109.46000000000001</v>
      </c>
      <c r="H77" s="1">
        <f ca="1">INDEX(INDIRECT(""&amp;C77&amp;"!A2:A489"),MATCH(B77,INDIRECT(""&amp;C77&amp;"!B2:B489"),0))</f>
        <v>35</v>
      </c>
      <c r="I77" s="1">
        <f>IF(C77="RB",LeagueInfo!$D$4*LeagueInfo!$F$2,IF(C77="WR",LeagueInfo!$D$5*LeagueInfo!$F$2,IF(C77="TE",LeagueInfo!$D$6*LeagueInfo!$F$2)))</f>
        <v>24</v>
      </c>
    </row>
    <row r="78" spans="1:9" x14ac:dyDescent="0.25">
      <c r="A78" s="47">
        <f ca="1">RANK(E78,E$2:E$574)</f>
        <v>83</v>
      </c>
      <c r="B78" t="s">
        <v>161</v>
      </c>
      <c r="C78" t="s">
        <v>39</v>
      </c>
      <c r="D78" s="1">
        <f ca="1">INDEX(INDIRECT($C78&amp;"!O:O"),MATCH($B78,INDIRECT($C78&amp;"!B:B"),0))</f>
        <v>108.77</v>
      </c>
      <c r="E78" s="254">
        <f ca="1">D78-LARGE(D$2:D$467,RBCount+WRCount+TECount)</f>
        <v>31.929999999999993</v>
      </c>
      <c r="F78" s="1" t="str">
        <f ca="1">IF(H78&lt;=I78,"Starter",IF(G78&gt;=LARGE(G:G,FlexOn*LeagueInfo!$F$2),"Starter","Bench"))</f>
        <v>Bench</v>
      </c>
      <c r="G78" s="1">
        <f ca="1">IF(H78&gt;I78,D78,0)</f>
        <v>108.77</v>
      </c>
      <c r="H78" s="1">
        <f ca="1">INDEX(INDIRECT(""&amp;C78&amp;"!A2:A489"),MATCH(B78,INDIRECT(""&amp;C78&amp;"!B2:B489"),0))</f>
        <v>41</v>
      </c>
      <c r="I78" s="1">
        <f>IF(C78="RB",LeagueInfo!$D$4*LeagueInfo!$F$2,IF(C78="WR",LeagueInfo!$D$5*LeagueInfo!$F$2,IF(C78="TE",LeagueInfo!$D$6*LeagueInfo!$F$2)))</f>
        <v>24</v>
      </c>
    </row>
    <row r="79" spans="1:9" x14ac:dyDescent="0.25">
      <c r="A79" s="47">
        <f ca="1">RANK(E79,E$2:E$574)</f>
        <v>77</v>
      </c>
      <c r="B79" t="s">
        <v>209</v>
      </c>
      <c r="C79" t="s">
        <v>39</v>
      </c>
      <c r="D79" s="1">
        <f ca="1">INDEX(INDIRECT($C79&amp;"!O:O"),MATCH($B79,INDIRECT($C79&amp;"!B:B"),0))</f>
        <v>111.69000000000001</v>
      </c>
      <c r="E79" s="254">
        <f ca="1">D79-LARGE(D$2:D$467,RBCount+WRCount+TECount)</f>
        <v>34.850000000000009</v>
      </c>
      <c r="F79" s="1" t="str">
        <f ca="1">IF(H79&lt;=I79,"Starter",IF(G79&gt;=LARGE(G:G,FlexOn*LeagueInfo!$F$2),"Starter","Bench"))</f>
        <v>Bench</v>
      </c>
      <c r="G79" s="1">
        <f ca="1">IF(H79&gt;I79,D79,0)</f>
        <v>111.69000000000001</v>
      </c>
      <c r="H79" s="1">
        <f ca="1">INDEX(INDIRECT(""&amp;C79&amp;"!A2:A489"),MATCH(B79,INDIRECT(""&amp;C79&amp;"!B2:B489"),0))</f>
        <v>39</v>
      </c>
      <c r="I79" s="1">
        <f>IF(C79="RB",LeagueInfo!$D$4*LeagueInfo!$F$2,IF(C79="WR",LeagueInfo!$D$5*LeagueInfo!$F$2,IF(C79="TE",LeagueInfo!$D$6*LeagueInfo!$F$2)))</f>
        <v>24</v>
      </c>
    </row>
    <row r="80" spans="1:9" x14ac:dyDescent="0.25">
      <c r="A80" s="47">
        <f ca="1">RANK(E80,E$2:E$574)</f>
        <v>89</v>
      </c>
      <c r="B80" t="s">
        <v>266</v>
      </c>
      <c r="C80" t="s">
        <v>39</v>
      </c>
      <c r="D80" s="1">
        <f ca="1">INDEX(INDIRECT($C80&amp;"!O:O"),MATCH($B80,INDIRECT($C80&amp;"!B:B"),0))</f>
        <v>106.65</v>
      </c>
      <c r="E80" s="254">
        <f ca="1">D80-LARGE(D$2:D$467,RBCount+WRCount+TECount)</f>
        <v>29.810000000000002</v>
      </c>
      <c r="F80" s="1" t="str">
        <f ca="1">IF(H80&lt;=I80,"Starter",IF(G80&gt;=LARGE(G:G,FlexOn*LeagueInfo!$F$2),"Starter","Bench"))</f>
        <v>Bench</v>
      </c>
      <c r="G80" s="1">
        <f ca="1">IF(H80&gt;I80,D80,0)</f>
        <v>106.65</v>
      </c>
      <c r="H80" s="1">
        <f ca="1">INDEX(INDIRECT(""&amp;C80&amp;"!A2:A489"),MATCH(B80,INDIRECT(""&amp;C80&amp;"!B2:B489"),0))</f>
        <v>44</v>
      </c>
      <c r="I80" s="1">
        <f>IF(C80="RB",LeagueInfo!$D$4*LeagueInfo!$F$2,IF(C80="WR",LeagueInfo!$D$5*LeagueInfo!$F$2,IF(C80="TE",LeagueInfo!$D$6*LeagueInfo!$F$2)))</f>
        <v>24</v>
      </c>
    </row>
    <row r="81" spans="1:9" x14ac:dyDescent="0.25">
      <c r="A81" s="47">
        <f ca="1">RANK(E81,E$2:E$574)</f>
        <v>81</v>
      </c>
      <c r="B81" t="s">
        <v>178</v>
      </c>
      <c r="C81" t="s">
        <v>47</v>
      </c>
      <c r="D81" s="1">
        <f ca="1">INDEX(INDIRECT($C81&amp;"!O:O"),MATCH($B81,INDIRECT($C81&amp;"!B:B"),0))</f>
        <v>109.92</v>
      </c>
      <c r="E81" s="254">
        <f ca="1">D81-LARGE(D$2:D$467,RBCount+WRCount+TECount)</f>
        <v>33.08</v>
      </c>
      <c r="F81" s="1" t="str">
        <f ca="1">IF(H81&lt;=I81,"Starter",IF(G81&gt;=LARGE(G:G,FlexOn*LeagueInfo!$F$2),"Starter","Bench"))</f>
        <v>Starter</v>
      </c>
      <c r="G81" s="1">
        <f ca="1">IF(H81&gt;I81,D81,0)</f>
        <v>0</v>
      </c>
      <c r="H81" s="1">
        <f ca="1">INDEX(INDIRECT(""&amp;C81&amp;"!A2:A489"),MATCH(B81,INDIRECT(""&amp;C81&amp;"!B2:B489"),0))</f>
        <v>7</v>
      </c>
      <c r="I81" s="1">
        <f>IF(C81="RB",LeagueInfo!$D$4*LeagueInfo!$F$2,IF(C81="WR",LeagueInfo!$D$5*LeagueInfo!$F$2,IF(C81="TE",LeagueInfo!$D$6*LeagueInfo!$F$2)))</f>
        <v>12</v>
      </c>
    </row>
    <row r="82" spans="1:9" x14ac:dyDescent="0.25">
      <c r="A82" s="47">
        <f ca="1">RANK(E82,E$2:E$574)</f>
        <v>58</v>
      </c>
      <c r="B82" t="s">
        <v>173</v>
      </c>
      <c r="C82" t="s">
        <v>32</v>
      </c>
      <c r="D82" s="1">
        <f ca="1">INDEX(INDIRECT($C82&amp;"!O:O"),MATCH($B82,INDIRECT($C82&amp;"!B:B"),0))</f>
        <v>125.64000000000001</v>
      </c>
      <c r="E82" s="254">
        <f ca="1">D82-LARGE(D$2:D$467,RBCount+WRCount+TECount)</f>
        <v>48.800000000000011</v>
      </c>
      <c r="F82" s="1" t="str">
        <f ca="1">IF(H82&lt;=I82,"Starter",IF(G82&gt;=LARGE(G:G,FlexOn*LeagueInfo!$F$2),"Starter","Bench"))</f>
        <v>Starter</v>
      </c>
      <c r="G82" s="1">
        <f ca="1">IF(H82&gt;I82,D82,0)</f>
        <v>125.64000000000001</v>
      </c>
      <c r="H82" s="1">
        <f ca="1">INDEX(INDIRECT(""&amp;C82&amp;"!A2:A489"),MATCH(B82,INDIRECT(""&amp;C82&amp;"!B2:B489"),0))</f>
        <v>28</v>
      </c>
      <c r="I82" s="1">
        <f>IF(C82="RB",LeagueInfo!$D$4*LeagueInfo!$F$2,IF(C82="WR",LeagueInfo!$D$5*LeagueInfo!$F$2,IF(C82="TE",LeagueInfo!$D$6*LeagueInfo!$F$2)))</f>
        <v>24</v>
      </c>
    </row>
    <row r="83" spans="1:9" x14ac:dyDescent="0.25">
      <c r="A83" s="47">
        <f ca="1">RANK(E83,E$2:E$574)</f>
        <v>92</v>
      </c>
      <c r="B83" t="s">
        <v>267</v>
      </c>
      <c r="C83" t="s">
        <v>39</v>
      </c>
      <c r="D83" s="1">
        <f ca="1">INDEX(INDIRECT($C83&amp;"!O:O"),MATCH($B83,INDIRECT($C83&amp;"!B:B"),0))</f>
        <v>105.73</v>
      </c>
      <c r="E83" s="254">
        <f ca="1">D83-LARGE(D$2:D$467,RBCount+WRCount+TECount)</f>
        <v>28.89</v>
      </c>
      <c r="F83" s="1" t="str">
        <f ca="1">IF(H83&lt;=I83,"Starter",IF(G83&gt;=LARGE(G:G,FlexOn*LeagueInfo!$F$2),"Starter","Bench"))</f>
        <v>Bench</v>
      </c>
      <c r="G83" s="1">
        <f ca="1">IF(H83&gt;I83,D83,0)</f>
        <v>105.73</v>
      </c>
      <c r="H83" s="1">
        <f ca="1">INDEX(INDIRECT(""&amp;C83&amp;"!A2:A489"),MATCH(B83,INDIRECT(""&amp;C83&amp;"!B2:B489"),0))</f>
        <v>45</v>
      </c>
      <c r="I83" s="1">
        <f>IF(C83="RB",LeagueInfo!$D$4*LeagueInfo!$F$2,IF(C83="WR",LeagueInfo!$D$5*LeagueInfo!$F$2,IF(C83="TE",LeagueInfo!$D$6*LeagueInfo!$F$2)))</f>
        <v>24</v>
      </c>
    </row>
    <row r="84" spans="1:9" x14ac:dyDescent="0.25">
      <c r="A84" s="47">
        <f ca="1">RANK(E84,E$2:E$574)</f>
        <v>90</v>
      </c>
      <c r="B84" t="s">
        <v>177</v>
      </c>
      <c r="C84" t="s">
        <v>47</v>
      </c>
      <c r="D84" s="1">
        <f ca="1">INDEX(INDIRECT($C84&amp;"!O:O"),MATCH($B84,INDIRECT($C84&amp;"!B:B"),0))</f>
        <v>106.49</v>
      </c>
      <c r="E84" s="254">
        <f ca="1">D84-LARGE(D$2:D$467,RBCount+WRCount+TECount)</f>
        <v>29.649999999999991</v>
      </c>
      <c r="F84" s="1" t="str">
        <f ca="1">IF(H84&lt;=I84,"Starter",IF(G84&gt;=LARGE(G:G,FlexOn*LeagueInfo!$F$2),"Starter","Bench"))</f>
        <v>Starter</v>
      </c>
      <c r="G84" s="1">
        <f ca="1">IF(H84&gt;I84,D84,0)</f>
        <v>0</v>
      </c>
      <c r="H84" s="1">
        <f ca="1">INDEX(INDIRECT(""&amp;C84&amp;"!A2:A489"),MATCH(B84,INDIRECT(""&amp;C84&amp;"!B2:B489"),0))</f>
        <v>8</v>
      </c>
      <c r="I84" s="1">
        <f>IF(C84="RB",LeagueInfo!$D$4*LeagueInfo!$F$2,IF(C84="WR",LeagueInfo!$D$5*LeagueInfo!$F$2,IF(C84="TE",LeagueInfo!$D$6*LeagueInfo!$F$2)))</f>
        <v>12</v>
      </c>
    </row>
    <row r="85" spans="1:9" x14ac:dyDescent="0.25">
      <c r="A85" s="47">
        <f ca="1">RANK(E85,E$2:E$574)</f>
        <v>87</v>
      </c>
      <c r="B85" t="s">
        <v>227</v>
      </c>
      <c r="C85" t="s">
        <v>39</v>
      </c>
      <c r="D85" s="1">
        <f ca="1">INDEX(INDIRECT($C85&amp;"!O:O"),MATCH($B85,INDIRECT($C85&amp;"!B:B"),0))</f>
        <v>107.61000000000001</v>
      </c>
      <c r="E85" s="254">
        <f ca="1">D85-LARGE(D$2:D$467,RBCount+WRCount+TECount)</f>
        <v>30.77000000000001</v>
      </c>
      <c r="F85" s="1" t="str">
        <f ca="1">IF(H85&lt;=I85,"Starter",IF(G85&gt;=LARGE(G:G,FlexOn*LeagueInfo!$F$2),"Starter","Bench"))</f>
        <v>Bench</v>
      </c>
      <c r="G85" s="1">
        <f ca="1">IF(H85&gt;I85,D85,0)</f>
        <v>107.61000000000001</v>
      </c>
      <c r="H85" s="1">
        <f ca="1">INDEX(INDIRECT(""&amp;C85&amp;"!A2:A489"),MATCH(B85,INDIRECT(""&amp;C85&amp;"!B2:B489"),0))</f>
        <v>43</v>
      </c>
      <c r="I85" s="1">
        <f>IF(C85="RB",LeagueInfo!$D$4*LeagueInfo!$F$2,IF(C85="WR",LeagueInfo!$D$5*LeagueInfo!$F$2,IF(C85="TE",LeagueInfo!$D$6*LeagueInfo!$F$2)))</f>
        <v>24</v>
      </c>
    </row>
    <row r="86" spans="1:9" x14ac:dyDescent="0.25">
      <c r="A86" s="47">
        <f ca="1">RANK(E86,E$2:E$574)</f>
        <v>91</v>
      </c>
      <c r="B86" t="s">
        <v>433</v>
      </c>
      <c r="C86" t="s">
        <v>32</v>
      </c>
      <c r="D86" s="1">
        <f ca="1">INDEX(INDIRECT($C86&amp;"!O:O"),MATCH($B86,INDIRECT($C86&amp;"!B:B"),0))</f>
        <v>105.85</v>
      </c>
      <c r="E86" s="254">
        <f ca="1">D86-LARGE(D$2:D$467,RBCount+WRCount+TECount)</f>
        <v>29.009999999999991</v>
      </c>
      <c r="F86" s="1" t="str">
        <f ca="1">IF(H86&lt;=I86,"Starter",IF(G86&gt;=LARGE(G:G,FlexOn*LeagueInfo!$F$2),"Starter","Bench"))</f>
        <v>Bench</v>
      </c>
      <c r="G86" s="1">
        <f ca="1">IF(H86&gt;I86,D86,0)</f>
        <v>105.85</v>
      </c>
      <c r="H86" s="1">
        <f ca="1">INDEX(INDIRECT(""&amp;C86&amp;"!A2:A489"),MATCH(B86,INDIRECT(""&amp;C86&amp;"!B2:B489"),0))</f>
        <v>39</v>
      </c>
      <c r="I86" s="1">
        <f>IF(C86="RB",LeagueInfo!$D$4*LeagueInfo!$F$2,IF(C86="WR",LeagueInfo!$D$5*LeagueInfo!$F$2,IF(C86="TE",LeagueInfo!$D$6*LeagueInfo!$F$2)))</f>
        <v>24</v>
      </c>
    </row>
    <row r="87" spans="1:9" x14ac:dyDescent="0.25">
      <c r="A87" s="47">
        <f ca="1">RANK(E87,E$2:E$574)</f>
        <v>95</v>
      </c>
      <c r="B87" t="s">
        <v>184</v>
      </c>
      <c r="C87" t="s">
        <v>47</v>
      </c>
      <c r="D87" s="1">
        <f ca="1">INDEX(INDIRECT($C87&amp;"!O:O"),MATCH($B87,INDIRECT($C87&amp;"!B:B"),0))</f>
        <v>103.67</v>
      </c>
      <c r="E87" s="254">
        <f ca="1">D87-LARGE(D$2:D$467,RBCount+WRCount+TECount)</f>
        <v>26.83</v>
      </c>
      <c r="F87" s="1" t="str">
        <f ca="1">IF(H87&lt;=I87,"Starter",IF(G87&gt;=LARGE(G:G,FlexOn*LeagueInfo!$F$2),"Starter","Bench"))</f>
        <v>Starter</v>
      </c>
      <c r="G87" s="1">
        <f ca="1">IF(H87&gt;I87,D87,0)</f>
        <v>0</v>
      </c>
      <c r="H87" s="1">
        <f ca="1">INDEX(INDIRECT(""&amp;C87&amp;"!A2:A489"),MATCH(B87,INDIRECT(""&amp;C87&amp;"!B2:B489"),0))</f>
        <v>10</v>
      </c>
      <c r="I87" s="1">
        <f>IF(C87="RB",LeagueInfo!$D$4*LeagueInfo!$F$2,IF(C87="WR",LeagueInfo!$D$5*LeagueInfo!$F$2,IF(C87="TE",LeagueInfo!$D$6*LeagueInfo!$F$2)))</f>
        <v>12</v>
      </c>
    </row>
    <row r="88" spans="1:9" x14ac:dyDescent="0.25">
      <c r="A88" s="47">
        <f ca="1">RANK(E88,E$2:E$574)</f>
        <v>64</v>
      </c>
      <c r="B88" t="s">
        <v>132</v>
      </c>
      <c r="C88" t="s">
        <v>32</v>
      </c>
      <c r="D88" s="1">
        <f ca="1">INDEX(INDIRECT($C88&amp;"!O:O"),MATCH($B88,INDIRECT($C88&amp;"!B:B"),0))</f>
        <v>121.89000000000001</v>
      </c>
      <c r="E88" s="254">
        <f ca="1">D88-LARGE(D$2:D$467,RBCount+WRCount+TECount)</f>
        <v>45.050000000000011</v>
      </c>
      <c r="F88" s="1" t="str">
        <f ca="1">IF(H88&lt;=I88,"Starter",IF(G88&gt;=LARGE(G:G,FlexOn*LeagueInfo!$F$2),"Starter","Bench"))</f>
        <v>Bench</v>
      </c>
      <c r="G88" s="1">
        <f ca="1">IF(H88&gt;I88,D88,0)</f>
        <v>121.89000000000001</v>
      </c>
      <c r="H88" s="1">
        <f ca="1">INDEX(INDIRECT(""&amp;C88&amp;"!A2:A489"),MATCH(B88,INDIRECT(""&amp;C88&amp;"!B2:B489"),0))</f>
        <v>31</v>
      </c>
      <c r="I88" s="1">
        <f>IF(C88="RB",LeagueInfo!$D$4*LeagueInfo!$F$2,IF(C88="WR",LeagueInfo!$D$5*LeagueInfo!$F$2,IF(C88="TE",LeagueInfo!$D$6*LeagueInfo!$F$2)))</f>
        <v>24</v>
      </c>
    </row>
    <row r="89" spans="1:9" x14ac:dyDescent="0.25">
      <c r="A89" s="47">
        <f ca="1">RANK(E89,E$2:E$574)</f>
        <v>99</v>
      </c>
      <c r="B89" t="s">
        <v>249</v>
      </c>
      <c r="C89" t="s">
        <v>39</v>
      </c>
      <c r="D89" s="1">
        <f ca="1">INDEX(INDIRECT($C89&amp;"!O:O"),MATCH($B89,INDIRECT($C89&amp;"!B:B"),0))</f>
        <v>101.13</v>
      </c>
      <c r="E89" s="254">
        <f ca="1">D89-LARGE(D$2:D$467,RBCount+WRCount+TECount)</f>
        <v>24.289999999999992</v>
      </c>
      <c r="F89" s="1" t="str">
        <f ca="1">IF(H89&lt;=I89,"Starter",IF(G89&gt;=LARGE(G:G,FlexOn*LeagueInfo!$F$2),"Starter","Bench"))</f>
        <v>Bench</v>
      </c>
      <c r="G89" s="1">
        <f ca="1">IF(H89&gt;I89,D89,0)</f>
        <v>101.13</v>
      </c>
      <c r="H89" s="1">
        <f ca="1">INDEX(INDIRECT(""&amp;C89&amp;"!A2:A489"),MATCH(B89,INDIRECT(""&amp;C89&amp;"!B2:B489"),0))</f>
        <v>49</v>
      </c>
      <c r="I89" s="1">
        <f>IF(C89="RB",LeagueInfo!$D$4*LeagueInfo!$F$2,IF(C89="WR",LeagueInfo!$D$5*LeagueInfo!$F$2,IF(C89="TE",LeagueInfo!$D$6*LeagueInfo!$F$2)))</f>
        <v>24</v>
      </c>
    </row>
    <row r="90" spans="1:9" x14ac:dyDescent="0.25">
      <c r="A90" s="47">
        <f ca="1">RANK(E90,E$2:E$574)</f>
        <v>61</v>
      </c>
      <c r="B90" t="s">
        <v>140</v>
      </c>
      <c r="C90" t="s">
        <v>32</v>
      </c>
      <c r="D90" s="1">
        <f ca="1">INDEX(INDIRECT($C90&amp;"!O:O"),MATCH($B90,INDIRECT($C90&amp;"!B:B"),0))</f>
        <v>124.42999999999999</v>
      </c>
      <c r="E90" s="254">
        <f ca="1">D90-LARGE(D$2:D$467,RBCount+WRCount+TECount)</f>
        <v>47.589999999999989</v>
      </c>
      <c r="F90" s="1" t="str">
        <f ca="1">IF(H90&lt;=I90,"Starter",IF(G90&gt;=LARGE(G:G,FlexOn*LeagueInfo!$F$2),"Starter","Bench"))</f>
        <v>Starter</v>
      </c>
      <c r="G90" s="1">
        <f ca="1">IF(H90&gt;I90,D90,0)</f>
        <v>124.42999999999999</v>
      </c>
      <c r="H90" s="1">
        <f ca="1">INDEX(INDIRECT(""&amp;C90&amp;"!A2:A489"),MATCH(B90,INDIRECT(""&amp;C90&amp;"!B2:B489"),0))</f>
        <v>29</v>
      </c>
      <c r="I90" s="1">
        <f>IF(C90="RB",LeagueInfo!$D$4*LeagueInfo!$F$2,IF(C90="WR",LeagueInfo!$D$5*LeagueInfo!$F$2,IF(C90="TE",LeagueInfo!$D$6*LeagueInfo!$F$2)))</f>
        <v>24</v>
      </c>
    </row>
    <row r="91" spans="1:9" x14ac:dyDescent="0.25">
      <c r="A91" s="47">
        <f ca="1">RANK(E91,E$2:E$574)</f>
        <v>63</v>
      </c>
      <c r="B91" t="s">
        <v>432</v>
      </c>
      <c r="C91" t="s">
        <v>32</v>
      </c>
      <c r="D91" s="1">
        <f ca="1">INDEX(INDIRECT($C91&amp;"!O:O"),MATCH($B91,INDIRECT($C91&amp;"!B:B"),0))</f>
        <v>122.32</v>
      </c>
      <c r="E91" s="254">
        <f ca="1">D91-LARGE(D$2:D$467,RBCount+WRCount+TECount)</f>
        <v>45.47999999999999</v>
      </c>
      <c r="F91" s="1" t="str">
        <f ca="1">IF(H91&lt;=I91,"Starter",IF(G91&gt;=LARGE(G:G,FlexOn*LeagueInfo!$F$2),"Starter","Bench"))</f>
        <v>Starter</v>
      </c>
      <c r="G91" s="1">
        <f ca="1">IF(H91&gt;I91,D91,0)</f>
        <v>122.32</v>
      </c>
      <c r="H91" s="1">
        <f ca="1">INDEX(INDIRECT(""&amp;C91&amp;"!A2:A489"),MATCH(B91,INDIRECT(""&amp;C91&amp;"!B2:B489"),0))</f>
        <v>30</v>
      </c>
      <c r="I91" s="1">
        <f>IF(C91="RB",LeagueInfo!$D$4*LeagueInfo!$F$2,IF(C91="WR",LeagueInfo!$D$5*LeagueInfo!$F$2,IF(C91="TE",LeagueInfo!$D$6*LeagueInfo!$F$2)))</f>
        <v>24</v>
      </c>
    </row>
    <row r="92" spans="1:9" x14ac:dyDescent="0.25">
      <c r="A92" s="47">
        <f ca="1">RANK(E92,E$2:E$574)</f>
        <v>98</v>
      </c>
      <c r="B92" t="s">
        <v>555</v>
      </c>
      <c r="C92" t="s">
        <v>39</v>
      </c>
      <c r="D92" s="1">
        <f ca="1">INDEX(INDIRECT($C92&amp;"!O:O"),MATCH($B92,INDIRECT($C92&amp;"!B:B"),0))</f>
        <v>101.36</v>
      </c>
      <c r="E92" s="254">
        <f ca="1">D92-LARGE(D$2:D$467,RBCount+WRCount+TECount)</f>
        <v>24.519999999999996</v>
      </c>
      <c r="F92" s="1" t="str">
        <f ca="1">IF(H92&lt;=I92,"Starter",IF(G92&gt;=LARGE(G:G,FlexOn*LeagueInfo!$F$2),"Starter","Bench"))</f>
        <v>Bench</v>
      </c>
      <c r="G92" s="1">
        <f ca="1">IF(H92&gt;I92,D92,0)</f>
        <v>101.36</v>
      </c>
      <c r="H92" s="1">
        <f ca="1">INDEX(INDIRECT(""&amp;C92&amp;"!A2:A489"),MATCH(B92,INDIRECT(""&amp;C92&amp;"!B2:B489"),0))</f>
        <v>48</v>
      </c>
      <c r="I92" s="1">
        <f>IF(C92="RB",LeagueInfo!$D$4*LeagueInfo!$F$2,IF(C92="WR",LeagueInfo!$D$5*LeagueInfo!$F$2,IF(C92="TE",LeagueInfo!$D$6*LeagueInfo!$F$2)))</f>
        <v>24</v>
      </c>
    </row>
    <row r="93" spans="1:9" x14ac:dyDescent="0.25">
      <c r="A93" s="47">
        <f ca="1">RANK(E93,E$2:E$574)</f>
        <v>96</v>
      </c>
      <c r="B93" t="s">
        <v>551</v>
      </c>
      <c r="C93" t="s">
        <v>39</v>
      </c>
      <c r="D93" s="1">
        <f ca="1">INDEX(INDIRECT($C93&amp;"!O:O"),MATCH($B93,INDIRECT($C93&amp;"!B:B"),0))</f>
        <v>103.55</v>
      </c>
      <c r="E93" s="254">
        <f ca="1">D93-LARGE(D$2:D$467,RBCount+WRCount+TECount)</f>
        <v>26.709999999999994</v>
      </c>
      <c r="F93" s="1" t="str">
        <f ca="1">IF(H93&lt;=I93,"Starter",IF(G93&gt;=LARGE(G:G,FlexOn*LeagueInfo!$F$2),"Starter","Bench"))</f>
        <v>Bench</v>
      </c>
      <c r="G93" s="1">
        <f ca="1">IF(H93&gt;I93,D93,0)</f>
        <v>103.55</v>
      </c>
      <c r="H93" s="1">
        <f ca="1">INDEX(INDIRECT(""&amp;C93&amp;"!A2:A489"),MATCH(B93,INDIRECT(""&amp;C93&amp;"!B2:B489"),0))</f>
        <v>46</v>
      </c>
      <c r="I93" s="1">
        <f>IF(C93="RB",LeagueInfo!$D$4*LeagueInfo!$F$2,IF(C93="WR",LeagueInfo!$D$5*LeagueInfo!$F$2,IF(C93="TE",LeagueInfo!$D$6*LeagueInfo!$F$2)))</f>
        <v>24</v>
      </c>
    </row>
    <row r="94" spans="1:9" x14ac:dyDescent="0.25">
      <c r="A94" s="47">
        <f ca="1">RANK(E94,E$2:E$574)</f>
        <v>105</v>
      </c>
      <c r="B94" t="s">
        <v>268</v>
      </c>
      <c r="C94" t="s">
        <v>47</v>
      </c>
      <c r="D94" s="1">
        <f ca="1">INDEX(INDIRECT($C94&amp;"!O:O"),MATCH($B94,INDIRECT($C94&amp;"!B:B"),0))</f>
        <v>95.47</v>
      </c>
      <c r="E94" s="254">
        <f ca="1">D94-LARGE(D$2:D$467,RBCount+WRCount+TECount)</f>
        <v>18.629999999999995</v>
      </c>
      <c r="F94" s="1" t="str">
        <f ca="1">IF(H94&lt;=I94,"Starter",IF(G94&gt;=LARGE(G:G,FlexOn*LeagueInfo!$F$2),"Starter","Bench"))</f>
        <v>Starter</v>
      </c>
      <c r="G94" s="1">
        <f ca="1">IF(H94&gt;I94,D94,0)</f>
        <v>0</v>
      </c>
      <c r="H94" s="1">
        <f ca="1">INDEX(INDIRECT(""&amp;C94&amp;"!A2:A489"),MATCH(B94,INDIRECT(""&amp;C94&amp;"!B2:B489"),0))</f>
        <v>12</v>
      </c>
      <c r="I94" s="1">
        <f>IF(C94="RB",LeagueInfo!$D$4*LeagueInfo!$F$2,IF(C94="WR",LeagueInfo!$D$5*LeagueInfo!$F$2,IF(C94="TE",LeagueInfo!$D$6*LeagueInfo!$F$2)))</f>
        <v>12</v>
      </c>
    </row>
    <row r="95" spans="1:9" x14ac:dyDescent="0.25">
      <c r="A95" s="47">
        <f ca="1">RANK(E95,E$2:E$574)</f>
        <v>100</v>
      </c>
      <c r="B95" t="s">
        <v>210</v>
      </c>
      <c r="C95" t="s">
        <v>39</v>
      </c>
      <c r="D95" s="1">
        <f ca="1">INDEX(INDIRECT($C95&amp;"!O:O"),MATCH($B95,INDIRECT($C95&amp;"!B:B"),0))</f>
        <v>100.25</v>
      </c>
      <c r="E95" s="254">
        <f ca="1">D95-LARGE(D$2:D$467,RBCount+WRCount+TECount)</f>
        <v>23.409999999999997</v>
      </c>
      <c r="F95" s="1" t="str">
        <f ca="1">IF(H95&lt;=I95,"Starter",IF(G95&gt;=LARGE(G:G,FlexOn*LeagueInfo!$F$2),"Starter","Bench"))</f>
        <v>Bench</v>
      </c>
      <c r="G95" s="1">
        <f ca="1">IF(H95&gt;I95,D95,0)</f>
        <v>100.25</v>
      </c>
      <c r="H95" s="1">
        <f ca="1">INDEX(INDIRECT(""&amp;C95&amp;"!A2:A489"),MATCH(B95,INDIRECT(""&amp;C95&amp;"!B2:B489"),0))</f>
        <v>50</v>
      </c>
      <c r="I95" s="1">
        <f>IF(C95="RB",LeagueInfo!$D$4*LeagueInfo!$F$2,IF(C95="WR",LeagueInfo!$D$5*LeagueInfo!$F$2,IF(C95="TE",LeagueInfo!$D$6*LeagueInfo!$F$2)))</f>
        <v>24</v>
      </c>
    </row>
    <row r="96" spans="1:9" x14ac:dyDescent="0.25">
      <c r="A96" s="47">
        <f ca="1">RANK(E96,E$2:E$574)</f>
        <v>97</v>
      </c>
      <c r="B96" t="s">
        <v>308</v>
      </c>
      <c r="C96" t="s">
        <v>39</v>
      </c>
      <c r="D96" s="1">
        <f ca="1">INDEX(INDIRECT($C96&amp;"!O:O"),MATCH($B96,INDIRECT($C96&amp;"!B:B"),0))</f>
        <v>101.86</v>
      </c>
      <c r="E96" s="254">
        <f ca="1">D96-LARGE(D$2:D$467,RBCount+WRCount+TECount)</f>
        <v>25.019999999999996</v>
      </c>
      <c r="F96" s="1" t="str">
        <f ca="1">IF(H96&lt;=I96,"Starter",IF(G96&gt;=LARGE(G:G,FlexOn*LeagueInfo!$F$2),"Starter","Bench"))</f>
        <v>Bench</v>
      </c>
      <c r="G96" s="1">
        <f ca="1">IF(H96&gt;I96,D96,0)</f>
        <v>101.86</v>
      </c>
      <c r="H96" s="1">
        <f ca="1">INDEX(INDIRECT(""&amp;C96&amp;"!A2:A489"),MATCH(B96,INDIRECT(""&amp;C96&amp;"!B2:B489"),0))</f>
        <v>47</v>
      </c>
      <c r="I96" s="1">
        <f>IF(C96="RB",LeagueInfo!$D$4*LeagueInfo!$F$2,IF(C96="WR",LeagueInfo!$D$5*LeagueInfo!$F$2,IF(C96="TE",LeagueInfo!$D$6*LeagueInfo!$F$2)))</f>
        <v>24</v>
      </c>
    </row>
    <row r="97" spans="1:9" x14ac:dyDescent="0.25">
      <c r="A97" s="47">
        <f ca="1">RANK(E97,E$2:E$574)</f>
        <v>106</v>
      </c>
      <c r="B97" t="s">
        <v>280</v>
      </c>
      <c r="C97" t="s">
        <v>39</v>
      </c>
      <c r="D97" s="1">
        <f ca="1">INDEX(INDIRECT($C97&amp;"!O:O"),MATCH($B97,INDIRECT($C97&amp;"!B:B"),0))</f>
        <v>94.030000000000015</v>
      </c>
      <c r="E97" s="254">
        <f ca="1">D97-LARGE(D$2:D$467,RBCount+WRCount+TECount)</f>
        <v>17.190000000000012</v>
      </c>
      <c r="F97" s="1" t="str">
        <f ca="1">IF(H97&lt;=I97,"Starter",IF(G97&gt;=LARGE(G:G,FlexOn*LeagueInfo!$F$2),"Starter","Bench"))</f>
        <v>Bench</v>
      </c>
      <c r="G97" s="1">
        <f ca="1">IF(H97&gt;I97,D97,0)</f>
        <v>94.030000000000015</v>
      </c>
      <c r="H97" s="1">
        <f ca="1">INDEX(INDIRECT(""&amp;C97&amp;"!A2:A489"),MATCH(B97,INDIRECT(""&amp;C97&amp;"!B2:B489"),0))</f>
        <v>53</v>
      </c>
      <c r="I97" s="1">
        <f>IF(C97="RB",LeagueInfo!$D$4*LeagueInfo!$F$2,IF(C97="WR",LeagueInfo!$D$5*LeagueInfo!$F$2,IF(C97="TE",LeagueInfo!$D$6*LeagueInfo!$F$2)))</f>
        <v>24</v>
      </c>
    </row>
    <row r="98" spans="1:9" x14ac:dyDescent="0.25">
      <c r="A98" s="47">
        <f ca="1">RANK(E98,E$2:E$574)</f>
        <v>72</v>
      </c>
      <c r="B98" t="s">
        <v>158</v>
      </c>
      <c r="C98" t="s">
        <v>32</v>
      </c>
      <c r="D98" s="1">
        <f ca="1">INDEX(INDIRECT($C98&amp;"!O:O"),MATCH($B98,INDIRECT($C98&amp;"!B:B"),0))</f>
        <v>115.21</v>
      </c>
      <c r="E98" s="254">
        <f ca="1">D98-LARGE(D$2:D$467,RBCount+WRCount+TECount)</f>
        <v>38.36999999999999</v>
      </c>
      <c r="F98" s="1" t="str">
        <f ca="1">IF(H98&lt;=I98,"Starter",IF(G98&gt;=LARGE(G:G,FlexOn*LeagueInfo!$F$2),"Starter","Bench"))</f>
        <v>Bench</v>
      </c>
      <c r="G98" s="1">
        <f ca="1">IF(H98&gt;I98,D98,0)</f>
        <v>115.21</v>
      </c>
      <c r="H98" s="1">
        <f ca="1">INDEX(INDIRECT(""&amp;C98&amp;"!A2:A489"),MATCH(B98,INDIRECT(""&amp;C98&amp;"!B2:B489"),0))</f>
        <v>32</v>
      </c>
      <c r="I98" s="1">
        <f>IF(C98="RB",LeagueInfo!$D$4*LeagueInfo!$F$2,IF(C98="WR",LeagueInfo!$D$5*LeagueInfo!$F$2,IF(C98="TE",LeagueInfo!$D$6*LeagueInfo!$F$2)))</f>
        <v>24</v>
      </c>
    </row>
    <row r="99" spans="1:9" x14ac:dyDescent="0.25">
      <c r="A99" s="47">
        <f ca="1">RANK(E99,E$2:E$574)</f>
        <v>101</v>
      </c>
      <c r="B99" t="s">
        <v>226</v>
      </c>
      <c r="C99" t="s">
        <v>47</v>
      </c>
      <c r="D99" s="1">
        <f ca="1">INDEX(INDIRECT($C99&amp;"!O:O"),MATCH($B99,INDIRECT($C99&amp;"!B:B"),0))</f>
        <v>99.3</v>
      </c>
      <c r="E99" s="254">
        <f ca="1">D99-LARGE(D$2:D$467,RBCount+WRCount+TECount)</f>
        <v>22.459999999999994</v>
      </c>
      <c r="F99" s="1" t="str">
        <f ca="1">IF(H99&lt;=I99,"Starter",IF(G99&gt;=LARGE(G:G,FlexOn*LeagueInfo!$F$2),"Starter","Bench"))</f>
        <v>Starter</v>
      </c>
      <c r="G99" s="1">
        <f ca="1">IF(H99&gt;I99,D99,0)</f>
        <v>0</v>
      </c>
      <c r="H99" s="1">
        <f ca="1">INDEX(INDIRECT(""&amp;C99&amp;"!A2:A489"),MATCH(B99,INDIRECT(""&amp;C99&amp;"!B2:B489"),0))</f>
        <v>11</v>
      </c>
      <c r="I99" s="1">
        <f>IF(C99="RB",LeagueInfo!$D$4*LeagueInfo!$F$2,IF(C99="WR",LeagueInfo!$D$5*LeagueInfo!$F$2,IF(C99="TE",LeagueInfo!$D$6*LeagueInfo!$F$2)))</f>
        <v>12</v>
      </c>
    </row>
    <row r="100" spans="1:9" x14ac:dyDescent="0.25">
      <c r="A100" s="47">
        <f ca="1">RANK(E100,E$2:E$574)</f>
        <v>102</v>
      </c>
      <c r="B100" t="s">
        <v>553</v>
      </c>
      <c r="C100" t="s">
        <v>39</v>
      </c>
      <c r="D100" s="1">
        <f ca="1">INDEX(INDIRECT($C100&amp;"!O:O"),MATCH($B100,INDIRECT($C100&amp;"!B:B"),0))</f>
        <v>98.84</v>
      </c>
      <c r="E100" s="254">
        <f ca="1">D100-LARGE(D$2:D$467,RBCount+WRCount+TECount)</f>
        <v>22</v>
      </c>
      <c r="F100" s="1" t="str">
        <f ca="1">IF(H100&lt;=I100,"Starter",IF(G100&gt;=LARGE(G:G,FlexOn*LeagueInfo!$F$2),"Starter","Bench"))</f>
        <v>Bench</v>
      </c>
      <c r="G100" s="1">
        <f ca="1">IF(H100&gt;I100,D100,0)</f>
        <v>98.84</v>
      </c>
      <c r="H100" s="1">
        <f ca="1">INDEX(INDIRECT(""&amp;C100&amp;"!A2:A489"),MATCH(B100,INDIRECT(""&amp;C100&amp;"!B2:B489"),0))</f>
        <v>51</v>
      </c>
      <c r="I100" s="1">
        <f>IF(C100="RB",LeagueInfo!$D$4*LeagueInfo!$F$2,IF(C100="WR",LeagueInfo!$D$5*LeagueInfo!$F$2,IF(C100="TE",LeagueInfo!$D$6*LeagueInfo!$F$2)))</f>
        <v>24</v>
      </c>
    </row>
    <row r="101" spans="1:9" x14ac:dyDescent="0.25">
      <c r="A101" s="47">
        <f ca="1">RANK(E101,E$2:E$574)</f>
        <v>107</v>
      </c>
      <c r="B101" t="s">
        <v>273</v>
      </c>
      <c r="C101" t="s">
        <v>39</v>
      </c>
      <c r="D101" s="1">
        <f ca="1">INDEX(INDIRECT($C101&amp;"!O:O"),MATCH($B101,INDIRECT($C101&amp;"!B:B"),0))</f>
        <v>94.009999999999991</v>
      </c>
      <c r="E101" s="254">
        <f ca="1">D101-LARGE(D$2:D$467,RBCount+WRCount+TECount)</f>
        <v>17.169999999999987</v>
      </c>
      <c r="F101" s="1" t="str">
        <f ca="1">IF(H101&lt;=I101,"Starter",IF(G101&gt;=LARGE(G:G,FlexOn*LeagueInfo!$F$2),"Starter","Bench"))</f>
        <v>Bench</v>
      </c>
      <c r="G101" s="1">
        <f ca="1">IF(H101&gt;I101,D101,0)</f>
        <v>94.009999999999991</v>
      </c>
      <c r="H101" s="1">
        <f ca="1">INDEX(INDIRECT(""&amp;C101&amp;"!A2:A489"),MATCH(B101,INDIRECT(""&amp;C101&amp;"!B2:B489"),0))</f>
        <v>54</v>
      </c>
      <c r="I101" s="1">
        <f>IF(C101="RB",LeagueInfo!$D$4*LeagueInfo!$F$2,IF(C101="WR",LeagueInfo!$D$5*LeagueInfo!$F$2,IF(C101="TE",LeagueInfo!$D$6*LeagueInfo!$F$2)))</f>
        <v>24</v>
      </c>
    </row>
    <row r="102" spans="1:9" x14ac:dyDescent="0.25">
      <c r="A102" s="47">
        <f ca="1">RANK(E102,E$2:E$574)</f>
        <v>88</v>
      </c>
      <c r="B102" t="s">
        <v>208</v>
      </c>
      <c r="C102" t="s">
        <v>32</v>
      </c>
      <c r="D102" s="1">
        <f ca="1">INDEX(INDIRECT($C102&amp;"!O:O"),MATCH($B102,INDIRECT($C102&amp;"!B:B"),0))</f>
        <v>107.39</v>
      </c>
      <c r="E102" s="254">
        <f ca="1">D102-LARGE(D$2:D$467,RBCount+WRCount+TECount)</f>
        <v>30.549999999999997</v>
      </c>
      <c r="F102" s="1" t="str">
        <f ca="1">IF(H102&lt;=I102,"Starter",IF(G102&gt;=LARGE(G:G,FlexOn*LeagueInfo!$F$2),"Starter","Bench"))</f>
        <v>Bench</v>
      </c>
      <c r="G102" s="1">
        <f ca="1">IF(H102&gt;I102,D102,0)</f>
        <v>107.39</v>
      </c>
      <c r="H102" s="1">
        <f ca="1">INDEX(INDIRECT(""&amp;C102&amp;"!A2:A489"),MATCH(B102,INDIRECT(""&amp;C102&amp;"!B2:B489"),0))</f>
        <v>38</v>
      </c>
      <c r="I102" s="1">
        <f>IF(C102="RB",LeagueInfo!$D$4*LeagueInfo!$F$2,IF(C102="WR",LeagueInfo!$D$5*LeagueInfo!$F$2,IF(C102="TE",LeagueInfo!$D$6*LeagueInfo!$F$2)))</f>
        <v>24</v>
      </c>
    </row>
    <row r="103" spans="1:9" x14ac:dyDescent="0.25">
      <c r="A103" s="47">
        <f ca="1">RANK(E103,E$2:E$574)</f>
        <v>104</v>
      </c>
      <c r="B103" t="s">
        <v>201</v>
      </c>
      <c r="C103" t="s">
        <v>39</v>
      </c>
      <c r="D103" s="1">
        <f ca="1">INDEX(INDIRECT($C103&amp;"!O:O"),MATCH($B103,INDIRECT($C103&amp;"!B:B"),0))</f>
        <v>95.670000000000016</v>
      </c>
      <c r="E103" s="254">
        <f ca="1">D103-LARGE(D$2:D$467,RBCount+WRCount+TECount)</f>
        <v>18.830000000000013</v>
      </c>
      <c r="F103" s="1" t="str">
        <f ca="1">IF(H103&lt;=I103,"Starter",IF(G103&gt;=LARGE(G:G,FlexOn*LeagueInfo!$F$2),"Starter","Bench"))</f>
        <v>Bench</v>
      </c>
      <c r="G103" s="1">
        <f ca="1">IF(H103&gt;I103,D103,0)</f>
        <v>95.670000000000016</v>
      </c>
      <c r="H103" s="1">
        <f ca="1">INDEX(INDIRECT(""&amp;C103&amp;"!A2:A489"),MATCH(B103,INDIRECT(""&amp;C103&amp;"!B2:B489"),0))</f>
        <v>52</v>
      </c>
      <c r="I103" s="1">
        <f>IF(C103="RB",LeagueInfo!$D$4*LeagueInfo!$F$2,IF(C103="WR",LeagueInfo!$D$5*LeagueInfo!$F$2,IF(C103="TE",LeagueInfo!$D$6*LeagueInfo!$F$2)))</f>
        <v>24</v>
      </c>
    </row>
    <row r="104" spans="1:9" x14ac:dyDescent="0.25">
      <c r="A104" s="47">
        <f ca="1">RANK(E104,E$2:E$574)</f>
        <v>103</v>
      </c>
      <c r="B104" t="s">
        <v>295</v>
      </c>
      <c r="C104" t="s">
        <v>32</v>
      </c>
      <c r="D104" s="1">
        <f ca="1">INDEX(INDIRECT($C104&amp;"!O:O"),MATCH($B104,INDIRECT($C104&amp;"!B:B"),0))</f>
        <v>96.289999999999992</v>
      </c>
      <c r="E104" s="254">
        <f ca="1">D104-LARGE(D$2:D$467,RBCount+WRCount+TECount)</f>
        <v>19.449999999999989</v>
      </c>
      <c r="F104" s="1" t="str">
        <f ca="1">IF(H104&lt;=I104,"Starter",IF(G104&gt;=LARGE(G:G,FlexOn*LeagueInfo!$F$2),"Starter","Bench"))</f>
        <v>Bench</v>
      </c>
      <c r="G104" s="1">
        <f ca="1">IF(H104&gt;I104,D104,0)</f>
        <v>96.289999999999992</v>
      </c>
      <c r="H104" s="1">
        <f ca="1">INDEX(INDIRECT(""&amp;C104&amp;"!A2:A489"),MATCH(B104,INDIRECT(""&amp;C104&amp;"!B2:B489"),0))</f>
        <v>41</v>
      </c>
      <c r="I104" s="1">
        <f>IF(C104="RB",LeagueInfo!$D$4*LeagueInfo!$F$2,IF(C104="WR",LeagueInfo!$D$5*LeagueInfo!$F$2,IF(C104="TE",LeagueInfo!$D$6*LeagueInfo!$F$2)))</f>
        <v>24</v>
      </c>
    </row>
    <row r="105" spans="1:9" x14ac:dyDescent="0.25">
      <c r="A105" s="47">
        <f ca="1">RANK(E105,E$2:E$574)</f>
        <v>85</v>
      </c>
      <c r="B105" t="s">
        <v>160</v>
      </c>
      <c r="C105" t="s">
        <v>32</v>
      </c>
      <c r="D105" s="1">
        <f ca="1">INDEX(INDIRECT($C105&amp;"!O:O"),MATCH($B105,INDIRECT($C105&amp;"!B:B"),0))</f>
        <v>108.36000000000001</v>
      </c>
      <c r="E105" s="254">
        <f ca="1">D105-LARGE(D$2:D$467,RBCount+WRCount+TECount)</f>
        <v>31.52000000000001</v>
      </c>
      <c r="F105" s="1" t="str">
        <f ca="1">IF(H105&lt;=I105,"Starter",IF(G105&gt;=LARGE(G:G,FlexOn*LeagueInfo!$F$2),"Starter","Bench"))</f>
        <v>Bench</v>
      </c>
      <c r="G105" s="1">
        <f ca="1">IF(H105&gt;I105,D105,0)</f>
        <v>108.36000000000001</v>
      </c>
      <c r="H105" s="1">
        <f ca="1">INDEX(INDIRECT(""&amp;C105&amp;"!A2:A489"),MATCH(B105,INDIRECT(""&amp;C105&amp;"!B2:B489"),0))</f>
        <v>36</v>
      </c>
      <c r="I105" s="1">
        <f>IF(C105="RB",LeagueInfo!$D$4*LeagueInfo!$F$2,IF(C105="WR",LeagueInfo!$D$5*LeagueInfo!$F$2,IF(C105="TE",LeagueInfo!$D$6*LeagueInfo!$F$2)))</f>
        <v>24</v>
      </c>
    </row>
    <row r="106" spans="1:9" x14ac:dyDescent="0.25">
      <c r="A106" s="47">
        <f ca="1">RANK(E106,E$2:E$574)</f>
        <v>114</v>
      </c>
      <c r="B106" t="s">
        <v>247</v>
      </c>
      <c r="C106" t="s">
        <v>47</v>
      </c>
      <c r="D106" s="1">
        <f ca="1">INDEX(INDIRECT($C106&amp;"!O:O"),MATCH($B106,INDIRECT($C106&amp;"!B:B"),0))</f>
        <v>88.84</v>
      </c>
      <c r="E106" s="254">
        <f ca="1">D106-LARGE(D$2:D$467,RBCount+WRCount+TECount)</f>
        <v>12</v>
      </c>
      <c r="F106" s="1" t="str">
        <f ca="1">IF(H106&lt;=I106,"Starter",IF(G106&gt;=LARGE(G:G,FlexOn*LeagueInfo!$F$2),"Starter","Bench"))</f>
        <v>Bench</v>
      </c>
      <c r="G106" s="1">
        <f ca="1">IF(H106&gt;I106,D106,0)</f>
        <v>88.84</v>
      </c>
      <c r="H106" s="1">
        <f ca="1">INDEX(INDIRECT(""&amp;C106&amp;"!A2:A489"),MATCH(B106,INDIRECT(""&amp;C106&amp;"!B2:B489"),0))</f>
        <v>14</v>
      </c>
      <c r="I106" s="1">
        <f>IF(C106="RB",LeagueInfo!$D$4*LeagueInfo!$F$2,IF(C106="WR",LeagueInfo!$D$5*LeagueInfo!$F$2,IF(C106="TE",LeagueInfo!$D$6*LeagueInfo!$F$2)))</f>
        <v>12</v>
      </c>
    </row>
    <row r="107" spans="1:9" x14ac:dyDescent="0.25">
      <c r="A107" s="47">
        <f ca="1">RANK(E107,E$2:E$574)</f>
        <v>76</v>
      </c>
      <c r="B107" t="s">
        <v>185</v>
      </c>
      <c r="C107" t="s">
        <v>32</v>
      </c>
      <c r="D107" s="1">
        <f ca="1">INDEX(INDIRECT($C107&amp;"!O:O"),MATCH($B107,INDIRECT($C107&amp;"!B:B"),0))</f>
        <v>112.01</v>
      </c>
      <c r="E107" s="254">
        <f ca="1">D107-LARGE(D$2:D$467,RBCount+WRCount+TECount)</f>
        <v>35.17</v>
      </c>
      <c r="F107" s="1" t="str">
        <f ca="1">IF(H107&lt;=I107,"Starter",IF(G107&gt;=LARGE(G:G,FlexOn*LeagueInfo!$F$2),"Starter","Bench"))</f>
        <v>Bench</v>
      </c>
      <c r="G107" s="1">
        <f ca="1">IF(H107&gt;I107,D107,0)</f>
        <v>112.01</v>
      </c>
      <c r="H107" s="1">
        <f ca="1">INDEX(INDIRECT(""&amp;C107&amp;"!A2:A489"),MATCH(B107,INDIRECT(""&amp;C107&amp;"!B2:B489"),0))</f>
        <v>33</v>
      </c>
      <c r="I107" s="1">
        <f>IF(C107="RB",LeagueInfo!$D$4*LeagueInfo!$F$2,IF(C107="WR",LeagueInfo!$D$5*LeagueInfo!$F$2,IF(C107="TE",LeagueInfo!$D$6*LeagueInfo!$F$2)))</f>
        <v>24</v>
      </c>
    </row>
    <row r="108" spans="1:9" x14ac:dyDescent="0.25">
      <c r="A108" s="47">
        <f ca="1">RANK(E108,E$2:E$574)</f>
        <v>109</v>
      </c>
      <c r="B108" t="s">
        <v>254</v>
      </c>
      <c r="C108" t="s">
        <v>32</v>
      </c>
      <c r="D108" s="1">
        <f ca="1">INDEX(INDIRECT($C108&amp;"!O:O"),MATCH($B108,INDIRECT($C108&amp;"!B:B"),0))</f>
        <v>93.529999999999987</v>
      </c>
      <c r="E108" s="254">
        <f ca="1">D108-LARGE(D$2:D$467,RBCount+WRCount+TECount)</f>
        <v>16.689999999999984</v>
      </c>
      <c r="F108" s="1" t="str">
        <f ca="1">IF(H108&lt;=I108,"Starter",IF(G108&gt;=LARGE(G:G,FlexOn*LeagueInfo!$F$2),"Starter","Bench"))</f>
        <v>Bench</v>
      </c>
      <c r="G108" s="1">
        <f ca="1">IF(H108&gt;I108,D108,0)</f>
        <v>93.529999999999987</v>
      </c>
      <c r="H108" s="1">
        <f ca="1">INDEX(INDIRECT(""&amp;C108&amp;"!A2:A489"),MATCH(B108,INDIRECT(""&amp;C108&amp;"!B2:B489"),0))</f>
        <v>43</v>
      </c>
      <c r="I108" s="1">
        <f>IF(C108="RB",LeagueInfo!$D$4*LeagueInfo!$F$2,IF(C108="WR",LeagueInfo!$D$5*LeagueInfo!$F$2,IF(C108="TE",LeagueInfo!$D$6*LeagueInfo!$F$2)))</f>
        <v>24</v>
      </c>
    </row>
    <row r="109" spans="1:9" x14ac:dyDescent="0.25">
      <c r="A109" s="47">
        <f ca="1">RANK(E109,E$2:E$574)</f>
        <v>115</v>
      </c>
      <c r="B109" t="s">
        <v>275</v>
      </c>
      <c r="C109" t="s">
        <v>39</v>
      </c>
      <c r="D109" s="1">
        <f ca="1">INDEX(INDIRECT($C109&amp;"!O:O"),MATCH($B109,INDIRECT($C109&amp;"!B:B"),0))</f>
        <v>88.740000000000009</v>
      </c>
      <c r="E109" s="254">
        <f ca="1">D109-LARGE(D$2:D$467,RBCount+WRCount+TECount)</f>
        <v>11.900000000000006</v>
      </c>
      <c r="F109" s="1" t="str">
        <f ca="1">IF(H109&lt;=I109,"Starter",IF(G109&gt;=LARGE(G:G,FlexOn*LeagueInfo!$F$2),"Starter","Bench"))</f>
        <v>Bench</v>
      </c>
      <c r="G109" s="1">
        <f ca="1">IF(H109&gt;I109,D109,0)</f>
        <v>88.740000000000009</v>
      </c>
      <c r="H109" s="1">
        <f ca="1">INDEX(INDIRECT(""&amp;C109&amp;"!A2:A489"),MATCH(B109,INDIRECT(""&amp;C109&amp;"!B2:B489"),0))</f>
        <v>58</v>
      </c>
      <c r="I109" s="1">
        <f>IF(C109="RB",LeagueInfo!$D$4*LeagueInfo!$F$2,IF(C109="WR",LeagueInfo!$D$5*LeagueInfo!$F$2,IF(C109="TE",LeagueInfo!$D$6*LeagueInfo!$F$2)))</f>
        <v>24</v>
      </c>
    </row>
    <row r="110" spans="1:9" x14ac:dyDescent="0.25">
      <c r="A110" s="47">
        <f ca="1">RANK(E110,E$2:E$574)</f>
        <v>116</v>
      </c>
      <c r="B110" t="s">
        <v>310</v>
      </c>
      <c r="C110" t="s">
        <v>39</v>
      </c>
      <c r="D110" s="1">
        <f ca="1">INDEX(INDIRECT($C110&amp;"!O:O"),MATCH($B110,INDIRECT($C110&amp;"!B:B"),0))</f>
        <v>88.649999999999991</v>
      </c>
      <c r="E110" s="254">
        <f ca="1">D110-LARGE(D$2:D$467,RBCount+WRCount+TECount)</f>
        <v>11.809999999999988</v>
      </c>
      <c r="F110" s="1" t="str">
        <f ca="1">IF(H110&lt;=I110,"Starter",IF(G110&gt;=LARGE(G:G,FlexOn*LeagueInfo!$F$2),"Starter","Bench"))</f>
        <v>Bench</v>
      </c>
      <c r="G110" s="1">
        <f ca="1">IF(H110&gt;I110,D110,0)</f>
        <v>88.649999999999991</v>
      </c>
      <c r="H110" s="1">
        <f ca="1">INDEX(INDIRECT(""&amp;C110&amp;"!A2:A489"),MATCH(B110,INDIRECT(""&amp;C110&amp;"!B2:B489"),0))</f>
        <v>59</v>
      </c>
      <c r="I110" s="1">
        <f>IF(C110="RB",LeagueInfo!$D$4*LeagueInfo!$F$2,IF(C110="WR",LeagueInfo!$D$5*LeagueInfo!$F$2,IF(C110="TE",LeagueInfo!$D$6*LeagueInfo!$F$2)))</f>
        <v>24</v>
      </c>
    </row>
    <row r="111" spans="1:9" x14ac:dyDescent="0.25">
      <c r="A111" s="47">
        <f ca="1">RANK(E111,E$2:E$574)</f>
        <v>111</v>
      </c>
      <c r="B111" t="s">
        <v>278</v>
      </c>
      <c r="C111" t="s">
        <v>39</v>
      </c>
      <c r="D111" s="1">
        <f ca="1">INDEX(INDIRECT($C111&amp;"!O:O"),MATCH($B111,INDIRECT($C111&amp;"!B:B"),0))</f>
        <v>89.62</v>
      </c>
      <c r="E111" s="254">
        <f ca="1">D111-LARGE(D$2:D$467,RBCount+WRCount+TECount)</f>
        <v>12.780000000000001</v>
      </c>
      <c r="F111" s="1" t="str">
        <f ca="1">IF(H111&lt;=I111,"Starter",IF(G111&gt;=LARGE(G:G,FlexOn*LeagueInfo!$F$2),"Starter","Bench"))</f>
        <v>Bench</v>
      </c>
      <c r="G111" s="1">
        <f ca="1">IF(H111&gt;I111,D111,0)</f>
        <v>89.62</v>
      </c>
      <c r="H111" s="1">
        <f ca="1">INDEX(INDIRECT(""&amp;C111&amp;"!A2:A489"),MATCH(B111,INDIRECT(""&amp;C111&amp;"!B2:B489"),0))</f>
        <v>56</v>
      </c>
      <c r="I111" s="1">
        <f>IF(C111="RB",LeagueInfo!$D$4*LeagueInfo!$F$2,IF(C111="WR",LeagueInfo!$D$5*LeagueInfo!$F$2,IF(C111="TE",LeagueInfo!$D$6*LeagueInfo!$F$2)))</f>
        <v>24</v>
      </c>
    </row>
    <row r="112" spans="1:9" x14ac:dyDescent="0.25">
      <c r="A112" s="47">
        <f ca="1">RANK(E112,E$2:E$574)</f>
        <v>113</v>
      </c>
      <c r="B112" t="s">
        <v>257</v>
      </c>
      <c r="C112" t="s">
        <v>47</v>
      </c>
      <c r="D112" s="1">
        <f ca="1">INDEX(INDIRECT($C112&amp;"!O:O"),MATCH($B112,INDIRECT($C112&amp;"!B:B"),0))</f>
        <v>88.929999999999993</v>
      </c>
      <c r="E112" s="254">
        <f ca="1">D112-LARGE(D$2:D$467,RBCount+WRCount+TECount)</f>
        <v>12.089999999999989</v>
      </c>
      <c r="F112" s="1" t="str">
        <f ca="1">IF(H112&lt;=I112,"Starter",IF(G112&gt;=LARGE(G:G,FlexOn*LeagueInfo!$F$2),"Starter","Bench"))</f>
        <v>Bench</v>
      </c>
      <c r="G112" s="1">
        <f ca="1">IF(H112&gt;I112,D112,0)</f>
        <v>88.929999999999993</v>
      </c>
      <c r="H112" s="1">
        <f ca="1">INDEX(INDIRECT(""&amp;C112&amp;"!A2:A489"),MATCH(B112,INDIRECT(""&amp;C112&amp;"!B2:B489"),0))</f>
        <v>13</v>
      </c>
      <c r="I112" s="1">
        <f>IF(C112="RB",LeagueInfo!$D$4*LeagueInfo!$F$2,IF(C112="WR",LeagueInfo!$D$5*LeagueInfo!$F$2,IF(C112="TE",LeagueInfo!$D$6*LeagueInfo!$F$2)))</f>
        <v>12</v>
      </c>
    </row>
    <row r="113" spans="1:9" x14ac:dyDescent="0.25">
      <c r="A113" s="47">
        <f ca="1">RANK(E113,E$2:E$574)</f>
        <v>127</v>
      </c>
      <c r="B113" t="s">
        <v>293</v>
      </c>
      <c r="C113" t="s">
        <v>47</v>
      </c>
      <c r="D113" s="1">
        <f ca="1">INDEX(INDIRECT($C113&amp;"!O:O"),MATCH($B113,INDIRECT($C113&amp;"!B:B"),0))</f>
        <v>82.100000000000009</v>
      </c>
      <c r="E113" s="254">
        <f ca="1">D113-LARGE(D$2:D$467,RBCount+WRCount+TECount)</f>
        <v>5.2600000000000051</v>
      </c>
      <c r="F113" s="1" t="str">
        <f ca="1">IF(H113&lt;=I113,"Starter",IF(G113&gt;=LARGE(G:G,FlexOn*LeagueInfo!$F$2),"Starter","Bench"))</f>
        <v>Bench</v>
      </c>
      <c r="G113" s="1">
        <f ca="1">IF(H113&gt;I113,D113,0)</f>
        <v>82.100000000000009</v>
      </c>
      <c r="H113" s="1">
        <f ca="1">INDEX(INDIRECT(""&amp;C113&amp;"!A2:A489"),MATCH(B113,INDIRECT(""&amp;C113&amp;"!B2:B489"),0))</f>
        <v>16</v>
      </c>
      <c r="I113" s="1">
        <f>IF(C113="RB",LeagueInfo!$D$4*LeagueInfo!$F$2,IF(C113="WR",LeagueInfo!$D$5*LeagueInfo!$F$2,IF(C113="TE",LeagueInfo!$D$6*LeagueInfo!$F$2)))</f>
        <v>12</v>
      </c>
    </row>
    <row r="114" spans="1:9" x14ac:dyDescent="0.25">
      <c r="A114" s="47">
        <f ca="1">RANK(E114,E$2:E$574)</f>
        <v>110</v>
      </c>
      <c r="B114" t="s">
        <v>270</v>
      </c>
      <c r="C114" t="s">
        <v>39</v>
      </c>
      <c r="D114" s="1">
        <f ca="1">INDEX(INDIRECT($C114&amp;"!O:O"),MATCH($B114,INDIRECT($C114&amp;"!B:B"),0))</f>
        <v>90.199999999999989</v>
      </c>
      <c r="E114" s="254">
        <f ca="1">D114-LARGE(D$2:D$467,RBCount+WRCount+TECount)</f>
        <v>13.359999999999985</v>
      </c>
      <c r="F114" s="1" t="str">
        <f ca="1">IF(H114&lt;=I114,"Starter",IF(G114&gt;=LARGE(G:G,FlexOn*LeagueInfo!$F$2),"Starter","Bench"))</f>
        <v>Bench</v>
      </c>
      <c r="G114" s="1">
        <f ca="1">IF(H114&gt;I114,D114,0)</f>
        <v>90.199999999999989</v>
      </c>
      <c r="H114" s="1">
        <f ca="1">INDEX(INDIRECT(""&amp;C114&amp;"!A2:A489"),MATCH(B114,INDIRECT(""&amp;C114&amp;"!B2:B489"),0))</f>
        <v>55</v>
      </c>
      <c r="I114" s="1">
        <f>IF(C114="RB",LeagueInfo!$D$4*LeagueInfo!$F$2,IF(C114="WR",LeagueInfo!$D$5*LeagueInfo!$F$2,IF(C114="TE",LeagueInfo!$D$6*LeagueInfo!$F$2)))</f>
        <v>24</v>
      </c>
    </row>
    <row r="115" spans="1:9" x14ac:dyDescent="0.25">
      <c r="A115" s="47">
        <f ca="1">RANK(E115,E$2:E$574)</f>
        <v>94</v>
      </c>
      <c r="B115" t="s">
        <v>170</v>
      </c>
      <c r="C115" t="s">
        <v>32</v>
      </c>
      <c r="D115" s="1">
        <f ca="1">INDEX(INDIRECT($C115&amp;"!O:O"),MATCH($B115,INDIRECT($C115&amp;"!B:B"),0))</f>
        <v>105.22</v>
      </c>
      <c r="E115" s="254">
        <f ca="1">D115-LARGE(D$2:D$467,RBCount+WRCount+TECount)</f>
        <v>28.379999999999995</v>
      </c>
      <c r="F115" s="1" t="str">
        <f ca="1">IF(H115&lt;=I115,"Starter",IF(G115&gt;=LARGE(G:G,FlexOn*LeagueInfo!$F$2),"Starter","Bench"))</f>
        <v>Bench</v>
      </c>
      <c r="G115" s="1">
        <f ca="1">IF(H115&gt;I115,D115,0)</f>
        <v>105.22</v>
      </c>
      <c r="H115" s="1">
        <f ca="1">INDEX(INDIRECT(""&amp;C115&amp;"!A2:A489"),MATCH(B115,INDIRECT(""&amp;C115&amp;"!B2:B489"),0))</f>
        <v>40</v>
      </c>
      <c r="I115" s="1">
        <f>IF(C115="RB",LeagueInfo!$D$4*LeagueInfo!$F$2,IF(C115="WR",LeagueInfo!$D$5*LeagueInfo!$F$2,IF(C115="TE",LeagueInfo!$D$6*LeagueInfo!$F$2)))</f>
        <v>24</v>
      </c>
    </row>
    <row r="116" spans="1:9" x14ac:dyDescent="0.25">
      <c r="A116" s="47">
        <f ca="1">RANK(E116,E$2:E$574)</f>
        <v>86</v>
      </c>
      <c r="B116" t="s">
        <v>163</v>
      </c>
      <c r="C116" t="s">
        <v>32</v>
      </c>
      <c r="D116" s="1">
        <f ca="1">INDEX(INDIRECT($C116&amp;"!O:O"),MATCH($B116,INDIRECT($C116&amp;"!B:B"),0))</f>
        <v>108.28</v>
      </c>
      <c r="E116" s="254">
        <f ca="1">D116-LARGE(D$2:D$467,RBCount+WRCount+TECount)</f>
        <v>31.439999999999998</v>
      </c>
      <c r="F116" s="1" t="str">
        <f ca="1">IF(H116&lt;=I116,"Starter",IF(G116&gt;=LARGE(G:G,FlexOn*LeagueInfo!$F$2),"Starter","Bench"))</f>
        <v>Bench</v>
      </c>
      <c r="G116" s="1">
        <f ca="1">IF(H116&gt;I116,D116,0)</f>
        <v>108.28</v>
      </c>
      <c r="H116" s="1">
        <f ca="1">INDEX(INDIRECT(""&amp;C116&amp;"!A2:A489"),MATCH(B116,INDIRECT(""&amp;C116&amp;"!B2:B489"),0))</f>
        <v>37</v>
      </c>
      <c r="I116" s="1">
        <f>IF(C116="RB",LeagueInfo!$D$4*LeagueInfo!$F$2,IF(C116="WR",LeagueInfo!$D$5*LeagueInfo!$F$2,IF(C116="TE",LeagueInfo!$D$6*LeagueInfo!$F$2)))</f>
        <v>24</v>
      </c>
    </row>
    <row r="117" spans="1:9" x14ac:dyDescent="0.25">
      <c r="A117" s="47">
        <f ca="1">RANK(E117,E$2:E$574)</f>
        <v>121</v>
      </c>
      <c r="B117" t="s">
        <v>279</v>
      </c>
      <c r="C117" t="s">
        <v>39</v>
      </c>
      <c r="D117" s="1">
        <f ca="1">INDEX(INDIRECT($C117&amp;"!O:O"),MATCH($B117,INDIRECT($C117&amp;"!B:B"),0))</f>
        <v>85.080000000000013</v>
      </c>
      <c r="E117" s="254">
        <f ca="1">D117-LARGE(D$2:D$467,RBCount+WRCount+TECount)</f>
        <v>8.2400000000000091</v>
      </c>
      <c r="F117" s="1" t="str">
        <f ca="1">IF(H117&lt;=I117,"Starter",IF(G117&gt;=LARGE(G:G,FlexOn*LeagueInfo!$F$2),"Starter","Bench"))</f>
        <v>Bench</v>
      </c>
      <c r="G117" s="1">
        <f ca="1">IF(H117&gt;I117,D117,0)</f>
        <v>85.080000000000013</v>
      </c>
      <c r="H117" s="1">
        <f ca="1">INDEX(INDIRECT(""&amp;C117&amp;"!A2:A489"),MATCH(B117,INDIRECT(""&amp;C117&amp;"!B2:B489"),0))</f>
        <v>62</v>
      </c>
      <c r="I117" s="1">
        <f>IF(C117="RB",LeagueInfo!$D$4*LeagueInfo!$F$2,IF(C117="WR",LeagueInfo!$D$5*LeagueInfo!$F$2,IF(C117="TE",LeagueInfo!$D$6*LeagueInfo!$F$2)))</f>
        <v>24</v>
      </c>
    </row>
    <row r="118" spans="1:9" x14ac:dyDescent="0.25">
      <c r="A118" s="47">
        <f ca="1">RANK(E118,E$2:E$574)</f>
        <v>112</v>
      </c>
      <c r="B118" t="s">
        <v>554</v>
      </c>
      <c r="C118" t="s">
        <v>39</v>
      </c>
      <c r="D118" s="1">
        <f ca="1">INDEX(INDIRECT($C118&amp;"!O:O"),MATCH($B118,INDIRECT($C118&amp;"!B:B"),0))</f>
        <v>89.35</v>
      </c>
      <c r="E118" s="254">
        <f ca="1">D118-LARGE(D$2:D$467,RBCount+WRCount+TECount)</f>
        <v>12.509999999999991</v>
      </c>
      <c r="F118" s="1" t="str">
        <f ca="1">IF(H118&lt;=I118,"Starter",IF(G118&gt;=LARGE(G:G,FlexOn*LeagueInfo!$F$2),"Starter","Bench"))</f>
        <v>Bench</v>
      </c>
      <c r="G118" s="1">
        <f ca="1">IF(H118&gt;I118,D118,0)</f>
        <v>89.35</v>
      </c>
      <c r="H118" s="1">
        <f ca="1">INDEX(INDIRECT(""&amp;C118&amp;"!A2:A489"),MATCH(B118,INDIRECT(""&amp;C118&amp;"!B2:B489"),0))</f>
        <v>57</v>
      </c>
      <c r="I118" s="1">
        <f>IF(C118="RB",LeagueInfo!$D$4*LeagueInfo!$F$2,IF(C118="WR",LeagueInfo!$D$5*LeagueInfo!$F$2,IF(C118="TE",LeagueInfo!$D$6*LeagueInfo!$F$2)))</f>
        <v>24</v>
      </c>
    </row>
    <row r="119" spans="1:9" x14ac:dyDescent="0.25">
      <c r="A119" s="47">
        <f ca="1">RANK(E119,E$2:E$574)</f>
        <v>119</v>
      </c>
      <c r="B119" t="s">
        <v>566</v>
      </c>
      <c r="C119" t="s">
        <v>39</v>
      </c>
      <c r="D119" s="1">
        <f ca="1">INDEX(INDIRECT($C119&amp;"!O:O"),MATCH($B119,INDIRECT($C119&amp;"!B:B"),0))</f>
        <v>85.829999999999984</v>
      </c>
      <c r="E119" s="254">
        <f ca="1">D119-LARGE(D$2:D$467,RBCount+WRCount+TECount)</f>
        <v>8.9899999999999807</v>
      </c>
      <c r="F119" s="1" t="str">
        <f ca="1">IF(H119&lt;=I119,"Starter",IF(G119&gt;=LARGE(G:G,FlexOn*LeagueInfo!$F$2),"Starter","Bench"))</f>
        <v>Bench</v>
      </c>
      <c r="G119" s="1">
        <f ca="1">IF(H119&gt;I119,D119,0)</f>
        <v>85.829999999999984</v>
      </c>
      <c r="H119" s="1">
        <f ca="1">INDEX(INDIRECT(""&amp;C119&amp;"!A2:A489"),MATCH(B119,INDIRECT(""&amp;C119&amp;"!B2:B489"),0))</f>
        <v>61</v>
      </c>
      <c r="I119" s="1">
        <f>IF(C119="RB",LeagueInfo!$D$4*LeagueInfo!$F$2,IF(C119="WR",LeagueInfo!$D$5*LeagueInfo!$F$2,IF(C119="TE",LeagueInfo!$D$6*LeagueInfo!$F$2)))</f>
        <v>24</v>
      </c>
    </row>
    <row r="120" spans="1:9" x14ac:dyDescent="0.25">
      <c r="A120" s="47">
        <f ca="1">RANK(E120,E$2:E$574)</f>
        <v>122</v>
      </c>
      <c r="B120" t="s">
        <v>252</v>
      </c>
      <c r="C120" t="s">
        <v>39</v>
      </c>
      <c r="D120" s="1">
        <f ca="1">INDEX(INDIRECT($C120&amp;"!O:O"),MATCH($B120,INDIRECT($C120&amp;"!B:B"),0))</f>
        <v>84.820000000000007</v>
      </c>
      <c r="E120" s="254">
        <f ca="1">D120-LARGE(D$2:D$467,RBCount+WRCount+TECount)</f>
        <v>7.980000000000004</v>
      </c>
      <c r="F120" s="1" t="str">
        <f ca="1">IF(H120&lt;=I120,"Starter",IF(G120&gt;=LARGE(G:G,FlexOn*LeagueInfo!$F$2),"Starter","Bench"))</f>
        <v>Bench</v>
      </c>
      <c r="G120" s="1">
        <f ca="1">IF(H120&gt;I120,D120,0)</f>
        <v>84.820000000000007</v>
      </c>
      <c r="H120" s="1">
        <f ca="1">INDEX(INDIRECT(""&amp;C120&amp;"!A2:A489"),MATCH(B120,INDIRECT(""&amp;C120&amp;"!B2:B489"),0))</f>
        <v>63</v>
      </c>
      <c r="I120" s="1">
        <f>IF(C120="RB",LeagueInfo!$D$4*LeagueInfo!$F$2,IF(C120="WR",LeagueInfo!$D$5*LeagueInfo!$F$2,IF(C120="TE",LeagueInfo!$D$6*LeagueInfo!$F$2)))</f>
        <v>24</v>
      </c>
    </row>
    <row r="121" spans="1:9" x14ac:dyDescent="0.25">
      <c r="A121" s="47">
        <f ca="1">RANK(E121,E$2:E$574)</f>
        <v>125</v>
      </c>
      <c r="B121" t="s">
        <v>435</v>
      </c>
      <c r="C121" t="s">
        <v>32</v>
      </c>
      <c r="D121" s="1">
        <f ca="1">INDEX(INDIRECT($C121&amp;"!O:O"),MATCH($B121,INDIRECT($C121&amp;"!B:B"),0))</f>
        <v>82.78</v>
      </c>
      <c r="E121" s="254">
        <f ca="1">D121-LARGE(D$2:D$467,RBCount+WRCount+TECount)</f>
        <v>5.9399999999999977</v>
      </c>
      <c r="F121" s="1" t="str">
        <f ca="1">IF(H121&lt;=I121,"Starter",IF(G121&gt;=LARGE(G:G,FlexOn*LeagueInfo!$F$2),"Starter","Bench"))</f>
        <v>Bench</v>
      </c>
      <c r="G121" s="1">
        <f ca="1">IF(H121&gt;I121,D121,0)</f>
        <v>82.78</v>
      </c>
      <c r="H121" s="1">
        <f ca="1">INDEX(INDIRECT(""&amp;C121&amp;"!A2:A489"),MATCH(B121,INDIRECT(""&amp;C121&amp;"!B2:B489"),0))</f>
        <v>46</v>
      </c>
      <c r="I121" s="1">
        <f>IF(C121="RB",LeagueInfo!$D$4*LeagueInfo!$F$2,IF(C121="WR",LeagueInfo!$D$5*LeagueInfo!$F$2,IF(C121="TE",LeagueInfo!$D$6*LeagueInfo!$F$2)))</f>
        <v>24</v>
      </c>
    </row>
    <row r="122" spans="1:9" x14ac:dyDescent="0.25">
      <c r="A122" s="47">
        <f ca="1">RANK(E122,E$2:E$574)</f>
        <v>118</v>
      </c>
      <c r="B122" t="s">
        <v>259</v>
      </c>
      <c r="C122" t="s">
        <v>39</v>
      </c>
      <c r="D122" s="1">
        <f ca="1">INDEX(INDIRECT($C122&amp;"!O:O"),MATCH($B122,INDIRECT($C122&amp;"!B:B"),0))</f>
        <v>86.289999999999992</v>
      </c>
      <c r="E122" s="254">
        <f ca="1">D122-LARGE(D$2:D$467,RBCount+WRCount+TECount)</f>
        <v>9.4499999999999886</v>
      </c>
      <c r="F122" s="1" t="str">
        <f ca="1">IF(H122&lt;=I122,"Starter",IF(G122&gt;=LARGE(G:G,FlexOn*LeagueInfo!$F$2),"Starter","Bench"))</f>
        <v>Bench</v>
      </c>
      <c r="G122" s="1">
        <f ca="1">IF(H122&gt;I122,D122,0)</f>
        <v>86.289999999999992</v>
      </c>
      <c r="H122" s="1">
        <f ca="1">INDEX(INDIRECT(""&amp;C122&amp;"!A2:A489"),MATCH(B122,INDIRECT(""&amp;C122&amp;"!B2:B489"),0))</f>
        <v>60</v>
      </c>
      <c r="I122" s="1">
        <f>IF(C122="RB",LeagueInfo!$D$4*LeagueInfo!$F$2,IF(C122="WR",LeagueInfo!$D$5*LeagueInfo!$F$2,IF(C122="TE",LeagueInfo!$D$6*LeagueInfo!$F$2)))</f>
        <v>24</v>
      </c>
    </row>
    <row r="123" spans="1:9" x14ac:dyDescent="0.25">
      <c r="A123" s="47">
        <f ca="1">RANK(E123,E$2:E$574)</f>
        <v>123</v>
      </c>
      <c r="B123" t="s">
        <v>294</v>
      </c>
      <c r="C123" t="s">
        <v>47</v>
      </c>
      <c r="D123" s="1">
        <f ca="1">INDEX(INDIRECT($C123&amp;"!O:O"),MATCH($B123,INDIRECT($C123&amp;"!B:B"),0))</f>
        <v>83.87</v>
      </c>
      <c r="E123" s="254">
        <f ca="1">D123-LARGE(D$2:D$467,RBCount+WRCount+TECount)</f>
        <v>7.0300000000000011</v>
      </c>
      <c r="F123" s="1" t="str">
        <f ca="1">IF(H123&lt;=I123,"Starter",IF(G123&gt;=LARGE(G:G,FlexOn*LeagueInfo!$F$2),"Starter","Bench"))</f>
        <v>Bench</v>
      </c>
      <c r="G123" s="1">
        <f ca="1">IF(H123&gt;I123,D123,0)</f>
        <v>83.87</v>
      </c>
      <c r="H123" s="1">
        <f ca="1">INDEX(INDIRECT(""&amp;C123&amp;"!A2:A489"),MATCH(B123,INDIRECT(""&amp;C123&amp;"!B2:B489"),0))</f>
        <v>15</v>
      </c>
      <c r="I123" s="1">
        <f>IF(C123="RB",LeagueInfo!$D$4*LeagueInfo!$F$2,IF(C123="WR",LeagueInfo!$D$5*LeagueInfo!$F$2,IF(C123="TE",LeagueInfo!$D$6*LeagueInfo!$F$2)))</f>
        <v>12</v>
      </c>
    </row>
    <row r="124" spans="1:9" x14ac:dyDescent="0.25">
      <c r="A124" s="47">
        <f ca="1">RANK(E124,E$2:E$574)</f>
        <v>117</v>
      </c>
      <c r="B124" t="s">
        <v>434</v>
      </c>
      <c r="C124" t="s">
        <v>32</v>
      </c>
      <c r="D124" s="1">
        <f ca="1">INDEX(INDIRECT($C124&amp;"!O:O"),MATCH($B124,INDIRECT($C124&amp;"!B:B"),0))</f>
        <v>87.960000000000008</v>
      </c>
      <c r="E124" s="254">
        <f ca="1">D124-LARGE(D$2:D$467,RBCount+WRCount+TECount)</f>
        <v>11.120000000000005</v>
      </c>
      <c r="F124" s="1" t="str">
        <f ca="1">IF(H124&lt;=I124,"Starter",IF(G124&gt;=LARGE(G:G,FlexOn*LeagueInfo!$F$2),"Starter","Bench"))</f>
        <v>Bench</v>
      </c>
      <c r="G124" s="1">
        <f ca="1">IF(H124&gt;I124,D124,0)</f>
        <v>87.960000000000008</v>
      </c>
      <c r="H124" s="1">
        <f ca="1">INDEX(INDIRECT(""&amp;C124&amp;"!A2:A489"),MATCH(B124,INDIRECT(""&amp;C124&amp;"!B2:B489"),0))</f>
        <v>44</v>
      </c>
      <c r="I124" s="1">
        <f>IF(C124="RB",LeagueInfo!$D$4*LeagueInfo!$F$2,IF(C124="WR",LeagueInfo!$D$5*LeagueInfo!$F$2,IF(C124="TE",LeagueInfo!$D$6*LeagueInfo!$F$2)))</f>
        <v>24</v>
      </c>
    </row>
    <row r="125" spans="1:9" x14ac:dyDescent="0.25">
      <c r="A125" s="47">
        <f ca="1">RANK(E125,E$2:E$574)</f>
        <v>131</v>
      </c>
      <c r="B125" t="s">
        <v>715</v>
      </c>
      <c r="C125" t="s">
        <v>47</v>
      </c>
      <c r="D125" s="1">
        <f ca="1">INDEX(INDIRECT($C125&amp;"!O:O"),MATCH($B125,INDIRECT($C125&amp;"!B:B"),0))</f>
        <v>78.5</v>
      </c>
      <c r="E125" s="254">
        <f ca="1">D125-LARGE(D$2:D$467,RBCount+WRCount+TECount)</f>
        <v>1.6599999999999966</v>
      </c>
      <c r="F125" s="1" t="str">
        <f ca="1">IF(H125&lt;=I125,"Starter",IF(G125&gt;=LARGE(G:G,FlexOn*LeagueInfo!$F$2),"Starter","Bench"))</f>
        <v>Bench</v>
      </c>
      <c r="G125" s="1">
        <f ca="1">IF(H125&gt;I125,D125,0)</f>
        <v>78.5</v>
      </c>
      <c r="H125" s="1">
        <f ca="1">INDEX(INDIRECT(""&amp;C125&amp;"!A2:A489"),MATCH(B125,INDIRECT(""&amp;C125&amp;"!B2:B489"),0))</f>
        <v>18</v>
      </c>
      <c r="I125" s="1">
        <f>IF(C125="RB",LeagueInfo!$D$4*LeagueInfo!$F$2,IF(C125="WR",LeagueInfo!$D$5*LeagueInfo!$F$2,IF(C125="TE",LeagueInfo!$D$6*LeagueInfo!$F$2)))</f>
        <v>12</v>
      </c>
    </row>
    <row r="126" spans="1:9" x14ac:dyDescent="0.25">
      <c r="A126" s="47">
        <f ca="1">RANK(E126,E$2:E$574)</f>
        <v>129</v>
      </c>
      <c r="B126" t="s">
        <v>560</v>
      </c>
      <c r="C126" t="s">
        <v>39</v>
      </c>
      <c r="D126" s="1">
        <f ca="1">INDEX(INDIRECT($C126&amp;"!O:O"),MATCH($B126,INDIRECT($C126&amp;"!B:B"),0))</f>
        <v>79.66</v>
      </c>
      <c r="E126" s="254">
        <f ca="1">D126-LARGE(D$2:D$467,RBCount+WRCount+TECount)</f>
        <v>2.8199999999999932</v>
      </c>
      <c r="F126" s="1" t="str">
        <f ca="1">IF(H126&lt;=I126,"Starter",IF(G126&gt;=LARGE(G:G,FlexOn*LeagueInfo!$F$2),"Starter","Bench"))</f>
        <v>Bench</v>
      </c>
      <c r="G126" s="1">
        <f ca="1">IF(H126&gt;I126,D126,0)</f>
        <v>79.66</v>
      </c>
      <c r="H126" s="1">
        <f ca="1">INDEX(INDIRECT(""&amp;C126&amp;"!A2:A489"),MATCH(B126,INDIRECT(""&amp;C126&amp;"!B2:B489"),0))</f>
        <v>65</v>
      </c>
      <c r="I126" s="1">
        <f>IF(C126="RB",LeagueInfo!$D$4*LeagueInfo!$F$2,IF(C126="WR",LeagueInfo!$D$5*LeagueInfo!$F$2,IF(C126="TE",LeagueInfo!$D$6*LeagueInfo!$F$2)))</f>
        <v>24</v>
      </c>
    </row>
    <row r="127" spans="1:9" x14ac:dyDescent="0.25">
      <c r="A127" s="47">
        <f ca="1">RANK(E127,E$2:E$574)</f>
        <v>108</v>
      </c>
      <c r="B127" t="s">
        <v>203</v>
      </c>
      <c r="C127" t="s">
        <v>32</v>
      </c>
      <c r="D127" s="1">
        <f ca="1">INDEX(INDIRECT($C127&amp;"!O:O"),MATCH($B127,INDIRECT($C127&amp;"!B:B"),0))</f>
        <v>93.789999999999992</v>
      </c>
      <c r="E127" s="254">
        <f ca="1">D127-LARGE(D$2:D$467,RBCount+WRCount+TECount)</f>
        <v>16.949999999999989</v>
      </c>
      <c r="F127" s="1" t="str">
        <f ca="1">IF(H127&lt;=I127,"Starter",IF(G127&gt;=LARGE(G:G,FlexOn*LeagueInfo!$F$2),"Starter","Bench"))</f>
        <v>Bench</v>
      </c>
      <c r="G127" s="1">
        <f ca="1">IF(H127&gt;I127,D127,0)</f>
        <v>93.789999999999992</v>
      </c>
      <c r="H127" s="1">
        <f ca="1">INDEX(INDIRECT(""&amp;C127&amp;"!A2:A489"),MATCH(B127,INDIRECT(""&amp;C127&amp;"!B2:B489"),0))</f>
        <v>42</v>
      </c>
      <c r="I127" s="1">
        <f>IF(C127="RB",LeagueInfo!$D$4*LeagueInfo!$F$2,IF(C127="WR",LeagueInfo!$D$5*LeagueInfo!$F$2,IF(C127="TE",LeagueInfo!$D$6*LeagueInfo!$F$2)))</f>
        <v>24</v>
      </c>
    </row>
    <row r="128" spans="1:9" x14ac:dyDescent="0.25">
      <c r="A128" s="47">
        <f ca="1">RANK(E128,E$2:E$574)</f>
        <v>124</v>
      </c>
      <c r="B128" t="s">
        <v>557</v>
      </c>
      <c r="C128" t="s">
        <v>39</v>
      </c>
      <c r="D128" s="1">
        <f ca="1">INDEX(INDIRECT($C128&amp;"!O:O"),MATCH($B128,INDIRECT($C128&amp;"!B:B"),0))</f>
        <v>83.61</v>
      </c>
      <c r="E128" s="254">
        <f ca="1">D128-LARGE(D$2:D$467,RBCount+WRCount+TECount)</f>
        <v>6.769999999999996</v>
      </c>
      <c r="F128" s="1" t="str">
        <f ca="1">IF(H128&lt;=I128,"Starter",IF(G128&gt;=LARGE(G:G,FlexOn*LeagueInfo!$F$2),"Starter","Bench"))</f>
        <v>Bench</v>
      </c>
      <c r="G128" s="1">
        <f ca="1">IF(H128&gt;I128,D128,0)</f>
        <v>83.61</v>
      </c>
      <c r="H128" s="1">
        <f ca="1">INDEX(INDIRECT(""&amp;C128&amp;"!A2:A489"),MATCH(B128,INDIRECT(""&amp;C128&amp;"!B2:B489"),0))</f>
        <v>64</v>
      </c>
      <c r="I128" s="1">
        <f>IF(C128="RB",LeagueInfo!$D$4*LeagueInfo!$F$2,IF(C128="WR",LeagueInfo!$D$5*LeagueInfo!$F$2,IF(C128="TE",LeagueInfo!$D$6*LeagueInfo!$F$2)))</f>
        <v>24</v>
      </c>
    </row>
    <row r="129" spans="1:9" x14ac:dyDescent="0.25">
      <c r="A129" s="47">
        <f ca="1">RANK(E129,E$2:E$574)</f>
        <v>130</v>
      </c>
      <c r="B129" t="s">
        <v>291</v>
      </c>
      <c r="C129" t="s">
        <v>47</v>
      </c>
      <c r="D129" s="1">
        <f ca="1">INDEX(INDIRECT($C129&amp;"!O:O"),MATCH($B129,INDIRECT($C129&amp;"!B:B"),0))</f>
        <v>79.36</v>
      </c>
      <c r="E129" s="254">
        <f ca="1">D129-LARGE(D$2:D$467,RBCount+WRCount+TECount)</f>
        <v>2.519999999999996</v>
      </c>
      <c r="F129" s="1" t="str">
        <f ca="1">IF(H129&lt;=I129,"Starter",IF(G129&gt;=LARGE(G:G,FlexOn*LeagueInfo!$F$2),"Starter","Bench"))</f>
        <v>Bench</v>
      </c>
      <c r="G129" s="1">
        <f ca="1">IF(H129&gt;I129,D129,0)</f>
        <v>79.36</v>
      </c>
      <c r="H129" s="1">
        <f ca="1">INDEX(INDIRECT(""&amp;C129&amp;"!A2:A489"),MATCH(B129,INDIRECT(""&amp;C129&amp;"!B2:B489"),0))</f>
        <v>17</v>
      </c>
      <c r="I129" s="1">
        <f>IF(C129="RB",LeagueInfo!$D$4*LeagueInfo!$F$2,IF(C129="WR",LeagueInfo!$D$5*LeagueInfo!$F$2,IF(C129="TE",LeagueInfo!$D$6*LeagueInfo!$F$2)))</f>
        <v>12</v>
      </c>
    </row>
    <row r="130" spans="1:9" x14ac:dyDescent="0.25">
      <c r="A130" s="47">
        <f ca="1">RANK(E130,E$2:E$574)</f>
        <v>136</v>
      </c>
      <c r="B130" t="s">
        <v>292</v>
      </c>
      <c r="C130" t="s">
        <v>47</v>
      </c>
      <c r="D130" s="1">
        <f ca="1">INDEX(INDIRECT($C130&amp;"!O:O"),MATCH($B130,INDIRECT($C130&amp;"!B:B"),0))</f>
        <v>75.61</v>
      </c>
      <c r="E130" s="254">
        <f ca="1">D130-LARGE(D$2:D$467,RBCount+WRCount+TECount)</f>
        <v>-1.230000000000004</v>
      </c>
      <c r="F130" s="1" t="str">
        <f ca="1">IF(H130&lt;=I130,"Starter",IF(G130&gt;=LARGE(G:G,FlexOn*LeagueInfo!$F$2),"Starter","Bench"))</f>
        <v>Bench</v>
      </c>
      <c r="G130" s="1">
        <f ca="1">IF(H130&gt;I130,D130,0)</f>
        <v>75.61</v>
      </c>
      <c r="H130" s="1">
        <f ca="1">INDEX(INDIRECT(""&amp;C130&amp;"!A2:A489"),MATCH(B130,INDIRECT(""&amp;C130&amp;"!B2:B489"),0))</f>
        <v>21</v>
      </c>
      <c r="I130" s="1">
        <f>IF(C130="RB",LeagueInfo!$D$4*LeagueInfo!$F$2,IF(C130="WR",LeagueInfo!$D$5*LeagueInfo!$F$2,IF(C130="TE",LeagueInfo!$D$6*LeagueInfo!$F$2)))</f>
        <v>12</v>
      </c>
    </row>
    <row r="131" spans="1:9" x14ac:dyDescent="0.25">
      <c r="A131" s="47">
        <f ca="1">RANK(E131,E$2:E$574)</f>
        <v>133</v>
      </c>
      <c r="B131" t="s">
        <v>301</v>
      </c>
      <c r="C131" t="s">
        <v>47</v>
      </c>
      <c r="D131" s="1">
        <f ca="1">INDEX(INDIRECT($C131&amp;"!O:O"),MATCH($B131,INDIRECT($C131&amp;"!B:B"),0))</f>
        <v>76.960000000000008</v>
      </c>
      <c r="E131" s="254">
        <f ca="1">D131-LARGE(D$2:D$467,RBCount+WRCount+TECount)</f>
        <v>0.12000000000000455</v>
      </c>
      <c r="F131" s="1" t="str">
        <f ca="1">IF(H131&lt;=I131,"Starter",IF(G131&gt;=LARGE(G:G,FlexOn*LeagueInfo!$F$2),"Starter","Bench"))</f>
        <v>Bench</v>
      </c>
      <c r="G131" s="1">
        <f ca="1">IF(H131&gt;I131,D131,0)</f>
        <v>76.960000000000008</v>
      </c>
      <c r="H131" s="1">
        <f ca="1">INDEX(INDIRECT(""&amp;C131&amp;"!A2:A489"),MATCH(B131,INDIRECT(""&amp;C131&amp;"!B2:B489"),0))</f>
        <v>19</v>
      </c>
      <c r="I131" s="1">
        <f>IF(C131="RB",LeagueInfo!$D$4*LeagueInfo!$F$2,IF(C131="WR",LeagueInfo!$D$5*LeagueInfo!$F$2,IF(C131="TE",LeagueInfo!$D$6*LeagueInfo!$F$2)))</f>
        <v>12</v>
      </c>
    </row>
    <row r="132" spans="1:9" x14ac:dyDescent="0.25">
      <c r="A132" s="47">
        <f ca="1">RANK(E132,E$2:E$574)</f>
        <v>135</v>
      </c>
      <c r="B132" t="s">
        <v>274</v>
      </c>
      <c r="C132" t="s">
        <v>47</v>
      </c>
      <c r="D132" s="1">
        <f ca="1">INDEX(INDIRECT($C132&amp;"!O:O"),MATCH($B132,INDIRECT($C132&amp;"!B:B"),0))</f>
        <v>76.789999999999992</v>
      </c>
      <c r="E132" s="254">
        <f ca="1">D132-LARGE(D$2:D$467,RBCount+WRCount+TECount)</f>
        <v>-5.0000000000011369E-2</v>
      </c>
      <c r="F132" s="1" t="str">
        <f ca="1">IF(H132&lt;=I132,"Starter",IF(G132&gt;=LARGE(G:G,FlexOn*LeagueInfo!$F$2),"Starter","Bench"))</f>
        <v>Bench</v>
      </c>
      <c r="G132" s="1">
        <f ca="1">IF(H132&gt;I132,D132,0)</f>
        <v>76.789999999999992</v>
      </c>
      <c r="H132" s="1">
        <f ca="1">INDEX(INDIRECT(""&amp;C132&amp;"!A2:A489"),MATCH(B132,INDIRECT(""&amp;C132&amp;"!B2:B489"),0))</f>
        <v>20</v>
      </c>
      <c r="I132" s="1">
        <f>IF(C132="RB",LeagueInfo!$D$4*LeagueInfo!$F$2,IF(C132="WR",LeagueInfo!$D$5*LeagueInfo!$F$2,IF(C132="TE",LeagueInfo!$D$6*LeagueInfo!$F$2)))</f>
        <v>12</v>
      </c>
    </row>
    <row r="133" spans="1:9" x14ac:dyDescent="0.25">
      <c r="A133" s="47">
        <f ca="1">RANK(E133,E$2:E$574)</f>
        <v>120</v>
      </c>
      <c r="B133" t="s">
        <v>206</v>
      </c>
      <c r="C133" t="s">
        <v>32</v>
      </c>
      <c r="D133" s="1">
        <f ca="1">INDEX(INDIRECT($C133&amp;"!O:O"),MATCH($B133,INDIRECT($C133&amp;"!B:B"),0))</f>
        <v>85.170000000000016</v>
      </c>
      <c r="E133" s="254">
        <f ca="1">D133-LARGE(D$2:D$467,RBCount+WRCount+TECount)</f>
        <v>8.3300000000000125</v>
      </c>
      <c r="F133" s="1" t="str">
        <f ca="1">IF(H133&lt;=I133,"Starter",IF(G133&gt;=LARGE(G:G,FlexOn*LeagueInfo!$F$2),"Starter","Bench"))</f>
        <v>Bench</v>
      </c>
      <c r="G133" s="1">
        <f ca="1">IF(H133&gt;I133,D133,0)</f>
        <v>85.170000000000016</v>
      </c>
      <c r="H133" s="1">
        <f ca="1">INDEX(INDIRECT(""&amp;C133&amp;"!A2:A489"),MATCH(B133,INDIRECT(""&amp;C133&amp;"!B2:B489"),0))</f>
        <v>45</v>
      </c>
      <c r="I133" s="1">
        <f>IF(C133="RB",LeagueInfo!$D$4*LeagueInfo!$F$2,IF(C133="WR",LeagueInfo!$D$5*LeagueInfo!$F$2,IF(C133="TE",LeagueInfo!$D$6*LeagueInfo!$F$2)))</f>
        <v>24</v>
      </c>
    </row>
    <row r="134" spans="1:9" x14ac:dyDescent="0.25">
      <c r="A134" s="47">
        <f ca="1">RANK(E134,E$2:E$574)</f>
        <v>128</v>
      </c>
      <c r="B134" t="s">
        <v>216</v>
      </c>
      <c r="C134" t="s">
        <v>32</v>
      </c>
      <c r="D134" s="1">
        <f ca="1">INDEX(INDIRECT($C134&amp;"!O:O"),MATCH($B134,INDIRECT($C134&amp;"!B:B"),0))</f>
        <v>79.800000000000011</v>
      </c>
      <c r="E134" s="254">
        <f ca="1">D134-LARGE(D$2:D$467,RBCount+WRCount+TECount)</f>
        <v>2.960000000000008</v>
      </c>
      <c r="F134" s="1" t="str">
        <f ca="1">IF(H134&lt;=I134,"Starter",IF(G134&gt;=LARGE(G:G,FlexOn*LeagueInfo!$F$2),"Starter","Bench"))</f>
        <v>Bench</v>
      </c>
      <c r="G134" s="1">
        <f ca="1">IF(H134&gt;I134,D134,0)</f>
        <v>79.800000000000011</v>
      </c>
      <c r="H134" s="1">
        <f ca="1">INDEX(INDIRECT(""&amp;C134&amp;"!A2:A489"),MATCH(B134,INDIRECT(""&amp;C134&amp;"!B2:B489"),0))</f>
        <v>48</v>
      </c>
      <c r="I134" s="1">
        <f>IF(C134="RB",LeagueInfo!$D$4*LeagueInfo!$F$2,IF(C134="WR",LeagueInfo!$D$5*LeagueInfo!$F$2,IF(C134="TE",LeagueInfo!$D$6*LeagueInfo!$F$2)))</f>
        <v>24</v>
      </c>
    </row>
    <row r="135" spans="1:9" x14ac:dyDescent="0.25">
      <c r="A135" s="47">
        <f ca="1">RANK(E135,E$2:E$574)</f>
        <v>138</v>
      </c>
      <c r="B135" t="s">
        <v>575</v>
      </c>
      <c r="C135" t="s">
        <v>39</v>
      </c>
      <c r="D135" s="1">
        <f ca="1">INDEX(INDIRECT($C135&amp;"!O:O"),MATCH($B135,INDIRECT($C135&amp;"!B:B"),0))</f>
        <v>74.949999999999989</v>
      </c>
      <c r="E135" s="254">
        <f ca="1">D135-LARGE(D$2:D$467,RBCount+WRCount+TECount)</f>
        <v>-1.8900000000000148</v>
      </c>
      <c r="F135" s="1" t="str">
        <f ca="1">IF(H135&lt;=I135,"Starter",IF(G135&gt;=LARGE(G:G,FlexOn*LeagueInfo!$F$2),"Starter","Bench"))</f>
        <v>Bench</v>
      </c>
      <c r="G135" s="1">
        <f ca="1">IF(H135&gt;I135,D135,0)</f>
        <v>74.949999999999989</v>
      </c>
      <c r="H135" s="1">
        <f ca="1">INDEX(INDIRECT(""&amp;C135&amp;"!A2:A489"),MATCH(B135,INDIRECT(""&amp;C135&amp;"!B2:B489"),0))</f>
        <v>67</v>
      </c>
      <c r="I135" s="1">
        <f>IF(C135="RB",LeagueInfo!$D$4*LeagueInfo!$F$2,IF(C135="WR",LeagueInfo!$D$5*LeagueInfo!$F$2,IF(C135="TE",LeagueInfo!$D$6*LeagueInfo!$F$2)))</f>
        <v>24</v>
      </c>
    </row>
    <row r="136" spans="1:9" x14ac:dyDescent="0.25">
      <c r="A136" s="47">
        <f ca="1">RANK(E136,E$2:E$574)</f>
        <v>134</v>
      </c>
      <c r="B136" t="s">
        <v>436</v>
      </c>
      <c r="C136" t="s">
        <v>32</v>
      </c>
      <c r="D136" s="1">
        <f ca="1">INDEX(INDIRECT($C136&amp;"!O:O"),MATCH($B136,INDIRECT($C136&amp;"!B:B"),0))</f>
        <v>76.84</v>
      </c>
      <c r="E136" s="254">
        <f ca="1">D136-LARGE(D$2:D$467,RBCount+WRCount+TECount)</f>
        <v>0</v>
      </c>
      <c r="F136" s="1" t="str">
        <f ca="1">IF(H136&lt;=I136,"Starter",IF(G136&gt;=LARGE(G:G,FlexOn*LeagueInfo!$F$2),"Starter","Bench"))</f>
        <v>Bench</v>
      </c>
      <c r="G136" s="1">
        <f ca="1">IF(H136&gt;I136,D136,0)</f>
        <v>76.84</v>
      </c>
      <c r="H136" s="1">
        <f ca="1">INDEX(INDIRECT(""&amp;C136&amp;"!A2:A489"),MATCH(B136,INDIRECT(""&amp;C136&amp;"!B2:B489"),0))</f>
        <v>49</v>
      </c>
      <c r="I136" s="1">
        <f>IF(C136="RB",LeagueInfo!$D$4*LeagueInfo!$F$2,IF(C136="WR",LeagueInfo!$D$5*LeagueInfo!$F$2,IF(C136="TE",LeagueInfo!$D$6*LeagueInfo!$F$2)))</f>
        <v>24</v>
      </c>
    </row>
    <row r="137" spans="1:9" x14ac:dyDescent="0.25">
      <c r="A137" s="47">
        <f ca="1">RANK(E137,E$2:E$574)</f>
        <v>139</v>
      </c>
      <c r="B137" t="s">
        <v>565</v>
      </c>
      <c r="C137" t="s">
        <v>39</v>
      </c>
      <c r="D137" s="1">
        <f ca="1">INDEX(INDIRECT($C137&amp;"!O:O"),MATCH($B137,INDIRECT($C137&amp;"!B:B"),0))</f>
        <v>74.650000000000006</v>
      </c>
      <c r="E137" s="254">
        <f ca="1">D137-LARGE(D$2:D$467,RBCount+WRCount+TECount)</f>
        <v>-2.1899999999999977</v>
      </c>
      <c r="F137" s="1" t="str">
        <f ca="1">IF(H137&lt;=I137,"Starter",IF(G137&gt;=LARGE(G:G,FlexOn*LeagueInfo!$F$2),"Starter","Bench"))</f>
        <v>Bench</v>
      </c>
      <c r="G137" s="1">
        <f ca="1">IF(H137&gt;I137,D137,0)</f>
        <v>74.650000000000006</v>
      </c>
      <c r="H137" s="1">
        <f ca="1">INDEX(INDIRECT(""&amp;C137&amp;"!A2:A489"),MATCH(B137,INDIRECT(""&amp;C137&amp;"!B2:B489"),0))</f>
        <v>68</v>
      </c>
      <c r="I137" s="1">
        <f>IF(C137="RB",LeagueInfo!$D$4*LeagueInfo!$F$2,IF(C137="WR",LeagueInfo!$D$5*LeagueInfo!$F$2,IF(C137="TE",LeagueInfo!$D$6*LeagueInfo!$F$2)))</f>
        <v>24</v>
      </c>
    </row>
    <row r="138" spans="1:9" x14ac:dyDescent="0.25">
      <c r="A138" s="47">
        <f ca="1">RANK(E138,E$2:E$574)</f>
        <v>132</v>
      </c>
      <c r="B138" t="s">
        <v>243</v>
      </c>
      <c r="C138" t="s">
        <v>39</v>
      </c>
      <c r="D138" s="1">
        <f ca="1">INDEX(INDIRECT($C138&amp;"!O:O"),MATCH($B138,INDIRECT($C138&amp;"!B:B"),0))</f>
        <v>78.410000000000011</v>
      </c>
      <c r="E138" s="254">
        <f ca="1">D138-LARGE(D$2:D$467,RBCount+WRCount+TECount)</f>
        <v>1.5700000000000074</v>
      </c>
      <c r="F138" s="1" t="str">
        <f ca="1">IF(H138&lt;=I138,"Starter",IF(G138&gt;=LARGE(G:G,FlexOn*LeagueInfo!$F$2),"Starter","Bench"))</f>
        <v>Bench</v>
      </c>
      <c r="G138" s="1">
        <f ca="1">IF(H138&gt;I138,D138,0)</f>
        <v>78.410000000000011</v>
      </c>
      <c r="H138" s="1">
        <f ca="1">INDEX(INDIRECT(""&amp;C138&amp;"!A2:A489"),MATCH(B138,INDIRECT(""&amp;C138&amp;"!B2:B489"),0))</f>
        <v>66</v>
      </c>
      <c r="I138" s="1">
        <f>IF(C138="RB",LeagueInfo!$D$4*LeagueInfo!$F$2,IF(C138="WR",LeagueInfo!$D$5*LeagueInfo!$F$2,IF(C138="TE",LeagueInfo!$D$6*LeagueInfo!$F$2)))</f>
        <v>24</v>
      </c>
    </row>
    <row r="139" spans="1:9" x14ac:dyDescent="0.25">
      <c r="A139" s="47">
        <f ca="1">RANK(E139,E$2:E$574)</f>
        <v>143</v>
      </c>
      <c r="B139" t="s">
        <v>290</v>
      </c>
      <c r="C139" t="s">
        <v>47</v>
      </c>
      <c r="D139" s="1">
        <f ca="1">INDEX(INDIRECT($C139&amp;"!O:O"),MATCH($B139,INDIRECT($C139&amp;"!B:B"),0))</f>
        <v>72.430000000000007</v>
      </c>
      <c r="E139" s="254">
        <f ca="1">D139-LARGE(D$2:D$467,RBCount+WRCount+TECount)</f>
        <v>-4.4099999999999966</v>
      </c>
      <c r="F139" s="1" t="str">
        <f ca="1">IF(H139&lt;=I139,"Starter",IF(G139&gt;=LARGE(G:G,FlexOn*LeagueInfo!$F$2),"Starter","Bench"))</f>
        <v>Bench</v>
      </c>
      <c r="G139" s="1">
        <f ca="1">IF(H139&gt;I139,D139,0)</f>
        <v>72.430000000000007</v>
      </c>
      <c r="H139" s="1">
        <f ca="1">INDEX(INDIRECT(""&amp;C139&amp;"!A2:A489"),MATCH(B139,INDIRECT(""&amp;C139&amp;"!B2:B489"),0))</f>
        <v>22</v>
      </c>
      <c r="I139" s="1">
        <f>IF(C139="RB",LeagueInfo!$D$4*LeagueInfo!$F$2,IF(C139="WR",LeagueInfo!$D$5*LeagueInfo!$F$2,IF(C139="TE",LeagueInfo!$D$6*LeagueInfo!$F$2)))</f>
        <v>12</v>
      </c>
    </row>
    <row r="140" spans="1:9" x14ac:dyDescent="0.25">
      <c r="A140" s="47">
        <f ca="1">RANK(E140,E$2:E$574)</f>
        <v>141</v>
      </c>
      <c r="B140" t="s">
        <v>558</v>
      </c>
      <c r="C140" t="s">
        <v>39</v>
      </c>
      <c r="D140" s="1">
        <f ca="1">INDEX(INDIRECT($C140&amp;"!O:O"),MATCH($B140,INDIRECT($C140&amp;"!B:B"),0))</f>
        <v>74.070000000000007</v>
      </c>
      <c r="E140" s="254">
        <f ca="1">D140-LARGE(D$2:D$467,RBCount+WRCount+TECount)</f>
        <v>-2.769999999999996</v>
      </c>
      <c r="F140" s="1" t="str">
        <f ca="1">IF(H140&lt;=I140,"Starter",IF(G140&gt;=LARGE(G:G,FlexOn*LeagueInfo!$F$2),"Starter","Bench"))</f>
        <v>Bench</v>
      </c>
      <c r="G140" s="1">
        <f ca="1">IF(H140&gt;I140,D140,0)</f>
        <v>74.070000000000007</v>
      </c>
      <c r="H140" s="1">
        <f ca="1">INDEX(INDIRECT(""&amp;C140&amp;"!A2:A489"),MATCH(B140,INDIRECT(""&amp;C140&amp;"!B2:B489"),0))</f>
        <v>69</v>
      </c>
      <c r="I140" s="1">
        <f>IF(C140="RB",LeagueInfo!$D$4*LeagueInfo!$F$2,IF(C140="WR",LeagueInfo!$D$5*LeagueInfo!$F$2,IF(C140="TE",LeagueInfo!$D$6*LeagueInfo!$F$2)))</f>
        <v>24</v>
      </c>
    </row>
    <row r="141" spans="1:9" x14ac:dyDescent="0.25">
      <c r="A141" s="47">
        <f ca="1">RANK(E141,E$2:E$574)</f>
        <v>149</v>
      </c>
      <c r="B141" t="s">
        <v>559</v>
      </c>
      <c r="C141" t="s">
        <v>39</v>
      </c>
      <c r="D141" s="1">
        <f ca="1">INDEX(INDIRECT($C141&amp;"!O:O"),MATCH($B141,INDIRECT($C141&amp;"!B:B"),0))</f>
        <v>69.789999999999992</v>
      </c>
      <c r="E141" s="254">
        <f ca="1">D141-LARGE(D$2:D$467,RBCount+WRCount+TECount)</f>
        <v>-7.0500000000000114</v>
      </c>
      <c r="F141" s="1" t="str">
        <f ca="1">IF(H141&lt;=I141,"Starter",IF(G141&gt;=LARGE(G:G,FlexOn*LeagueInfo!$F$2),"Starter","Bench"))</f>
        <v>Bench</v>
      </c>
      <c r="G141" s="1">
        <f ca="1">IF(H141&gt;I141,D141,0)</f>
        <v>69.789999999999992</v>
      </c>
      <c r="H141" s="1">
        <f ca="1">INDEX(INDIRECT(""&amp;C141&amp;"!A2:A489"),MATCH(B141,INDIRECT(""&amp;C141&amp;"!B2:B489"),0))</f>
        <v>72</v>
      </c>
      <c r="I141" s="1">
        <f>IF(C141="RB",LeagueInfo!$D$4*LeagueInfo!$F$2,IF(C141="WR",LeagueInfo!$D$5*LeagueInfo!$F$2,IF(C141="TE",LeagueInfo!$D$6*LeagueInfo!$F$2)))</f>
        <v>24</v>
      </c>
    </row>
    <row r="142" spans="1:9" x14ac:dyDescent="0.25">
      <c r="A142" s="47">
        <f ca="1">RANK(E142,E$2:E$574)</f>
        <v>144</v>
      </c>
      <c r="B142" t="s">
        <v>276</v>
      </c>
      <c r="C142" t="s">
        <v>39</v>
      </c>
      <c r="D142" s="1">
        <f ca="1">INDEX(INDIRECT($C142&amp;"!O:O"),MATCH($B142,INDIRECT($C142&amp;"!B:B"),0))</f>
        <v>72.110000000000014</v>
      </c>
      <c r="E142" s="254">
        <f ca="1">D142-LARGE(D$2:D$467,RBCount+WRCount+TECount)</f>
        <v>-4.7299999999999898</v>
      </c>
      <c r="F142" s="1" t="str">
        <f ca="1">IF(H142&lt;=I142,"Starter",IF(G142&gt;=LARGE(G:G,FlexOn*LeagueInfo!$F$2),"Starter","Bench"))</f>
        <v>Bench</v>
      </c>
      <c r="G142" s="1">
        <f ca="1">IF(H142&gt;I142,D142,0)</f>
        <v>72.110000000000014</v>
      </c>
      <c r="H142" s="1">
        <f ca="1">INDEX(INDIRECT(""&amp;C142&amp;"!A2:A489"),MATCH(B142,INDIRECT(""&amp;C142&amp;"!B2:B489"),0))</f>
        <v>70</v>
      </c>
      <c r="I142" s="1">
        <f>IF(C142="RB",LeagueInfo!$D$4*LeagueInfo!$F$2,IF(C142="WR",LeagueInfo!$D$5*LeagueInfo!$F$2,IF(C142="TE",LeagueInfo!$D$6*LeagueInfo!$F$2)))</f>
        <v>24</v>
      </c>
    </row>
    <row r="143" spans="1:9" x14ac:dyDescent="0.25">
      <c r="A143" s="47">
        <f ca="1">RANK(E143,E$2:E$574)</f>
        <v>146</v>
      </c>
      <c r="B143" t="s">
        <v>567</v>
      </c>
      <c r="C143" t="s">
        <v>39</v>
      </c>
      <c r="D143" s="1">
        <f ca="1">INDEX(INDIRECT($C143&amp;"!O:O"),MATCH($B143,INDIRECT($C143&amp;"!B:B"),0))</f>
        <v>70.78</v>
      </c>
      <c r="E143" s="254">
        <f ca="1">D143-LARGE(D$2:D$467,RBCount+WRCount+TECount)</f>
        <v>-6.0600000000000023</v>
      </c>
      <c r="F143" s="1" t="str">
        <f ca="1">IF(H143&lt;=I143,"Starter",IF(G143&gt;=LARGE(G:G,FlexOn*LeagueInfo!$F$2),"Starter","Bench"))</f>
        <v>Bench</v>
      </c>
      <c r="G143" s="1">
        <f ca="1">IF(H143&gt;I143,D143,0)</f>
        <v>70.78</v>
      </c>
      <c r="H143" s="1">
        <f ca="1">INDEX(INDIRECT(""&amp;C143&amp;"!A2:A489"),MATCH(B143,INDIRECT(""&amp;C143&amp;"!B2:B489"),0))</f>
        <v>71</v>
      </c>
      <c r="I143" s="1">
        <f>IF(C143="RB",LeagueInfo!$D$4*LeagueInfo!$F$2,IF(C143="WR",LeagueInfo!$D$5*LeagueInfo!$F$2,IF(C143="TE",LeagueInfo!$D$6*LeagueInfo!$F$2)))</f>
        <v>24</v>
      </c>
    </row>
    <row r="144" spans="1:9" x14ac:dyDescent="0.25">
      <c r="A144" s="47">
        <f ca="1">RANK(E144,E$2:E$574)</f>
        <v>126</v>
      </c>
      <c r="B144" t="s">
        <v>242</v>
      </c>
      <c r="C144" t="s">
        <v>32</v>
      </c>
      <c r="D144" s="1">
        <f ca="1">INDEX(INDIRECT($C144&amp;"!O:O"),MATCH($B144,INDIRECT($C144&amp;"!B:B"),0))</f>
        <v>82.390000000000015</v>
      </c>
      <c r="E144" s="254">
        <f ca="1">D144-LARGE(D$2:D$467,RBCount+WRCount+TECount)</f>
        <v>5.5500000000000114</v>
      </c>
      <c r="F144" s="1" t="str">
        <f ca="1">IF(H144&lt;=I144,"Starter",IF(G144&gt;=LARGE(G:G,FlexOn*LeagueInfo!$F$2),"Starter","Bench"))</f>
        <v>Bench</v>
      </c>
      <c r="G144" s="1">
        <f ca="1">IF(H144&gt;I144,D144,0)</f>
        <v>82.390000000000015</v>
      </c>
      <c r="H144" s="1">
        <f ca="1">INDEX(INDIRECT(""&amp;C144&amp;"!A2:A489"),MATCH(B144,INDIRECT(""&amp;C144&amp;"!B2:B489"),0))</f>
        <v>47</v>
      </c>
      <c r="I144" s="1">
        <f>IF(C144="RB",LeagueInfo!$D$4*LeagueInfo!$F$2,IF(C144="WR",LeagueInfo!$D$5*LeagueInfo!$F$2,IF(C144="TE",LeagueInfo!$D$6*LeagueInfo!$F$2)))</f>
        <v>24</v>
      </c>
    </row>
    <row r="145" spans="1:9" x14ac:dyDescent="0.25">
      <c r="A145" s="47">
        <f ca="1">RANK(E145,E$2:E$574)</f>
        <v>151</v>
      </c>
      <c r="B145" t="s">
        <v>552</v>
      </c>
      <c r="C145" t="s">
        <v>39</v>
      </c>
      <c r="D145" s="1">
        <f ca="1">INDEX(INDIRECT($C145&amp;"!O:O"),MATCH($B145,INDIRECT($C145&amp;"!B:B"),0))</f>
        <v>68.660000000000011</v>
      </c>
      <c r="E145" s="254">
        <f ca="1">D145-LARGE(D$2:D$467,RBCount+WRCount+TECount)</f>
        <v>-8.1799999999999926</v>
      </c>
      <c r="F145" s="1" t="str">
        <f ca="1">IF(H145&lt;=I145,"Starter",IF(G145&gt;=LARGE(G:G,FlexOn*LeagueInfo!$F$2),"Starter","Bench"))</f>
        <v>Bench</v>
      </c>
      <c r="G145" s="1">
        <f ca="1">IF(H145&gt;I145,D145,0)</f>
        <v>68.660000000000011</v>
      </c>
      <c r="H145" s="1">
        <f ca="1">INDEX(INDIRECT(""&amp;C145&amp;"!A2:A489"),MATCH(B145,INDIRECT(""&amp;C145&amp;"!B2:B489"),0))</f>
        <v>73</v>
      </c>
      <c r="I145" s="1">
        <f>IF(C145="RB",LeagueInfo!$D$4*LeagueInfo!$F$2,IF(C145="WR",LeagueInfo!$D$5*LeagueInfo!$F$2,IF(C145="TE",LeagueInfo!$D$6*LeagueInfo!$F$2)))</f>
        <v>24</v>
      </c>
    </row>
    <row r="146" spans="1:9" x14ac:dyDescent="0.25">
      <c r="A146" s="47">
        <f ca="1">RANK(E146,E$2:E$574)</f>
        <v>157</v>
      </c>
      <c r="B146" t="s">
        <v>283</v>
      </c>
      <c r="C146" t="s">
        <v>47</v>
      </c>
      <c r="D146" s="1">
        <f ca="1">INDEX(INDIRECT($C146&amp;"!O:O"),MATCH($B146,INDIRECT($C146&amp;"!B:B"),0))</f>
        <v>66.080000000000013</v>
      </c>
      <c r="E146" s="254">
        <f ca="1">D146-LARGE(D$2:D$467,RBCount+WRCount+TECount)</f>
        <v>-10.759999999999991</v>
      </c>
      <c r="F146" s="1" t="str">
        <f ca="1">IF(H146&lt;=I146,"Starter",IF(G146&gt;=LARGE(G:G,FlexOn*LeagueInfo!$F$2),"Starter","Bench"))</f>
        <v>Bench</v>
      </c>
      <c r="G146" s="1">
        <f ca="1">IF(H146&gt;I146,D146,0)</f>
        <v>66.080000000000013</v>
      </c>
      <c r="H146" s="1">
        <f ca="1">INDEX(INDIRECT(""&amp;C146&amp;"!A2:A489"),MATCH(B146,INDIRECT(""&amp;C146&amp;"!B2:B489"),0))</f>
        <v>24</v>
      </c>
      <c r="I146" s="1">
        <f>IF(C146="RB",LeagueInfo!$D$4*LeagueInfo!$F$2,IF(C146="WR",LeagueInfo!$D$5*LeagueInfo!$F$2,IF(C146="TE",LeagueInfo!$D$6*LeagueInfo!$F$2)))</f>
        <v>12</v>
      </c>
    </row>
    <row r="147" spans="1:9" x14ac:dyDescent="0.25">
      <c r="A147" s="47">
        <f ca="1">RANK(E147,E$2:E$574)</f>
        <v>155</v>
      </c>
      <c r="B147" t="s">
        <v>297</v>
      </c>
      <c r="C147" t="s">
        <v>47</v>
      </c>
      <c r="D147" s="1">
        <f ca="1">INDEX(INDIRECT($C147&amp;"!O:O"),MATCH($B147,INDIRECT($C147&amp;"!B:B"),0))</f>
        <v>66.8</v>
      </c>
      <c r="E147" s="254">
        <f ca="1">D147-LARGE(D$2:D$467,RBCount+WRCount+TECount)</f>
        <v>-10.040000000000006</v>
      </c>
      <c r="F147" s="1" t="str">
        <f ca="1">IF(H147&lt;=I147,"Starter",IF(G147&gt;=LARGE(G:G,FlexOn*LeagueInfo!$F$2),"Starter","Bench"))</f>
        <v>Bench</v>
      </c>
      <c r="G147" s="1">
        <f ca="1">IF(H147&gt;I147,D147,0)</f>
        <v>66.8</v>
      </c>
      <c r="H147" s="1">
        <f ca="1">INDEX(INDIRECT(""&amp;C147&amp;"!A2:A489"),MATCH(B147,INDIRECT(""&amp;C147&amp;"!B2:B489"),0))</f>
        <v>23</v>
      </c>
      <c r="I147" s="1">
        <f>IF(C147="RB",LeagueInfo!$D$4*LeagueInfo!$F$2,IF(C147="WR",LeagueInfo!$D$5*LeagueInfo!$F$2,IF(C147="TE",LeagueInfo!$D$6*LeagueInfo!$F$2)))</f>
        <v>12</v>
      </c>
    </row>
    <row r="148" spans="1:9" x14ac:dyDescent="0.25">
      <c r="A148" s="47">
        <f ca="1">RANK(E148,E$2:E$574)</f>
        <v>154</v>
      </c>
      <c r="B148" t="s">
        <v>571</v>
      </c>
      <c r="C148" t="s">
        <v>39</v>
      </c>
      <c r="D148" s="1">
        <f ca="1">INDEX(INDIRECT($C148&amp;"!O:O"),MATCH($B148,INDIRECT($C148&amp;"!B:B"),0))</f>
        <v>67.790000000000006</v>
      </c>
      <c r="E148" s="254">
        <f ca="1">D148-LARGE(D$2:D$467,RBCount+WRCount+TECount)</f>
        <v>-9.0499999999999972</v>
      </c>
      <c r="F148" s="1" t="str">
        <f ca="1">IF(H148&lt;=I148,"Starter",IF(G148&gt;=LARGE(G:G,FlexOn*LeagueInfo!$F$2),"Starter","Bench"))</f>
        <v>Bench</v>
      </c>
      <c r="G148" s="1">
        <f ca="1">IF(H148&gt;I148,D148,0)</f>
        <v>67.790000000000006</v>
      </c>
      <c r="H148" s="1">
        <f ca="1">INDEX(INDIRECT(""&amp;C148&amp;"!A2:A489"),MATCH(B148,INDIRECT(""&amp;C148&amp;"!B2:B489"),0))</f>
        <v>74</v>
      </c>
      <c r="I148" s="1">
        <f>IF(C148="RB",LeagueInfo!$D$4*LeagueInfo!$F$2,IF(C148="WR",LeagueInfo!$D$5*LeagueInfo!$F$2,IF(C148="TE",LeagueInfo!$D$6*LeagueInfo!$F$2)))</f>
        <v>24</v>
      </c>
    </row>
    <row r="149" spans="1:9" x14ac:dyDescent="0.25">
      <c r="A149" s="47">
        <f ca="1">RANK(E149,E$2:E$574)</f>
        <v>160</v>
      </c>
      <c r="B149" t="s">
        <v>277</v>
      </c>
      <c r="C149" t="s">
        <v>47</v>
      </c>
      <c r="D149" s="1">
        <f ca="1">INDEX(INDIRECT($C149&amp;"!O:O"),MATCH($B149,INDIRECT($C149&amp;"!B:B"),0))</f>
        <v>63.77</v>
      </c>
      <c r="E149" s="254">
        <f ca="1">D149-LARGE(D$2:D$467,RBCount+WRCount+TECount)</f>
        <v>-13.07</v>
      </c>
      <c r="F149" s="1" t="str">
        <f ca="1">IF(H149&lt;=I149,"Starter",IF(G149&gt;=LARGE(G:G,FlexOn*LeagueInfo!$F$2),"Starter","Bench"))</f>
        <v>Bench</v>
      </c>
      <c r="G149" s="1">
        <f ca="1">IF(H149&gt;I149,D149,0)</f>
        <v>63.77</v>
      </c>
      <c r="H149" s="1">
        <f ca="1">INDEX(INDIRECT(""&amp;C149&amp;"!A2:A489"),MATCH(B149,INDIRECT(""&amp;C149&amp;"!B2:B489"),0))</f>
        <v>25</v>
      </c>
      <c r="I149" s="1">
        <f>IF(C149="RB",LeagueInfo!$D$4*LeagueInfo!$F$2,IF(C149="WR",LeagueInfo!$D$5*LeagueInfo!$F$2,IF(C149="TE",LeagueInfo!$D$6*LeagueInfo!$F$2)))</f>
        <v>12</v>
      </c>
    </row>
    <row r="150" spans="1:9" x14ac:dyDescent="0.25">
      <c r="A150" s="47">
        <f ca="1">RANK(E150,E$2:E$574)</f>
        <v>150</v>
      </c>
      <c r="B150" t="s">
        <v>437</v>
      </c>
      <c r="C150" t="s">
        <v>32</v>
      </c>
      <c r="D150" s="1">
        <f ca="1">INDEX(INDIRECT($C150&amp;"!O:O"),MATCH($B150,INDIRECT($C150&amp;"!B:B"),0))</f>
        <v>69.240000000000009</v>
      </c>
      <c r="E150" s="254">
        <f ca="1">D150-LARGE(D$2:D$467,RBCount+WRCount+TECount)</f>
        <v>-7.5999999999999943</v>
      </c>
      <c r="F150" s="1" t="str">
        <f ca="1">IF(H150&lt;=I150,"Starter",IF(G150&gt;=LARGE(G:G,FlexOn*LeagueInfo!$F$2),"Starter","Bench"))</f>
        <v>Bench</v>
      </c>
      <c r="G150" s="1">
        <f ca="1">IF(H150&gt;I150,D150,0)</f>
        <v>69.240000000000009</v>
      </c>
      <c r="H150" s="1">
        <f ca="1">INDEX(INDIRECT(""&amp;C150&amp;"!A2:A489"),MATCH(B150,INDIRECT(""&amp;C150&amp;"!B2:B489"),0))</f>
        <v>56</v>
      </c>
      <c r="I150" s="1">
        <f>IF(C150="RB",LeagueInfo!$D$4*LeagueInfo!$F$2,IF(C150="WR",LeagueInfo!$D$5*LeagueInfo!$F$2,IF(C150="TE",LeagueInfo!$D$6*LeagueInfo!$F$2)))</f>
        <v>24</v>
      </c>
    </row>
    <row r="151" spans="1:9" x14ac:dyDescent="0.25">
      <c r="A151" s="47">
        <f ca="1">RANK(E151,E$2:E$574)</f>
        <v>159</v>
      </c>
      <c r="B151" t="s">
        <v>228</v>
      </c>
      <c r="C151" t="s">
        <v>39</v>
      </c>
      <c r="D151" s="1">
        <f ca="1">INDEX(INDIRECT($C151&amp;"!O:O"),MATCH($B151,INDIRECT($C151&amp;"!B:B"),0))</f>
        <v>65.550000000000011</v>
      </c>
      <c r="E151" s="254">
        <f ca="1">D151-LARGE(D$2:D$467,RBCount+WRCount+TECount)</f>
        <v>-11.289999999999992</v>
      </c>
      <c r="F151" s="1" t="str">
        <f ca="1">IF(H151&lt;=I151,"Starter",IF(G151&gt;=LARGE(G:G,FlexOn*LeagueInfo!$F$2),"Starter","Bench"))</f>
        <v>Bench</v>
      </c>
      <c r="G151" s="1">
        <f ca="1">IF(H151&gt;I151,D151,0)</f>
        <v>65.550000000000011</v>
      </c>
      <c r="H151" s="1">
        <f ca="1">INDEX(INDIRECT(""&amp;C151&amp;"!A2:A489"),MATCH(B151,INDIRECT(""&amp;C151&amp;"!B2:B489"),0))</f>
        <v>76</v>
      </c>
      <c r="I151" s="1">
        <f>IF(C151="RB",LeagueInfo!$D$4*LeagueInfo!$F$2,IF(C151="WR",LeagueInfo!$D$5*LeagueInfo!$F$2,IF(C151="TE",LeagueInfo!$D$6*LeagueInfo!$F$2)))</f>
        <v>24</v>
      </c>
    </row>
    <row r="152" spans="1:9" x14ac:dyDescent="0.25">
      <c r="A152" s="47">
        <f ca="1">RANK(E152,E$2:E$574)</f>
        <v>158</v>
      </c>
      <c r="B152" t="s">
        <v>563</v>
      </c>
      <c r="C152" t="s">
        <v>39</v>
      </c>
      <c r="D152" s="1">
        <f ca="1">INDEX(INDIRECT($C152&amp;"!O:O"),MATCH($B152,INDIRECT($C152&amp;"!B:B"),0))</f>
        <v>65.739999999999995</v>
      </c>
      <c r="E152" s="254">
        <f ca="1">D152-LARGE(D$2:D$467,RBCount+WRCount+TECount)</f>
        <v>-11.100000000000009</v>
      </c>
      <c r="F152" s="1" t="str">
        <f ca="1">IF(H152&lt;=I152,"Starter",IF(G152&gt;=LARGE(G:G,FlexOn*LeagueInfo!$F$2),"Starter","Bench"))</f>
        <v>Bench</v>
      </c>
      <c r="G152" s="1">
        <f ca="1">IF(H152&gt;I152,D152,0)</f>
        <v>65.739999999999995</v>
      </c>
      <c r="H152" s="1">
        <f ca="1">INDEX(INDIRECT(""&amp;C152&amp;"!A2:A489"),MATCH(B152,INDIRECT(""&amp;C152&amp;"!B2:B489"),0))</f>
        <v>75</v>
      </c>
      <c r="I152" s="1">
        <f>IF(C152="RB",LeagueInfo!$D$4*LeagueInfo!$F$2,IF(C152="WR",LeagueInfo!$D$5*LeagueInfo!$F$2,IF(C152="TE",LeagueInfo!$D$6*LeagueInfo!$F$2)))</f>
        <v>24</v>
      </c>
    </row>
    <row r="153" spans="1:9" x14ac:dyDescent="0.25">
      <c r="A153" s="47">
        <f ca="1">RANK(E153,E$2:E$574)</f>
        <v>161</v>
      </c>
      <c r="B153" t="s">
        <v>556</v>
      </c>
      <c r="C153" t="s">
        <v>39</v>
      </c>
      <c r="D153" s="1">
        <f ca="1">INDEX(INDIRECT($C153&amp;"!O:O"),MATCH($B153,INDIRECT($C153&amp;"!B:B"),0))</f>
        <v>63.550000000000004</v>
      </c>
      <c r="E153" s="254">
        <f ca="1">D153-LARGE(D$2:D$467,RBCount+WRCount+TECount)</f>
        <v>-13.29</v>
      </c>
      <c r="F153" s="1" t="str">
        <f ca="1">IF(H153&lt;=I153,"Starter",IF(G153&gt;=LARGE(G:G,FlexOn*LeagueInfo!$F$2),"Starter","Bench"))</f>
        <v>Bench</v>
      </c>
      <c r="G153" s="1">
        <f ca="1">IF(H153&gt;I153,D153,0)</f>
        <v>63.550000000000004</v>
      </c>
      <c r="H153" s="1">
        <f ca="1">INDEX(INDIRECT(""&amp;C153&amp;"!A2:A489"),MATCH(B153,INDIRECT(""&amp;C153&amp;"!B2:B489"),0))</f>
        <v>77</v>
      </c>
      <c r="I153" s="1">
        <f>IF(C153="RB",LeagueInfo!$D$4*LeagueInfo!$F$2,IF(C153="WR",LeagueInfo!$D$5*LeagueInfo!$F$2,IF(C153="TE",LeagueInfo!$D$6*LeagueInfo!$F$2)))</f>
        <v>24</v>
      </c>
    </row>
    <row r="154" spans="1:9" x14ac:dyDescent="0.25">
      <c r="A154" s="47">
        <f ca="1">RANK(E154,E$2:E$574)</f>
        <v>142</v>
      </c>
      <c r="B154" t="s">
        <v>438</v>
      </c>
      <c r="C154" t="s">
        <v>32</v>
      </c>
      <c r="D154" s="1">
        <f ca="1">INDEX(INDIRECT($C154&amp;"!O:O"),MATCH($B154,INDIRECT($C154&amp;"!B:B"),0))</f>
        <v>72.750000000000014</v>
      </c>
      <c r="E154" s="254">
        <f ca="1">D154-LARGE(D$2:D$467,RBCount+WRCount+TECount)</f>
        <v>-4.0899999999999892</v>
      </c>
      <c r="F154" s="1" t="str">
        <f ca="1">IF(H154&lt;=I154,"Starter",IF(G154&gt;=LARGE(G:G,FlexOn*LeagueInfo!$F$2),"Starter","Bench"))</f>
        <v>Bench</v>
      </c>
      <c r="G154" s="1">
        <f ca="1">IF(H154&gt;I154,D154,0)</f>
        <v>72.750000000000014</v>
      </c>
      <c r="H154" s="1">
        <f ca="1">INDEX(INDIRECT(""&amp;C154&amp;"!A2:A489"),MATCH(B154,INDIRECT(""&amp;C154&amp;"!B2:B489"),0))</f>
        <v>52</v>
      </c>
      <c r="I154" s="1">
        <f>IF(C154="RB",LeagueInfo!$D$4*LeagueInfo!$F$2,IF(C154="WR",LeagueInfo!$D$5*LeagueInfo!$F$2,IF(C154="TE",LeagueInfo!$D$6*LeagueInfo!$F$2)))</f>
        <v>24</v>
      </c>
    </row>
    <row r="155" spans="1:9" x14ac:dyDescent="0.25">
      <c r="A155" s="47">
        <f ca="1">RANK(E155,E$2:E$574)</f>
        <v>140</v>
      </c>
      <c r="B155" t="s">
        <v>192</v>
      </c>
      <c r="C155" t="s">
        <v>32</v>
      </c>
      <c r="D155" s="1">
        <f ca="1">INDEX(INDIRECT($C155&amp;"!O:O"),MATCH($B155,INDIRECT($C155&amp;"!B:B"),0))</f>
        <v>74.460000000000008</v>
      </c>
      <c r="E155" s="254">
        <f ca="1">D155-LARGE(D$2:D$467,RBCount+WRCount+TECount)</f>
        <v>-2.3799999999999955</v>
      </c>
      <c r="F155" s="1" t="str">
        <f ca="1">IF(H155&lt;=I155,"Starter",IF(G155&gt;=LARGE(G:G,FlexOn*LeagueInfo!$F$2),"Starter","Bench"))</f>
        <v>Bench</v>
      </c>
      <c r="G155" s="1">
        <f ca="1">IF(H155&gt;I155,D155,0)</f>
        <v>74.460000000000008</v>
      </c>
      <c r="H155" s="1">
        <f ca="1">INDEX(INDIRECT(""&amp;C155&amp;"!A2:A489"),MATCH(B155,INDIRECT(""&amp;C155&amp;"!B2:B489"),0))</f>
        <v>51</v>
      </c>
      <c r="I155" s="1">
        <f>IF(C155="RB",LeagueInfo!$D$4*LeagueInfo!$F$2,IF(C155="WR",LeagueInfo!$D$5*LeagueInfo!$F$2,IF(C155="TE",LeagueInfo!$D$6*LeagueInfo!$F$2)))</f>
        <v>24</v>
      </c>
    </row>
    <row r="156" spans="1:9" x14ac:dyDescent="0.25">
      <c r="A156" s="47">
        <f ca="1">RANK(E156,E$2:E$574)</f>
        <v>137</v>
      </c>
      <c r="B156" t="s">
        <v>220</v>
      </c>
      <c r="C156" t="s">
        <v>32</v>
      </c>
      <c r="D156" s="1">
        <f ca="1">INDEX(INDIRECT($C156&amp;"!O:O"),MATCH($B156,INDIRECT($C156&amp;"!B:B"),0))</f>
        <v>75.300000000000011</v>
      </c>
      <c r="E156" s="254">
        <f ca="1">D156-LARGE(D$2:D$467,RBCount+WRCount+TECount)</f>
        <v>-1.539999999999992</v>
      </c>
      <c r="F156" s="1" t="str">
        <f ca="1">IF(H156&lt;=I156,"Starter",IF(G156&gt;=LARGE(G:G,FlexOn*LeagueInfo!$F$2),"Starter","Bench"))</f>
        <v>Bench</v>
      </c>
      <c r="G156" s="1">
        <f ca="1">IF(H156&gt;I156,D156,0)</f>
        <v>75.300000000000011</v>
      </c>
      <c r="H156" s="1">
        <f ca="1">INDEX(INDIRECT(""&amp;C156&amp;"!A2:A489"),MATCH(B156,INDIRECT(""&amp;C156&amp;"!B2:B489"),0))</f>
        <v>50</v>
      </c>
      <c r="I156" s="1">
        <f>IF(C156="RB",LeagueInfo!$D$4*LeagueInfo!$F$2,IF(C156="WR",LeagueInfo!$D$5*LeagueInfo!$F$2,IF(C156="TE",LeagueInfo!$D$6*LeagueInfo!$F$2)))</f>
        <v>24</v>
      </c>
    </row>
    <row r="157" spans="1:9" x14ac:dyDescent="0.25">
      <c r="A157" s="47">
        <f ca="1">RANK(E157,E$2:E$574)</f>
        <v>152</v>
      </c>
      <c r="B157" t="s">
        <v>207</v>
      </c>
      <c r="C157" t="s">
        <v>32</v>
      </c>
      <c r="D157" s="1">
        <f ca="1">INDEX(INDIRECT($C157&amp;"!O:O"),MATCH($B157,INDIRECT($C157&amp;"!B:B"),0))</f>
        <v>68.47</v>
      </c>
      <c r="E157" s="254">
        <f ca="1">D157-LARGE(D$2:D$467,RBCount+WRCount+TECount)</f>
        <v>-8.3700000000000045</v>
      </c>
      <c r="F157" s="1" t="str">
        <f ca="1">IF(H157&lt;=I157,"Starter",IF(G157&gt;=LARGE(G:G,FlexOn*LeagueInfo!$F$2),"Starter","Bench"))</f>
        <v>Bench</v>
      </c>
      <c r="G157" s="1">
        <f ca="1">IF(H157&gt;I157,D157,0)</f>
        <v>68.47</v>
      </c>
      <c r="H157" s="1">
        <f ca="1">INDEX(INDIRECT(""&amp;C157&amp;"!A2:A489"),MATCH(B157,INDIRECT(""&amp;C157&amp;"!B2:B489"),0))</f>
        <v>57</v>
      </c>
      <c r="I157" s="1">
        <f>IF(C157="RB",LeagueInfo!$D$4*LeagueInfo!$F$2,IF(C157="WR",LeagueInfo!$D$5*LeagueInfo!$F$2,IF(C157="TE",LeagueInfo!$D$6*LeagueInfo!$F$2)))</f>
        <v>24</v>
      </c>
    </row>
    <row r="158" spans="1:9" x14ac:dyDescent="0.25">
      <c r="A158" s="47">
        <f ca="1">RANK(E158,E$2:E$574)</f>
        <v>168</v>
      </c>
      <c r="B158" t="s">
        <v>600</v>
      </c>
      <c r="C158" t="s">
        <v>39</v>
      </c>
      <c r="D158" s="1">
        <f ca="1">INDEX(INDIRECT($C158&amp;"!O:O"),MATCH($B158,INDIRECT($C158&amp;"!B:B"),0))</f>
        <v>59.779999999999994</v>
      </c>
      <c r="E158" s="254">
        <f ca="1">D158-LARGE(D$2:D$467,RBCount+WRCount+TECount)</f>
        <v>-17.060000000000009</v>
      </c>
      <c r="F158" s="1" t="str">
        <f ca="1">IF(H158&lt;=I158,"Starter",IF(G158&gt;=LARGE(G:G,FlexOn*LeagueInfo!$F$2),"Starter","Bench"))</f>
        <v>Bench</v>
      </c>
      <c r="G158" s="1">
        <f ca="1">IF(H158&gt;I158,D158,0)</f>
        <v>59.779999999999994</v>
      </c>
      <c r="H158" s="1">
        <f ca="1">INDEX(INDIRECT(""&amp;C158&amp;"!A2:A489"),MATCH(B158,INDIRECT(""&amp;C158&amp;"!B2:B489"),0))</f>
        <v>80</v>
      </c>
      <c r="I158" s="1">
        <f>IF(C158="RB",LeagueInfo!$D$4*LeagueInfo!$F$2,IF(C158="WR",LeagueInfo!$D$5*LeagueInfo!$F$2,IF(C158="TE",LeagueInfo!$D$6*LeagueInfo!$F$2)))</f>
        <v>24</v>
      </c>
    </row>
    <row r="159" spans="1:9" x14ac:dyDescent="0.25">
      <c r="A159" s="47">
        <f ca="1">RANK(E159,E$2:E$574)</f>
        <v>153</v>
      </c>
      <c r="B159" t="s">
        <v>439</v>
      </c>
      <c r="C159" t="s">
        <v>32</v>
      </c>
      <c r="D159" s="1">
        <f ca="1">INDEX(INDIRECT($C159&amp;"!O:O"),MATCH($B159,INDIRECT($C159&amp;"!B:B"),0))</f>
        <v>68.19</v>
      </c>
      <c r="E159" s="254">
        <f ca="1">D159-LARGE(D$2:D$467,RBCount+WRCount+TECount)</f>
        <v>-8.6500000000000057</v>
      </c>
      <c r="F159" s="1" t="str">
        <f ca="1">IF(H159&lt;=I159,"Starter",IF(G159&gt;=LARGE(G:G,FlexOn*LeagueInfo!$F$2),"Starter","Bench"))</f>
        <v>Bench</v>
      </c>
      <c r="G159" s="1">
        <f ca="1">IF(H159&gt;I159,D159,0)</f>
        <v>68.19</v>
      </c>
      <c r="H159" s="1">
        <f ca="1">INDEX(INDIRECT(""&amp;C159&amp;"!A2:A489"),MATCH(B159,INDIRECT(""&amp;C159&amp;"!B2:B489"),0))</f>
        <v>58</v>
      </c>
      <c r="I159" s="1">
        <f>IF(C159="RB",LeagueInfo!$D$4*LeagueInfo!$F$2,IF(C159="WR",LeagueInfo!$D$5*LeagueInfo!$F$2,IF(C159="TE",LeagueInfo!$D$6*LeagueInfo!$F$2)))</f>
        <v>24</v>
      </c>
    </row>
    <row r="160" spans="1:9" x14ac:dyDescent="0.25">
      <c r="A160" s="47">
        <f ca="1">RANK(E160,E$2:E$574)</f>
        <v>148</v>
      </c>
      <c r="B160" t="s">
        <v>441</v>
      </c>
      <c r="C160" t="s">
        <v>32</v>
      </c>
      <c r="D160" s="1">
        <f ca="1">INDEX(INDIRECT($C160&amp;"!O:O"),MATCH($B160,INDIRECT($C160&amp;"!B:B"),0))</f>
        <v>70.319999999999993</v>
      </c>
      <c r="E160" s="254">
        <f ca="1">D160-LARGE(D$2:D$467,RBCount+WRCount+TECount)</f>
        <v>-6.5200000000000102</v>
      </c>
      <c r="F160" s="1" t="str">
        <f ca="1">IF(H160&lt;=I160,"Starter",IF(G160&gt;=LARGE(G:G,FlexOn*LeagueInfo!$F$2),"Starter","Bench"))</f>
        <v>Bench</v>
      </c>
      <c r="G160" s="1">
        <f ca="1">IF(H160&gt;I160,D160,0)</f>
        <v>70.319999999999993</v>
      </c>
      <c r="H160" s="1">
        <f ca="1">INDEX(INDIRECT(""&amp;C160&amp;"!A2:A489"),MATCH(B160,INDIRECT(""&amp;C160&amp;"!B2:B489"),0))</f>
        <v>55</v>
      </c>
      <c r="I160" s="1">
        <f>IF(C160="RB",LeagueInfo!$D$4*LeagueInfo!$F$2,IF(C160="WR",LeagueInfo!$D$5*LeagueInfo!$F$2,IF(C160="TE",LeagueInfo!$D$6*LeagueInfo!$F$2)))</f>
        <v>24</v>
      </c>
    </row>
    <row r="161" spans="1:9" x14ac:dyDescent="0.25">
      <c r="A161" s="47">
        <f ca="1">RANK(E161,E$2:E$574)</f>
        <v>162</v>
      </c>
      <c r="B161" t="s">
        <v>564</v>
      </c>
      <c r="C161" t="s">
        <v>39</v>
      </c>
      <c r="D161" s="1">
        <f ca="1">INDEX(INDIRECT($C161&amp;"!O:O"),MATCH($B161,INDIRECT($C161&amp;"!B:B"),0))</f>
        <v>62.890000000000008</v>
      </c>
      <c r="E161" s="254">
        <f ca="1">D161-LARGE(D$2:D$467,RBCount+WRCount+TECount)</f>
        <v>-13.949999999999996</v>
      </c>
      <c r="F161" s="1" t="str">
        <f ca="1">IF(H161&lt;=I161,"Starter",IF(G161&gt;=LARGE(G:G,FlexOn*LeagueInfo!$F$2),"Starter","Bench"))</f>
        <v>Bench</v>
      </c>
      <c r="G161" s="1">
        <f ca="1">IF(H161&gt;I161,D161,0)</f>
        <v>62.890000000000008</v>
      </c>
      <c r="H161" s="1">
        <f ca="1">INDEX(INDIRECT(""&amp;C161&amp;"!A2:A489"),MATCH(B161,INDIRECT(""&amp;C161&amp;"!B2:B489"),0))</f>
        <v>78</v>
      </c>
      <c r="I161" s="1">
        <f>IF(C161="RB",LeagueInfo!$D$4*LeagueInfo!$F$2,IF(C161="WR",LeagueInfo!$D$5*LeagueInfo!$F$2,IF(C161="TE",LeagueInfo!$D$6*LeagueInfo!$F$2)))</f>
        <v>24</v>
      </c>
    </row>
    <row r="162" spans="1:9" x14ac:dyDescent="0.25">
      <c r="A162" s="47">
        <f ca="1">RANK(E162,E$2:E$574)</f>
        <v>170</v>
      </c>
      <c r="B162" t="s">
        <v>317</v>
      </c>
      <c r="C162" t="s">
        <v>47</v>
      </c>
      <c r="D162" s="1">
        <f ca="1">INDEX(INDIRECT($C162&amp;"!O:O"),MATCH($B162,INDIRECT($C162&amp;"!B:B"),0))</f>
        <v>58.580000000000005</v>
      </c>
      <c r="E162" s="254">
        <f ca="1">D162-LARGE(D$2:D$467,RBCount+WRCount+TECount)</f>
        <v>-18.259999999999998</v>
      </c>
      <c r="F162" s="1" t="str">
        <f ca="1">IF(H162&lt;=I162,"Starter",IF(G162&gt;=LARGE(G:G,FlexOn*LeagueInfo!$F$2),"Starter","Bench"))</f>
        <v>Bench</v>
      </c>
      <c r="G162" s="1">
        <f ca="1">IF(H162&gt;I162,D162,0)</f>
        <v>58.580000000000005</v>
      </c>
      <c r="H162" s="1">
        <f ca="1">INDEX(INDIRECT(""&amp;C162&amp;"!A2:A489"),MATCH(B162,INDIRECT(""&amp;C162&amp;"!B2:B489"),0))</f>
        <v>28</v>
      </c>
      <c r="I162" s="1">
        <f>IF(C162="RB",LeagueInfo!$D$4*LeagueInfo!$F$2,IF(C162="WR",LeagueInfo!$D$5*LeagueInfo!$F$2,IF(C162="TE",LeagueInfo!$D$6*LeagueInfo!$F$2)))</f>
        <v>12</v>
      </c>
    </row>
    <row r="163" spans="1:9" x14ac:dyDescent="0.25">
      <c r="A163" s="47">
        <f ca="1">RANK(E163,E$2:E$574)</f>
        <v>166</v>
      </c>
      <c r="B163" t="s">
        <v>235</v>
      </c>
      <c r="C163" t="s">
        <v>47</v>
      </c>
      <c r="D163" s="1">
        <f ca="1">INDEX(INDIRECT($C163&amp;"!O:O"),MATCH($B163,INDIRECT($C163&amp;"!B:B"),0))</f>
        <v>59.98</v>
      </c>
      <c r="E163" s="254">
        <f ca="1">D163-LARGE(D$2:D$467,RBCount+WRCount+TECount)</f>
        <v>-16.860000000000007</v>
      </c>
      <c r="F163" s="1" t="str">
        <f ca="1">IF(H163&lt;=I163,"Starter",IF(G163&gt;=LARGE(G:G,FlexOn*LeagueInfo!$F$2),"Starter","Bench"))</f>
        <v>Bench</v>
      </c>
      <c r="G163" s="1">
        <f ca="1">IF(H163&gt;I163,D163,0)</f>
        <v>59.98</v>
      </c>
      <c r="H163" s="1">
        <f ca="1">INDEX(INDIRECT(""&amp;C163&amp;"!A2:A489"),MATCH(B163,INDIRECT(""&amp;C163&amp;"!B2:B489"),0))</f>
        <v>26</v>
      </c>
      <c r="I163" s="1">
        <f>IF(C163="RB",LeagueInfo!$D$4*LeagueInfo!$F$2,IF(C163="WR",LeagueInfo!$D$5*LeagueInfo!$F$2,IF(C163="TE",LeagueInfo!$D$6*LeagueInfo!$F$2)))</f>
        <v>12</v>
      </c>
    </row>
    <row r="164" spans="1:9" x14ac:dyDescent="0.25">
      <c r="A164" s="47">
        <f ca="1">RANK(E164,E$2:E$574)</f>
        <v>169</v>
      </c>
      <c r="B164" t="s">
        <v>716</v>
      </c>
      <c r="C164" t="s">
        <v>47</v>
      </c>
      <c r="D164" s="1">
        <f ca="1">INDEX(INDIRECT($C164&amp;"!O:O"),MATCH($B164,INDIRECT($C164&amp;"!B:B"),0))</f>
        <v>59.280000000000008</v>
      </c>
      <c r="E164" s="254">
        <f ca="1">D164-LARGE(D$2:D$467,RBCount+WRCount+TECount)</f>
        <v>-17.559999999999995</v>
      </c>
      <c r="F164" s="1" t="str">
        <f ca="1">IF(H164&lt;=I164,"Starter",IF(G164&gt;=LARGE(G:G,FlexOn*LeagueInfo!$F$2),"Starter","Bench"))</f>
        <v>Bench</v>
      </c>
      <c r="G164" s="1">
        <f ca="1">IF(H164&gt;I164,D164,0)</f>
        <v>59.280000000000008</v>
      </c>
      <c r="H164" s="1">
        <f ca="1">INDEX(INDIRECT(""&amp;C164&amp;"!A2:A489"),MATCH(B164,INDIRECT(""&amp;C164&amp;"!B2:B489"),0))</f>
        <v>27</v>
      </c>
      <c r="I164" s="1">
        <f>IF(C164="RB",LeagueInfo!$D$4*LeagueInfo!$F$2,IF(C164="WR",LeagueInfo!$D$5*LeagueInfo!$F$2,IF(C164="TE",LeagueInfo!$D$6*LeagueInfo!$F$2)))</f>
        <v>12</v>
      </c>
    </row>
    <row r="165" spans="1:9" x14ac:dyDescent="0.25">
      <c r="A165" s="47">
        <f ca="1">RANK(E165,E$2:E$574)</f>
        <v>147</v>
      </c>
      <c r="B165" t="s">
        <v>155</v>
      </c>
      <c r="C165" t="s">
        <v>32</v>
      </c>
      <c r="D165" s="1">
        <f ca="1">INDEX(INDIRECT($C165&amp;"!O:O"),MATCH($B165,INDIRECT($C165&amp;"!B:B"),0))</f>
        <v>70.47</v>
      </c>
      <c r="E165" s="254">
        <f ca="1">D165-LARGE(D$2:D$467,RBCount+WRCount+TECount)</f>
        <v>-6.3700000000000045</v>
      </c>
      <c r="F165" s="1" t="str">
        <f ca="1">IF(H165&lt;=I165,"Starter",IF(G165&gt;=LARGE(G:G,FlexOn*LeagueInfo!$F$2),"Starter","Bench"))</f>
        <v>Bench</v>
      </c>
      <c r="G165" s="1">
        <f ca="1">IF(H165&gt;I165,D165,0)</f>
        <v>70.47</v>
      </c>
      <c r="H165" s="1">
        <f ca="1">INDEX(INDIRECT(""&amp;C165&amp;"!A2:A489"),MATCH(B165,INDIRECT(""&amp;C165&amp;"!B2:B489"),0))</f>
        <v>54</v>
      </c>
      <c r="I165" s="1">
        <f>IF(C165="RB",LeagueInfo!$D$4*LeagueInfo!$F$2,IF(C165="WR",LeagueInfo!$D$5*LeagueInfo!$F$2,IF(C165="TE",LeagueInfo!$D$6*LeagueInfo!$F$2)))</f>
        <v>24</v>
      </c>
    </row>
    <row r="166" spans="1:9" x14ac:dyDescent="0.25">
      <c r="A166" s="47">
        <f ca="1">RANK(E166,E$2:E$574)</f>
        <v>145</v>
      </c>
      <c r="B166" t="s">
        <v>162</v>
      </c>
      <c r="C166" t="s">
        <v>32</v>
      </c>
      <c r="D166" s="1">
        <f ca="1">INDEX(INDIRECT($C166&amp;"!O:O"),MATCH($B166,INDIRECT($C166&amp;"!B:B"),0))</f>
        <v>71.86999999999999</v>
      </c>
      <c r="E166" s="254">
        <f ca="1">D166-LARGE(D$2:D$467,RBCount+WRCount+TECount)</f>
        <v>-4.9700000000000131</v>
      </c>
      <c r="F166" s="1" t="str">
        <f ca="1">IF(H166&lt;=I166,"Starter",IF(G166&gt;=LARGE(G:G,FlexOn*LeagueInfo!$F$2),"Starter","Bench"))</f>
        <v>Bench</v>
      </c>
      <c r="G166" s="1">
        <f ca="1">IF(H166&gt;I166,D166,0)</f>
        <v>71.86999999999999</v>
      </c>
      <c r="H166" s="1">
        <f ca="1">INDEX(INDIRECT(""&amp;C166&amp;"!A2:A489"),MATCH(B166,INDIRECT(""&amp;C166&amp;"!B2:B489"),0))</f>
        <v>53</v>
      </c>
      <c r="I166" s="1">
        <f>IF(C166="RB",LeagueInfo!$D$4*LeagueInfo!$F$2,IF(C166="WR",LeagueInfo!$D$5*LeagueInfo!$F$2,IF(C166="TE",LeagueInfo!$D$6*LeagueInfo!$F$2)))</f>
        <v>24</v>
      </c>
    </row>
    <row r="167" spans="1:9" x14ac:dyDescent="0.25">
      <c r="A167" s="47">
        <f ca="1">RANK(E167,E$2:E$574)</f>
        <v>175</v>
      </c>
      <c r="B167" t="s">
        <v>577</v>
      </c>
      <c r="C167" t="s">
        <v>39</v>
      </c>
      <c r="D167" s="1">
        <f ca="1">INDEX(INDIRECT($C167&amp;"!O:O"),MATCH($B167,INDIRECT($C167&amp;"!B:B"),0))</f>
        <v>56.17</v>
      </c>
      <c r="E167" s="254">
        <f ca="1">D167-LARGE(D$2:D$467,RBCount+WRCount+TECount)</f>
        <v>-20.67</v>
      </c>
      <c r="F167" s="1" t="str">
        <f ca="1">IF(H167&lt;=I167,"Starter",IF(G167&gt;=LARGE(G:G,FlexOn*LeagueInfo!$F$2),"Starter","Bench"))</f>
        <v>Bench</v>
      </c>
      <c r="G167" s="1">
        <f ca="1">IF(H167&gt;I167,D167,0)</f>
        <v>56.17</v>
      </c>
      <c r="H167" s="1">
        <f ca="1">INDEX(INDIRECT(""&amp;C167&amp;"!A2:A489"),MATCH(B167,INDIRECT(""&amp;C167&amp;"!B2:B489"),0))</f>
        <v>82</v>
      </c>
      <c r="I167" s="1">
        <f>IF(C167="RB",LeagueInfo!$D$4*LeagueInfo!$F$2,IF(C167="WR",LeagueInfo!$D$5*LeagueInfo!$F$2,IF(C167="TE",LeagueInfo!$D$6*LeagueInfo!$F$2)))</f>
        <v>24</v>
      </c>
    </row>
    <row r="168" spans="1:9" x14ac:dyDescent="0.25">
      <c r="A168" s="47">
        <f ca="1">RANK(E168,E$2:E$574)</f>
        <v>171</v>
      </c>
      <c r="B168" t="s">
        <v>722</v>
      </c>
      <c r="C168" t="s">
        <v>47</v>
      </c>
      <c r="D168" s="1">
        <f ca="1">INDEX(INDIRECT($C168&amp;"!O:O"),MATCH($B168,INDIRECT($C168&amp;"!B:B"),0))</f>
        <v>58.210000000000008</v>
      </c>
      <c r="E168" s="254">
        <f ca="1">D168-LARGE(D$2:D$467,RBCount+WRCount+TECount)</f>
        <v>-18.629999999999995</v>
      </c>
      <c r="F168" s="1" t="str">
        <f ca="1">IF(H168&lt;=I168,"Starter",IF(G168&gt;=LARGE(G:G,FlexOn*LeagueInfo!$F$2),"Starter","Bench"))</f>
        <v>Bench</v>
      </c>
      <c r="G168" s="1">
        <f ca="1">IF(H168&gt;I168,D168,0)</f>
        <v>58.210000000000008</v>
      </c>
      <c r="H168" s="1">
        <f ca="1">INDEX(INDIRECT(""&amp;C168&amp;"!A2:A489"),MATCH(B168,INDIRECT(""&amp;C168&amp;"!B2:B489"),0))</f>
        <v>29</v>
      </c>
      <c r="I168" s="1">
        <f>IF(C168="RB",LeagueInfo!$D$4*LeagueInfo!$F$2,IF(C168="WR",LeagueInfo!$D$5*LeagueInfo!$F$2,IF(C168="TE",LeagueInfo!$D$6*LeagueInfo!$F$2)))</f>
        <v>12</v>
      </c>
    </row>
    <row r="169" spans="1:9" x14ac:dyDescent="0.25">
      <c r="A169" s="47">
        <f ca="1">RANK(E169,E$2:E$574)</f>
        <v>174</v>
      </c>
      <c r="B169" t="s">
        <v>573</v>
      </c>
      <c r="C169" t="s">
        <v>39</v>
      </c>
      <c r="D169" s="1">
        <f ca="1">INDEX(INDIRECT($C169&amp;"!O:O"),MATCH($B169,INDIRECT($C169&amp;"!B:B"),0))</f>
        <v>57.269999999999996</v>
      </c>
      <c r="E169" s="254">
        <f ca="1">D169-LARGE(D$2:D$467,RBCount+WRCount+TECount)</f>
        <v>-19.570000000000007</v>
      </c>
      <c r="F169" s="1" t="str">
        <f ca="1">IF(H169&lt;=I169,"Starter",IF(G169&gt;=LARGE(G:G,FlexOn*LeagueInfo!$F$2),"Starter","Bench"))</f>
        <v>Bench</v>
      </c>
      <c r="G169" s="1">
        <f ca="1">IF(H169&gt;I169,D169,0)</f>
        <v>57.269999999999996</v>
      </c>
      <c r="H169" s="1">
        <f ca="1">INDEX(INDIRECT(""&amp;C169&amp;"!A2:A489"),MATCH(B169,INDIRECT(""&amp;C169&amp;"!B2:B489"),0))</f>
        <v>81</v>
      </c>
      <c r="I169" s="1">
        <f>IF(C169="RB",LeagueInfo!$D$4*LeagueInfo!$F$2,IF(C169="WR",LeagueInfo!$D$5*LeagueInfo!$F$2,IF(C169="TE",LeagueInfo!$D$6*LeagueInfo!$F$2)))</f>
        <v>24</v>
      </c>
    </row>
    <row r="170" spans="1:9" x14ac:dyDescent="0.25">
      <c r="A170" s="47">
        <f ca="1">RANK(E170,E$2:E$574)</f>
        <v>165</v>
      </c>
      <c r="B170" t="s">
        <v>448</v>
      </c>
      <c r="C170" t="s">
        <v>32</v>
      </c>
      <c r="D170" s="1">
        <f ca="1">INDEX(INDIRECT($C170&amp;"!O:O"),MATCH($B170,INDIRECT($C170&amp;"!B:B"),0))</f>
        <v>60.38</v>
      </c>
      <c r="E170" s="254">
        <f ca="1">D170-LARGE(D$2:D$467,RBCount+WRCount+TECount)</f>
        <v>-16.46</v>
      </c>
      <c r="F170" s="1" t="str">
        <f ca="1">IF(H170&lt;=I170,"Starter",IF(G170&gt;=LARGE(G:G,FlexOn*LeagueInfo!$F$2),"Starter","Bench"))</f>
        <v>Bench</v>
      </c>
      <c r="G170" s="1">
        <f ca="1">IF(H170&gt;I170,D170,0)</f>
        <v>60.38</v>
      </c>
      <c r="H170" s="1">
        <f ca="1">INDEX(INDIRECT(""&amp;C170&amp;"!A2:A489"),MATCH(B170,INDIRECT(""&amp;C170&amp;"!B2:B489"),0))</f>
        <v>62</v>
      </c>
      <c r="I170" s="1">
        <f>IF(C170="RB",LeagueInfo!$D$4*LeagueInfo!$F$2,IF(C170="WR",LeagueInfo!$D$5*LeagueInfo!$F$2,IF(C170="TE",LeagueInfo!$D$6*LeagueInfo!$F$2)))</f>
        <v>24</v>
      </c>
    </row>
    <row r="171" spans="1:9" x14ac:dyDescent="0.25">
      <c r="A171" s="47">
        <f ca="1">RANK(E171,E$2:E$574)</f>
        <v>167</v>
      </c>
      <c r="B171" t="s">
        <v>562</v>
      </c>
      <c r="C171" t="s">
        <v>39</v>
      </c>
      <c r="D171" s="1">
        <f ca="1">INDEX(INDIRECT($C171&amp;"!O:O"),MATCH($B171,INDIRECT($C171&amp;"!B:B"),0))</f>
        <v>59.940000000000005</v>
      </c>
      <c r="E171" s="254">
        <f ca="1">D171-LARGE(D$2:D$467,RBCount+WRCount+TECount)</f>
        <v>-16.899999999999999</v>
      </c>
      <c r="F171" s="1" t="str">
        <f ca="1">IF(H171&lt;=I171,"Starter",IF(G171&gt;=LARGE(G:G,FlexOn*LeagueInfo!$F$2),"Starter","Bench"))</f>
        <v>Bench</v>
      </c>
      <c r="G171" s="1">
        <f ca="1">IF(H171&gt;I171,D171,0)</f>
        <v>59.940000000000005</v>
      </c>
      <c r="H171" s="1">
        <f ca="1">INDEX(INDIRECT(""&amp;C171&amp;"!A2:A489"),MATCH(B171,INDIRECT(""&amp;C171&amp;"!B2:B489"),0))</f>
        <v>79</v>
      </c>
      <c r="I171" s="1">
        <f>IF(C171="RB",LeagueInfo!$D$4*LeagueInfo!$F$2,IF(C171="WR",LeagueInfo!$D$5*LeagueInfo!$F$2,IF(C171="TE",LeagueInfo!$D$6*LeagueInfo!$F$2)))</f>
        <v>24</v>
      </c>
    </row>
    <row r="172" spans="1:9" x14ac:dyDescent="0.25">
      <c r="A172" s="47">
        <f ca="1">RANK(E172,E$2:E$574)</f>
        <v>172</v>
      </c>
      <c r="B172" t="s">
        <v>942</v>
      </c>
      <c r="C172" t="s">
        <v>32</v>
      </c>
      <c r="D172" s="1">
        <f ca="1">INDEX(INDIRECT($C172&amp;"!O:O"),MATCH($B172,INDIRECT($C172&amp;"!B:B"),0))</f>
        <v>57.489999999999995</v>
      </c>
      <c r="E172" s="254">
        <f ca="1">D172-LARGE(D$2:D$467,RBCount+WRCount+TECount)</f>
        <v>-19.350000000000009</v>
      </c>
      <c r="F172" s="1" t="str">
        <f ca="1">IF(H172&lt;=I172,"Starter",IF(G172&gt;=LARGE(G:G,FlexOn*LeagueInfo!$F$2),"Starter","Bench"))</f>
        <v>Bench</v>
      </c>
      <c r="G172" s="1">
        <f ca="1">IF(H172&gt;I172,D172,0)</f>
        <v>57.489999999999995</v>
      </c>
      <c r="H172" s="1">
        <f ca="1">INDEX(INDIRECT(""&amp;C172&amp;"!A2:A489"),MATCH(B172,INDIRECT(""&amp;C172&amp;"!B2:B489"),0))</f>
        <v>63</v>
      </c>
      <c r="I172" s="1">
        <f>IF(C172="RB",LeagueInfo!$D$4*LeagueInfo!$F$2,IF(C172="WR",LeagueInfo!$D$5*LeagueInfo!$F$2,IF(C172="TE",LeagueInfo!$D$6*LeagueInfo!$F$2)))</f>
        <v>24</v>
      </c>
    </row>
    <row r="173" spans="1:9" x14ac:dyDescent="0.25">
      <c r="A173" s="47">
        <f ca="1">RANK(E173,E$2:E$574)</f>
        <v>173</v>
      </c>
      <c r="B173" s="1" t="s">
        <v>440</v>
      </c>
      <c r="C173" s="1" t="s">
        <v>32</v>
      </c>
      <c r="D173" s="1">
        <f ca="1">INDEX(INDIRECT($C173&amp;"!O:O"),MATCH($B173,INDIRECT($C173&amp;"!B:B"),0))</f>
        <v>57.44</v>
      </c>
      <c r="E173" s="254">
        <f ca="1">D173-LARGE(D$2:D$467,RBCount+WRCount+TECount)</f>
        <v>-19.400000000000006</v>
      </c>
      <c r="F173" s="1" t="str">
        <f ca="1">IF(H173&lt;=I173,"Starter",IF(G173&gt;=LARGE(G:G,FlexOn*LeagueInfo!$F$2),"Starter","Bench"))</f>
        <v>Bench</v>
      </c>
      <c r="G173" s="1">
        <f ca="1">IF(H173&gt;I173,D173,0)</f>
        <v>57.44</v>
      </c>
      <c r="H173" s="1">
        <f ca="1">INDEX(INDIRECT(""&amp;C173&amp;"!A2:A489"),MATCH(B173,INDIRECT(""&amp;C173&amp;"!B2:B489"),0))</f>
        <v>64</v>
      </c>
      <c r="I173" s="1">
        <f>IF(C173="RB",LeagueInfo!$D$4*LeagueInfo!$F$2,IF(C173="WR",LeagueInfo!$D$5*LeagueInfo!$F$2,IF(C173="TE",LeagueInfo!$D$6*LeagueInfo!$F$2)))</f>
        <v>24</v>
      </c>
    </row>
    <row r="174" spans="1:9" x14ac:dyDescent="0.25">
      <c r="A174" s="47">
        <f ca="1">RANK(E174,E$2:E$574)</f>
        <v>156</v>
      </c>
      <c r="B174" s="1" t="s">
        <v>234</v>
      </c>
      <c r="C174" s="1" t="s">
        <v>32</v>
      </c>
      <c r="D174" s="1">
        <f ca="1">INDEX(INDIRECT($C174&amp;"!O:O"),MATCH($B174,INDIRECT($C174&amp;"!B:B"),0))</f>
        <v>66.609999999999985</v>
      </c>
      <c r="E174" s="254">
        <f ca="1">D174-LARGE(D$2:D$467,RBCount+WRCount+TECount)</f>
        <v>-10.230000000000018</v>
      </c>
      <c r="F174" s="1" t="str">
        <f ca="1">IF(H174&lt;=I174,"Starter",IF(G174&gt;=LARGE(G:G,FlexOn*LeagueInfo!$F$2),"Starter","Bench"))</f>
        <v>Bench</v>
      </c>
      <c r="G174" s="1">
        <f ca="1">IF(H174&gt;I174,D174,0)</f>
        <v>66.609999999999985</v>
      </c>
      <c r="H174" s="1">
        <f ca="1">INDEX(INDIRECT(""&amp;C174&amp;"!A2:A489"),MATCH(B174,INDIRECT(""&amp;C174&amp;"!B2:B489"),0))</f>
        <v>59</v>
      </c>
      <c r="I174" s="1">
        <f>IF(C174="RB",LeagueInfo!$D$4*LeagueInfo!$F$2,IF(C174="WR",LeagueInfo!$D$5*LeagueInfo!$F$2,IF(C174="TE",LeagueInfo!$D$6*LeagueInfo!$F$2)))</f>
        <v>24</v>
      </c>
    </row>
    <row r="175" spans="1:9" x14ac:dyDescent="0.25">
      <c r="A175" s="47">
        <f ca="1">RANK(E175,E$2:E$574)</f>
        <v>176</v>
      </c>
      <c r="B175" s="1" t="s">
        <v>576</v>
      </c>
      <c r="C175" s="1" t="s">
        <v>39</v>
      </c>
      <c r="D175" s="1">
        <f ca="1">INDEX(INDIRECT($C175&amp;"!O:O"),MATCH($B175,INDIRECT($C175&amp;"!B:B"),0))</f>
        <v>55.930000000000007</v>
      </c>
      <c r="E175" s="254">
        <f ca="1">D175-LARGE(D$2:D$467,RBCount+WRCount+TECount)</f>
        <v>-20.909999999999997</v>
      </c>
      <c r="F175" s="1" t="str">
        <f ca="1">IF(H175&lt;=I175,"Starter",IF(G175&gt;=LARGE(G:G,FlexOn*LeagueInfo!$F$2),"Starter","Bench"))</f>
        <v>Bench</v>
      </c>
      <c r="G175" s="1">
        <f ca="1">IF(H175&gt;I175,D175,0)</f>
        <v>55.930000000000007</v>
      </c>
      <c r="H175" s="1">
        <f ca="1">INDEX(INDIRECT(""&amp;C175&amp;"!A2:A489"),MATCH(B175,INDIRECT(""&amp;C175&amp;"!B2:B489"),0))</f>
        <v>83</v>
      </c>
      <c r="I175" s="1">
        <f>IF(C175="RB",LeagueInfo!$D$4*LeagueInfo!$F$2,IF(C175="WR",LeagueInfo!$D$5*LeagueInfo!$F$2,IF(C175="TE",LeagueInfo!$D$6*LeagueInfo!$F$2)))</f>
        <v>24</v>
      </c>
    </row>
    <row r="176" spans="1:9" x14ac:dyDescent="0.25">
      <c r="A176" s="47">
        <f ca="1">RANK(E176,E$2:E$574)</f>
        <v>177</v>
      </c>
      <c r="B176" s="1" t="s">
        <v>568</v>
      </c>
      <c r="C176" s="1" t="s">
        <v>39</v>
      </c>
      <c r="D176" s="1">
        <f ca="1">INDEX(INDIRECT($C176&amp;"!O:O"),MATCH($B176,INDIRECT($C176&amp;"!B:B"),0))</f>
        <v>54.930000000000007</v>
      </c>
      <c r="E176" s="254">
        <f ca="1">D176-LARGE(D$2:D$467,RBCount+WRCount+TECount)</f>
        <v>-21.909999999999997</v>
      </c>
      <c r="F176" s="1" t="str">
        <f ca="1">IF(H176&lt;=I176,"Starter",IF(G176&gt;=LARGE(G:G,FlexOn*LeagueInfo!$F$2),"Starter","Bench"))</f>
        <v>Bench</v>
      </c>
      <c r="G176" s="1">
        <f ca="1">IF(H176&gt;I176,D176,0)</f>
        <v>54.930000000000007</v>
      </c>
      <c r="H176" s="1">
        <f ca="1">INDEX(INDIRECT(""&amp;C176&amp;"!A2:A489"),MATCH(B176,INDIRECT(""&amp;C176&amp;"!B2:B489"),0))</f>
        <v>84</v>
      </c>
      <c r="I176" s="1">
        <f>IF(C176="RB",LeagueInfo!$D$4*LeagueInfo!$F$2,IF(C176="WR",LeagueInfo!$D$5*LeagueInfo!$F$2,IF(C176="TE",LeagueInfo!$D$6*LeagueInfo!$F$2)))</f>
        <v>24</v>
      </c>
    </row>
    <row r="177" spans="1:9" x14ac:dyDescent="0.25">
      <c r="A177" s="47">
        <f ca="1">RANK(E177,E$2:E$574)</f>
        <v>164</v>
      </c>
      <c r="B177" s="1" t="s">
        <v>442</v>
      </c>
      <c r="C177" s="1" t="s">
        <v>32</v>
      </c>
      <c r="D177" s="1">
        <f ca="1">INDEX(INDIRECT($C177&amp;"!O:O"),MATCH($B177,INDIRECT($C177&amp;"!B:B"),0))</f>
        <v>60.5</v>
      </c>
      <c r="E177" s="254">
        <f ca="1">D177-LARGE(D$2:D$467,RBCount+WRCount+TECount)</f>
        <v>-16.340000000000003</v>
      </c>
      <c r="F177" s="1" t="str">
        <f ca="1">IF(H177&lt;=I177,"Starter",IF(G177&gt;=LARGE(G:G,FlexOn*LeagueInfo!$F$2),"Starter","Bench"))</f>
        <v>Bench</v>
      </c>
      <c r="G177" s="1">
        <f ca="1">IF(H177&gt;I177,D177,0)</f>
        <v>60.5</v>
      </c>
      <c r="H177" s="1">
        <f ca="1">INDEX(INDIRECT(""&amp;C177&amp;"!A2:A489"),MATCH(B177,INDIRECT(""&amp;C177&amp;"!B2:B489"),0))</f>
        <v>61</v>
      </c>
      <c r="I177" s="1">
        <f>IF(C177="RB",LeagueInfo!$D$4*LeagueInfo!$F$2,IF(C177="WR",LeagueInfo!$D$5*LeagueInfo!$F$2,IF(C177="TE",LeagueInfo!$D$6*LeagueInfo!$F$2)))</f>
        <v>24</v>
      </c>
    </row>
    <row r="178" spans="1:9" x14ac:dyDescent="0.25">
      <c r="A178" s="47">
        <f ca="1">RANK(E178,E$2:E$574)</f>
        <v>178</v>
      </c>
      <c r="B178" s="1" t="s">
        <v>569</v>
      </c>
      <c r="C178" s="1" t="s">
        <v>39</v>
      </c>
      <c r="D178" s="1">
        <f ca="1">INDEX(INDIRECT($C178&amp;"!O:O"),MATCH($B178,INDIRECT($C178&amp;"!B:B"),0))</f>
        <v>54.089999999999996</v>
      </c>
      <c r="E178" s="254">
        <f ca="1">D178-LARGE(D$2:D$467,RBCount+WRCount+TECount)</f>
        <v>-22.750000000000007</v>
      </c>
      <c r="F178" s="1" t="str">
        <f ca="1">IF(H178&lt;=I178,"Starter",IF(G178&gt;=LARGE(G:G,FlexOn*LeagueInfo!$F$2),"Starter","Bench"))</f>
        <v>Bench</v>
      </c>
      <c r="G178" s="1">
        <f ca="1">IF(H178&gt;I178,D178,0)</f>
        <v>54.089999999999996</v>
      </c>
      <c r="H178" s="1">
        <f ca="1">INDEX(INDIRECT(""&amp;C178&amp;"!A2:A489"),MATCH(B178,INDIRECT(""&amp;C178&amp;"!B2:B489"),0))</f>
        <v>85</v>
      </c>
      <c r="I178" s="1">
        <f>IF(C178="RB",LeagueInfo!$D$4*LeagueInfo!$F$2,IF(C178="WR",LeagueInfo!$D$5*LeagueInfo!$F$2,IF(C178="TE",LeagueInfo!$D$6*LeagueInfo!$F$2)))</f>
        <v>24</v>
      </c>
    </row>
    <row r="179" spans="1:9" x14ac:dyDescent="0.25">
      <c r="A179" s="47">
        <f ca="1">RANK(E179,E$2:E$574)</f>
        <v>184</v>
      </c>
      <c r="B179" s="1" t="s">
        <v>570</v>
      </c>
      <c r="C179" s="1" t="s">
        <v>39</v>
      </c>
      <c r="D179" s="1">
        <f ca="1">INDEX(INDIRECT($C179&amp;"!O:O"),MATCH($B179,INDIRECT($C179&amp;"!B:B"),0))</f>
        <v>53.42</v>
      </c>
      <c r="E179" s="254">
        <f ca="1">D179-LARGE(D$2:D$467,RBCount+WRCount+TECount)</f>
        <v>-23.42</v>
      </c>
      <c r="F179" s="1" t="str">
        <f ca="1">IF(H179&lt;=I179,"Starter",IF(G179&gt;=LARGE(G:G,FlexOn*LeagueInfo!$F$2),"Starter","Bench"))</f>
        <v>Bench</v>
      </c>
      <c r="G179" s="1">
        <f ca="1">IF(H179&gt;I179,D179,0)</f>
        <v>53.42</v>
      </c>
      <c r="H179" s="1">
        <f ca="1">INDEX(INDIRECT(""&amp;C179&amp;"!A2:A489"),MATCH(B179,INDIRECT(""&amp;C179&amp;"!B2:B489"),0))</f>
        <v>86</v>
      </c>
      <c r="I179" s="1">
        <f>IF(C179="RB",LeagueInfo!$D$4*LeagueInfo!$F$2,IF(C179="WR",LeagueInfo!$D$5*LeagueInfo!$F$2,IF(C179="TE",LeagueInfo!$D$6*LeagueInfo!$F$2)))</f>
        <v>24</v>
      </c>
    </row>
    <row r="180" spans="1:9" x14ac:dyDescent="0.25">
      <c r="A180" s="47">
        <f ca="1">RANK(E180,E$2:E$574)</f>
        <v>163</v>
      </c>
      <c r="B180" s="1" t="s">
        <v>443</v>
      </c>
      <c r="C180" s="1" t="s">
        <v>32</v>
      </c>
      <c r="D180" s="1">
        <f ca="1">INDEX(INDIRECT($C180&amp;"!O:O"),MATCH($B180,INDIRECT($C180&amp;"!B:B"),0))</f>
        <v>62.870000000000005</v>
      </c>
      <c r="E180" s="254">
        <f ca="1">D180-LARGE(D$2:D$467,RBCount+WRCount+TECount)</f>
        <v>-13.969999999999999</v>
      </c>
      <c r="F180" s="1" t="str">
        <f ca="1">IF(H180&lt;=I180,"Starter",IF(G180&gt;=LARGE(G:G,FlexOn*LeagueInfo!$F$2),"Starter","Bench"))</f>
        <v>Bench</v>
      </c>
      <c r="G180" s="1">
        <f ca="1">IF(H180&gt;I180,D180,0)</f>
        <v>62.870000000000005</v>
      </c>
      <c r="H180" s="1">
        <f ca="1">INDEX(INDIRECT(""&amp;C180&amp;"!A2:A489"),MATCH(B180,INDIRECT(""&amp;C180&amp;"!B2:B489"),0))</f>
        <v>60</v>
      </c>
      <c r="I180" s="1">
        <f>IF(C180="RB",LeagueInfo!$D$4*LeagueInfo!$F$2,IF(C180="WR",LeagueInfo!$D$5*LeagueInfo!$F$2,IF(C180="TE",LeagueInfo!$D$6*LeagueInfo!$F$2)))</f>
        <v>24</v>
      </c>
    </row>
    <row r="181" spans="1:9" x14ac:dyDescent="0.25">
      <c r="A181" s="47">
        <f ca="1">RANK(E181,E$2:E$574)</f>
        <v>183</v>
      </c>
      <c r="B181" s="1" t="s">
        <v>719</v>
      </c>
      <c r="C181" s="1" t="s">
        <v>47</v>
      </c>
      <c r="D181" s="1">
        <f ca="1">INDEX(INDIRECT($C181&amp;"!O:O"),MATCH($B181,INDIRECT($C181&amp;"!B:B"),0))</f>
        <v>53.610000000000007</v>
      </c>
      <c r="E181" s="254">
        <f ca="1">D181-LARGE(D$2:D$467,RBCount+WRCount+TECount)</f>
        <v>-23.229999999999997</v>
      </c>
      <c r="F181" s="1" t="str">
        <f ca="1">IF(H181&lt;=I181,"Starter",IF(G181&gt;=LARGE(G:G,FlexOn*LeagueInfo!$F$2),"Starter","Bench"))</f>
        <v>Bench</v>
      </c>
      <c r="G181" s="1">
        <f ca="1">IF(H181&gt;I181,D181,0)</f>
        <v>53.610000000000007</v>
      </c>
      <c r="H181" s="1">
        <f ca="1">INDEX(INDIRECT(""&amp;C181&amp;"!A2:A489"),MATCH(B181,INDIRECT(""&amp;C181&amp;"!B2:B489"),0))</f>
        <v>30</v>
      </c>
      <c r="I181" s="1">
        <f>IF(C181="RB",LeagueInfo!$D$4*LeagueInfo!$F$2,IF(C181="WR",LeagueInfo!$D$5*LeagueInfo!$F$2,IF(C181="TE",LeagueInfo!$D$6*LeagueInfo!$F$2)))</f>
        <v>12</v>
      </c>
    </row>
    <row r="182" spans="1:9" x14ac:dyDescent="0.25">
      <c r="A182" s="47">
        <f ca="1">RANK(E182,E$2:E$574)</f>
        <v>186</v>
      </c>
      <c r="B182" s="1" t="s">
        <v>717</v>
      </c>
      <c r="C182" s="1" t="s">
        <v>47</v>
      </c>
      <c r="D182" s="1">
        <f ca="1">INDEX(INDIRECT($C182&amp;"!O:O"),MATCH($B182,INDIRECT($C182&amp;"!B:B"),0))</f>
        <v>49.67</v>
      </c>
      <c r="E182" s="254">
        <f ca="1">D182-LARGE(D$2:D$467,RBCount+WRCount+TECount)</f>
        <v>-27.17</v>
      </c>
      <c r="F182" s="1" t="str">
        <f ca="1">IF(H182&lt;=I182,"Starter",IF(G182&gt;=LARGE(G:G,FlexOn*LeagueInfo!$F$2),"Starter","Bench"))</f>
        <v>Bench</v>
      </c>
      <c r="G182" s="1">
        <f ca="1">IF(H182&gt;I182,D182,0)</f>
        <v>49.67</v>
      </c>
      <c r="H182" s="1">
        <f ca="1">INDEX(INDIRECT(""&amp;C182&amp;"!A2:A489"),MATCH(B182,INDIRECT(""&amp;C182&amp;"!B2:B489"),0))</f>
        <v>31</v>
      </c>
      <c r="I182" s="1">
        <f>IF(C182="RB",LeagueInfo!$D$4*LeagueInfo!$F$2,IF(C182="WR",LeagueInfo!$D$5*LeagueInfo!$F$2,IF(C182="TE",LeagueInfo!$D$6*LeagueInfo!$F$2)))</f>
        <v>12</v>
      </c>
    </row>
    <row r="183" spans="1:9" x14ac:dyDescent="0.25">
      <c r="A183" s="47">
        <f ca="1">RANK(E183,E$2:E$574)</f>
        <v>187</v>
      </c>
      <c r="B183" s="1" t="s">
        <v>580</v>
      </c>
      <c r="C183" s="1" t="s">
        <v>39</v>
      </c>
      <c r="D183" s="1">
        <f ca="1">INDEX(INDIRECT($C183&amp;"!O:O"),MATCH($B183,INDIRECT($C183&amp;"!B:B"),0))</f>
        <v>49.61</v>
      </c>
      <c r="E183" s="254">
        <f ca="1">D183-LARGE(D$2:D$467,RBCount+WRCount+TECount)</f>
        <v>-27.230000000000004</v>
      </c>
      <c r="F183" s="1" t="str">
        <f ca="1">IF(H183&lt;=I183,"Starter",IF(G183&gt;=LARGE(G:G,FlexOn*LeagueInfo!$F$2),"Starter","Bench"))</f>
        <v>Bench</v>
      </c>
      <c r="G183" s="1">
        <f ca="1">IF(H183&gt;I183,D183,0)</f>
        <v>49.61</v>
      </c>
      <c r="H183" s="1">
        <f ca="1">INDEX(INDIRECT(""&amp;C183&amp;"!A2:A489"),MATCH(B183,INDIRECT(""&amp;C183&amp;"!B2:B489"),0))</f>
        <v>88</v>
      </c>
      <c r="I183" s="1">
        <f>IF(C183="RB",LeagueInfo!$D$4*LeagueInfo!$F$2,IF(C183="WR",LeagueInfo!$D$5*LeagueInfo!$F$2,IF(C183="TE",LeagueInfo!$D$6*LeagueInfo!$F$2)))</f>
        <v>24</v>
      </c>
    </row>
    <row r="184" spans="1:9" x14ac:dyDescent="0.25">
      <c r="A184" s="47">
        <f ca="1">RANK(E184,E$2:E$574)</f>
        <v>193</v>
      </c>
      <c r="B184" s="1" t="s">
        <v>720</v>
      </c>
      <c r="C184" s="1" t="s">
        <v>47</v>
      </c>
      <c r="D184" s="1">
        <f ca="1">INDEX(INDIRECT($C184&amp;"!O:O"),MATCH($B184,INDIRECT($C184&amp;"!B:B"),0))</f>
        <v>48.26</v>
      </c>
      <c r="E184" s="254">
        <f ca="1">D184-LARGE(D$2:D$467,RBCount+WRCount+TECount)</f>
        <v>-28.580000000000005</v>
      </c>
      <c r="F184" s="1" t="str">
        <f ca="1">IF(H184&lt;=I184,"Starter",IF(G184&gt;=LARGE(G:G,FlexOn*LeagueInfo!$F$2),"Starter","Bench"))</f>
        <v>Bench</v>
      </c>
      <c r="G184" s="1">
        <f ca="1">IF(H184&gt;I184,D184,0)</f>
        <v>48.26</v>
      </c>
      <c r="H184" s="1">
        <f ca="1">INDEX(INDIRECT(""&amp;C184&amp;"!A2:A489"),MATCH(B184,INDIRECT(""&amp;C184&amp;"!B2:B489"),0))</f>
        <v>33</v>
      </c>
      <c r="I184" s="1">
        <f>IF(C184="RB",LeagueInfo!$D$4*LeagueInfo!$F$2,IF(C184="WR",LeagueInfo!$D$5*LeagueInfo!$F$2,IF(C184="TE",LeagueInfo!$D$6*LeagueInfo!$F$2)))</f>
        <v>12</v>
      </c>
    </row>
    <row r="185" spans="1:9" x14ac:dyDescent="0.25">
      <c r="A185" s="47">
        <f ca="1">RANK(E185,E$2:E$574)</f>
        <v>189</v>
      </c>
      <c r="B185" s="1" t="s">
        <v>610</v>
      </c>
      <c r="C185" s="1" t="s">
        <v>39</v>
      </c>
      <c r="D185" s="1">
        <f ca="1">INDEX(INDIRECT($C185&amp;"!O:O"),MATCH($B185,INDIRECT($C185&amp;"!B:B"),0))</f>
        <v>48.79</v>
      </c>
      <c r="E185" s="254">
        <f ca="1">D185-LARGE(D$2:D$467,RBCount+WRCount+TECount)</f>
        <v>-28.050000000000004</v>
      </c>
      <c r="F185" s="1" t="str">
        <f ca="1">IF(H185&lt;=I185,"Starter",IF(G185&gt;=LARGE(G:G,FlexOn*LeagueInfo!$F$2),"Starter","Bench"))</f>
        <v>Bench</v>
      </c>
      <c r="G185" s="1">
        <f ca="1">IF(H185&gt;I185,D185,0)</f>
        <v>48.79</v>
      </c>
      <c r="H185" s="1">
        <f ca="1">INDEX(INDIRECT(""&amp;C185&amp;"!A2:A489"),MATCH(B185,INDIRECT(""&amp;C185&amp;"!B2:B489"),0))</f>
        <v>90</v>
      </c>
      <c r="I185" s="1">
        <f>IF(C185="RB",LeagueInfo!$D$4*LeagueInfo!$F$2,IF(C185="WR",LeagueInfo!$D$5*LeagueInfo!$F$2,IF(C185="TE",LeagueInfo!$D$6*LeagueInfo!$F$2)))</f>
        <v>24</v>
      </c>
    </row>
    <row r="186" spans="1:9" x14ac:dyDescent="0.25">
      <c r="A186" s="47">
        <f ca="1">RANK(E186,E$2:E$574)</f>
        <v>188</v>
      </c>
      <c r="B186" s="1" t="s">
        <v>323</v>
      </c>
      <c r="C186" s="1" t="s">
        <v>39</v>
      </c>
      <c r="D186" s="1">
        <f ca="1">INDEX(INDIRECT($C186&amp;"!O:O"),MATCH($B186,INDIRECT($C186&amp;"!B:B"),0))</f>
        <v>49.230000000000004</v>
      </c>
      <c r="E186" s="254">
        <f ca="1">D186-LARGE(D$2:D$467,RBCount+WRCount+TECount)</f>
        <v>-27.61</v>
      </c>
      <c r="F186" s="1" t="str">
        <f ca="1">IF(H186&lt;=I186,"Starter",IF(G186&gt;=LARGE(G:G,FlexOn*LeagueInfo!$F$2),"Starter","Bench"))</f>
        <v>Bench</v>
      </c>
      <c r="G186" s="1">
        <f ca="1">IF(H186&gt;I186,D186,0)</f>
        <v>49.230000000000004</v>
      </c>
      <c r="H186" s="1">
        <f ca="1">INDEX(INDIRECT(""&amp;C186&amp;"!A2:A489"),MATCH(B186,INDIRECT(""&amp;C186&amp;"!B2:B489"),0))</f>
        <v>89</v>
      </c>
      <c r="I186" s="1">
        <f>IF(C186="RB",LeagueInfo!$D$4*LeagueInfo!$F$2,IF(C186="WR",LeagueInfo!$D$5*LeagueInfo!$F$2,IF(C186="TE",LeagueInfo!$D$6*LeagueInfo!$F$2)))</f>
        <v>24</v>
      </c>
    </row>
    <row r="187" spans="1:9" x14ac:dyDescent="0.25">
      <c r="A187" s="47">
        <f ca="1">RANK(E187,E$2:E$574)</f>
        <v>185</v>
      </c>
      <c r="B187" s="1" t="s">
        <v>579</v>
      </c>
      <c r="C187" s="1" t="s">
        <v>39</v>
      </c>
      <c r="D187" s="1">
        <f ca="1">INDEX(INDIRECT($C187&amp;"!O:O"),MATCH($B187,INDIRECT($C187&amp;"!B:B"),0))</f>
        <v>50.2</v>
      </c>
      <c r="E187" s="254">
        <f ca="1">D187-LARGE(D$2:D$467,RBCount+WRCount+TECount)</f>
        <v>-26.64</v>
      </c>
      <c r="F187" s="1" t="str">
        <f ca="1">IF(H187&lt;=I187,"Starter",IF(G187&gt;=LARGE(G:G,FlexOn*LeagueInfo!$F$2),"Starter","Bench"))</f>
        <v>Bench</v>
      </c>
      <c r="G187" s="1">
        <f ca="1">IF(H187&gt;I187,D187,0)</f>
        <v>50.2</v>
      </c>
      <c r="H187" s="1">
        <f ca="1">INDEX(INDIRECT(""&amp;C187&amp;"!A2:A489"),MATCH(B187,INDIRECT(""&amp;C187&amp;"!B2:B489"),0))</f>
        <v>87</v>
      </c>
      <c r="I187" s="1">
        <f>IF(C187="RB",LeagueInfo!$D$4*LeagueInfo!$F$2,IF(C187="WR",LeagueInfo!$D$5*LeagueInfo!$F$2,IF(C187="TE",LeagueInfo!$D$6*LeagueInfo!$F$2)))</f>
        <v>24</v>
      </c>
    </row>
    <row r="188" spans="1:9" x14ac:dyDescent="0.25">
      <c r="A188" s="47">
        <f ca="1">RANK(E188,E$2:E$574)</f>
        <v>195</v>
      </c>
      <c r="B188" s="1" t="s">
        <v>578</v>
      </c>
      <c r="C188" s="1" t="s">
        <v>39</v>
      </c>
      <c r="D188" s="1">
        <f ca="1">INDEX(INDIRECT($C188&amp;"!O:O"),MATCH($B188,INDIRECT($C188&amp;"!B:B"),0))</f>
        <v>47.54</v>
      </c>
      <c r="E188" s="254">
        <f ca="1">D188-LARGE(D$2:D$467,RBCount+WRCount+TECount)</f>
        <v>-29.300000000000004</v>
      </c>
      <c r="F188" s="1" t="str">
        <f ca="1">IF(H188&lt;=I188,"Starter",IF(G188&gt;=LARGE(G:G,FlexOn*LeagueInfo!$F$2),"Starter","Bench"))</f>
        <v>Bench</v>
      </c>
      <c r="G188" s="1">
        <f ca="1">IF(H188&gt;I188,D188,0)</f>
        <v>47.54</v>
      </c>
      <c r="H188" s="1">
        <f ca="1">INDEX(INDIRECT(""&amp;C188&amp;"!A2:A489"),MATCH(B188,INDIRECT(""&amp;C188&amp;"!B2:B489"),0))</f>
        <v>91</v>
      </c>
      <c r="I188" s="1">
        <f>IF(C188="RB",LeagueInfo!$D$4*LeagueInfo!$F$2,IF(C188="WR",LeagueInfo!$D$5*LeagueInfo!$F$2,IF(C188="TE",LeagueInfo!$D$6*LeagueInfo!$F$2)))</f>
        <v>24</v>
      </c>
    </row>
    <row r="189" spans="1:9" x14ac:dyDescent="0.25">
      <c r="A189" s="47">
        <f ca="1">RANK(E189,E$2:E$574)</f>
        <v>198</v>
      </c>
      <c r="B189" s="1" t="s">
        <v>584</v>
      </c>
      <c r="C189" s="1" t="s">
        <v>39</v>
      </c>
      <c r="D189" s="1">
        <f ca="1">INDEX(INDIRECT($C189&amp;"!O:O"),MATCH($B189,INDIRECT($C189&amp;"!B:B"),0))</f>
        <v>46.77</v>
      </c>
      <c r="E189" s="254">
        <f ca="1">D189-LARGE(D$2:D$467,RBCount+WRCount+TECount)</f>
        <v>-30.07</v>
      </c>
      <c r="F189" s="1" t="str">
        <f ca="1">IF(H189&lt;=I189,"Starter",IF(G189&gt;=LARGE(G:G,FlexOn*LeagueInfo!$F$2),"Starter","Bench"))</f>
        <v>Bench</v>
      </c>
      <c r="G189" s="1">
        <f ca="1">IF(H189&gt;I189,D189,0)</f>
        <v>46.77</v>
      </c>
      <c r="H189" s="1">
        <f ca="1">INDEX(INDIRECT(""&amp;C189&amp;"!A2:A489"),MATCH(B189,INDIRECT(""&amp;C189&amp;"!B2:B489"),0))</f>
        <v>94</v>
      </c>
      <c r="I189" s="1">
        <f>IF(C189="RB",LeagueInfo!$D$4*LeagueInfo!$F$2,IF(C189="WR",LeagueInfo!$D$5*LeagueInfo!$F$2,IF(C189="TE",LeagueInfo!$D$6*LeagueInfo!$F$2)))</f>
        <v>24</v>
      </c>
    </row>
    <row r="190" spans="1:9" x14ac:dyDescent="0.25">
      <c r="A190" s="47">
        <f ca="1">RANK(E190,E$2:E$574)</f>
        <v>192</v>
      </c>
      <c r="B190" s="1" t="s">
        <v>718</v>
      </c>
      <c r="C190" s="1" t="s">
        <v>47</v>
      </c>
      <c r="D190" s="1">
        <f ca="1">INDEX(INDIRECT($C190&amp;"!O:O"),MATCH($B190,INDIRECT($C190&amp;"!B:B"),0))</f>
        <v>48.28</v>
      </c>
      <c r="E190" s="254">
        <f ca="1">D190-LARGE(D$2:D$467,RBCount+WRCount+TECount)</f>
        <v>-28.560000000000002</v>
      </c>
      <c r="F190" s="1" t="str">
        <f ca="1">IF(H190&lt;=I190,"Starter",IF(G190&gt;=LARGE(G:G,FlexOn*LeagueInfo!$F$2),"Starter","Bench"))</f>
        <v>Bench</v>
      </c>
      <c r="G190" s="1">
        <f ca="1">IF(H190&gt;I190,D190,0)</f>
        <v>48.28</v>
      </c>
      <c r="H190" s="1">
        <f ca="1">INDEX(INDIRECT(""&amp;C190&amp;"!A2:A489"),MATCH(B190,INDIRECT(""&amp;C190&amp;"!B2:B489"),0))</f>
        <v>32</v>
      </c>
      <c r="I190" s="1">
        <f>IF(C190="RB",LeagueInfo!$D$4*LeagueInfo!$F$2,IF(C190="WR",LeagueInfo!$D$5*LeagueInfo!$F$2,IF(C190="TE",LeagueInfo!$D$6*LeagueInfo!$F$2)))</f>
        <v>12</v>
      </c>
    </row>
    <row r="191" spans="1:9" x14ac:dyDescent="0.25">
      <c r="A191" s="47">
        <f ca="1">RANK(E191,E$2:E$574)</f>
        <v>196</v>
      </c>
      <c r="B191" s="1" t="s">
        <v>572</v>
      </c>
      <c r="C191" s="1" t="s">
        <v>39</v>
      </c>
      <c r="D191" s="1">
        <f ca="1">INDEX(INDIRECT($C191&amp;"!O:O"),MATCH($B191,INDIRECT($C191&amp;"!B:B"),0))</f>
        <v>46.96</v>
      </c>
      <c r="E191" s="254">
        <f ca="1">D191-LARGE(D$2:D$467,RBCount+WRCount+TECount)</f>
        <v>-29.880000000000003</v>
      </c>
      <c r="F191" s="1" t="str">
        <f ca="1">IF(H191&lt;=I191,"Starter",IF(G191&gt;=LARGE(G:G,FlexOn*LeagueInfo!$F$2),"Starter","Bench"))</f>
        <v>Bench</v>
      </c>
      <c r="G191" s="1">
        <f ca="1">IF(H191&gt;I191,D191,0)</f>
        <v>46.96</v>
      </c>
      <c r="H191" s="1">
        <f ca="1">INDEX(INDIRECT(""&amp;C191&amp;"!A2:A489"),MATCH(B191,INDIRECT(""&amp;C191&amp;"!B2:B489"),0))</f>
        <v>92</v>
      </c>
      <c r="I191" s="1">
        <f>IF(C191="RB",LeagueInfo!$D$4*LeagueInfo!$F$2,IF(C191="WR",LeagueInfo!$D$5*LeagueInfo!$F$2,IF(C191="TE",LeagueInfo!$D$6*LeagueInfo!$F$2)))</f>
        <v>24</v>
      </c>
    </row>
    <row r="192" spans="1:9" x14ac:dyDescent="0.25">
      <c r="A192" s="47">
        <f ca="1">RANK(E192,E$2:E$574)</f>
        <v>182</v>
      </c>
      <c r="B192" s="1" t="s">
        <v>471</v>
      </c>
      <c r="C192" s="1" t="s">
        <v>32</v>
      </c>
      <c r="D192" s="1">
        <f ca="1">INDEX(INDIRECT($C192&amp;"!O:O"),MATCH($B192,INDIRECT($C192&amp;"!B:B"),0))</f>
        <v>53.650000000000006</v>
      </c>
      <c r="E192" s="254">
        <f ca="1">D192-LARGE(D$2:D$467,RBCount+WRCount+TECount)</f>
        <v>-23.189999999999998</v>
      </c>
      <c r="F192" s="1" t="str">
        <f ca="1">IF(H192&lt;=I192,"Starter",IF(G192&gt;=LARGE(G:G,FlexOn*LeagueInfo!$F$2),"Starter","Bench"))</f>
        <v>Bench</v>
      </c>
      <c r="G192" s="1">
        <f ca="1">IF(H192&gt;I192,D192,0)</f>
        <v>53.650000000000006</v>
      </c>
      <c r="H192" s="1">
        <f ca="1">INDEX(INDIRECT(""&amp;C192&amp;"!A2:A489"),MATCH(B192,INDIRECT(""&amp;C192&amp;"!B2:B489"),0))</f>
        <v>68</v>
      </c>
      <c r="I192" s="1">
        <f>IF(C192="RB",LeagueInfo!$D$4*LeagueInfo!$F$2,IF(C192="WR",LeagueInfo!$D$5*LeagueInfo!$F$2,IF(C192="TE",LeagueInfo!$D$6*LeagueInfo!$F$2)))</f>
        <v>24</v>
      </c>
    </row>
    <row r="193" spans="1:9" x14ac:dyDescent="0.25">
      <c r="A193" s="47">
        <f ca="1">RANK(E193,E$2:E$574)</f>
        <v>196</v>
      </c>
      <c r="B193" s="1" t="s">
        <v>581</v>
      </c>
      <c r="C193" s="1" t="s">
        <v>39</v>
      </c>
      <c r="D193" s="1">
        <f ca="1">INDEX(INDIRECT($C193&amp;"!O:O"),MATCH($B193,INDIRECT($C193&amp;"!B:B"),0))</f>
        <v>46.96</v>
      </c>
      <c r="E193" s="254">
        <f ca="1">D193-LARGE(D$2:D$467,RBCount+WRCount+TECount)</f>
        <v>-29.880000000000003</v>
      </c>
      <c r="F193" s="1" t="str">
        <f ca="1">IF(H193&lt;=I193,"Starter",IF(G193&gt;=LARGE(G:G,FlexOn*LeagueInfo!$F$2),"Starter","Bench"))</f>
        <v>Bench</v>
      </c>
      <c r="G193" s="1">
        <f ca="1">IF(H193&gt;I193,D193,0)</f>
        <v>46.96</v>
      </c>
      <c r="H193" s="1">
        <f ca="1">INDEX(INDIRECT(""&amp;C193&amp;"!A2:A489"),MATCH(B193,INDIRECT(""&amp;C193&amp;"!B2:B489"),0))</f>
        <v>92</v>
      </c>
      <c r="I193" s="1">
        <f>IF(C193="RB",LeagueInfo!$D$4*LeagueInfo!$F$2,IF(C193="WR",LeagueInfo!$D$5*LeagueInfo!$F$2,IF(C193="TE",LeagueInfo!$D$6*LeagueInfo!$F$2)))</f>
        <v>24</v>
      </c>
    </row>
    <row r="194" spans="1:9" x14ac:dyDescent="0.25">
      <c r="A194" s="47">
        <f ca="1">RANK(E194,E$2:E$574)</f>
        <v>179</v>
      </c>
      <c r="B194" s="1" t="s">
        <v>446</v>
      </c>
      <c r="C194" s="1" t="s">
        <v>32</v>
      </c>
      <c r="D194" s="1">
        <f ca="1">INDEX(INDIRECT($C194&amp;"!O:O"),MATCH($B194,INDIRECT($C194&amp;"!B:B"),0))</f>
        <v>54.04</v>
      </c>
      <c r="E194" s="254">
        <f ca="1">D194-LARGE(D$2:D$467,RBCount+WRCount+TECount)</f>
        <v>-22.800000000000004</v>
      </c>
      <c r="F194" s="1" t="str">
        <f ca="1">IF(H194&lt;=I194,"Starter",IF(G194&gt;=LARGE(G:G,FlexOn*LeagueInfo!$F$2),"Starter","Bench"))</f>
        <v>Bench</v>
      </c>
      <c r="G194" s="1">
        <f ca="1">IF(H194&gt;I194,D194,0)</f>
        <v>54.04</v>
      </c>
      <c r="H194" s="1">
        <f ca="1">INDEX(INDIRECT(""&amp;C194&amp;"!A2:A489"),MATCH(B194,INDIRECT(""&amp;C194&amp;"!B2:B489"),0))</f>
        <v>65</v>
      </c>
      <c r="I194" s="1">
        <f>IF(C194="RB",LeagueInfo!$D$4*LeagueInfo!$F$2,IF(C194="WR",LeagueInfo!$D$5*LeagueInfo!$F$2,IF(C194="TE",LeagueInfo!$D$6*LeagueInfo!$F$2)))</f>
        <v>24</v>
      </c>
    </row>
    <row r="195" spans="1:9" x14ac:dyDescent="0.25">
      <c r="A195" s="47">
        <f ca="1">RANK(E195,E$2:E$574)</f>
        <v>194</v>
      </c>
      <c r="B195" s="1" t="s">
        <v>287</v>
      </c>
      <c r="C195" s="1" t="s">
        <v>47</v>
      </c>
      <c r="D195" s="1">
        <f ca="1">INDEX(INDIRECT($C195&amp;"!O:O"),MATCH($B195,INDIRECT($C195&amp;"!B:B"),0))</f>
        <v>48.039999999999992</v>
      </c>
      <c r="E195" s="254">
        <f ca="1">D195-LARGE(D$2:D$467,RBCount+WRCount+TECount)</f>
        <v>-28.800000000000011</v>
      </c>
      <c r="F195" s="1" t="str">
        <f ca="1">IF(H195&lt;=I195,"Starter",IF(G195&gt;=LARGE(G:G,FlexOn*LeagueInfo!$F$2),"Starter","Bench"))</f>
        <v>Bench</v>
      </c>
      <c r="G195" s="1">
        <f ca="1">IF(H195&gt;I195,D195,0)</f>
        <v>48.039999999999992</v>
      </c>
      <c r="H195" s="1">
        <f ca="1">INDEX(INDIRECT(""&amp;C195&amp;"!A2:A489"),MATCH(B195,INDIRECT(""&amp;C195&amp;"!B2:B489"),0))</f>
        <v>34</v>
      </c>
      <c r="I195" s="1">
        <f>IF(C195="RB",LeagueInfo!$D$4*LeagueInfo!$F$2,IF(C195="WR",LeagueInfo!$D$5*LeagueInfo!$F$2,IF(C195="TE",LeagueInfo!$D$6*LeagueInfo!$F$2)))</f>
        <v>12</v>
      </c>
    </row>
    <row r="196" spans="1:9" x14ac:dyDescent="0.25">
      <c r="A196" s="47">
        <f ca="1">RANK(E196,E$2:E$574)</f>
        <v>181</v>
      </c>
      <c r="B196" s="1" t="s">
        <v>447</v>
      </c>
      <c r="C196" s="1" t="s">
        <v>32</v>
      </c>
      <c r="D196" s="1">
        <f ca="1">INDEX(INDIRECT($C196&amp;"!O:O"),MATCH($B196,INDIRECT($C196&amp;"!B:B"),0))</f>
        <v>53.680000000000007</v>
      </c>
      <c r="E196" s="254">
        <f ca="1">D196-LARGE(D$2:D$467,RBCount+WRCount+TECount)</f>
        <v>-23.159999999999997</v>
      </c>
      <c r="F196" s="1" t="str">
        <f ca="1">IF(H196&lt;=I196,"Starter",IF(G196&gt;=LARGE(G:G,FlexOn*LeagueInfo!$F$2),"Starter","Bench"))</f>
        <v>Bench</v>
      </c>
      <c r="G196" s="1">
        <f ca="1">IF(H196&gt;I196,D196,0)</f>
        <v>53.680000000000007</v>
      </c>
      <c r="H196" s="1">
        <f ca="1">INDEX(INDIRECT(""&amp;C196&amp;"!A2:A489"),MATCH(B196,INDIRECT(""&amp;C196&amp;"!B2:B489"),0))</f>
        <v>67</v>
      </c>
      <c r="I196" s="1">
        <f>IF(C196="RB",LeagueInfo!$D$4*LeagueInfo!$F$2,IF(C196="WR",LeagueInfo!$D$5*LeagueInfo!$F$2,IF(C196="TE",LeagueInfo!$D$6*LeagueInfo!$F$2)))</f>
        <v>24</v>
      </c>
    </row>
    <row r="197" spans="1:9" x14ac:dyDescent="0.25">
      <c r="A197" s="47">
        <f ca="1">RANK(E197,E$2:E$574)</f>
        <v>180</v>
      </c>
      <c r="B197" s="1" t="s">
        <v>451</v>
      </c>
      <c r="C197" s="1" t="s">
        <v>32</v>
      </c>
      <c r="D197" s="1">
        <f ca="1">INDEX(INDIRECT($C197&amp;"!O:O"),MATCH($B197,INDIRECT($C197&amp;"!B:B"),0))</f>
        <v>53.73</v>
      </c>
      <c r="E197" s="254">
        <f ca="1">D197-LARGE(D$2:D$467,RBCount+WRCount+TECount)</f>
        <v>-23.110000000000007</v>
      </c>
      <c r="F197" s="1" t="str">
        <f ca="1">IF(H197&lt;=I197,"Starter",IF(G197&gt;=LARGE(G:G,FlexOn*LeagueInfo!$F$2),"Starter","Bench"))</f>
        <v>Bench</v>
      </c>
      <c r="G197" s="1">
        <f ca="1">IF(H197&gt;I197,D197,0)</f>
        <v>53.73</v>
      </c>
      <c r="H197" s="1">
        <f ca="1">INDEX(INDIRECT(""&amp;C197&amp;"!A2:A489"),MATCH(B197,INDIRECT(""&amp;C197&amp;"!B2:B489"),0))</f>
        <v>66</v>
      </c>
      <c r="I197" s="1">
        <f>IF(C197="RB",LeagueInfo!$D$4*LeagueInfo!$F$2,IF(C197="WR",LeagueInfo!$D$5*LeagueInfo!$F$2,IF(C197="TE",LeagueInfo!$D$6*LeagueInfo!$F$2)))</f>
        <v>24</v>
      </c>
    </row>
    <row r="198" spans="1:9" x14ac:dyDescent="0.25">
      <c r="A198" s="47">
        <f ca="1">RANK(E198,E$2:E$574)</f>
        <v>203</v>
      </c>
      <c r="B198" s="1" t="s">
        <v>721</v>
      </c>
      <c r="C198" s="1" t="s">
        <v>47</v>
      </c>
      <c r="D198" s="1">
        <f ca="1">INDEX(INDIRECT($C198&amp;"!O:O"),MATCH($B198,INDIRECT($C198&amp;"!B:B"),0))</f>
        <v>45.750000000000007</v>
      </c>
      <c r="E198" s="254">
        <f ca="1">D198-LARGE(D$2:D$467,RBCount+WRCount+TECount)</f>
        <v>-31.089999999999996</v>
      </c>
      <c r="F198" s="1" t="str">
        <f ca="1">IF(H198&lt;=I198,"Starter",IF(G198&gt;=LARGE(G:G,FlexOn*LeagueInfo!$F$2),"Starter","Bench"))</f>
        <v>Bench</v>
      </c>
      <c r="G198" s="1">
        <f ca="1">IF(H198&gt;I198,D198,0)</f>
        <v>45.750000000000007</v>
      </c>
      <c r="H198" s="1">
        <f ca="1">INDEX(INDIRECT(""&amp;C198&amp;"!A2:A489"),MATCH(B198,INDIRECT(""&amp;C198&amp;"!B2:B489"),0))</f>
        <v>35</v>
      </c>
      <c r="I198" s="1">
        <f>IF(C198="RB",LeagueInfo!$D$4*LeagueInfo!$F$2,IF(C198="WR",LeagueInfo!$D$5*LeagueInfo!$F$2,IF(C198="TE",LeagueInfo!$D$6*LeagueInfo!$F$2)))</f>
        <v>12</v>
      </c>
    </row>
    <row r="199" spans="1:9" x14ac:dyDescent="0.25">
      <c r="A199" s="47">
        <f ca="1">RANK(E199,E$2:E$574)</f>
        <v>201</v>
      </c>
      <c r="B199" s="1" t="s">
        <v>244</v>
      </c>
      <c r="C199" s="1" t="s">
        <v>39</v>
      </c>
      <c r="D199" s="1">
        <f ca="1">INDEX(INDIRECT($C199&amp;"!O:O"),MATCH($B199,INDIRECT($C199&amp;"!B:B"),0))</f>
        <v>45.790000000000006</v>
      </c>
      <c r="E199" s="254">
        <f ca="1">D199-LARGE(D$2:D$467,RBCount+WRCount+TECount)</f>
        <v>-31.049999999999997</v>
      </c>
      <c r="F199" s="1" t="str">
        <f ca="1">IF(H199&lt;=I199,"Starter",IF(G199&gt;=LARGE(G:G,FlexOn*LeagueInfo!$F$2),"Starter","Bench"))</f>
        <v>Bench</v>
      </c>
      <c r="G199" s="1">
        <f ca="1">IF(H199&gt;I199,D199,0)</f>
        <v>45.790000000000006</v>
      </c>
      <c r="H199" s="1">
        <f ca="1">INDEX(INDIRECT(""&amp;C199&amp;"!A2:A489"),MATCH(B199,INDIRECT(""&amp;C199&amp;"!B2:B489"),0))</f>
        <v>96</v>
      </c>
      <c r="I199" s="1">
        <f>IF(C199="RB",LeagueInfo!$D$4*LeagueInfo!$F$2,IF(C199="WR",LeagueInfo!$D$5*LeagueInfo!$F$2,IF(C199="TE",LeagueInfo!$D$6*LeagueInfo!$F$2)))</f>
        <v>24</v>
      </c>
    </row>
    <row r="200" spans="1:9" x14ac:dyDescent="0.25">
      <c r="A200" s="47">
        <f ca="1">RANK(E200,E$2:E$574)</f>
        <v>200</v>
      </c>
      <c r="B200" s="1" t="s">
        <v>574</v>
      </c>
      <c r="C200" s="1" t="s">
        <v>39</v>
      </c>
      <c r="D200" s="1">
        <f ca="1">INDEX(INDIRECT($C200&amp;"!O:O"),MATCH($B200,INDIRECT($C200&amp;"!B:B"),0))</f>
        <v>46.29</v>
      </c>
      <c r="E200" s="254">
        <f ca="1">D200-LARGE(D$2:D$467,RBCount+WRCount+TECount)</f>
        <v>-30.550000000000004</v>
      </c>
      <c r="F200" s="1" t="str">
        <f ca="1">IF(H200&lt;=I200,"Starter",IF(G200&gt;=LARGE(G:G,FlexOn*LeagueInfo!$F$2),"Starter","Bench"))</f>
        <v>Bench</v>
      </c>
      <c r="G200" s="1">
        <f ca="1">IF(H200&gt;I200,D200,0)</f>
        <v>46.29</v>
      </c>
      <c r="H200" s="1">
        <f ca="1">INDEX(INDIRECT(""&amp;C200&amp;"!A2:A489"),MATCH(B200,INDIRECT(""&amp;C200&amp;"!B2:B489"),0))</f>
        <v>95</v>
      </c>
      <c r="I200" s="1">
        <f>IF(C200="RB",LeagueInfo!$D$4*LeagueInfo!$F$2,IF(C200="WR",LeagueInfo!$D$5*LeagueInfo!$F$2,IF(C200="TE",LeagueInfo!$D$6*LeagueInfo!$F$2)))</f>
        <v>24</v>
      </c>
    </row>
    <row r="201" spans="1:9" x14ac:dyDescent="0.25">
      <c r="A201" s="47">
        <f ca="1">RANK(E201,E$2:E$574)</f>
        <v>202</v>
      </c>
      <c r="B201" s="1" t="s">
        <v>589</v>
      </c>
      <c r="C201" s="1" t="s">
        <v>39</v>
      </c>
      <c r="D201" s="1">
        <f ca="1">INDEX(INDIRECT($C201&amp;"!O:O"),MATCH($B201,INDIRECT($C201&amp;"!B:B"),0))</f>
        <v>45.789999999999992</v>
      </c>
      <c r="E201" s="254">
        <f ca="1">D201-LARGE(D$2:D$467,RBCount+WRCount+TECount)</f>
        <v>-31.050000000000011</v>
      </c>
      <c r="F201" s="1" t="str">
        <f ca="1">IF(H201&lt;=I201,"Starter",IF(G201&gt;=LARGE(G:G,FlexOn*LeagueInfo!$F$2),"Starter","Bench"))</f>
        <v>Bench</v>
      </c>
      <c r="G201" s="1">
        <f ca="1">IF(H201&gt;I201,D201,0)</f>
        <v>45.789999999999992</v>
      </c>
      <c r="H201" s="1">
        <f ca="1">INDEX(INDIRECT(""&amp;C201&amp;"!A2:A489"),MATCH(B201,INDIRECT(""&amp;C201&amp;"!B2:B489"),0))</f>
        <v>97</v>
      </c>
      <c r="I201" s="1">
        <f>IF(C201="RB",LeagueInfo!$D$4*LeagueInfo!$F$2,IF(C201="WR",LeagueInfo!$D$5*LeagueInfo!$F$2,IF(C201="TE",LeagueInfo!$D$6*LeagueInfo!$F$2)))</f>
        <v>24</v>
      </c>
    </row>
    <row r="202" spans="1:9" x14ac:dyDescent="0.25">
      <c r="A202" s="47">
        <f ca="1">RANK(E202,E$2:E$574)</f>
        <v>206</v>
      </c>
      <c r="B202" s="1" t="s">
        <v>588</v>
      </c>
      <c r="C202" s="1" t="s">
        <v>39</v>
      </c>
      <c r="D202" s="1">
        <f ca="1">INDEX(INDIRECT($C202&amp;"!O:O"),MATCH($B202,INDIRECT($C202&amp;"!B:B"),0))</f>
        <v>44.580000000000013</v>
      </c>
      <c r="E202" s="254">
        <f ca="1">D202-LARGE(D$2:D$467,RBCount+WRCount+TECount)</f>
        <v>-32.259999999999991</v>
      </c>
      <c r="F202" s="1" t="str">
        <f ca="1">IF(H202&lt;=I202,"Starter",IF(G202&gt;=LARGE(G:G,FlexOn*LeagueInfo!$F$2),"Starter","Bench"))</f>
        <v>Bench</v>
      </c>
      <c r="G202" s="1">
        <f ca="1">IF(H202&gt;I202,D202,0)</f>
        <v>44.580000000000013</v>
      </c>
      <c r="H202" s="1">
        <f ca="1">INDEX(INDIRECT(""&amp;C202&amp;"!A2:A489"),MATCH(B202,INDIRECT(""&amp;C202&amp;"!B2:B489"),0))</f>
        <v>99</v>
      </c>
      <c r="I202" s="1">
        <f>IF(C202="RB",LeagueInfo!$D$4*LeagueInfo!$F$2,IF(C202="WR",LeagueInfo!$D$5*LeagueInfo!$F$2,IF(C202="TE",LeagueInfo!$D$6*LeagueInfo!$F$2)))</f>
        <v>24</v>
      </c>
    </row>
    <row r="203" spans="1:9" x14ac:dyDescent="0.25">
      <c r="A203" s="47">
        <f ca="1">RANK(E203,E$2:E$574)</f>
        <v>205</v>
      </c>
      <c r="B203" s="1" t="s">
        <v>585</v>
      </c>
      <c r="C203" s="1" t="s">
        <v>39</v>
      </c>
      <c r="D203" s="1">
        <f ca="1">INDEX(INDIRECT($C203&amp;"!O:O"),MATCH($B203,INDIRECT($C203&amp;"!B:B"),0))</f>
        <v>44.77</v>
      </c>
      <c r="E203" s="254">
        <f ca="1">D203-LARGE(D$2:D$467,RBCount+WRCount+TECount)</f>
        <v>-32.07</v>
      </c>
      <c r="F203" s="1" t="str">
        <f ca="1">IF(H203&lt;=I203,"Starter",IF(G203&gt;=LARGE(G:G,FlexOn*LeagueInfo!$F$2),"Starter","Bench"))</f>
        <v>Bench</v>
      </c>
      <c r="G203" s="1">
        <f ca="1">IF(H203&gt;I203,D203,0)</f>
        <v>44.77</v>
      </c>
      <c r="H203" s="1">
        <f ca="1">INDEX(INDIRECT(""&amp;C203&amp;"!A2:A489"),MATCH(B203,INDIRECT(""&amp;C203&amp;"!B2:B489"),0))</f>
        <v>98</v>
      </c>
      <c r="I203" s="1">
        <f>IF(C203="RB",LeagueInfo!$D$4*LeagueInfo!$F$2,IF(C203="WR",LeagueInfo!$D$5*LeagueInfo!$F$2,IF(C203="TE",LeagueInfo!$D$6*LeagueInfo!$F$2)))</f>
        <v>24</v>
      </c>
    </row>
    <row r="204" spans="1:9" x14ac:dyDescent="0.25">
      <c r="A204" s="47">
        <f ca="1">RANK(E204,E$2:E$574)</f>
        <v>190</v>
      </c>
      <c r="B204" s="1" t="s">
        <v>281</v>
      </c>
      <c r="C204" s="1" t="s">
        <v>32</v>
      </c>
      <c r="D204" s="1">
        <f ca="1">INDEX(INDIRECT($C204&amp;"!O:O"),MATCH($B204,INDIRECT($C204&amp;"!B:B"),0))</f>
        <v>48.670000000000009</v>
      </c>
      <c r="E204" s="254">
        <f ca="1">D204-LARGE(D$2:D$467,RBCount+WRCount+TECount)</f>
        <v>-28.169999999999995</v>
      </c>
      <c r="F204" s="1" t="str">
        <f ca="1">IF(H204&lt;=I204,"Starter",IF(G204&gt;=LARGE(G:G,FlexOn*LeagueInfo!$F$2),"Starter","Bench"))</f>
        <v>Bench</v>
      </c>
      <c r="G204" s="1">
        <f ca="1">IF(H204&gt;I204,D204,0)</f>
        <v>48.670000000000009</v>
      </c>
      <c r="H204" s="1">
        <f ca="1">INDEX(INDIRECT(""&amp;C204&amp;"!A2:A489"),MATCH(B204,INDIRECT(""&amp;C204&amp;"!B2:B489"),0))</f>
        <v>69</v>
      </c>
      <c r="I204" s="1">
        <f>IF(C204="RB",LeagueInfo!$D$4*LeagueInfo!$F$2,IF(C204="WR",LeagueInfo!$D$5*LeagueInfo!$F$2,IF(C204="TE",LeagueInfo!$D$6*LeagueInfo!$F$2)))</f>
        <v>24</v>
      </c>
    </row>
    <row r="205" spans="1:9" x14ac:dyDescent="0.25">
      <c r="A205" s="47">
        <f ca="1">RANK(E205,E$2:E$574)</f>
        <v>204</v>
      </c>
      <c r="B205" s="1" t="s">
        <v>444</v>
      </c>
      <c r="C205" s="1" t="s">
        <v>32</v>
      </c>
      <c r="D205" s="1">
        <f ca="1">INDEX(INDIRECT($C205&amp;"!O:O"),MATCH($B205,INDIRECT($C205&amp;"!B:B"),0))</f>
        <v>45.19</v>
      </c>
      <c r="E205" s="254">
        <f ca="1">D205-LARGE(D$2:D$467,RBCount+WRCount+TECount)</f>
        <v>-31.650000000000006</v>
      </c>
      <c r="F205" s="1" t="str">
        <f ca="1">IF(H205&lt;=I205,"Starter",IF(G205&gt;=LARGE(G:G,FlexOn*LeagueInfo!$F$2),"Starter","Bench"))</f>
        <v>Bench</v>
      </c>
      <c r="G205" s="1">
        <f ca="1">IF(H205&gt;I205,D205,0)</f>
        <v>45.19</v>
      </c>
      <c r="H205" s="1">
        <f ca="1">INDEX(INDIRECT(""&amp;C205&amp;"!A2:A489"),MATCH(B205,INDIRECT(""&amp;C205&amp;"!B2:B489"),0))</f>
        <v>72</v>
      </c>
      <c r="I205" s="1">
        <f>IF(C205="RB",LeagueInfo!$D$4*LeagueInfo!$F$2,IF(C205="WR",LeagueInfo!$D$5*LeagueInfo!$F$2,IF(C205="TE",LeagueInfo!$D$6*LeagueInfo!$F$2)))</f>
        <v>24</v>
      </c>
    </row>
    <row r="206" spans="1:9" x14ac:dyDescent="0.25">
      <c r="A206" s="47">
        <f ca="1">RANK(E206,E$2:E$574)</f>
        <v>207</v>
      </c>
      <c r="B206" s="1" t="s">
        <v>221</v>
      </c>
      <c r="C206" s="1" t="s">
        <v>39</v>
      </c>
      <c r="D206" s="1">
        <f ca="1">INDEX(INDIRECT($C206&amp;"!O:O"),MATCH($B206,INDIRECT($C206&amp;"!B:B"),0))</f>
        <v>44.56</v>
      </c>
      <c r="E206" s="254">
        <f ca="1">D206-LARGE(D$2:D$467,RBCount+WRCount+TECount)</f>
        <v>-32.28</v>
      </c>
      <c r="F206" s="1" t="str">
        <f ca="1">IF(H206&lt;=I206,"Starter",IF(G206&gt;=LARGE(G:G,FlexOn*LeagueInfo!$F$2),"Starter","Bench"))</f>
        <v>Bench</v>
      </c>
      <c r="G206" s="1">
        <f ca="1">IF(H206&gt;I206,D206,0)</f>
        <v>44.56</v>
      </c>
      <c r="H206" s="1">
        <f ca="1">INDEX(INDIRECT(""&amp;C206&amp;"!A2:A489"),MATCH(B206,INDIRECT(""&amp;C206&amp;"!B2:B489"),0))</f>
        <v>100</v>
      </c>
      <c r="I206" s="1">
        <f>IF(C206="RB",LeagueInfo!$D$4*LeagueInfo!$F$2,IF(C206="WR",LeagueInfo!$D$5*LeagueInfo!$F$2,IF(C206="TE",LeagueInfo!$D$6*LeagueInfo!$F$2)))</f>
        <v>24</v>
      </c>
    </row>
    <row r="207" spans="1:9" x14ac:dyDescent="0.25">
      <c r="A207" s="47">
        <f ca="1">RANK(E207,E$2:E$574)</f>
        <v>208</v>
      </c>
      <c r="B207" s="1" t="s">
        <v>583</v>
      </c>
      <c r="C207" s="1" t="s">
        <v>39</v>
      </c>
      <c r="D207" s="1">
        <f ca="1">INDEX(INDIRECT($C207&amp;"!O:O"),MATCH($B207,INDIRECT($C207&amp;"!B:B"),0))</f>
        <v>43.46</v>
      </c>
      <c r="E207" s="254">
        <f ca="1">D207-LARGE(D$2:D$467,RBCount+WRCount+TECount)</f>
        <v>-33.380000000000003</v>
      </c>
      <c r="F207" s="1" t="str">
        <f ca="1">IF(H207&lt;=I207,"Starter",IF(G207&gt;=LARGE(G:G,FlexOn*LeagueInfo!$F$2),"Starter","Bench"))</f>
        <v>Bench</v>
      </c>
      <c r="G207" s="1">
        <f ca="1">IF(H207&gt;I207,D207,0)</f>
        <v>43.46</v>
      </c>
      <c r="H207" s="1">
        <f ca="1">INDEX(INDIRECT(""&amp;C207&amp;"!A2:A489"),MATCH(B207,INDIRECT(""&amp;C207&amp;"!B2:B489"),0))</f>
        <v>101</v>
      </c>
      <c r="I207" s="1">
        <f>IF(C207="RB",LeagueInfo!$D$4*LeagueInfo!$F$2,IF(C207="WR",LeagueInfo!$D$5*LeagueInfo!$F$2,IF(C207="TE",LeagueInfo!$D$6*LeagueInfo!$F$2)))</f>
        <v>24</v>
      </c>
    </row>
    <row r="208" spans="1:9" x14ac:dyDescent="0.25">
      <c r="A208" s="47">
        <f ca="1">RANK(E208,E$2:E$574)</f>
        <v>191</v>
      </c>
      <c r="B208" s="1" t="s">
        <v>449</v>
      </c>
      <c r="C208" s="1" t="s">
        <v>32</v>
      </c>
      <c r="D208" s="1">
        <f ca="1">INDEX(INDIRECT($C208&amp;"!O:O"),MATCH($B208,INDIRECT($C208&amp;"!B:B"),0))</f>
        <v>48.370000000000005</v>
      </c>
      <c r="E208" s="254">
        <f ca="1">D208-LARGE(D$2:D$467,RBCount+WRCount+TECount)</f>
        <v>-28.47</v>
      </c>
      <c r="F208" s="1" t="str">
        <f ca="1">IF(H208&lt;=I208,"Starter",IF(G208&gt;=LARGE(G:G,FlexOn*LeagueInfo!$F$2),"Starter","Bench"))</f>
        <v>Bench</v>
      </c>
      <c r="G208" s="1">
        <f ca="1">IF(H208&gt;I208,D208,0)</f>
        <v>48.370000000000005</v>
      </c>
      <c r="H208" s="1">
        <f ca="1">INDEX(INDIRECT(""&amp;C208&amp;"!A2:A489"),MATCH(B208,INDIRECT(""&amp;C208&amp;"!B2:B489"),0))</f>
        <v>70</v>
      </c>
      <c r="I208" s="1">
        <f>IF(C208="RB",LeagueInfo!$D$4*LeagueInfo!$F$2,IF(C208="WR",LeagueInfo!$D$5*LeagueInfo!$F$2,IF(C208="TE",LeagueInfo!$D$6*LeagueInfo!$F$2)))</f>
        <v>24</v>
      </c>
    </row>
    <row r="209" spans="1:9" x14ac:dyDescent="0.25">
      <c r="A209" s="47">
        <f ca="1">RANK(E209,E$2:E$574)</f>
        <v>199</v>
      </c>
      <c r="B209" s="1" t="s">
        <v>450</v>
      </c>
      <c r="C209" s="1" t="s">
        <v>32</v>
      </c>
      <c r="D209" s="1">
        <f ca="1">INDEX(INDIRECT($C209&amp;"!O:O"),MATCH($B209,INDIRECT($C209&amp;"!B:B"),0))</f>
        <v>46.65</v>
      </c>
      <c r="E209" s="254">
        <f ca="1">D209-LARGE(D$2:D$467,RBCount+WRCount+TECount)</f>
        <v>-30.190000000000005</v>
      </c>
      <c r="F209" s="1" t="str">
        <f ca="1">IF(H209&lt;=I209,"Starter",IF(G209&gt;=LARGE(G:G,FlexOn*LeagueInfo!$F$2),"Starter","Bench"))</f>
        <v>Bench</v>
      </c>
      <c r="G209" s="1">
        <f ca="1">IF(H209&gt;I209,D209,0)</f>
        <v>46.65</v>
      </c>
      <c r="H209" s="1">
        <f ca="1">INDEX(INDIRECT(""&amp;C209&amp;"!A2:A489"),MATCH(B209,INDIRECT(""&amp;C209&amp;"!B2:B489"),0))</f>
        <v>71</v>
      </c>
      <c r="I209" s="1">
        <f>IF(C209="RB",LeagueInfo!$D$4*LeagueInfo!$F$2,IF(C209="WR",LeagueInfo!$D$5*LeagueInfo!$F$2,IF(C209="TE",LeagueInfo!$D$6*LeagueInfo!$F$2)))</f>
        <v>24</v>
      </c>
    </row>
    <row r="210" spans="1:9" x14ac:dyDescent="0.25">
      <c r="A210" s="47">
        <f ca="1">RANK(E210,E$2:E$574)</f>
        <v>211</v>
      </c>
      <c r="B210" s="1" t="s">
        <v>732</v>
      </c>
      <c r="C210" s="1" t="s">
        <v>47</v>
      </c>
      <c r="D210" s="1">
        <f ca="1">INDEX(INDIRECT($C210&amp;"!O:O"),MATCH($B210,INDIRECT($C210&amp;"!B:B"),0))</f>
        <v>41.18</v>
      </c>
      <c r="E210" s="254">
        <f ca="1">D210-LARGE(D$2:D$467,RBCount+WRCount+TECount)</f>
        <v>-35.660000000000004</v>
      </c>
      <c r="F210" s="1" t="str">
        <f ca="1">IF(H210&lt;=I210,"Starter",IF(G210&gt;=LARGE(G:G,FlexOn*LeagueInfo!$F$2),"Starter","Bench"))</f>
        <v>Bench</v>
      </c>
      <c r="G210" s="1">
        <f ca="1">IF(H210&gt;I210,D210,0)</f>
        <v>41.18</v>
      </c>
      <c r="H210" s="1">
        <f ca="1">INDEX(INDIRECT(""&amp;C210&amp;"!A2:A489"),MATCH(B210,INDIRECT(""&amp;C210&amp;"!B2:B489"),0))</f>
        <v>36</v>
      </c>
      <c r="I210" s="1">
        <f>IF(C210="RB",LeagueInfo!$D$4*LeagueInfo!$F$2,IF(C210="WR",LeagueInfo!$D$5*LeagueInfo!$F$2,IF(C210="TE",LeagueInfo!$D$6*LeagueInfo!$F$2)))</f>
        <v>12</v>
      </c>
    </row>
    <row r="211" spans="1:9" x14ac:dyDescent="0.25">
      <c r="A211" s="47">
        <f ca="1">RANK(E211,E$2:E$574)</f>
        <v>209</v>
      </c>
      <c r="B211" s="1" t="s">
        <v>597</v>
      </c>
      <c r="C211" s="1" t="s">
        <v>39</v>
      </c>
      <c r="D211" s="1">
        <f ca="1">INDEX(INDIRECT($C211&amp;"!O:O"),MATCH($B211,INDIRECT($C211&amp;"!B:B"),0))</f>
        <v>42.110000000000007</v>
      </c>
      <c r="E211" s="254">
        <f ca="1">D211-LARGE(D$2:D$467,RBCount+WRCount+TECount)</f>
        <v>-34.729999999999997</v>
      </c>
      <c r="F211" s="1" t="str">
        <f ca="1">IF(H211&lt;=I211,"Starter",IF(G211&gt;=LARGE(G:G,FlexOn*LeagueInfo!$F$2),"Starter","Bench"))</f>
        <v>Bench</v>
      </c>
      <c r="G211" s="1">
        <f ca="1">IF(H211&gt;I211,D211,0)</f>
        <v>42.110000000000007</v>
      </c>
      <c r="H211" s="1">
        <f ca="1">INDEX(INDIRECT(""&amp;C211&amp;"!A2:A489"),MATCH(B211,INDIRECT(""&amp;C211&amp;"!B2:B489"),0))</f>
        <v>102</v>
      </c>
      <c r="I211" s="1">
        <f>IF(C211="RB",LeagueInfo!$D$4*LeagueInfo!$F$2,IF(C211="WR",LeagueInfo!$D$5*LeagueInfo!$F$2,IF(C211="TE",LeagueInfo!$D$6*LeagueInfo!$F$2)))</f>
        <v>24</v>
      </c>
    </row>
    <row r="212" spans="1:9" x14ac:dyDescent="0.25">
      <c r="A212" s="47">
        <f ca="1">RANK(E212,E$2:E$574)</f>
        <v>215</v>
      </c>
      <c r="B212" s="1" t="s">
        <v>423</v>
      </c>
      <c r="C212" s="1" t="s">
        <v>47</v>
      </c>
      <c r="D212" s="1">
        <f ca="1">INDEX(INDIRECT($C212&amp;"!O:O"),MATCH($B212,INDIRECT($C212&amp;"!B:B"),0))</f>
        <v>38.89</v>
      </c>
      <c r="E212" s="254">
        <f ca="1">D212-LARGE(D$2:D$467,RBCount+WRCount+TECount)</f>
        <v>-37.950000000000003</v>
      </c>
      <c r="F212" s="1" t="str">
        <f ca="1">IF(H212&lt;=I212,"Starter",IF(G212&gt;=LARGE(G:G,FlexOn*LeagueInfo!$F$2),"Starter","Bench"))</f>
        <v>Bench</v>
      </c>
      <c r="G212" s="1">
        <f ca="1">IF(H212&gt;I212,D212,0)</f>
        <v>38.89</v>
      </c>
      <c r="H212" s="1">
        <f ca="1">INDEX(INDIRECT(""&amp;C212&amp;"!A2:A489"),MATCH(B212,INDIRECT(""&amp;C212&amp;"!B2:B489"),0))</f>
        <v>37</v>
      </c>
      <c r="I212" s="1">
        <f>IF(C212="RB",LeagueInfo!$D$4*LeagueInfo!$F$2,IF(C212="WR",LeagueInfo!$D$5*LeagueInfo!$F$2,IF(C212="TE",LeagueInfo!$D$6*LeagueInfo!$F$2)))</f>
        <v>12</v>
      </c>
    </row>
    <row r="213" spans="1:9" x14ac:dyDescent="0.25">
      <c r="A213" s="47">
        <f ca="1">RANK(E213,E$2:E$574)</f>
        <v>216</v>
      </c>
      <c r="B213" s="1" t="s">
        <v>582</v>
      </c>
      <c r="C213" s="1" t="s">
        <v>39</v>
      </c>
      <c r="D213" s="1">
        <f ca="1">INDEX(INDIRECT($C213&amp;"!O:O"),MATCH($B213,INDIRECT($C213&amp;"!B:B"),0))</f>
        <v>38.85</v>
      </c>
      <c r="E213" s="254">
        <f ca="1">D213-LARGE(D$2:D$467,RBCount+WRCount+TECount)</f>
        <v>-37.99</v>
      </c>
      <c r="F213" s="1" t="str">
        <f ca="1">IF(H213&lt;=I213,"Starter",IF(G213&gt;=LARGE(G:G,FlexOn*LeagueInfo!$F$2),"Starter","Bench"))</f>
        <v>Bench</v>
      </c>
      <c r="G213" s="1">
        <f ca="1">IF(H213&gt;I213,D213,0)</f>
        <v>38.85</v>
      </c>
      <c r="H213" s="1">
        <f ca="1">INDEX(INDIRECT(""&amp;C213&amp;"!A2:A489"),MATCH(B213,INDIRECT(""&amp;C213&amp;"!B2:B489"),0))</f>
        <v>104</v>
      </c>
      <c r="I213" s="1">
        <f>IF(C213="RB",LeagueInfo!$D$4*LeagueInfo!$F$2,IF(C213="WR",LeagueInfo!$D$5*LeagueInfo!$F$2,IF(C213="TE",LeagueInfo!$D$6*LeagueInfo!$F$2)))</f>
        <v>24</v>
      </c>
    </row>
    <row r="214" spans="1:9" x14ac:dyDescent="0.25">
      <c r="A214" s="47">
        <f ca="1">RANK(E214,E$2:E$574)</f>
        <v>219</v>
      </c>
      <c r="B214" s="1" t="s">
        <v>457</v>
      </c>
      <c r="C214" s="1" t="s">
        <v>32</v>
      </c>
      <c r="D214" s="1">
        <f ca="1">INDEX(INDIRECT($C214&amp;"!O:O"),MATCH($B214,INDIRECT($C214&amp;"!B:B"),0))</f>
        <v>37.6</v>
      </c>
      <c r="E214" s="254">
        <f ca="1">D214-LARGE(D$2:D$467,RBCount+WRCount+TECount)</f>
        <v>-39.24</v>
      </c>
      <c r="F214" s="1" t="str">
        <f ca="1">IF(H214&lt;=I214,"Starter",IF(G214&gt;=LARGE(G:G,FlexOn*LeagueInfo!$F$2),"Starter","Bench"))</f>
        <v>Bench</v>
      </c>
      <c r="G214" s="1">
        <f ca="1">IF(H214&gt;I214,D214,0)</f>
        <v>37.6</v>
      </c>
      <c r="H214" s="1">
        <f ca="1">INDEX(INDIRECT(""&amp;C214&amp;"!A2:A489"),MATCH(B214,INDIRECT(""&amp;C214&amp;"!B2:B489"),0))</f>
        <v>77</v>
      </c>
      <c r="I214" s="1">
        <f>IF(C214="RB",LeagueInfo!$D$4*LeagueInfo!$F$2,IF(C214="WR",LeagueInfo!$D$5*LeagueInfo!$F$2,IF(C214="TE",LeagueInfo!$D$6*LeagueInfo!$F$2)))</f>
        <v>24</v>
      </c>
    </row>
    <row r="215" spans="1:9" x14ac:dyDescent="0.25">
      <c r="A215" s="47">
        <f ca="1">RANK(E215,E$2:E$574)</f>
        <v>217</v>
      </c>
      <c r="B215" s="1" t="s">
        <v>591</v>
      </c>
      <c r="C215" s="1" t="s">
        <v>39</v>
      </c>
      <c r="D215" s="1">
        <f ca="1">INDEX(INDIRECT($C215&amp;"!O:O"),MATCH($B215,INDIRECT($C215&amp;"!B:B"),0))</f>
        <v>38.39</v>
      </c>
      <c r="E215" s="254">
        <f ca="1">D215-LARGE(D$2:D$467,RBCount+WRCount+TECount)</f>
        <v>-38.450000000000003</v>
      </c>
      <c r="F215" s="1" t="str">
        <f ca="1">IF(H215&lt;=I215,"Starter",IF(G215&gt;=LARGE(G:G,FlexOn*LeagueInfo!$F$2),"Starter","Bench"))</f>
        <v>Bench</v>
      </c>
      <c r="G215" s="1">
        <f ca="1">IF(H215&gt;I215,D215,0)</f>
        <v>38.39</v>
      </c>
      <c r="H215" s="1">
        <f ca="1">INDEX(INDIRECT(""&amp;C215&amp;"!A2:A489"),MATCH(B215,INDIRECT(""&amp;C215&amp;"!B2:B489"),0))</f>
        <v>105</v>
      </c>
      <c r="I215" s="1">
        <f>IF(C215="RB",LeagueInfo!$D$4*LeagueInfo!$F$2,IF(C215="WR",LeagueInfo!$D$5*LeagueInfo!$F$2,IF(C215="TE",LeagueInfo!$D$6*LeagueInfo!$F$2)))</f>
        <v>24</v>
      </c>
    </row>
    <row r="216" spans="1:9" x14ac:dyDescent="0.25">
      <c r="A216" s="47">
        <f ca="1">RANK(E216,E$2:E$574)</f>
        <v>214</v>
      </c>
      <c r="B216" s="1" t="s">
        <v>586</v>
      </c>
      <c r="C216" s="1" t="s">
        <v>39</v>
      </c>
      <c r="D216" s="1">
        <f ca="1">INDEX(INDIRECT($C216&amp;"!O:O"),MATCH($B216,INDIRECT($C216&amp;"!B:B"),0))</f>
        <v>38.940000000000005</v>
      </c>
      <c r="E216" s="254">
        <f ca="1">D216-LARGE(D$2:D$467,RBCount+WRCount+TECount)</f>
        <v>-37.9</v>
      </c>
      <c r="F216" s="1" t="str">
        <f ca="1">IF(H216&lt;=I216,"Starter",IF(G216&gt;=LARGE(G:G,FlexOn*LeagueInfo!$F$2),"Starter","Bench"))</f>
        <v>Bench</v>
      </c>
      <c r="G216" s="1">
        <f ca="1">IF(H216&gt;I216,D216,0)</f>
        <v>38.940000000000005</v>
      </c>
      <c r="H216" s="1">
        <f ca="1">INDEX(INDIRECT(""&amp;C216&amp;"!A2:A489"),MATCH(B216,INDIRECT(""&amp;C216&amp;"!B2:B489"),0))</f>
        <v>103</v>
      </c>
      <c r="I216" s="1">
        <f>IF(C216="RB",LeagueInfo!$D$4*LeagueInfo!$F$2,IF(C216="WR",LeagueInfo!$D$5*LeagueInfo!$F$2,IF(C216="TE",LeagueInfo!$D$6*LeagueInfo!$F$2)))</f>
        <v>24</v>
      </c>
    </row>
    <row r="217" spans="1:9" x14ac:dyDescent="0.25">
      <c r="A217" s="47">
        <f ca="1">RANK(E217,E$2:E$574)</f>
        <v>222</v>
      </c>
      <c r="B217" s="1" t="s">
        <v>724</v>
      </c>
      <c r="C217" s="1" t="s">
        <v>47</v>
      </c>
      <c r="D217" s="1">
        <f ca="1">INDEX(INDIRECT($C217&amp;"!O:O"),MATCH($B217,INDIRECT($C217&amp;"!B:B"),0))</f>
        <v>36.07</v>
      </c>
      <c r="E217" s="254">
        <f ca="1">D217-LARGE(D$2:D$467,RBCount+WRCount+TECount)</f>
        <v>-40.770000000000003</v>
      </c>
      <c r="F217" s="1" t="str">
        <f ca="1">IF(H217&lt;=I217,"Starter",IF(G217&gt;=LARGE(G:G,FlexOn*LeagueInfo!$F$2),"Starter","Bench"))</f>
        <v>Bench</v>
      </c>
      <c r="G217" s="1">
        <f ca="1">IF(H217&gt;I217,D217,0)</f>
        <v>36.07</v>
      </c>
      <c r="H217" s="1">
        <f ca="1">INDEX(INDIRECT(""&amp;C217&amp;"!A2:A489"),MATCH(B217,INDIRECT(""&amp;C217&amp;"!B2:B489"),0))</f>
        <v>38</v>
      </c>
      <c r="I217" s="1">
        <f>IF(C217="RB",LeagueInfo!$D$4*LeagueInfo!$F$2,IF(C217="WR",LeagueInfo!$D$5*LeagueInfo!$F$2,IF(C217="TE",LeagueInfo!$D$6*LeagueInfo!$F$2)))</f>
        <v>12</v>
      </c>
    </row>
    <row r="218" spans="1:9" x14ac:dyDescent="0.25">
      <c r="A218" s="47">
        <f ca="1">RANK(E218,E$2:E$574)</f>
        <v>221</v>
      </c>
      <c r="B218" s="1" t="s">
        <v>598</v>
      </c>
      <c r="C218" s="1" t="s">
        <v>39</v>
      </c>
      <c r="D218" s="1">
        <f ca="1">INDEX(INDIRECT($C218&amp;"!O:O"),MATCH($B218,INDIRECT($C218&amp;"!B:B"),0))</f>
        <v>36.6</v>
      </c>
      <c r="E218" s="254">
        <f ca="1">D218-LARGE(D$2:D$467,RBCount+WRCount+TECount)</f>
        <v>-40.24</v>
      </c>
      <c r="F218" s="1" t="str">
        <f ca="1">IF(H218&lt;=I218,"Starter",IF(G218&gt;=LARGE(G:G,FlexOn*LeagueInfo!$F$2),"Starter","Bench"))</f>
        <v>Bench</v>
      </c>
      <c r="G218" s="1">
        <f ca="1">IF(H218&gt;I218,D218,0)</f>
        <v>36.6</v>
      </c>
      <c r="H218" s="1">
        <f ca="1">INDEX(INDIRECT(""&amp;C218&amp;"!A2:A489"),MATCH(B218,INDIRECT(""&amp;C218&amp;"!B2:B489"),0))</f>
        <v>106</v>
      </c>
      <c r="I218" s="1">
        <f>IF(C218="RB",LeagueInfo!$D$4*LeagueInfo!$F$2,IF(C218="WR",LeagueInfo!$D$5*LeagueInfo!$F$2,IF(C218="TE",LeagueInfo!$D$6*LeagueInfo!$F$2)))</f>
        <v>24</v>
      </c>
    </row>
    <row r="219" spans="1:9" x14ac:dyDescent="0.25">
      <c r="A219" s="47">
        <f ca="1">RANK(E219,E$2:E$574)</f>
        <v>229</v>
      </c>
      <c r="B219" s="1" t="s">
        <v>460</v>
      </c>
      <c r="C219" s="1" t="s">
        <v>32</v>
      </c>
      <c r="D219" s="1">
        <f ca="1">INDEX(INDIRECT($C219&amp;"!O:O"),MATCH($B219,INDIRECT($C219&amp;"!B:B"),0))</f>
        <v>33.400000000000006</v>
      </c>
      <c r="E219" s="254">
        <f ca="1">D219-LARGE(D$2:D$467,RBCount+WRCount+TECount)</f>
        <v>-43.44</v>
      </c>
      <c r="F219" s="1" t="str">
        <f ca="1">IF(H219&lt;=I219,"Starter",IF(G219&gt;=LARGE(G:G,FlexOn*LeagueInfo!$F$2),"Starter","Bench"))</f>
        <v>Bench</v>
      </c>
      <c r="G219" s="1">
        <f ca="1">IF(H219&gt;I219,D219,0)</f>
        <v>33.400000000000006</v>
      </c>
      <c r="H219" s="1">
        <f ca="1">INDEX(INDIRECT(""&amp;C219&amp;"!A2:A489"),MATCH(B219,INDIRECT(""&amp;C219&amp;"!B2:B489"),0))</f>
        <v>80</v>
      </c>
      <c r="I219" s="1">
        <f>IF(C219="RB",LeagueInfo!$D$4*LeagueInfo!$F$2,IF(C219="WR",LeagueInfo!$D$5*LeagueInfo!$F$2,IF(C219="TE",LeagueInfo!$D$6*LeagueInfo!$F$2)))</f>
        <v>24</v>
      </c>
    </row>
    <row r="220" spans="1:9" x14ac:dyDescent="0.25">
      <c r="A220" s="47">
        <f ca="1">RANK(E220,E$2:E$574)</f>
        <v>210</v>
      </c>
      <c r="B220" s="1" t="s">
        <v>454</v>
      </c>
      <c r="C220" s="1" t="s">
        <v>32</v>
      </c>
      <c r="D220" s="1">
        <f ca="1">INDEX(INDIRECT($C220&amp;"!O:O"),MATCH($B220,INDIRECT($C220&amp;"!B:B"),0))</f>
        <v>42.010000000000005</v>
      </c>
      <c r="E220" s="254">
        <f ca="1">D220-LARGE(D$2:D$467,RBCount+WRCount+TECount)</f>
        <v>-34.83</v>
      </c>
      <c r="F220" s="1" t="str">
        <f ca="1">IF(H220&lt;=I220,"Starter",IF(G220&gt;=LARGE(G:G,FlexOn*LeagueInfo!$F$2),"Starter","Bench"))</f>
        <v>Bench</v>
      </c>
      <c r="G220" s="1">
        <f ca="1">IF(H220&gt;I220,D220,0)</f>
        <v>42.010000000000005</v>
      </c>
      <c r="H220" s="1">
        <f ca="1">INDEX(INDIRECT(""&amp;C220&amp;"!A2:A489"),MATCH(B220,INDIRECT(""&amp;C220&amp;"!B2:B489"),0))</f>
        <v>73</v>
      </c>
      <c r="I220" s="1">
        <f>IF(C220="RB",LeagueInfo!$D$4*LeagueInfo!$F$2,IF(C220="WR",LeagueInfo!$D$5*LeagueInfo!$F$2,IF(C220="TE",LeagueInfo!$D$6*LeagueInfo!$F$2)))</f>
        <v>24</v>
      </c>
    </row>
    <row r="221" spans="1:9" x14ac:dyDescent="0.25">
      <c r="A221" s="47">
        <f ca="1">RANK(E221,E$2:E$574)</f>
        <v>225</v>
      </c>
      <c r="B221" s="1" t="s">
        <v>592</v>
      </c>
      <c r="C221" s="1" t="s">
        <v>39</v>
      </c>
      <c r="D221" s="1">
        <f ca="1">INDEX(INDIRECT($C221&amp;"!O:O"),MATCH($B221,INDIRECT($C221&amp;"!B:B"),0))</f>
        <v>35.050000000000004</v>
      </c>
      <c r="E221" s="254">
        <f ca="1">D221-LARGE(D$2:D$467,RBCount+WRCount+TECount)</f>
        <v>-41.79</v>
      </c>
      <c r="F221" s="1" t="str">
        <f ca="1">IF(H221&lt;=I221,"Starter",IF(G221&gt;=LARGE(G:G,FlexOn*LeagueInfo!$F$2),"Starter","Bench"))</f>
        <v>Bench</v>
      </c>
      <c r="G221" s="1">
        <f ca="1">IF(H221&gt;I221,D221,0)</f>
        <v>35.050000000000004</v>
      </c>
      <c r="H221" s="1">
        <f ca="1">INDEX(INDIRECT(""&amp;C221&amp;"!A2:A489"),MATCH(B221,INDIRECT(""&amp;C221&amp;"!B2:B489"),0))</f>
        <v>108</v>
      </c>
      <c r="I221" s="1">
        <f>IF(C221="RB",LeagueInfo!$D$4*LeagueInfo!$F$2,IF(C221="WR",LeagueInfo!$D$5*LeagueInfo!$F$2,IF(C221="TE",LeagueInfo!$D$6*LeagueInfo!$F$2)))</f>
        <v>24</v>
      </c>
    </row>
    <row r="222" spans="1:9" x14ac:dyDescent="0.25">
      <c r="A222" s="47">
        <f ca="1">RANK(E222,E$2:E$574)</f>
        <v>226</v>
      </c>
      <c r="B222" s="1" t="s">
        <v>599</v>
      </c>
      <c r="C222" s="1" t="s">
        <v>39</v>
      </c>
      <c r="D222" s="1">
        <f ca="1">INDEX(INDIRECT($C222&amp;"!O:O"),MATCH($B222,INDIRECT($C222&amp;"!B:B"),0))</f>
        <v>34.78</v>
      </c>
      <c r="E222" s="254">
        <f ca="1">D222-LARGE(D$2:D$467,RBCount+WRCount+TECount)</f>
        <v>-42.06</v>
      </c>
      <c r="F222" s="1" t="str">
        <f ca="1">IF(H222&lt;=I222,"Starter",IF(G222&gt;=LARGE(G:G,FlexOn*LeagueInfo!$F$2),"Starter","Bench"))</f>
        <v>Bench</v>
      </c>
      <c r="G222" s="1">
        <f ca="1">IF(H222&gt;I222,D222,0)</f>
        <v>34.78</v>
      </c>
      <c r="H222" s="1">
        <f ca="1">INDEX(INDIRECT(""&amp;C222&amp;"!A2:A489"),MATCH(B222,INDIRECT(""&amp;C222&amp;"!B2:B489"),0))</f>
        <v>109</v>
      </c>
      <c r="I222" s="1">
        <f>IF(C222="RB",LeagueInfo!$D$4*LeagueInfo!$F$2,IF(C222="WR",LeagueInfo!$D$5*LeagueInfo!$F$2,IF(C222="TE",LeagueInfo!$D$6*LeagueInfo!$F$2)))</f>
        <v>24</v>
      </c>
    </row>
    <row r="223" spans="1:9" x14ac:dyDescent="0.25">
      <c r="A223" s="47">
        <f ca="1">RANK(E223,E$2:E$574)</f>
        <v>224</v>
      </c>
      <c r="B223" s="1" t="s">
        <v>602</v>
      </c>
      <c r="C223" s="1" t="s">
        <v>39</v>
      </c>
      <c r="D223" s="1">
        <f ca="1">INDEX(INDIRECT($C223&amp;"!O:O"),MATCH($B223,INDIRECT($C223&amp;"!B:B"),0))</f>
        <v>35.479999999999997</v>
      </c>
      <c r="E223" s="254">
        <f ca="1">D223-LARGE(D$2:D$467,RBCount+WRCount+TECount)</f>
        <v>-41.360000000000007</v>
      </c>
      <c r="F223" s="1" t="str">
        <f ca="1">IF(H223&lt;=I223,"Starter",IF(G223&gt;=LARGE(G:G,FlexOn*LeagueInfo!$F$2),"Starter","Bench"))</f>
        <v>Bench</v>
      </c>
      <c r="G223" s="1">
        <f ca="1">IF(H223&gt;I223,D223,0)</f>
        <v>35.479999999999997</v>
      </c>
      <c r="H223" s="1">
        <f ca="1">INDEX(INDIRECT(""&amp;C223&amp;"!A2:A489"),MATCH(B223,INDIRECT(""&amp;C223&amp;"!B2:B489"),0))</f>
        <v>107</v>
      </c>
      <c r="I223" s="1">
        <f>IF(C223="RB",LeagueInfo!$D$4*LeagueInfo!$F$2,IF(C223="WR",LeagueInfo!$D$5*LeagueInfo!$F$2,IF(C223="TE",LeagueInfo!$D$6*LeagueInfo!$F$2)))</f>
        <v>24</v>
      </c>
    </row>
    <row r="224" spans="1:9" x14ac:dyDescent="0.25">
      <c r="A224" s="47">
        <f ca="1">RANK(E224,E$2:E$574)</f>
        <v>239</v>
      </c>
      <c r="B224" s="1" t="s">
        <v>461</v>
      </c>
      <c r="C224" s="1" t="s">
        <v>39</v>
      </c>
      <c r="D224" s="1">
        <f ca="1">INDEX(INDIRECT($C224&amp;"!O:O"),MATCH($B224,INDIRECT($C224&amp;"!B:B"),0))</f>
        <v>32.25</v>
      </c>
      <c r="E224" s="254">
        <f ca="1">D224-LARGE(D$2:D$467,RBCount+WRCount+TECount)</f>
        <v>-44.59</v>
      </c>
      <c r="F224" s="1" t="str">
        <f ca="1">IF(H224&lt;=I224,"Starter",IF(G224&gt;=LARGE(G:G,FlexOn*LeagueInfo!$F$2),"Starter","Bench"))</f>
        <v>Bench</v>
      </c>
      <c r="G224" s="1">
        <f ca="1">IF(H224&gt;I224,D224,0)</f>
        <v>32.25</v>
      </c>
      <c r="H224" s="1">
        <f ca="1">INDEX(INDIRECT(""&amp;C224&amp;"!A2:A489"),MATCH(B224,INDIRECT(""&amp;C224&amp;"!B2:B489"),0))</f>
        <v>113</v>
      </c>
      <c r="I224" s="1">
        <f>IF(C224="RB",LeagueInfo!$D$4*LeagueInfo!$F$2,IF(C224="WR",LeagueInfo!$D$5*LeagueInfo!$F$2,IF(C224="TE",LeagueInfo!$D$6*LeagueInfo!$F$2)))</f>
        <v>24</v>
      </c>
    </row>
    <row r="225" spans="1:9" x14ac:dyDescent="0.25">
      <c r="A225" s="47">
        <f ca="1">RANK(E225,E$2:E$574)</f>
        <v>218</v>
      </c>
      <c r="B225" s="1" t="s">
        <v>456</v>
      </c>
      <c r="C225" s="1" t="s">
        <v>32</v>
      </c>
      <c r="D225" s="1">
        <f ca="1">INDEX(INDIRECT($C225&amp;"!O:O"),MATCH($B225,INDIRECT($C225&amp;"!B:B"),0))</f>
        <v>37.840000000000003</v>
      </c>
      <c r="E225" s="254">
        <f ca="1">D225-LARGE(D$2:D$467,RBCount+WRCount+TECount)</f>
        <v>-39</v>
      </c>
      <c r="F225" s="1" t="str">
        <f ca="1">IF(H225&lt;=I225,"Starter",IF(G225&gt;=LARGE(G:G,FlexOn*LeagueInfo!$F$2),"Starter","Bench"))</f>
        <v>Bench</v>
      </c>
      <c r="G225" s="1">
        <f ca="1">IF(H225&gt;I225,D225,0)</f>
        <v>37.840000000000003</v>
      </c>
      <c r="H225" s="1">
        <f ca="1">INDEX(INDIRECT(""&amp;C225&amp;"!A2:A489"),MATCH(B225,INDIRECT(""&amp;C225&amp;"!B2:B489"),0))</f>
        <v>76</v>
      </c>
      <c r="I225" s="1">
        <f>IF(C225="RB",LeagueInfo!$D$4*LeagueInfo!$F$2,IF(C225="WR",LeagueInfo!$D$5*LeagueInfo!$F$2,IF(C225="TE",LeagueInfo!$D$6*LeagueInfo!$F$2)))</f>
        <v>24</v>
      </c>
    </row>
    <row r="226" spans="1:9" x14ac:dyDescent="0.25">
      <c r="A226" s="47">
        <f ca="1">RANK(E226,E$2:E$574)</f>
        <v>234</v>
      </c>
      <c r="B226" s="1" t="s">
        <v>723</v>
      </c>
      <c r="C226" s="1" t="s">
        <v>47</v>
      </c>
      <c r="D226" s="1">
        <f ca="1">INDEX(INDIRECT($C226&amp;"!O:O"),MATCH($B226,INDIRECT($C226&amp;"!B:B"),0))</f>
        <v>32.92</v>
      </c>
      <c r="E226" s="254">
        <f ca="1">D226-LARGE(D$2:D$467,RBCount+WRCount+TECount)</f>
        <v>-43.92</v>
      </c>
      <c r="F226" s="1" t="str">
        <f ca="1">IF(H226&lt;=I226,"Starter",IF(G226&gt;=LARGE(G:G,FlexOn*LeagueInfo!$F$2),"Starter","Bench"))</f>
        <v>Bench</v>
      </c>
      <c r="G226" s="1">
        <f ca="1">IF(H226&gt;I226,D226,0)</f>
        <v>32.92</v>
      </c>
      <c r="H226" s="1">
        <f ca="1">INDEX(INDIRECT(""&amp;C226&amp;"!A2:A489"),MATCH(B226,INDIRECT(""&amp;C226&amp;"!B2:B489"),0))</f>
        <v>41</v>
      </c>
      <c r="I226" s="1">
        <f>IF(C226="RB",LeagueInfo!$D$4*LeagueInfo!$F$2,IF(C226="WR",LeagueInfo!$D$5*LeagueInfo!$F$2,IF(C226="TE",LeagueInfo!$D$6*LeagueInfo!$F$2)))</f>
        <v>12</v>
      </c>
    </row>
    <row r="227" spans="1:9" x14ac:dyDescent="0.25">
      <c r="A227" s="47">
        <f ca="1">RANK(E227,E$2:E$574)</f>
        <v>240</v>
      </c>
      <c r="B227" s="1" t="s">
        <v>740</v>
      </c>
      <c r="C227" s="1" t="s">
        <v>47</v>
      </c>
      <c r="D227" s="1">
        <f ca="1">INDEX(INDIRECT($C227&amp;"!O:O"),MATCH($B227,INDIRECT($C227&amp;"!B:B"),0))</f>
        <v>32.1</v>
      </c>
      <c r="E227" s="254">
        <f ca="1">D227-LARGE(D$2:D$467,RBCount+WRCount+TECount)</f>
        <v>-44.74</v>
      </c>
      <c r="F227" s="1" t="str">
        <f ca="1">IF(H227&lt;=I227,"Starter",IF(G227&gt;=LARGE(G:G,FlexOn*LeagueInfo!$F$2),"Starter","Bench"))</f>
        <v>Bench</v>
      </c>
      <c r="G227" s="1">
        <f ca="1">IF(H227&gt;I227,D227,0)</f>
        <v>32.1</v>
      </c>
      <c r="H227" s="1">
        <f ca="1">INDEX(INDIRECT(""&amp;C227&amp;"!A2:A489"),MATCH(B227,INDIRECT(""&amp;C227&amp;"!B2:B489"),0))</f>
        <v>43</v>
      </c>
      <c r="I227" s="1">
        <f>IF(C227="RB",LeagueInfo!$D$4*LeagueInfo!$F$2,IF(C227="WR",LeagueInfo!$D$5*LeagueInfo!$F$2,IF(C227="TE",LeagueInfo!$D$6*LeagueInfo!$F$2)))</f>
        <v>12</v>
      </c>
    </row>
    <row r="228" spans="1:9" x14ac:dyDescent="0.25">
      <c r="A228" s="47">
        <f ca="1">RANK(E228,E$2:E$574)</f>
        <v>230</v>
      </c>
      <c r="B228" s="1" t="s">
        <v>729</v>
      </c>
      <c r="C228" s="1" t="s">
        <v>47</v>
      </c>
      <c r="D228" s="1">
        <f ca="1">INDEX(INDIRECT($C228&amp;"!O:O"),MATCH($B228,INDIRECT($C228&amp;"!B:B"),0))</f>
        <v>33.22</v>
      </c>
      <c r="E228" s="254">
        <f ca="1">D228-LARGE(D$2:D$467,RBCount+WRCount+TECount)</f>
        <v>-43.620000000000005</v>
      </c>
      <c r="F228" s="1" t="str">
        <f ca="1">IF(H228&lt;=I228,"Starter",IF(G228&gt;=LARGE(G:G,FlexOn*LeagueInfo!$F$2),"Starter","Bench"))</f>
        <v>Bench</v>
      </c>
      <c r="G228" s="1">
        <f ca="1">IF(H228&gt;I228,D228,0)</f>
        <v>33.22</v>
      </c>
      <c r="H228" s="1">
        <f ca="1">INDEX(INDIRECT(""&amp;C228&amp;"!A2:A489"),MATCH(B228,INDIRECT(""&amp;C228&amp;"!B2:B489"),0))</f>
        <v>39</v>
      </c>
      <c r="I228" s="1">
        <f>IF(C228="RB",LeagueInfo!$D$4*LeagueInfo!$F$2,IF(C228="WR",LeagueInfo!$D$5*LeagueInfo!$F$2,IF(C228="TE",LeagueInfo!$D$6*LeagueInfo!$F$2)))</f>
        <v>12</v>
      </c>
    </row>
    <row r="229" spans="1:9" x14ac:dyDescent="0.25">
      <c r="A229" s="47">
        <f ca="1">RANK(E229,E$2:E$574)</f>
        <v>213</v>
      </c>
      <c r="B229" s="1" t="s">
        <v>191</v>
      </c>
      <c r="C229" s="1" t="s">
        <v>32</v>
      </c>
      <c r="D229" s="1">
        <f ca="1">INDEX(INDIRECT($C229&amp;"!O:O"),MATCH($B229,INDIRECT($C229&amp;"!B:B"),0))</f>
        <v>39.15</v>
      </c>
      <c r="E229" s="254">
        <f ca="1">D229-LARGE(D$2:D$467,RBCount+WRCount+TECount)</f>
        <v>-37.690000000000005</v>
      </c>
      <c r="F229" s="1" t="str">
        <f ca="1">IF(H229&lt;=I229,"Starter",IF(G229&gt;=LARGE(G:G,FlexOn*LeagueInfo!$F$2),"Starter","Bench"))</f>
        <v>Bench</v>
      </c>
      <c r="G229" s="1">
        <f ca="1">IF(H229&gt;I229,D229,0)</f>
        <v>39.15</v>
      </c>
      <c r="H229" s="1">
        <f ca="1">INDEX(INDIRECT(""&amp;C229&amp;"!A2:A489"),MATCH(B229,INDIRECT(""&amp;C229&amp;"!B2:B489"),0))</f>
        <v>75</v>
      </c>
      <c r="I229" s="1">
        <f>IF(C229="RB",LeagueInfo!$D$4*LeagueInfo!$F$2,IF(C229="WR",LeagueInfo!$D$5*LeagueInfo!$F$2,IF(C229="TE",LeagueInfo!$D$6*LeagueInfo!$F$2)))</f>
        <v>24</v>
      </c>
    </row>
    <row r="230" spans="1:9" x14ac:dyDescent="0.25">
      <c r="A230" s="47">
        <f ca="1">RANK(E230,E$2:E$574)</f>
        <v>241</v>
      </c>
      <c r="B230" s="1" t="s">
        <v>735</v>
      </c>
      <c r="C230" s="1" t="s">
        <v>47</v>
      </c>
      <c r="D230" s="1">
        <f ca="1">INDEX(INDIRECT($C230&amp;"!O:O"),MATCH($B230,INDIRECT($C230&amp;"!B:B"),0))</f>
        <v>32.020000000000003</v>
      </c>
      <c r="E230" s="254">
        <f ca="1">D230-LARGE(D$2:D$467,RBCount+WRCount+TECount)</f>
        <v>-44.82</v>
      </c>
      <c r="F230" s="1" t="str">
        <f ca="1">IF(H230&lt;=I230,"Starter",IF(G230&gt;=LARGE(G:G,FlexOn*LeagueInfo!$F$2),"Starter","Bench"))</f>
        <v>Bench</v>
      </c>
      <c r="G230" s="1">
        <f ca="1">IF(H230&gt;I230,D230,0)</f>
        <v>32.020000000000003</v>
      </c>
      <c r="H230" s="1">
        <f ca="1">INDEX(INDIRECT(""&amp;C230&amp;"!A2:A489"),MATCH(B230,INDIRECT(""&amp;C230&amp;"!B2:B489"),0))</f>
        <v>44</v>
      </c>
      <c r="I230" s="1">
        <f>IF(C230="RB",LeagueInfo!$D$4*LeagueInfo!$F$2,IF(C230="WR",LeagueInfo!$D$5*LeagueInfo!$F$2,IF(C230="TE",LeagueInfo!$D$6*LeagueInfo!$F$2)))</f>
        <v>12</v>
      </c>
    </row>
    <row r="231" spans="1:9" x14ac:dyDescent="0.25">
      <c r="A231" s="47">
        <f ca="1">RANK(E231,E$2:E$574)</f>
        <v>232</v>
      </c>
      <c r="B231" s="1" t="s">
        <v>730</v>
      </c>
      <c r="C231" s="1" t="s">
        <v>47</v>
      </c>
      <c r="D231" s="1">
        <f ca="1">INDEX(INDIRECT($C231&amp;"!O:O"),MATCH($B231,INDIRECT($C231&amp;"!B:B"),0))</f>
        <v>33</v>
      </c>
      <c r="E231" s="254">
        <f ca="1">D231-LARGE(D$2:D$467,RBCount+WRCount+TECount)</f>
        <v>-43.84</v>
      </c>
      <c r="F231" s="1" t="str">
        <f ca="1">IF(H231&lt;=I231,"Starter",IF(G231&gt;=LARGE(G:G,FlexOn*LeagueInfo!$F$2),"Starter","Bench"))</f>
        <v>Bench</v>
      </c>
      <c r="G231" s="1">
        <f ca="1">IF(H231&gt;I231,D231,0)</f>
        <v>33</v>
      </c>
      <c r="H231" s="1">
        <f ca="1">INDEX(INDIRECT(""&amp;C231&amp;"!A2:A489"),MATCH(B231,INDIRECT(""&amp;C231&amp;"!B2:B489"),0))</f>
        <v>40</v>
      </c>
      <c r="I231" s="1">
        <f>IF(C231="RB",LeagueInfo!$D$4*LeagueInfo!$F$2,IF(C231="WR",LeagueInfo!$D$5*LeagueInfo!$F$2,IF(C231="TE",LeagueInfo!$D$6*LeagueInfo!$F$2)))</f>
        <v>12</v>
      </c>
    </row>
    <row r="232" spans="1:9" x14ac:dyDescent="0.25">
      <c r="A232" s="47">
        <f ca="1">RANK(E232,E$2:E$574)</f>
        <v>235</v>
      </c>
      <c r="B232" s="1" t="s">
        <v>727</v>
      </c>
      <c r="C232" s="1" t="s">
        <v>47</v>
      </c>
      <c r="D232" s="1">
        <f ca="1">INDEX(INDIRECT($C232&amp;"!O:O"),MATCH($B232,INDIRECT($C232&amp;"!B:B"),0))</f>
        <v>32.81</v>
      </c>
      <c r="E232" s="254">
        <f ca="1">D232-LARGE(D$2:D$467,RBCount+WRCount+TECount)</f>
        <v>-44.03</v>
      </c>
      <c r="F232" s="1" t="str">
        <f ca="1">IF(H232&lt;=I232,"Starter",IF(G232&gt;=LARGE(G:G,FlexOn*LeagueInfo!$F$2),"Starter","Bench"))</f>
        <v>Bench</v>
      </c>
      <c r="G232" s="1">
        <f ca="1">IF(H232&gt;I232,D232,0)</f>
        <v>32.81</v>
      </c>
      <c r="H232" s="1">
        <f ca="1">INDEX(INDIRECT(""&amp;C232&amp;"!A2:A489"),MATCH(B232,INDIRECT(""&amp;C232&amp;"!B2:B489"),0))</f>
        <v>42</v>
      </c>
      <c r="I232" s="1">
        <f>IF(C232="RB",LeagueInfo!$D$4*LeagueInfo!$F$2,IF(C232="WR",LeagueInfo!$D$5*LeagueInfo!$F$2,IF(C232="TE",LeagueInfo!$D$6*LeagueInfo!$F$2)))</f>
        <v>12</v>
      </c>
    </row>
    <row r="233" spans="1:9" x14ac:dyDescent="0.25">
      <c r="A233" s="47">
        <f ca="1">RANK(E233,E$2:E$574)</f>
        <v>220</v>
      </c>
      <c r="B233" s="1" t="s">
        <v>453</v>
      </c>
      <c r="C233" s="1" t="s">
        <v>32</v>
      </c>
      <c r="D233" s="1">
        <f ca="1">INDEX(INDIRECT($C233&amp;"!O:O"),MATCH($B233,INDIRECT($C233&amp;"!B:B"),0))</f>
        <v>37.28</v>
      </c>
      <c r="E233" s="254">
        <f ca="1">D233-LARGE(D$2:D$467,RBCount+WRCount+TECount)</f>
        <v>-39.56</v>
      </c>
      <c r="F233" s="1" t="str">
        <f ca="1">IF(H233&lt;=I233,"Starter",IF(G233&gt;=LARGE(G:G,FlexOn*LeagueInfo!$F$2),"Starter","Bench"))</f>
        <v>Bench</v>
      </c>
      <c r="G233" s="1">
        <f ca="1">IF(H233&gt;I233,D233,0)</f>
        <v>37.28</v>
      </c>
      <c r="H233" s="1">
        <f ca="1">INDEX(INDIRECT(""&amp;C233&amp;"!A2:A489"),MATCH(B233,INDIRECT(""&amp;C233&amp;"!B2:B489"),0))</f>
        <v>78</v>
      </c>
      <c r="I233" s="1">
        <f>IF(C233="RB",LeagueInfo!$D$4*LeagueInfo!$F$2,IF(C233="WR",LeagueInfo!$D$5*LeagueInfo!$F$2,IF(C233="TE",LeagueInfo!$D$6*LeagueInfo!$F$2)))</f>
        <v>24</v>
      </c>
    </row>
    <row r="234" spans="1:9" x14ac:dyDescent="0.25">
      <c r="A234" s="47">
        <f ca="1">RANK(E234,E$2:E$574)</f>
        <v>227</v>
      </c>
      <c r="B234" s="1" t="s">
        <v>587</v>
      </c>
      <c r="C234" s="1" t="s">
        <v>39</v>
      </c>
      <c r="D234" s="1">
        <f ca="1">INDEX(INDIRECT($C234&amp;"!O:O"),MATCH($B234,INDIRECT($C234&amp;"!B:B"),0))</f>
        <v>34.550000000000004</v>
      </c>
      <c r="E234" s="254">
        <f ca="1">D234-LARGE(D$2:D$467,RBCount+WRCount+TECount)</f>
        <v>-42.29</v>
      </c>
      <c r="F234" s="1" t="str">
        <f ca="1">IF(H234&lt;=I234,"Starter",IF(G234&gt;=LARGE(G:G,FlexOn*LeagueInfo!$F$2),"Starter","Bench"))</f>
        <v>Bench</v>
      </c>
      <c r="G234" s="1">
        <f ca="1">IF(H234&gt;I234,D234,0)</f>
        <v>34.550000000000004</v>
      </c>
      <c r="H234" s="1">
        <f ca="1">INDEX(INDIRECT(""&amp;C234&amp;"!A2:A489"),MATCH(B234,INDIRECT(""&amp;C234&amp;"!B2:B489"),0))</f>
        <v>110</v>
      </c>
      <c r="I234" s="1">
        <f>IF(C234="RB",LeagueInfo!$D$4*LeagueInfo!$F$2,IF(C234="WR",LeagueInfo!$D$5*LeagueInfo!$F$2,IF(C234="TE",LeagueInfo!$D$6*LeagueInfo!$F$2)))</f>
        <v>24</v>
      </c>
    </row>
    <row r="235" spans="1:9" x14ac:dyDescent="0.25">
      <c r="A235" s="47">
        <f ca="1">RANK(E235,E$2:E$574)</f>
        <v>244</v>
      </c>
      <c r="B235" s="1" t="s">
        <v>725</v>
      </c>
      <c r="C235" s="1" t="s">
        <v>47</v>
      </c>
      <c r="D235" s="1">
        <f ca="1">INDEX(INDIRECT($C235&amp;"!O:O"),MATCH($B235,INDIRECT($C235&amp;"!B:B"),0))</f>
        <v>31.32</v>
      </c>
      <c r="E235" s="254">
        <f ca="1">D235-LARGE(D$2:D$467,RBCount+WRCount+TECount)</f>
        <v>-45.52</v>
      </c>
      <c r="F235" s="1" t="str">
        <f ca="1">IF(H235&lt;=I235,"Starter",IF(G235&gt;=LARGE(G:G,FlexOn*LeagueInfo!$F$2),"Starter","Bench"))</f>
        <v>Bench</v>
      </c>
      <c r="G235" s="1">
        <f ca="1">IF(H235&gt;I235,D235,0)</f>
        <v>31.32</v>
      </c>
      <c r="H235" s="1">
        <f ca="1">INDEX(INDIRECT(""&amp;C235&amp;"!A2:A489"),MATCH(B235,INDIRECT(""&amp;C235&amp;"!B2:B489"),0))</f>
        <v>45</v>
      </c>
      <c r="I235" s="1">
        <f>IF(C235="RB",LeagueInfo!$D$4*LeagueInfo!$F$2,IF(C235="WR",LeagueInfo!$D$5*LeagueInfo!$F$2,IF(C235="TE",LeagueInfo!$D$6*LeagueInfo!$F$2)))</f>
        <v>12</v>
      </c>
    </row>
    <row r="236" spans="1:9" x14ac:dyDescent="0.25">
      <c r="A236" s="47">
        <f ca="1">RANK(E236,E$2:E$574)</f>
        <v>228</v>
      </c>
      <c r="B236" s="1" t="s">
        <v>590</v>
      </c>
      <c r="C236" s="1" t="s">
        <v>39</v>
      </c>
      <c r="D236" s="1">
        <f ca="1">INDEX(INDIRECT($C236&amp;"!O:O"),MATCH($B236,INDIRECT($C236&amp;"!B:B"),0))</f>
        <v>34</v>
      </c>
      <c r="E236" s="254">
        <f ca="1">D236-LARGE(D$2:D$467,RBCount+WRCount+TECount)</f>
        <v>-42.84</v>
      </c>
      <c r="F236" s="1" t="str">
        <f ca="1">IF(H236&lt;=I236,"Starter",IF(G236&gt;=LARGE(G:G,FlexOn*LeagueInfo!$F$2),"Starter","Bench"))</f>
        <v>Bench</v>
      </c>
      <c r="G236" s="1">
        <f ca="1">IF(H236&gt;I236,D236,0)</f>
        <v>34</v>
      </c>
      <c r="H236" s="1">
        <f ca="1">INDEX(INDIRECT(""&amp;C236&amp;"!A2:A489"),MATCH(B236,INDIRECT(""&amp;C236&amp;"!B2:B489"),0))</f>
        <v>111</v>
      </c>
      <c r="I236" s="1">
        <f>IF(C236="RB",LeagueInfo!$D$4*LeagueInfo!$F$2,IF(C236="WR",LeagueInfo!$D$5*LeagueInfo!$F$2,IF(C236="TE",LeagueInfo!$D$6*LeagueInfo!$F$2)))</f>
        <v>24</v>
      </c>
    </row>
    <row r="237" spans="1:9" x14ac:dyDescent="0.25">
      <c r="A237" s="47">
        <f ca="1">RANK(E237,E$2:E$574)</f>
        <v>212</v>
      </c>
      <c r="B237" s="1" t="s">
        <v>475</v>
      </c>
      <c r="C237" s="1" t="s">
        <v>32</v>
      </c>
      <c r="D237" s="1">
        <f ca="1">INDEX(INDIRECT($C237&amp;"!O:O"),MATCH($B237,INDIRECT($C237&amp;"!B:B"),0))</f>
        <v>39.39</v>
      </c>
      <c r="E237" s="254">
        <f ca="1">D237-LARGE(D$2:D$467,RBCount+WRCount+TECount)</f>
        <v>-37.450000000000003</v>
      </c>
      <c r="F237" s="1" t="str">
        <f ca="1">IF(H237&lt;=I237,"Starter",IF(G237&gt;=LARGE(G:G,FlexOn*LeagueInfo!$F$2),"Starter","Bench"))</f>
        <v>Bench</v>
      </c>
      <c r="G237" s="1">
        <f ca="1">IF(H237&gt;I237,D237,0)</f>
        <v>39.39</v>
      </c>
      <c r="H237" s="1">
        <f ca="1">INDEX(INDIRECT(""&amp;C237&amp;"!A2:A489"),MATCH(B237,INDIRECT(""&amp;C237&amp;"!B2:B489"),0))</f>
        <v>74</v>
      </c>
      <c r="I237" s="1">
        <f>IF(C237="RB",LeagueInfo!$D$4*LeagueInfo!$F$2,IF(C237="WR",LeagueInfo!$D$5*LeagueInfo!$F$2,IF(C237="TE",LeagueInfo!$D$6*LeagueInfo!$F$2)))</f>
        <v>24</v>
      </c>
    </row>
    <row r="238" spans="1:9" x14ac:dyDescent="0.25">
      <c r="A238" s="47">
        <f ca="1">RANK(E238,E$2:E$574)</f>
        <v>223</v>
      </c>
      <c r="B238" s="1" t="s">
        <v>462</v>
      </c>
      <c r="C238" s="1" t="s">
        <v>32</v>
      </c>
      <c r="D238" s="1">
        <f ca="1">INDEX(INDIRECT($C238&amp;"!O:O"),MATCH($B238,INDIRECT($C238&amp;"!B:B"),0))</f>
        <v>35.51</v>
      </c>
      <c r="E238" s="254">
        <f ca="1">D238-LARGE(D$2:D$467,RBCount+WRCount+TECount)</f>
        <v>-41.330000000000005</v>
      </c>
      <c r="F238" s="1" t="str">
        <f ca="1">IF(H238&lt;=I238,"Starter",IF(G238&gt;=LARGE(G:G,FlexOn*LeagueInfo!$F$2),"Starter","Bench"))</f>
        <v>Bench</v>
      </c>
      <c r="G238" s="1">
        <f ca="1">IF(H238&gt;I238,D238,0)</f>
        <v>35.51</v>
      </c>
      <c r="H238" s="1">
        <f ca="1">INDEX(INDIRECT(""&amp;C238&amp;"!A2:A489"),MATCH(B238,INDIRECT(""&amp;C238&amp;"!B2:B489"),0))</f>
        <v>79</v>
      </c>
      <c r="I238" s="1">
        <f>IF(C238="RB",LeagueInfo!$D$4*LeagueInfo!$F$2,IF(C238="WR",LeagueInfo!$D$5*LeagueInfo!$F$2,IF(C238="TE",LeagueInfo!$D$6*LeagueInfo!$F$2)))</f>
        <v>24</v>
      </c>
    </row>
    <row r="239" spans="1:9" x14ac:dyDescent="0.25">
      <c r="A239" s="47">
        <f ca="1">RANK(E239,E$2:E$574)</f>
        <v>236</v>
      </c>
      <c r="B239" s="1" t="s">
        <v>593</v>
      </c>
      <c r="C239" s="1" t="s">
        <v>39</v>
      </c>
      <c r="D239" s="1">
        <f ca="1">INDEX(INDIRECT($C239&amp;"!O:O"),MATCH($B239,INDIRECT($C239&amp;"!B:B"),0))</f>
        <v>32.700000000000003</v>
      </c>
      <c r="E239" s="254">
        <f ca="1">D239-LARGE(D$2:D$467,RBCount+WRCount+TECount)</f>
        <v>-44.14</v>
      </c>
      <c r="F239" s="1" t="str">
        <f ca="1">IF(H239&lt;=I239,"Starter",IF(G239&gt;=LARGE(G:G,FlexOn*LeagueInfo!$F$2),"Starter","Bench"))</f>
        <v>Bench</v>
      </c>
      <c r="G239" s="1">
        <f ca="1">IF(H239&gt;I239,D239,0)</f>
        <v>32.700000000000003</v>
      </c>
      <c r="H239" s="1">
        <f ca="1">INDEX(INDIRECT(""&amp;C239&amp;"!A2:A489"),MATCH(B239,INDIRECT(""&amp;C239&amp;"!B2:B489"),0))</f>
        <v>112</v>
      </c>
      <c r="I239" s="1">
        <f>IF(C239="RB",LeagueInfo!$D$4*LeagueInfo!$F$2,IF(C239="WR",LeagueInfo!$D$5*LeagueInfo!$F$2,IF(C239="TE",LeagueInfo!$D$6*LeagueInfo!$F$2)))</f>
        <v>24</v>
      </c>
    </row>
    <row r="240" spans="1:9" x14ac:dyDescent="0.25">
      <c r="A240" s="47">
        <f ca="1">RANK(E240,E$2:E$574)</f>
        <v>252</v>
      </c>
      <c r="B240" s="1" t="s">
        <v>734</v>
      </c>
      <c r="C240" s="1" t="s">
        <v>47</v>
      </c>
      <c r="D240" s="1">
        <f ca="1">INDEX(INDIRECT($C240&amp;"!O:O"),MATCH($B240,INDIRECT($C240&amp;"!B:B"),0))</f>
        <v>29.720000000000002</v>
      </c>
      <c r="E240" s="254">
        <f ca="1">D240-LARGE(D$2:D$467,RBCount+WRCount+TECount)</f>
        <v>-47.120000000000005</v>
      </c>
      <c r="F240" s="1" t="str">
        <f ca="1">IF(H240&lt;=I240,"Starter",IF(G240&gt;=LARGE(G:G,FlexOn*LeagueInfo!$F$2),"Starter","Bench"))</f>
        <v>Bench</v>
      </c>
      <c r="G240" s="1">
        <f ca="1">IF(H240&gt;I240,D240,0)</f>
        <v>29.720000000000002</v>
      </c>
      <c r="H240" s="1">
        <f ca="1">INDEX(INDIRECT(""&amp;C240&amp;"!A2:A489"),MATCH(B240,INDIRECT(""&amp;C240&amp;"!B2:B489"),0))</f>
        <v>48</v>
      </c>
      <c r="I240" s="1">
        <f>IF(C240="RB",LeagueInfo!$D$4*LeagueInfo!$F$2,IF(C240="WR",LeagueInfo!$D$5*LeagueInfo!$F$2,IF(C240="TE",LeagueInfo!$D$6*LeagueInfo!$F$2)))</f>
        <v>12</v>
      </c>
    </row>
    <row r="241" spans="1:9" x14ac:dyDescent="0.25">
      <c r="A241" s="47">
        <f ca="1">RANK(E241,E$2:E$574)</f>
        <v>246</v>
      </c>
      <c r="B241" s="1" t="s">
        <v>736</v>
      </c>
      <c r="C241" s="1" t="s">
        <v>47</v>
      </c>
      <c r="D241" s="1">
        <f ca="1">INDEX(INDIRECT($C241&amp;"!O:O"),MATCH($B241,INDIRECT($C241&amp;"!B:B"),0))</f>
        <v>31.069999999999997</v>
      </c>
      <c r="E241" s="254">
        <f ca="1">D241-LARGE(D$2:D$467,RBCount+WRCount+TECount)</f>
        <v>-45.77000000000001</v>
      </c>
      <c r="F241" s="1" t="str">
        <f ca="1">IF(H241&lt;=I241,"Starter",IF(G241&gt;=LARGE(G:G,FlexOn*LeagueInfo!$F$2),"Starter","Bench"))</f>
        <v>Bench</v>
      </c>
      <c r="G241" s="1">
        <f ca="1">IF(H241&gt;I241,D241,0)</f>
        <v>31.069999999999997</v>
      </c>
      <c r="H241" s="1">
        <f ca="1">INDEX(INDIRECT(""&amp;C241&amp;"!A2:A489"),MATCH(B241,INDIRECT(""&amp;C241&amp;"!B2:B489"),0))</f>
        <v>46</v>
      </c>
      <c r="I241" s="1">
        <f>IF(C241="RB",LeagueInfo!$D$4*LeagueInfo!$F$2,IF(C241="WR",LeagueInfo!$D$5*LeagueInfo!$F$2,IF(C241="TE",LeagueInfo!$D$6*LeagueInfo!$F$2)))</f>
        <v>12</v>
      </c>
    </row>
    <row r="242" spans="1:9" x14ac:dyDescent="0.25">
      <c r="A242" s="47">
        <f ca="1">RANK(E242,E$2:E$574)</f>
        <v>249</v>
      </c>
      <c r="B242" s="1" t="s">
        <v>603</v>
      </c>
      <c r="C242" s="1" t="s">
        <v>39</v>
      </c>
      <c r="D242" s="1">
        <f ca="1">INDEX(INDIRECT($C242&amp;"!O:O"),MATCH($B242,INDIRECT($C242&amp;"!B:B"),0))</f>
        <v>29.990000000000002</v>
      </c>
      <c r="E242" s="254">
        <f ca="1">D242-LARGE(D$2:D$467,RBCount+WRCount+TECount)</f>
        <v>-46.85</v>
      </c>
      <c r="F242" s="1" t="str">
        <f ca="1">IF(H242&lt;=I242,"Starter",IF(G242&gt;=LARGE(G:G,FlexOn*LeagueInfo!$F$2),"Starter","Bench"))</f>
        <v>Bench</v>
      </c>
      <c r="G242" s="1">
        <f ca="1">IF(H242&gt;I242,D242,0)</f>
        <v>29.990000000000002</v>
      </c>
      <c r="H242" s="1">
        <f ca="1">INDEX(INDIRECT(""&amp;C242&amp;"!A2:A489"),MATCH(B242,INDIRECT(""&amp;C242&amp;"!B2:B489"),0))</f>
        <v>117</v>
      </c>
      <c r="I242" s="1">
        <f>IF(C242="RB",LeagueInfo!$D$4*LeagueInfo!$F$2,IF(C242="WR",LeagueInfo!$D$5*LeagueInfo!$F$2,IF(C242="TE",LeagueInfo!$D$6*LeagueInfo!$F$2)))</f>
        <v>24</v>
      </c>
    </row>
    <row r="243" spans="1:9" x14ac:dyDescent="0.25">
      <c r="A243" s="47">
        <f ca="1">RANK(E243,E$2:E$574)</f>
        <v>247</v>
      </c>
      <c r="B243" s="1" t="s">
        <v>604</v>
      </c>
      <c r="C243" s="1" t="s">
        <v>39</v>
      </c>
      <c r="D243" s="1">
        <f ca="1">INDEX(INDIRECT($C243&amp;"!O:O"),MATCH($B243,INDIRECT($C243&amp;"!B:B"),0))</f>
        <v>30.990000000000002</v>
      </c>
      <c r="E243" s="254">
        <f ca="1">D243-LARGE(D$2:D$467,RBCount+WRCount+TECount)</f>
        <v>-45.85</v>
      </c>
      <c r="F243" s="1" t="str">
        <f ca="1">IF(H243&lt;=I243,"Starter",IF(G243&gt;=LARGE(G:G,FlexOn*LeagueInfo!$F$2),"Starter","Bench"))</f>
        <v>Bench</v>
      </c>
      <c r="G243" s="1">
        <f ca="1">IF(H243&gt;I243,D243,0)</f>
        <v>30.990000000000002</v>
      </c>
      <c r="H243" s="1">
        <f ca="1">INDEX(INDIRECT(""&amp;C243&amp;"!A2:A489"),MATCH(B243,INDIRECT(""&amp;C243&amp;"!B2:B489"),0))</f>
        <v>115</v>
      </c>
      <c r="I243" s="1">
        <f>IF(C243="RB",LeagueInfo!$D$4*LeagueInfo!$F$2,IF(C243="WR",LeagueInfo!$D$5*LeagueInfo!$F$2,IF(C243="TE",LeagueInfo!$D$6*LeagueInfo!$F$2)))</f>
        <v>24</v>
      </c>
    </row>
    <row r="244" spans="1:9" x14ac:dyDescent="0.25">
      <c r="A244" s="47">
        <f ca="1">RANK(E244,E$2:E$574)</f>
        <v>251</v>
      </c>
      <c r="B244" s="1" t="s">
        <v>726</v>
      </c>
      <c r="C244" s="1" t="s">
        <v>47</v>
      </c>
      <c r="D244" s="1">
        <f ca="1">INDEX(INDIRECT($C244&amp;"!O:O"),MATCH($B244,INDIRECT($C244&amp;"!B:B"),0))</f>
        <v>29.860000000000003</v>
      </c>
      <c r="E244" s="254">
        <f ca="1">D244-LARGE(D$2:D$467,RBCount+WRCount+TECount)</f>
        <v>-46.980000000000004</v>
      </c>
      <c r="F244" s="1" t="str">
        <f ca="1">IF(H244&lt;=I244,"Starter",IF(G244&gt;=LARGE(G:G,FlexOn*LeagueInfo!$F$2),"Starter","Bench"))</f>
        <v>Bench</v>
      </c>
      <c r="G244" s="1">
        <f ca="1">IF(H244&gt;I244,D244,0)</f>
        <v>29.860000000000003</v>
      </c>
      <c r="H244" s="1">
        <f ca="1">INDEX(INDIRECT(""&amp;C244&amp;"!A2:A489"),MATCH(B244,INDIRECT(""&amp;C244&amp;"!B2:B489"),0))</f>
        <v>47</v>
      </c>
      <c r="I244" s="1">
        <f>IF(C244="RB",LeagueInfo!$D$4*LeagueInfo!$F$2,IF(C244="WR",LeagueInfo!$D$5*LeagueInfo!$F$2,IF(C244="TE",LeagueInfo!$D$6*LeagueInfo!$F$2)))</f>
        <v>12</v>
      </c>
    </row>
    <row r="245" spans="1:9" x14ac:dyDescent="0.25">
      <c r="A245" s="47">
        <f ca="1">RANK(E245,E$2:E$574)</f>
        <v>256</v>
      </c>
      <c r="B245" s="1" t="s">
        <v>738</v>
      </c>
      <c r="C245" s="1" t="s">
        <v>47</v>
      </c>
      <c r="D245" s="1">
        <f ca="1">INDEX(INDIRECT($C245&amp;"!O:O"),MATCH($B245,INDIRECT($C245&amp;"!B:B"),0))</f>
        <v>29.190000000000005</v>
      </c>
      <c r="E245" s="254">
        <f ca="1">D245-LARGE(D$2:D$467,RBCount+WRCount+TECount)</f>
        <v>-47.65</v>
      </c>
      <c r="F245" s="1" t="str">
        <f ca="1">IF(H245&lt;=I245,"Starter",IF(G245&gt;=LARGE(G:G,FlexOn*LeagueInfo!$F$2),"Starter","Bench"))</f>
        <v>Bench</v>
      </c>
      <c r="G245" s="1">
        <f ca="1">IF(H245&gt;I245,D245,0)</f>
        <v>29.190000000000005</v>
      </c>
      <c r="H245" s="1">
        <f ca="1">INDEX(INDIRECT(""&amp;C245&amp;"!A2:A489"),MATCH(B245,INDIRECT(""&amp;C245&amp;"!B2:B489"),0))</f>
        <v>49</v>
      </c>
      <c r="I245" s="1">
        <f>IF(C245="RB",LeagueInfo!$D$4*LeagueInfo!$F$2,IF(C245="WR",LeagueInfo!$D$5*LeagueInfo!$F$2,IF(C245="TE",LeagueInfo!$D$6*LeagueInfo!$F$2)))</f>
        <v>12</v>
      </c>
    </row>
    <row r="246" spans="1:9" x14ac:dyDescent="0.25">
      <c r="A246" s="47">
        <f ca="1">RANK(E246,E$2:E$574)</f>
        <v>243</v>
      </c>
      <c r="B246" s="1" t="s">
        <v>605</v>
      </c>
      <c r="C246" s="1" t="s">
        <v>39</v>
      </c>
      <c r="D246" s="1">
        <f ca="1">INDEX(INDIRECT($C246&amp;"!O:O"),MATCH($B246,INDIRECT($C246&amp;"!B:B"),0))</f>
        <v>31.51</v>
      </c>
      <c r="E246" s="254">
        <f ca="1">D246-LARGE(D$2:D$467,RBCount+WRCount+TECount)</f>
        <v>-45.33</v>
      </c>
      <c r="F246" s="1" t="str">
        <f ca="1">IF(H246&lt;=I246,"Starter",IF(G246&gt;=LARGE(G:G,FlexOn*LeagueInfo!$F$2),"Starter","Bench"))</f>
        <v>Bench</v>
      </c>
      <c r="G246" s="1">
        <f ca="1">IF(H246&gt;I246,D246,0)</f>
        <v>31.51</v>
      </c>
      <c r="H246" s="1">
        <f ca="1">INDEX(INDIRECT(""&amp;C246&amp;"!A2:A489"),MATCH(B246,INDIRECT(""&amp;C246&amp;"!B2:B489"),0))</f>
        <v>114</v>
      </c>
      <c r="I246" s="1">
        <f>IF(C246="RB",LeagueInfo!$D$4*LeagueInfo!$F$2,IF(C246="WR",LeagueInfo!$D$5*LeagueInfo!$F$2,IF(C246="TE",LeagueInfo!$D$6*LeagueInfo!$F$2)))</f>
        <v>24</v>
      </c>
    </row>
    <row r="247" spans="1:9" x14ac:dyDescent="0.25">
      <c r="A247" s="47">
        <f ca="1">RANK(E247,E$2:E$574)</f>
        <v>248</v>
      </c>
      <c r="B247" s="1" t="s">
        <v>594</v>
      </c>
      <c r="C247" s="1" t="s">
        <v>39</v>
      </c>
      <c r="D247" s="1">
        <f ca="1">INDEX(INDIRECT($C247&amp;"!O:O"),MATCH($B247,INDIRECT($C247&amp;"!B:B"),0))</f>
        <v>30.459999999999997</v>
      </c>
      <c r="E247" s="254">
        <f ca="1">D247-LARGE(D$2:D$467,RBCount+WRCount+TECount)</f>
        <v>-46.38000000000001</v>
      </c>
      <c r="F247" s="1" t="str">
        <f ca="1">IF(H247&lt;=I247,"Starter",IF(G247&gt;=LARGE(G:G,FlexOn*LeagueInfo!$F$2),"Starter","Bench"))</f>
        <v>Bench</v>
      </c>
      <c r="G247" s="1">
        <f ca="1">IF(H247&gt;I247,D247,0)</f>
        <v>30.459999999999997</v>
      </c>
      <c r="H247" s="1">
        <f ca="1">INDEX(INDIRECT(""&amp;C247&amp;"!A2:A489"),MATCH(B247,INDIRECT(""&amp;C247&amp;"!B2:B489"),0))</f>
        <v>116</v>
      </c>
      <c r="I247" s="1">
        <f>IF(C247="RB",LeagueInfo!$D$4*LeagueInfo!$F$2,IF(C247="WR",LeagueInfo!$D$5*LeagueInfo!$F$2,IF(C247="TE",LeagueInfo!$D$6*LeagueInfo!$F$2)))</f>
        <v>24</v>
      </c>
    </row>
    <row r="248" spans="1:9" x14ac:dyDescent="0.25">
      <c r="A248" s="47">
        <f ca="1">RANK(E248,E$2:E$574)</f>
        <v>237</v>
      </c>
      <c r="B248" s="1" t="s">
        <v>482</v>
      </c>
      <c r="C248" s="1" t="s">
        <v>32</v>
      </c>
      <c r="D248" s="1">
        <f ca="1">INDEX(INDIRECT($C248&amp;"!O:O"),MATCH($B248,INDIRECT($C248&amp;"!B:B"),0))</f>
        <v>32.620000000000005</v>
      </c>
      <c r="E248" s="254">
        <f ca="1">D248-LARGE(D$2:D$467,RBCount+WRCount+TECount)</f>
        <v>-44.22</v>
      </c>
      <c r="F248" s="1" t="str">
        <f ca="1">IF(H248&lt;=I248,"Starter",IF(G248&gt;=LARGE(G:G,FlexOn*LeagueInfo!$F$2),"Starter","Bench"))</f>
        <v>Bench</v>
      </c>
      <c r="G248" s="1">
        <f ca="1">IF(H248&gt;I248,D248,0)</f>
        <v>32.620000000000005</v>
      </c>
      <c r="H248" s="1">
        <f ca="1">INDEX(INDIRECT(""&amp;C248&amp;"!A2:A489"),MATCH(B248,INDIRECT(""&amp;C248&amp;"!B2:B489"),0))</f>
        <v>83</v>
      </c>
      <c r="I248" s="1">
        <f>IF(C248="RB",LeagueInfo!$D$4*LeagueInfo!$F$2,IF(C248="WR",LeagueInfo!$D$5*LeagueInfo!$F$2,IF(C248="TE",LeagueInfo!$D$6*LeagueInfo!$F$2)))</f>
        <v>24</v>
      </c>
    </row>
    <row r="249" spans="1:9" x14ac:dyDescent="0.25">
      <c r="A249" s="47">
        <f ca="1">RANK(E249,E$2:E$574)</f>
        <v>260</v>
      </c>
      <c r="B249" s="1" t="s">
        <v>704</v>
      </c>
      <c r="C249" s="1" t="s">
        <v>39</v>
      </c>
      <c r="D249" s="1">
        <f ca="1">INDEX(INDIRECT($C249&amp;"!O:O"),MATCH($B249,INDIRECT($C249&amp;"!B:B"),0))</f>
        <v>28.900000000000002</v>
      </c>
      <c r="E249" s="254">
        <f ca="1">D249-LARGE(D$2:D$467,RBCount+WRCount+TECount)</f>
        <v>-47.94</v>
      </c>
      <c r="F249" s="1" t="str">
        <f ca="1">IF(H249&lt;=I249,"Starter",IF(G249&gt;=LARGE(G:G,FlexOn*LeagueInfo!$F$2),"Starter","Bench"))</f>
        <v>Bench</v>
      </c>
      <c r="G249" s="1">
        <f ca="1">IF(H249&gt;I249,D249,0)</f>
        <v>28.900000000000002</v>
      </c>
      <c r="H249" s="1">
        <f ca="1">INDEX(INDIRECT(""&amp;C249&amp;"!A2:A489"),MATCH(B249,INDIRECT(""&amp;C249&amp;"!B2:B489"),0))</f>
        <v>119</v>
      </c>
      <c r="I249" s="1">
        <f>IF(C249="RB",LeagueInfo!$D$4*LeagueInfo!$F$2,IF(C249="WR",LeagueInfo!$D$5*LeagueInfo!$F$2,IF(C249="TE",LeagueInfo!$D$6*LeagueInfo!$F$2)))</f>
        <v>24</v>
      </c>
    </row>
    <row r="250" spans="1:9" x14ac:dyDescent="0.25">
      <c r="A250" s="47">
        <f ca="1">RANK(E250,E$2:E$574)</f>
        <v>262</v>
      </c>
      <c r="B250" s="1" t="s">
        <v>616</v>
      </c>
      <c r="C250" s="1" t="s">
        <v>39</v>
      </c>
      <c r="D250" s="1">
        <f ca="1">INDEX(INDIRECT($C250&amp;"!O:O"),MATCH($B250,INDIRECT($C250&amp;"!B:B"),0))</f>
        <v>28.29</v>
      </c>
      <c r="E250" s="254">
        <f ca="1">D250-LARGE(D$2:D$467,RBCount+WRCount+TECount)</f>
        <v>-48.550000000000004</v>
      </c>
      <c r="F250" s="1" t="str">
        <f ca="1">IF(H250&lt;=I250,"Starter",IF(G250&gt;=LARGE(G:G,FlexOn*LeagueInfo!$F$2),"Starter","Bench"))</f>
        <v>Bench</v>
      </c>
      <c r="G250" s="1">
        <f ca="1">IF(H250&gt;I250,D250,0)</f>
        <v>28.29</v>
      </c>
      <c r="H250" s="1">
        <f ca="1">INDEX(INDIRECT(""&amp;C250&amp;"!A2:A489"),MATCH(B250,INDIRECT(""&amp;C250&amp;"!B2:B489"),0))</f>
        <v>121</v>
      </c>
      <c r="I250" s="1">
        <f>IF(C250="RB",LeagueInfo!$D$4*LeagueInfo!$F$2,IF(C250="WR",LeagueInfo!$D$5*LeagueInfo!$F$2,IF(C250="TE",LeagueInfo!$D$6*LeagueInfo!$F$2)))</f>
        <v>24</v>
      </c>
    </row>
    <row r="251" spans="1:9" x14ac:dyDescent="0.25">
      <c r="A251" s="47">
        <f ca="1">RANK(E251,E$2:E$574)</f>
        <v>242</v>
      </c>
      <c r="B251" s="1" t="s">
        <v>452</v>
      </c>
      <c r="C251" s="1" t="s">
        <v>32</v>
      </c>
      <c r="D251" s="1">
        <f ca="1">INDEX(INDIRECT($C251&amp;"!O:O"),MATCH($B251,INDIRECT($C251&amp;"!B:B"),0))</f>
        <v>31.939999999999998</v>
      </c>
      <c r="E251" s="254">
        <f ca="1">D251-LARGE(D$2:D$467,RBCount+WRCount+TECount)</f>
        <v>-44.900000000000006</v>
      </c>
      <c r="F251" s="1" t="str">
        <f ca="1">IF(H251&lt;=I251,"Starter",IF(G251&gt;=LARGE(G:G,FlexOn*LeagueInfo!$F$2),"Starter","Bench"))</f>
        <v>Bench</v>
      </c>
      <c r="G251" s="1">
        <f ca="1">IF(H251&gt;I251,D251,0)</f>
        <v>31.939999999999998</v>
      </c>
      <c r="H251" s="1">
        <f ca="1">INDEX(INDIRECT(""&amp;C251&amp;"!A2:A489"),MATCH(B251,INDIRECT(""&amp;C251&amp;"!B2:B489"),0))</f>
        <v>85</v>
      </c>
      <c r="I251" s="1">
        <f>IF(C251="RB",LeagueInfo!$D$4*LeagueInfo!$F$2,IF(C251="WR",LeagueInfo!$D$5*LeagueInfo!$F$2,IF(C251="TE",LeagueInfo!$D$6*LeagueInfo!$F$2)))</f>
        <v>24</v>
      </c>
    </row>
    <row r="252" spans="1:9" x14ac:dyDescent="0.25">
      <c r="A252" s="47">
        <f ca="1">RANK(E252,E$2:E$574)</f>
        <v>233</v>
      </c>
      <c r="B252" s="1" t="s">
        <v>459</v>
      </c>
      <c r="C252" s="1" t="s">
        <v>32</v>
      </c>
      <c r="D252" s="1">
        <f ca="1">INDEX(INDIRECT($C252&amp;"!O:O"),MATCH($B252,INDIRECT($C252&amp;"!B:B"),0))</f>
        <v>32.940000000000005</v>
      </c>
      <c r="E252" s="254">
        <f ca="1">D252-LARGE(D$2:D$467,RBCount+WRCount+TECount)</f>
        <v>-43.9</v>
      </c>
      <c r="F252" s="1" t="str">
        <f ca="1">IF(H252&lt;=I252,"Starter",IF(G252&gt;=LARGE(G:G,FlexOn*LeagueInfo!$F$2),"Starter","Bench"))</f>
        <v>Bench</v>
      </c>
      <c r="G252" s="1">
        <f ca="1">IF(H252&gt;I252,D252,0)</f>
        <v>32.940000000000005</v>
      </c>
      <c r="H252" s="1">
        <f ca="1">INDEX(INDIRECT(""&amp;C252&amp;"!A2:A489"),MATCH(B252,INDIRECT(""&amp;C252&amp;"!B2:B489"),0))</f>
        <v>82</v>
      </c>
      <c r="I252" s="1">
        <f>IF(C252="RB",LeagueInfo!$D$4*LeagueInfo!$F$2,IF(C252="WR",LeagueInfo!$D$5*LeagueInfo!$F$2,IF(C252="TE",LeagueInfo!$D$6*LeagueInfo!$F$2)))</f>
        <v>24</v>
      </c>
    </row>
    <row r="253" spans="1:9" x14ac:dyDescent="0.25">
      <c r="A253" s="47">
        <f ca="1">RANK(E253,E$2:E$574)</f>
        <v>257</v>
      </c>
      <c r="B253" s="1" t="s">
        <v>630</v>
      </c>
      <c r="C253" s="1" t="s">
        <v>39</v>
      </c>
      <c r="D253" s="1">
        <f ca="1">INDEX(INDIRECT($C253&amp;"!O:O"),MATCH($B253,INDIRECT($C253&amp;"!B:B"),0))</f>
        <v>29.140000000000004</v>
      </c>
      <c r="E253" s="254">
        <f ca="1">D253-LARGE(D$2:D$467,RBCount+WRCount+TECount)</f>
        <v>-47.7</v>
      </c>
      <c r="F253" s="1" t="str">
        <f ca="1">IF(H253&lt;=I253,"Starter",IF(G253&gt;=LARGE(G:G,FlexOn*LeagueInfo!$F$2),"Starter","Bench"))</f>
        <v>Bench</v>
      </c>
      <c r="G253" s="1">
        <f ca="1">IF(H253&gt;I253,D253,0)</f>
        <v>29.140000000000004</v>
      </c>
      <c r="H253" s="1">
        <f ca="1">INDEX(INDIRECT(""&amp;C253&amp;"!A2:A489"),MATCH(B253,INDIRECT(""&amp;C253&amp;"!B2:B489"),0))</f>
        <v>118</v>
      </c>
      <c r="I253" s="1">
        <f>IF(C253="RB",LeagueInfo!$D$4*LeagueInfo!$F$2,IF(C253="WR",LeagueInfo!$D$5*LeagueInfo!$F$2,IF(C253="TE",LeagueInfo!$D$6*LeagueInfo!$F$2)))</f>
        <v>24</v>
      </c>
    </row>
    <row r="254" spans="1:9" x14ac:dyDescent="0.25">
      <c r="A254" s="47">
        <f ca="1">RANK(E254,E$2:E$574)</f>
        <v>238</v>
      </c>
      <c r="B254" s="1" t="s">
        <v>498</v>
      </c>
      <c r="C254" s="1" t="s">
        <v>32</v>
      </c>
      <c r="D254" s="1">
        <f ca="1">INDEX(INDIRECT($C254&amp;"!O:O"),MATCH($B254,INDIRECT($C254&amp;"!B:B"),0))</f>
        <v>32.57</v>
      </c>
      <c r="E254" s="254">
        <f ca="1">D254-LARGE(D$2:D$467,RBCount+WRCount+TECount)</f>
        <v>-44.27</v>
      </c>
      <c r="F254" s="1" t="str">
        <f ca="1">IF(H254&lt;=I254,"Starter",IF(G254&gt;=LARGE(G:G,FlexOn*LeagueInfo!$F$2),"Starter","Bench"))</f>
        <v>Bench</v>
      </c>
      <c r="G254" s="1">
        <f ca="1">IF(H254&gt;I254,D254,0)</f>
        <v>32.57</v>
      </c>
      <c r="H254" s="1">
        <f ca="1">INDEX(INDIRECT(""&amp;C254&amp;"!A2:A489"),MATCH(B254,INDIRECT(""&amp;C254&amp;"!B2:B489"),0))</f>
        <v>84</v>
      </c>
      <c r="I254" s="1">
        <f>IF(C254="RB",LeagueInfo!$D$4*LeagueInfo!$F$2,IF(C254="WR",LeagueInfo!$D$5*LeagueInfo!$F$2,IF(C254="TE",LeagueInfo!$D$6*LeagueInfo!$F$2)))</f>
        <v>24</v>
      </c>
    </row>
    <row r="255" spans="1:9" x14ac:dyDescent="0.25">
      <c r="A255" s="47">
        <f ca="1">RANK(E255,E$2:E$574)</f>
        <v>269</v>
      </c>
      <c r="B255" s="1" t="s">
        <v>926</v>
      </c>
      <c r="C255" s="1" t="s">
        <v>39</v>
      </c>
      <c r="D255" s="1">
        <f ca="1">INDEX(INDIRECT($C255&amp;"!O:O"),MATCH($B255,INDIRECT($C255&amp;"!B:B"),0))</f>
        <v>26.6</v>
      </c>
      <c r="E255" s="254">
        <f ca="1">D255-LARGE(D$2:D$467,RBCount+WRCount+TECount)</f>
        <v>-50.24</v>
      </c>
      <c r="F255" s="1" t="str">
        <f ca="1">IF(H255&lt;=I255,"Starter",IF(G255&gt;=LARGE(G:G,FlexOn*LeagueInfo!$F$2),"Starter","Bench"))</f>
        <v>Bench</v>
      </c>
      <c r="G255" s="1">
        <f ca="1">IF(H255&gt;I255,D255,0)</f>
        <v>26.6</v>
      </c>
      <c r="H255" s="1">
        <f ca="1">INDEX(INDIRECT(""&amp;C255&amp;"!A2:A489"),MATCH(B255,INDIRECT(""&amp;C255&amp;"!B2:B489"),0))</f>
        <v>126</v>
      </c>
      <c r="I255" s="1">
        <f>IF(C255="RB",LeagueInfo!$D$4*LeagueInfo!$F$2,IF(C255="WR",LeagueInfo!$D$5*LeagueInfo!$F$2,IF(C255="TE",LeagueInfo!$D$6*LeagueInfo!$F$2)))</f>
        <v>24</v>
      </c>
    </row>
    <row r="256" spans="1:9" x14ac:dyDescent="0.25">
      <c r="A256" s="47">
        <f ca="1">RANK(E256,E$2:E$574)</f>
        <v>261</v>
      </c>
      <c r="B256" s="1" t="s">
        <v>607</v>
      </c>
      <c r="C256" s="1" t="s">
        <v>39</v>
      </c>
      <c r="D256" s="1">
        <f ca="1">INDEX(INDIRECT($C256&amp;"!O:O"),MATCH($B256,INDIRECT($C256&amp;"!B:B"),0))</f>
        <v>28.51</v>
      </c>
      <c r="E256" s="254">
        <f ca="1">D256-LARGE(D$2:D$467,RBCount+WRCount+TECount)</f>
        <v>-48.33</v>
      </c>
      <c r="F256" s="1" t="str">
        <f ca="1">IF(H256&lt;=I256,"Starter",IF(G256&gt;=LARGE(G:G,FlexOn*LeagueInfo!$F$2),"Starter","Bench"))</f>
        <v>Bench</v>
      </c>
      <c r="G256" s="1">
        <f ca="1">IF(H256&gt;I256,D256,0)</f>
        <v>28.51</v>
      </c>
      <c r="H256" s="1">
        <f ca="1">INDEX(INDIRECT(""&amp;C256&amp;"!A2:A489"),MATCH(B256,INDIRECT(""&amp;C256&amp;"!B2:B489"),0))</f>
        <v>120</v>
      </c>
      <c r="I256" s="1">
        <f>IF(C256="RB",LeagueInfo!$D$4*LeagueInfo!$F$2,IF(C256="WR",LeagueInfo!$D$5*LeagueInfo!$F$2,IF(C256="TE",LeagueInfo!$D$6*LeagueInfo!$F$2)))</f>
        <v>24</v>
      </c>
    </row>
    <row r="257" spans="1:9" x14ac:dyDescent="0.25">
      <c r="A257" s="47">
        <f ca="1">RANK(E257,E$2:E$574)</f>
        <v>259</v>
      </c>
      <c r="B257" s="1" t="s">
        <v>461</v>
      </c>
      <c r="C257" s="1" t="s">
        <v>32</v>
      </c>
      <c r="D257" s="1">
        <f ca="1">INDEX(INDIRECT($C257&amp;"!O:O"),MATCH($B257,INDIRECT($C257&amp;"!B:B"),0))</f>
        <v>28.930000000000003</v>
      </c>
      <c r="E257" s="254">
        <f ca="1">D257-LARGE(D$2:D$467,RBCount+WRCount+TECount)</f>
        <v>-47.91</v>
      </c>
      <c r="F257" s="1" t="str">
        <f ca="1">IF(H257&lt;=I257,"Starter",IF(G257&gt;=LARGE(G:G,FlexOn*LeagueInfo!$F$2),"Starter","Bench"))</f>
        <v>Bench</v>
      </c>
      <c r="G257" s="1">
        <f ca="1">IF(H257&gt;I257,D257,0)</f>
        <v>28.930000000000003</v>
      </c>
      <c r="H257" s="1">
        <f ca="1">INDEX(INDIRECT(""&amp;C257&amp;"!A2:A489"),MATCH(B257,INDIRECT(""&amp;C257&amp;"!B2:B489"),0))</f>
        <v>92</v>
      </c>
      <c r="I257" s="1">
        <f>IF(C257="RB",LeagueInfo!$D$4*LeagueInfo!$F$2,IF(C257="WR",LeagueInfo!$D$5*LeagueInfo!$F$2,IF(C257="TE",LeagueInfo!$D$6*LeagueInfo!$F$2)))</f>
        <v>24</v>
      </c>
    </row>
    <row r="258" spans="1:9" x14ac:dyDescent="0.25">
      <c r="A258" s="47">
        <f ca="1">RANK(E258,E$2:E$574)</f>
        <v>270</v>
      </c>
      <c r="B258" s="1" t="s">
        <v>614</v>
      </c>
      <c r="C258" s="1" t="s">
        <v>39</v>
      </c>
      <c r="D258" s="1">
        <f ca="1">INDEX(INDIRECT($C258&amp;"!O:O"),MATCH($B258,INDIRECT($C258&amp;"!B:B"),0))</f>
        <v>26.230000000000004</v>
      </c>
      <c r="E258" s="254">
        <f ca="1">D258-LARGE(D$2:D$467,RBCount+WRCount+TECount)</f>
        <v>-50.61</v>
      </c>
      <c r="F258" s="1" t="str">
        <f ca="1">IF(H258&lt;=I258,"Starter",IF(G258&gt;=LARGE(G:G,FlexOn*LeagueInfo!$F$2),"Starter","Bench"))</f>
        <v>Bench</v>
      </c>
      <c r="G258" s="1">
        <f ca="1">IF(H258&gt;I258,D258,0)</f>
        <v>26.230000000000004</v>
      </c>
      <c r="H258" s="1">
        <f ca="1">INDEX(INDIRECT(""&amp;C258&amp;"!A2:A489"),MATCH(B258,INDIRECT(""&amp;C258&amp;"!B2:B489"),0))</f>
        <v>127</v>
      </c>
      <c r="I258" s="1">
        <f>IF(C258="RB",LeagueInfo!$D$4*LeagueInfo!$F$2,IF(C258="WR",LeagueInfo!$D$5*LeagueInfo!$F$2,IF(C258="TE",LeagueInfo!$D$6*LeagueInfo!$F$2)))</f>
        <v>24</v>
      </c>
    </row>
    <row r="259" spans="1:9" x14ac:dyDescent="0.25">
      <c r="A259" s="47">
        <f ca="1">RANK(E259,E$2:E$574)</f>
        <v>245</v>
      </c>
      <c r="B259" s="1" t="s">
        <v>463</v>
      </c>
      <c r="C259" s="1" t="s">
        <v>32</v>
      </c>
      <c r="D259" s="1">
        <f ca="1">INDEX(INDIRECT($C259&amp;"!O:O"),MATCH($B259,INDIRECT($C259&amp;"!B:B"),0))</f>
        <v>31.12</v>
      </c>
      <c r="E259" s="254">
        <f ca="1">D259-LARGE(D$2:D$467,RBCount+WRCount+TECount)</f>
        <v>-45.72</v>
      </c>
      <c r="F259" s="1" t="str">
        <f ca="1">IF(H259&lt;=I259,"Starter",IF(G259&gt;=LARGE(G:G,FlexOn*LeagueInfo!$F$2),"Starter","Bench"))</f>
        <v>Bench</v>
      </c>
      <c r="G259" s="1">
        <f ca="1">IF(H259&gt;I259,D259,0)</f>
        <v>31.12</v>
      </c>
      <c r="H259" s="1">
        <f ca="1">INDEX(INDIRECT(""&amp;C259&amp;"!A2:A489"),MATCH(B259,INDIRECT(""&amp;C259&amp;"!B2:B489"),0))</f>
        <v>86</v>
      </c>
      <c r="I259" s="1">
        <f>IF(C259="RB",LeagueInfo!$D$4*LeagueInfo!$F$2,IF(C259="WR",LeagueInfo!$D$5*LeagueInfo!$F$2,IF(C259="TE",LeagueInfo!$D$6*LeagueInfo!$F$2)))</f>
        <v>24</v>
      </c>
    </row>
    <row r="260" spans="1:9" x14ac:dyDescent="0.25">
      <c r="A260" s="47">
        <f ca="1">RANK(E260,E$2:E$574)</f>
        <v>263</v>
      </c>
      <c r="B260" s="1" t="s">
        <v>611</v>
      </c>
      <c r="C260" s="1" t="s">
        <v>39</v>
      </c>
      <c r="D260" s="1">
        <f ca="1">INDEX(INDIRECT($C260&amp;"!O:O"),MATCH($B260,INDIRECT($C260&amp;"!B:B"),0))</f>
        <v>28.03</v>
      </c>
      <c r="E260" s="254">
        <f ca="1">D260-LARGE(D$2:D$467,RBCount+WRCount+TECount)</f>
        <v>-48.81</v>
      </c>
      <c r="F260" s="1" t="str">
        <f ca="1">IF(H260&lt;=I260,"Starter",IF(G260&gt;=LARGE(G:G,FlexOn*LeagueInfo!$F$2),"Starter","Bench"))</f>
        <v>Bench</v>
      </c>
      <c r="G260" s="1">
        <f ca="1">IF(H260&gt;I260,D260,0)</f>
        <v>28.03</v>
      </c>
      <c r="H260" s="1">
        <f ca="1">INDEX(INDIRECT(""&amp;C260&amp;"!A2:A489"),MATCH(B260,INDIRECT(""&amp;C260&amp;"!B2:B489"),0))</f>
        <v>122</v>
      </c>
      <c r="I260" s="1">
        <f>IF(C260="RB",LeagueInfo!$D$4*LeagueInfo!$F$2,IF(C260="WR",LeagueInfo!$D$5*LeagueInfo!$F$2,IF(C260="TE",LeagueInfo!$D$6*LeagueInfo!$F$2)))</f>
        <v>24</v>
      </c>
    </row>
    <row r="261" spans="1:9" x14ac:dyDescent="0.25">
      <c r="A261" s="47">
        <f ca="1">RANK(E261,E$2:E$574)</f>
        <v>255</v>
      </c>
      <c r="B261" s="1" t="s">
        <v>509</v>
      </c>
      <c r="C261" s="1" t="s">
        <v>32</v>
      </c>
      <c r="D261" s="1">
        <f ca="1">INDEX(INDIRECT($C261&amp;"!O:O"),MATCH($B261,INDIRECT($C261&amp;"!B:B"),0))</f>
        <v>29.2</v>
      </c>
      <c r="E261" s="254">
        <f ca="1">D261-LARGE(D$2:D$467,RBCount+WRCount+TECount)</f>
        <v>-47.64</v>
      </c>
      <c r="F261" s="1" t="str">
        <f ca="1">IF(H261&lt;=I261,"Starter",IF(G261&gt;=LARGE(G:G,FlexOn*LeagueInfo!$F$2),"Starter","Bench"))</f>
        <v>Bench</v>
      </c>
      <c r="G261" s="1">
        <f ca="1">IF(H261&gt;I261,D261,0)</f>
        <v>29.2</v>
      </c>
      <c r="H261" s="1">
        <f ca="1">INDEX(INDIRECT(""&amp;C261&amp;"!A2:A489"),MATCH(B261,INDIRECT(""&amp;C261&amp;"!B2:B489"),0))</f>
        <v>90</v>
      </c>
      <c r="I261" s="1">
        <f>IF(C261="RB",LeagueInfo!$D$4*LeagueInfo!$F$2,IF(C261="WR",LeagueInfo!$D$5*LeagueInfo!$F$2,IF(C261="TE",LeagueInfo!$D$6*LeagueInfo!$F$2)))</f>
        <v>24</v>
      </c>
    </row>
    <row r="262" spans="1:9" x14ac:dyDescent="0.25">
      <c r="A262" s="47">
        <f ca="1">RANK(E262,E$2:E$574)</f>
        <v>266</v>
      </c>
      <c r="B262" s="1" t="s">
        <v>615</v>
      </c>
      <c r="C262" s="1" t="s">
        <v>39</v>
      </c>
      <c r="D262" s="1">
        <f ca="1">INDEX(INDIRECT($C262&amp;"!O:O"),MATCH($B262,INDIRECT($C262&amp;"!B:B"),0))</f>
        <v>27.1</v>
      </c>
      <c r="E262" s="254">
        <f ca="1">D262-LARGE(D$2:D$467,RBCount+WRCount+TECount)</f>
        <v>-49.74</v>
      </c>
      <c r="F262" s="1" t="str">
        <f ca="1">IF(H262&lt;=I262,"Starter",IF(G262&gt;=LARGE(G:G,FlexOn*LeagueInfo!$F$2),"Starter","Bench"))</f>
        <v>Bench</v>
      </c>
      <c r="G262" s="1">
        <f ca="1">IF(H262&gt;I262,D262,0)</f>
        <v>27.1</v>
      </c>
      <c r="H262" s="1">
        <f ca="1">INDEX(INDIRECT(""&amp;C262&amp;"!A2:A489"),MATCH(B262,INDIRECT(""&amp;C262&amp;"!B2:B489"),0))</f>
        <v>125</v>
      </c>
      <c r="I262" s="1">
        <f>IF(C262="RB",LeagueInfo!$D$4*LeagueInfo!$F$2,IF(C262="WR",LeagueInfo!$D$5*LeagueInfo!$F$2,IF(C262="TE",LeagueInfo!$D$6*LeagueInfo!$F$2)))</f>
        <v>24</v>
      </c>
    </row>
    <row r="263" spans="1:9" x14ac:dyDescent="0.25">
      <c r="A263" s="47">
        <f ca="1">RANK(E263,E$2:E$574)</f>
        <v>258</v>
      </c>
      <c r="B263" s="1" t="s">
        <v>507</v>
      </c>
      <c r="C263" s="1" t="s">
        <v>32</v>
      </c>
      <c r="D263" s="1">
        <f ca="1">INDEX(INDIRECT($C263&amp;"!O:O"),MATCH($B263,INDIRECT($C263&amp;"!B:B"),0))</f>
        <v>28.99</v>
      </c>
      <c r="E263" s="254">
        <f ca="1">D263-LARGE(D$2:D$467,RBCount+WRCount+TECount)</f>
        <v>-47.850000000000009</v>
      </c>
      <c r="F263" s="1" t="str">
        <f ca="1">IF(H263&lt;=I263,"Starter",IF(G263&gt;=LARGE(G:G,FlexOn*LeagueInfo!$F$2),"Starter","Bench"))</f>
        <v>Bench</v>
      </c>
      <c r="G263" s="1">
        <f ca="1">IF(H263&gt;I263,D263,0)</f>
        <v>28.99</v>
      </c>
      <c r="H263" s="1">
        <f ca="1">INDEX(INDIRECT(""&amp;C263&amp;"!A2:A489"),MATCH(B263,INDIRECT(""&amp;C263&amp;"!B2:B489"),0))</f>
        <v>91</v>
      </c>
      <c r="I263" s="1">
        <f>IF(C263="RB",LeagueInfo!$D$4*LeagueInfo!$F$2,IF(C263="WR",LeagueInfo!$D$5*LeagueInfo!$F$2,IF(C263="TE",LeagueInfo!$D$6*LeagueInfo!$F$2)))</f>
        <v>24</v>
      </c>
    </row>
    <row r="264" spans="1:9" x14ac:dyDescent="0.25">
      <c r="A264" s="47">
        <f ca="1">RANK(E264,E$2:E$574)</f>
        <v>265</v>
      </c>
      <c r="B264" s="1" t="s">
        <v>236</v>
      </c>
      <c r="C264" s="1" t="s">
        <v>39</v>
      </c>
      <c r="D264" s="1">
        <f ca="1">INDEX(INDIRECT($C264&amp;"!O:O"),MATCH($B264,INDIRECT($C264&amp;"!B:B"),0))</f>
        <v>27.110000000000003</v>
      </c>
      <c r="E264" s="254">
        <f ca="1">D264-LARGE(D$2:D$467,RBCount+WRCount+TECount)</f>
        <v>-49.730000000000004</v>
      </c>
      <c r="F264" s="1" t="str">
        <f ca="1">IF(H264&lt;=I264,"Starter",IF(G264&gt;=LARGE(G:G,FlexOn*LeagueInfo!$F$2),"Starter","Bench"))</f>
        <v>Bench</v>
      </c>
      <c r="G264" s="1">
        <f ca="1">IF(H264&gt;I264,D264,0)</f>
        <v>27.110000000000003</v>
      </c>
      <c r="H264" s="1">
        <f ca="1">INDEX(INDIRECT(""&amp;C264&amp;"!A2:A489"),MATCH(B264,INDIRECT(""&amp;C264&amp;"!B2:B489"),0))</f>
        <v>124</v>
      </c>
      <c r="I264" s="1">
        <f>IF(C264="RB",LeagueInfo!$D$4*LeagueInfo!$F$2,IF(C264="WR",LeagueInfo!$D$5*LeagueInfo!$F$2,IF(C264="TE",LeagueInfo!$D$6*LeagueInfo!$F$2)))</f>
        <v>24</v>
      </c>
    </row>
    <row r="265" spans="1:9" x14ac:dyDescent="0.25">
      <c r="A265" s="47">
        <f ca="1">RANK(E265,E$2:E$574)</f>
        <v>275</v>
      </c>
      <c r="B265" s="1" t="s">
        <v>741</v>
      </c>
      <c r="C265" s="1" t="s">
        <v>47</v>
      </c>
      <c r="D265" s="1">
        <f ca="1">INDEX(INDIRECT($C265&amp;"!O:O"),MATCH($B265,INDIRECT($C265&amp;"!B:B"),0))</f>
        <v>24.140000000000004</v>
      </c>
      <c r="E265" s="254">
        <f ca="1">D265-LARGE(D$2:D$467,RBCount+WRCount+TECount)</f>
        <v>-52.7</v>
      </c>
      <c r="F265" s="1" t="str">
        <f ca="1">IF(H265&lt;=I265,"Starter",IF(G265&gt;=LARGE(G:G,FlexOn*LeagueInfo!$F$2),"Starter","Bench"))</f>
        <v>Bench</v>
      </c>
      <c r="G265" s="1">
        <f ca="1">IF(H265&gt;I265,D265,0)</f>
        <v>24.140000000000004</v>
      </c>
      <c r="H265" s="1">
        <f ca="1">INDEX(INDIRECT(""&amp;C265&amp;"!A2:A489"),MATCH(B265,INDIRECT(""&amp;C265&amp;"!B2:B489"),0))</f>
        <v>51</v>
      </c>
      <c r="I265" s="1">
        <f>IF(C265="RB",LeagueInfo!$D$4*LeagueInfo!$F$2,IF(C265="WR",LeagueInfo!$D$5*LeagueInfo!$F$2,IF(C265="TE",LeagueInfo!$D$6*LeagueInfo!$F$2)))</f>
        <v>12</v>
      </c>
    </row>
    <row r="266" spans="1:9" x14ac:dyDescent="0.25">
      <c r="A266" s="47">
        <f ca="1">RANK(E266,E$2:E$574)</f>
        <v>271</v>
      </c>
      <c r="B266" s="1" t="s">
        <v>737</v>
      </c>
      <c r="C266" s="1" t="s">
        <v>47</v>
      </c>
      <c r="D266" s="1">
        <f ca="1">INDEX(INDIRECT($C266&amp;"!O:O"),MATCH($B266,INDIRECT($C266&amp;"!B:B"),0))</f>
        <v>26.03</v>
      </c>
      <c r="E266" s="254">
        <f ca="1">D266-LARGE(D$2:D$467,RBCount+WRCount+TECount)</f>
        <v>-50.81</v>
      </c>
      <c r="F266" s="1" t="str">
        <f ca="1">IF(H266&lt;=I266,"Starter",IF(G266&gt;=LARGE(G:G,FlexOn*LeagueInfo!$F$2),"Starter","Bench"))</f>
        <v>Bench</v>
      </c>
      <c r="G266" s="1">
        <f ca="1">IF(H266&gt;I266,D266,0)</f>
        <v>26.03</v>
      </c>
      <c r="H266" s="1">
        <f ca="1">INDEX(INDIRECT(""&amp;C266&amp;"!A2:A489"),MATCH(B266,INDIRECT(""&amp;C266&amp;"!B2:B489"),0))</f>
        <v>50</v>
      </c>
      <c r="I266" s="1">
        <f>IF(C266="RB",LeagueInfo!$D$4*LeagueInfo!$F$2,IF(C266="WR",LeagueInfo!$D$5*LeagueInfo!$F$2,IF(C266="TE",LeagueInfo!$D$6*LeagueInfo!$F$2)))</f>
        <v>12</v>
      </c>
    </row>
    <row r="267" spans="1:9" x14ac:dyDescent="0.25">
      <c r="A267" s="47">
        <f ca="1">RANK(E267,E$2:E$574)</f>
        <v>264</v>
      </c>
      <c r="B267" s="1" t="s">
        <v>596</v>
      </c>
      <c r="C267" s="1" t="s">
        <v>39</v>
      </c>
      <c r="D267" s="1">
        <f ca="1">INDEX(INDIRECT($C267&amp;"!O:O"),MATCH($B267,INDIRECT($C267&amp;"!B:B"),0))</f>
        <v>27.310000000000002</v>
      </c>
      <c r="E267" s="254">
        <f ca="1">D267-LARGE(D$2:D$467,RBCount+WRCount+TECount)</f>
        <v>-49.53</v>
      </c>
      <c r="F267" s="1" t="str">
        <f ca="1">IF(H267&lt;=I267,"Starter",IF(G267&gt;=LARGE(G:G,FlexOn*LeagueInfo!$F$2),"Starter","Bench"))</f>
        <v>Bench</v>
      </c>
      <c r="G267" s="1">
        <f ca="1">IF(H267&gt;I267,D267,0)</f>
        <v>27.310000000000002</v>
      </c>
      <c r="H267" s="1">
        <f ca="1">INDEX(INDIRECT(""&amp;C267&amp;"!A2:A489"),MATCH(B267,INDIRECT(""&amp;C267&amp;"!B2:B489"),0))</f>
        <v>123</v>
      </c>
      <c r="I267" s="1">
        <f>IF(C267="RB",LeagueInfo!$D$4*LeagueInfo!$F$2,IF(C267="WR",LeagueInfo!$D$5*LeagueInfo!$F$2,IF(C267="TE",LeagueInfo!$D$6*LeagueInfo!$F$2)))</f>
        <v>24</v>
      </c>
    </row>
    <row r="268" spans="1:9" x14ac:dyDescent="0.25">
      <c r="A268" s="47">
        <f ca="1">RANK(E268,E$2:E$574)</f>
        <v>231</v>
      </c>
      <c r="B268" s="1" t="s">
        <v>467</v>
      </c>
      <c r="C268" s="1" t="s">
        <v>32</v>
      </c>
      <c r="D268" s="1">
        <f ca="1">INDEX(INDIRECT($C268&amp;"!O:O"),MATCH($B268,INDIRECT($C268&amp;"!B:B"),0))</f>
        <v>33.18</v>
      </c>
      <c r="E268" s="254">
        <f ca="1">D268-LARGE(D$2:D$467,RBCount+WRCount+TECount)</f>
        <v>-43.660000000000004</v>
      </c>
      <c r="F268" s="1" t="str">
        <f ca="1">IF(H268&lt;=I268,"Starter",IF(G268&gt;=LARGE(G:G,FlexOn*LeagueInfo!$F$2),"Starter","Bench"))</f>
        <v>Bench</v>
      </c>
      <c r="G268" s="1">
        <f ca="1">IF(H268&gt;I268,D268,0)</f>
        <v>33.18</v>
      </c>
      <c r="H268" s="1">
        <f ca="1">INDEX(INDIRECT(""&amp;C268&amp;"!A2:A489"),MATCH(B268,INDIRECT(""&amp;C268&amp;"!B2:B489"),0))</f>
        <v>81</v>
      </c>
      <c r="I268" s="1">
        <f>IF(C268="RB",LeagueInfo!$D$4*LeagueInfo!$F$2,IF(C268="WR",LeagueInfo!$D$5*LeagueInfo!$F$2,IF(C268="TE",LeagueInfo!$D$6*LeagueInfo!$F$2)))</f>
        <v>24</v>
      </c>
    </row>
    <row r="269" spans="1:9" x14ac:dyDescent="0.25">
      <c r="A269" s="47">
        <f ca="1">RANK(E269,E$2:E$574)</f>
        <v>253</v>
      </c>
      <c r="B269" s="1" t="s">
        <v>455</v>
      </c>
      <c r="C269" s="1" t="s">
        <v>32</v>
      </c>
      <c r="D269" s="1">
        <f ca="1">INDEX(INDIRECT($C269&amp;"!O:O"),MATCH($B269,INDIRECT($C269&amp;"!B:B"),0))</f>
        <v>29.580000000000002</v>
      </c>
      <c r="E269" s="254">
        <f ca="1">D269-LARGE(D$2:D$467,RBCount+WRCount+TECount)</f>
        <v>-47.260000000000005</v>
      </c>
      <c r="F269" s="1" t="str">
        <f ca="1">IF(H269&lt;=I269,"Starter",IF(G269&gt;=LARGE(G:G,FlexOn*LeagueInfo!$F$2),"Starter","Bench"))</f>
        <v>Bench</v>
      </c>
      <c r="G269" s="1">
        <f ca="1">IF(H269&gt;I269,D269,0)</f>
        <v>29.580000000000002</v>
      </c>
      <c r="H269" s="1">
        <f ca="1">INDEX(INDIRECT(""&amp;C269&amp;"!A2:A489"),MATCH(B269,INDIRECT(""&amp;C269&amp;"!B2:B489"),0))</f>
        <v>88</v>
      </c>
      <c r="I269" s="1">
        <f>IF(C269="RB",LeagueInfo!$D$4*LeagueInfo!$F$2,IF(C269="WR",LeagueInfo!$D$5*LeagueInfo!$F$2,IF(C269="TE",LeagueInfo!$D$6*LeagueInfo!$F$2)))</f>
        <v>24</v>
      </c>
    </row>
    <row r="270" spans="1:9" x14ac:dyDescent="0.25">
      <c r="A270" s="47">
        <f ca="1">RANK(E270,E$2:E$574)</f>
        <v>254</v>
      </c>
      <c r="B270" s="1" t="s">
        <v>469</v>
      </c>
      <c r="C270" s="1" t="s">
        <v>32</v>
      </c>
      <c r="D270" s="1">
        <f ca="1">INDEX(INDIRECT($C270&amp;"!O:O"),MATCH($B270,INDIRECT($C270&amp;"!B:B"),0))</f>
        <v>29.46</v>
      </c>
      <c r="E270" s="254">
        <f ca="1">D270-LARGE(D$2:D$467,RBCount+WRCount+TECount)</f>
        <v>-47.38</v>
      </c>
      <c r="F270" s="1" t="str">
        <f ca="1">IF(H270&lt;=I270,"Starter",IF(G270&gt;=LARGE(G:G,FlexOn*LeagueInfo!$F$2),"Starter","Bench"))</f>
        <v>Bench</v>
      </c>
      <c r="G270" s="1">
        <f ca="1">IF(H270&gt;I270,D270,0)</f>
        <v>29.46</v>
      </c>
      <c r="H270" s="1">
        <f ca="1">INDEX(INDIRECT(""&amp;C270&amp;"!A2:A489"),MATCH(B270,INDIRECT(""&amp;C270&amp;"!B2:B489"),0))</f>
        <v>89</v>
      </c>
      <c r="I270" s="1">
        <f>IF(C270="RB",LeagueInfo!$D$4*LeagueInfo!$F$2,IF(C270="WR",LeagueInfo!$D$5*LeagueInfo!$F$2,IF(C270="TE",LeagueInfo!$D$6*LeagueInfo!$F$2)))</f>
        <v>24</v>
      </c>
    </row>
    <row r="271" spans="1:9" x14ac:dyDescent="0.25">
      <c r="A271" s="47">
        <f ca="1">RANK(E271,E$2:E$574)</f>
        <v>250</v>
      </c>
      <c r="B271" s="1" t="s">
        <v>458</v>
      </c>
      <c r="C271" s="1" t="s">
        <v>32</v>
      </c>
      <c r="D271" s="1">
        <f ca="1">INDEX(INDIRECT($C271&amp;"!O:O"),MATCH($B271,INDIRECT($C271&amp;"!B:B"),0))</f>
        <v>29.889999999999997</v>
      </c>
      <c r="E271" s="254">
        <f ca="1">D271-LARGE(D$2:D$467,RBCount+WRCount+TECount)</f>
        <v>-46.95</v>
      </c>
      <c r="F271" s="1" t="str">
        <f ca="1">IF(H271&lt;=I271,"Starter",IF(G271&gt;=LARGE(G:G,FlexOn*LeagueInfo!$F$2),"Starter","Bench"))</f>
        <v>Bench</v>
      </c>
      <c r="G271" s="1">
        <f ca="1">IF(H271&gt;I271,D271,0)</f>
        <v>29.889999999999997</v>
      </c>
      <c r="H271" s="1">
        <f ca="1">INDEX(INDIRECT(""&amp;C271&amp;"!A2:A489"),MATCH(B271,INDIRECT(""&amp;C271&amp;"!B2:B489"),0))</f>
        <v>87</v>
      </c>
      <c r="I271" s="1">
        <f>IF(C271="RB",LeagueInfo!$D$4*LeagueInfo!$F$2,IF(C271="WR",LeagueInfo!$D$5*LeagueInfo!$F$2,IF(C271="TE",LeagueInfo!$D$6*LeagueInfo!$F$2)))</f>
        <v>24</v>
      </c>
    </row>
    <row r="272" spans="1:9" x14ac:dyDescent="0.25">
      <c r="A272" s="47">
        <f ca="1">RANK(E272,E$2:E$574)</f>
        <v>280</v>
      </c>
      <c r="B272" s="1" t="s">
        <v>744</v>
      </c>
      <c r="C272" s="1" t="s">
        <v>47</v>
      </c>
      <c r="D272" s="1">
        <f ca="1">INDEX(INDIRECT($C272&amp;"!O:O"),MATCH($B272,INDIRECT($C272&amp;"!B:B"),0))</f>
        <v>22.730000000000004</v>
      </c>
      <c r="E272" s="254">
        <f ca="1">D272-LARGE(D$2:D$467,RBCount+WRCount+TECount)</f>
        <v>-54.11</v>
      </c>
      <c r="F272" s="1" t="str">
        <f ca="1">IF(H272&lt;=I272,"Starter",IF(G272&gt;=LARGE(G:G,FlexOn*LeagueInfo!$F$2),"Starter","Bench"))</f>
        <v>Bench</v>
      </c>
      <c r="G272" s="1">
        <f ca="1">IF(H272&gt;I272,D272,0)</f>
        <v>22.730000000000004</v>
      </c>
      <c r="H272" s="1">
        <f ca="1">INDEX(INDIRECT(""&amp;C272&amp;"!A2:A489"),MATCH(B272,INDIRECT(""&amp;C272&amp;"!B2:B489"),0))</f>
        <v>53</v>
      </c>
      <c r="I272" s="1">
        <f>IF(C272="RB",LeagueInfo!$D$4*LeagueInfo!$F$2,IF(C272="WR",LeagueInfo!$D$5*LeagueInfo!$F$2,IF(C272="TE",LeagueInfo!$D$6*LeagueInfo!$F$2)))</f>
        <v>12</v>
      </c>
    </row>
    <row r="273" spans="1:9" x14ac:dyDescent="0.25">
      <c r="A273" s="47">
        <f ca="1">RANK(E273,E$2:E$574)</f>
        <v>267</v>
      </c>
      <c r="B273" s="1" t="s">
        <v>468</v>
      </c>
      <c r="C273" s="1" t="s">
        <v>32</v>
      </c>
      <c r="D273" s="1">
        <f ca="1">INDEX(INDIRECT($C273&amp;"!O:O"),MATCH($B273,INDIRECT($C273&amp;"!B:B"),0))</f>
        <v>27.08</v>
      </c>
      <c r="E273" s="254">
        <f ca="1">D273-LARGE(D$2:D$467,RBCount+WRCount+TECount)</f>
        <v>-49.760000000000005</v>
      </c>
      <c r="F273" s="1" t="str">
        <f ca="1">IF(H273&lt;=I273,"Starter",IF(G273&gt;=LARGE(G:G,FlexOn*LeagueInfo!$F$2),"Starter","Bench"))</f>
        <v>Bench</v>
      </c>
      <c r="G273" s="1">
        <f ca="1">IF(H273&gt;I273,D273,0)</f>
        <v>27.08</v>
      </c>
      <c r="H273" s="1">
        <f ca="1">INDEX(INDIRECT(""&amp;C273&amp;"!A2:A489"),MATCH(B273,INDIRECT(""&amp;C273&amp;"!B2:B489"),0))</f>
        <v>93</v>
      </c>
      <c r="I273" s="1">
        <f>IF(C273="RB",LeagueInfo!$D$4*LeagueInfo!$F$2,IF(C273="WR",LeagueInfo!$D$5*LeagueInfo!$F$2,IF(C273="TE",LeagueInfo!$D$6*LeagueInfo!$F$2)))</f>
        <v>24</v>
      </c>
    </row>
    <row r="274" spans="1:9" x14ac:dyDescent="0.25">
      <c r="A274" s="47">
        <f ca="1">RANK(E274,E$2:E$574)</f>
        <v>268</v>
      </c>
      <c r="B274" s="1" t="s">
        <v>464</v>
      </c>
      <c r="C274" s="1" t="s">
        <v>32</v>
      </c>
      <c r="D274" s="1">
        <f ca="1">INDEX(INDIRECT($C274&amp;"!O:O"),MATCH($B274,INDIRECT($C274&amp;"!B:B"),0))</f>
        <v>26.64</v>
      </c>
      <c r="E274" s="254">
        <f ca="1">D274-LARGE(D$2:D$467,RBCount+WRCount+TECount)</f>
        <v>-50.2</v>
      </c>
      <c r="F274" s="1" t="str">
        <f ca="1">IF(H274&lt;=I274,"Starter",IF(G274&gt;=LARGE(G:G,FlexOn*LeagueInfo!$F$2),"Starter","Bench"))</f>
        <v>Bench</v>
      </c>
      <c r="G274" s="1">
        <f ca="1">IF(H274&gt;I274,D274,0)</f>
        <v>26.64</v>
      </c>
      <c r="H274" s="1">
        <f ca="1">INDEX(INDIRECT(""&amp;C274&amp;"!A2:A489"),MATCH(B274,INDIRECT(""&amp;C274&amp;"!B2:B489"),0))</f>
        <v>94</v>
      </c>
      <c r="I274" s="1">
        <f>IF(C274="RB",LeagueInfo!$D$4*LeagueInfo!$F$2,IF(C274="WR",LeagueInfo!$D$5*LeagueInfo!$F$2,IF(C274="TE",LeagueInfo!$D$6*LeagueInfo!$F$2)))</f>
        <v>24</v>
      </c>
    </row>
    <row r="275" spans="1:9" x14ac:dyDescent="0.25">
      <c r="A275" s="47">
        <f ca="1">RANK(E275,E$2:E$574)</f>
        <v>277</v>
      </c>
      <c r="B275" s="1" t="s">
        <v>731</v>
      </c>
      <c r="C275" s="1" t="s">
        <v>47</v>
      </c>
      <c r="D275" s="1">
        <f ca="1">INDEX(INDIRECT($C275&amp;"!O:O"),MATCH($B275,INDIRECT($C275&amp;"!B:B"),0))</f>
        <v>23.6</v>
      </c>
      <c r="E275" s="254">
        <f ca="1">D275-LARGE(D$2:D$467,RBCount+WRCount+TECount)</f>
        <v>-53.24</v>
      </c>
      <c r="F275" s="1" t="str">
        <f ca="1">IF(H275&lt;=I275,"Starter",IF(G275&gt;=LARGE(G:G,FlexOn*LeagueInfo!$F$2),"Starter","Bench"))</f>
        <v>Bench</v>
      </c>
      <c r="G275" s="1">
        <f ca="1">IF(H275&gt;I275,D275,0)</f>
        <v>23.6</v>
      </c>
      <c r="H275" s="1">
        <f ca="1">INDEX(INDIRECT(""&amp;C275&amp;"!A2:A489"),MATCH(B275,INDIRECT(""&amp;C275&amp;"!B2:B489"),0))</f>
        <v>52</v>
      </c>
      <c r="I275" s="1">
        <f>IF(C275="RB",LeagueInfo!$D$4*LeagueInfo!$F$2,IF(C275="WR",LeagueInfo!$D$5*LeagueInfo!$F$2,IF(C275="TE",LeagueInfo!$D$6*LeagueInfo!$F$2)))</f>
        <v>12</v>
      </c>
    </row>
    <row r="276" spans="1:9" x14ac:dyDescent="0.25">
      <c r="A276" s="47">
        <f ca="1">RANK(E276,E$2:E$574)</f>
        <v>276</v>
      </c>
      <c r="B276" s="1" t="s">
        <v>466</v>
      </c>
      <c r="C276" s="1" t="s">
        <v>32</v>
      </c>
      <c r="D276" s="1">
        <f ca="1">INDEX(INDIRECT($C276&amp;"!O:O"),MATCH($B276,INDIRECT($C276&amp;"!B:B"),0))</f>
        <v>23.950000000000003</v>
      </c>
      <c r="E276" s="254">
        <f ca="1">D276-LARGE(D$2:D$467,RBCount+WRCount+TECount)</f>
        <v>-52.89</v>
      </c>
      <c r="F276" s="1" t="str">
        <f ca="1">IF(H276&lt;=I276,"Starter",IF(G276&gt;=LARGE(G:G,FlexOn*LeagueInfo!$F$2),"Starter","Bench"))</f>
        <v>Bench</v>
      </c>
      <c r="G276" s="1">
        <f ca="1">IF(H276&gt;I276,D276,0)</f>
        <v>23.950000000000003</v>
      </c>
      <c r="H276" s="1">
        <f ca="1">INDEX(INDIRECT(""&amp;C276&amp;"!A2:A489"),MATCH(B276,INDIRECT(""&amp;C276&amp;"!B2:B489"),0))</f>
        <v>97</v>
      </c>
      <c r="I276" s="1">
        <f>IF(C276="RB",LeagueInfo!$D$4*LeagueInfo!$F$2,IF(C276="WR",LeagueInfo!$D$5*LeagueInfo!$F$2,IF(C276="TE",LeagueInfo!$D$6*LeagueInfo!$F$2)))</f>
        <v>24</v>
      </c>
    </row>
    <row r="277" spans="1:9" x14ac:dyDescent="0.25">
      <c r="A277" s="47">
        <f ca="1">RANK(E277,E$2:E$574)</f>
        <v>274</v>
      </c>
      <c r="B277" s="1" t="s">
        <v>618</v>
      </c>
      <c r="C277" s="1" t="s">
        <v>39</v>
      </c>
      <c r="D277" s="1">
        <f ca="1">INDEX(INDIRECT($C277&amp;"!O:O"),MATCH($B277,INDIRECT($C277&amp;"!B:B"),0))</f>
        <v>24.45</v>
      </c>
      <c r="E277" s="254">
        <f ca="1">D277-LARGE(D$2:D$467,RBCount+WRCount+TECount)</f>
        <v>-52.39</v>
      </c>
      <c r="F277" s="1" t="str">
        <f ca="1">IF(H277&lt;=I277,"Starter",IF(G277&gt;=LARGE(G:G,FlexOn*LeagueInfo!$F$2),"Starter","Bench"))</f>
        <v>Bench</v>
      </c>
      <c r="G277" s="1">
        <f ca="1">IF(H277&gt;I277,D277,0)</f>
        <v>24.45</v>
      </c>
      <c r="H277" s="1">
        <f ca="1">INDEX(INDIRECT(""&amp;C277&amp;"!A2:A489"),MATCH(B277,INDIRECT(""&amp;C277&amp;"!B2:B489"),0))</f>
        <v>128</v>
      </c>
      <c r="I277" s="1">
        <f>IF(C277="RB",LeagueInfo!$D$4*LeagueInfo!$F$2,IF(C277="WR",LeagueInfo!$D$5*LeagueInfo!$F$2,IF(C277="TE",LeagueInfo!$D$6*LeagueInfo!$F$2)))</f>
        <v>24</v>
      </c>
    </row>
    <row r="278" spans="1:9" x14ac:dyDescent="0.25">
      <c r="A278" s="47">
        <f ca="1">RANK(E278,E$2:E$574)</f>
        <v>281</v>
      </c>
      <c r="B278" s="1" t="s">
        <v>743</v>
      </c>
      <c r="C278" s="1" t="s">
        <v>47</v>
      </c>
      <c r="D278" s="1">
        <f ca="1">INDEX(INDIRECT($C278&amp;"!O:O"),MATCH($B278,INDIRECT($C278&amp;"!B:B"),0))</f>
        <v>22.650000000000002</v>
      </c>
      <c r="E278" s="254">
        <f ca="1">D278-LARGE(D$2:D$467,RBCount+WRCount+TECount)</f>
        <v>-54.19</v>
      </c>
      <c r="F278" s="1" t="str">
        <f ca="1">IF(H278&lt;=I278,"Starter",IF(G278&gt;=LARGE(G:G,FlexOn*LeagueInfo!$F$2),"Starter","Bench"))</f>
        <v>Bench</v>
      </c>
      <c r="G278" s="1">
        <f ca="1">IF(H278&gt;I278,D278,0)</f>
        <v>22.650000000000002</v>
      </c>
      <c r="H278" s="1">
        <f ca="1">INDEX(INDIRECT(""&amp;C278&amp;"!A2:A489"),MATCH(B278,INDIRECT(""&amp;C278&amp;"!B2:B489"),0))</f>
        <v>54</v>
      </c>
      <c r="I278" s="1">
        <f>IF(C278="RB",LeagueInfo!$D$4*LeagueInfo!$F$2,IF(C278="WR",LeagueInfo!$D$5*LeagueInfo!$F$2,IF(C278="TE",LeagueInfo!$D$6*LeagueInfo!$F$2)))</f>
        <v>12</v>
      </c>
    </row>
    <row r="279" spans="1:9" x14ac:dyDescent="0.25">
      <c r="A279" s="47">
        <f ca="1">RANK(E279,E$2:E$574)</f>
        <v>279</v>
      </c>
      <c r="B279" s="1" t="s">
        <v>595</v>
      </c>
      <c r="C279" s="1" t="s">
        <v>39</v>
      </c>
      <c r="D279" s="1">
        <f ca="1">INDEX(INDIRECT($C279&amp;"!O:O"),MATCH($B279,INDIRECT($C279&amp;"!B:B"),0))</f>
        <v>22.91</v>
      </c>
      <c r="E279" s="254">
        <f ca="1">D279-LARGE(D$2:D$467,RBCount+WRCount+TECount)</f>
        <v>-53.930000000000007</v>
      </c>
      <c r="F279" s="1" t="str">
        <f ca="1">IF(H279&lt;=I279,"Starter",IF(G279&gt;=LARGE(G:G,FlexOn*LeagueInfo!$F$2),"Starter","Bench"))</f>
        <v>Bench</v>
      </c>
      <c r="G279" s="1">
        <f ca="1">IF(H279&gt;I279,D279,0)</f>
        <v>22.91</v>
      </c>
      <c r="H279" s="1">
        <f ca="1">INDEX(INDIRECT(""&amp;C279&amp;"!A2:A489"),MATCH(B279,INDIRECT(""&amp;C279&amp;"!B2:B489"),0))</f>
        <v>129</v>
      </c>
      <c r="I279" s="1">
        <f>IF(C279="RB",LeagueInfo!$D$4*LeagueInfo!$F$2,IF(C279="WR",LeagueInfo!$D$5*LeagueInfo!$F$2,IF(C279="TE",LeagueInfo!$D$6*LeagueInfo!$F$2)))</f>
        <v>24</v>
      </c>
    </row>
    <row r="280" spans="1:9" x14ac:dyDescent="0.25">
      <c r="A280" s="47">
        <f ca="1">RANK(E280,E$2:E$574)</f>
        <v>283</v>
      </c>
      <c r="B280" s="1" t="s">
        <v>612</v>
      </c>
      <c r="C280" s="1" t="s">
        <v>39</v>
      </c>
      <c r="D280" s="1">
        <f ca="1">INDEX(INDIRECT($C280&amp;"!O:O"),MATCH($B280,INDIRECT($C280&amp;"!B:B"),0))</f>
        <v>22.430000000000003</v>
      </c>
      <c r="E280" s="254">
        <f ca="1">D280-LARGE(D$2:D$467,RBCount+WRCount+TECount)</f>
        <v>-54.41</v>
      </c>
      <c r="F280" s="1" t="str">
        <f ca="1">IF(H280&lt;=I280,"Starter",IF(G280&gt;=LARGE(G:G,FlexOn*LeagueInfo!$F$2),"Starter","Bench"))</f>
        <v>Bench</v>
      </c>
      <c r="G280" s="1">
        <f ca="1">IF(H280&gt;I280,D280,0)</f>
        <v>22.430000000000003</v>
      </c>
      <c r="H280" s="1">
        <f ca="1">INDEX(INDIRECT(""&amp;C280&amp;"!A2:A489"),MATCH(B280,INDIRECT(""&amp;C280&amp;"!B2:B489"),0))</f>
        <v>130</v>
      </c>
      <c r="I280" s="1">
        <f>IF(C280="RB",LeagueInfo!$D$4*LeagueInfo!$F$2,IF(C280="WR",LeagueInfo!$D$5*LeagueInfo!$F$2,IF(C280="TE",LeagueInfo!$D$6*LeagueInfo!$F$2)))</f>
        <v>24</v>
      </c>
    </row>
    <row r="281" spans="1:9" x14ac:dyDescent="0.25">
      <c r="A281" s="47">
        <f ca="1">RANK(E281,E$2:E$574)</f>
        <v>284</v>
      </c>
      <c r="B281" s="1" t="s">
        <v>739</v>
      </c>
      <c r="C281" s="1" t="s">
        <v>47</v>
      </c>
      <c r="D281" s="1">
        <f ca="1">INDEX(INDIRECT($C281&amp;"!O:O"),MATCH($B281,INDIRECT($C281&amp;"!B:B"),0))</f>
        <v>22.400000000000002</v>
      </c>
      <c r="E281" s="254">
        <f ca="1">D281-LARGE(D$2:D$467,RBCount+WRCount+TECount)</f>
        <v>-54.44</v>
      </c>
      <c r="F281" s="1" t="str">
        <f ca="1">IF(H281&lt;=I281,"Starter",IF(G281&gt;=LARGE(G:G,FlexOn*LeagueInfo!$F$2),"Starter","Bench"))</f>
        <v>Bench</v>
      </c>
      <c r="G281" s="1">
        <f ca="1">IF(H281&gt;I281,D281,0)</f>
        <v>22.400000000000002</v>
      </c>
      <c r="H281" s="1">
        <f ca="1">INDEX(INDIRECT(""&amp;C281&amp;"!A2:A489"),MATCH(B281,INDIRECT(""&amp;C281&amp;"!B2:B489"),0))</f>
        <v>55</v>
      </c>
      <c r="I281" s="1">
        <f>IF(C281="RB",LeagueInfo!$D$4*LeagueInfo!$F$2,IF(C281="WR",LeagueInfo!$D$5*LeagueInfo!$F$2,IF(C281="TE",LeagueInfo!$D$6*LeagueInfo!$F$2)))</f>
        <v>12</v>
      </c>
    </row>
    <row r="282" spans="1:9" x14ac:dyDescent="0.25">
      <c r="A282" s="47">
        <f ca="1">RANK(E282,E$2:E$574)</f>
        <v>289</v>
      </c>
      <c r="B282" s="1" t="s">
        <v>728</v>
      </c>
      <c r="C282" s="1" t="s">
        <v>47</v>
      </c>
      <c r="D282" s="1">
        <f ca="1">INDEX(INDIRECT($C282&amp;"!O:O"),MATCH($B282,INDIRECT($C282&amp;"!B:B"),0))</f>
        <v>20.37</v>
      </c>
      <c r="E282" s="254">
        <f ca="1">D282-LARGE(D$2:D$467,RBCount+WRCount+TECount)</f>
        <v>-56.47</v>
      </c>
      <c r="F282" s="1" t="str">
        <f ca="1">IF(H282&lt;=I282,"Starter",IF(G282&gt;=LARGE(G:G,FlexOn*LeagueInfo!$F$2),"Starter","Bench"))</f>
        <v>Bench</v>
      </c>
      <c r="G282" s="1">
        <f ca="1">IF(H282&gt;I282,D282,0)</f>
        <v>20.37</v>
      </c>
      <c r="H282" s="1">
        <f ca="1">INDEX(INDIRECT(""&amp;C282&amp;"!A2:A489"),MATCH(B282,INDIRECT(""&amp;C282&amp;"!B2:B489"),0))</f>
        <v>57</v>
      </c>
      <c r="I282" s="1">
        <f>IF(C282="RB",LeagueInfo!$D$4*LeagueInfo!$F$2,IF(C282="WR",LeagueInfo!$D$5*LeagueInfo!$F$2,IF(C282="TE",LeagueInfo!$D$6*LeagueInfo!$F$2)))</f>
        <v>12</v>
      </c>
    </row>
    <row r="283" spans="1:9" x14ac:dyDescent="0.25">
      <c r="A283" s="47">
        <f ca="1">RANK(E283,E$2:E$574)</f>
        <v>272</v>
      </c>
      <c r="B283" s="1" t="s">
        <v>472</v>
      </c>
      <c r="C283" s="1" t="s">
        <v>32</v>
      </c>
      <c r="D283" s="1">
        <f ca="1">INDEX(INDIRECT($C283&amp;"!O:O"),MATCH($B283,INDIRECT($C283&amp;"!B:B"),0))</f>
        <v>24.87</v>
      </c>
      <c r="E283" s="254">
        <f ca="1">D283-LARGE(D$2:D$467,RBCount+WRCount+TECount)</f>
        <v>-51.97</v>
      </c>
      <c r="F283" s="1" t="str">
        <f ca="1">IF(H283&lt;=I283,"Starter",IF(G283&gt;=LARGE(G:G,FlexOn*LeagueInfo!$F$2),"Starter","Bench"))</f>
        <v>Bench</v>
      </c>
      <c r="G283" s="1">
        <f ca="1">IF(H283&gt;I283,D283,0)</f>
        <v>24.87</v>
      </c>
      <c r="H283" s="1">
        <f ca="1">INDEX(INDIRECT(""&amp;C283&amp;"!A2:A489"),MATCH(B283,INDIRECT(""&amp;C283&amp;"!B2:B489"),0))</f>
        <v>95</v>
      </c>
      <c r="I283" s="1">
        <f>IF(C283="RB",LeagueInfo!$D$4*LeagueInfo!$F$2,IF(C283="WR",LeagueInfo!$D$5*LeagueInfo!$F$2,IF(C283="TE",LeagueInfo!$D$6*LeagueInfo!$F$2)))</f>
        <v>24</v>
      </c>
    </row>
    <row r="284" spans="1:9" x14ac:dyDescent="0.25">
      <c r="A284" s="47">
        <f ca="1">RANK(E284,E$2:E$574)</f>
        <v>282</v>
      </c>
      <c r="B284" s="1" t="s">
        <v>476</v>
      </c>
      <c r="C284" s="1" t="s">
        <v>32</v>
      </c>
      <c r="D284" s="1">
        <f ca="1">INDEX(INDIRECT($C284&amp;"!O:O"),MATCH($B284,INDIRECT($C284&amp;"!B:B"),0))</f>
        <v>22.480000000000004</v>
      </c>
      <c r="E284" s="254">
        <f ca="1">D284-LARGE(D$2:D$467,RBCount+WRCount+TECount)</f>
        <v>-54.36</v>
      </c>
      <c r="F284" s="1" t="str">
        <f ca="1">IF(H284&lt;=I284,"Starter",IF(G284&gt;=LARGE(G:G,FlexOn*LeagueInfo!$F$2),"Starter","Bench"))</f>
        <v>Bench</v>
      </c>
      <c r="G284" s="1">
        <f ca="1">IF(H284&gt;I284,D284,0)</f>
        <v>22.480000000000004</v>
      </c>
      <c r="H284" s="1">
        <f ca="1">INDEX(INDIRECT(""&amp;C284&amp;"!A2:A489"),MATCH(B284,INDIRECT(""&amp;C284&amp;"!B2:B489"),0))</f>
        <v>99</v>
      </c>
      <c r="I284" s="1">
        <f>IF(C284="RB",LeagueInfo!$D$4*LeagueInfo!$F$2,IF(C284="WR",LeagueInfo!$D$5*LeagueInfo!$F$2,IF(C284="TE",LeagueInfo!$D$6*LeagueInfo!$F$2)))</f>
        <v>24</v>
      </c>
    </row>
    <row r="285" spans="1:9" x14ac:dyDescent="0.25">
      <c r="A285" s="47">
        <f ca="1">RANK(E285,E$2:E$574)</f>
        <v>288</v>
      </c>
      <c r="B285" s="1" t="s">
        <v>742</v>
      </c>
      <c r="C285" s="1" t="s">
        <v>47</v>
      </c>
      <c r="D285" s="1">
        <f ca="1">INDEX(INDIRECT($C285&amp;"!O:O"),MATCH($B285,INDIRECT($C285&amp;"!B:B"),0))</f>
        <v>20.780000000000005</v>
      </c>
      <c r="E285" s="254">
        <f ca="1">D285-LARGE(D$2:D$467,RBCount+WRCount+TECount)</f>
        <v>-56.06</v>
      </c>
      <c r="F285" s="1" t="str">
        <f ca="1">IF(H285&lt;=I285,"Starter",IF(G285&gt;=LARGE(G:G,FlexOn*LeagueInfo!$F$2),"Starter","Bench"))</f>
        <v>Bench</v>
      </c>
      <c r="G285" s="1">
        <f ca="1">IF(H285&gt;I285,D285,0)</f>
        <v>20.780000000000005</v>
      </c>
      <c r="H285" s="1">
        <f ca="1">INDEX(INDIRECT(""&amp;C285&amp;"!A2:A489"),MATCH(B285,INDIRECT(""&amp;C285&amp;"!B2:B489"),0))</f>
        <v>56</v>
      </c>
      <c r="I285" s="1">
        <f>IF(C285="RB",LeagueInfo!$D$4*LeagueInfo!$F$2,IF(C285="WR",LeagueInfo!$D$5*LeagueInfo!$F$2,IF(C285="TE",LeagueInfo!$D$6*LeagueInfo!$F$2)))</f>
        <v>12</v>
      </c>
    </row>
    <row r="286" spans="1:9" x14ac:dyDescent="0.25">
      <c r="A286" s="47">
        <f ca="1">RANK(E286,E$2:E$574)</f>
        <v>290</v>
      </c>
      <c r="B286" s="1" t="s">
        <v>748</v>
      </c>
      <c r="C286" s="1" t="s">
        <v>47</v>
      </c>
      <c r="D286" s="1">
        <f ca="1">INDEX(INDIRECT($C286&amp;"!O:O"),MATCH($B286,INDIRECT($C286&amp;"!B:B"),0))</f>
        <v>19.990000000000002</v>
      </c>
      <c r="E286" s="254">
        <f ca="1">D286-LARGE(D$2:D$467,RBCount+WRCount+TECount)</f>
        <v>-56.85</v>
      </c>
      <c r="F286" s="1" t="str">
        <f ca="1">IF(H286&lt;=I286,"Starter",IF(G286&gt;=LARGE(G:G,FlexOn*LeagueInfo!$F$2),"Starter","Bench"))</f>
        <v>Bench</v>
      </c>
      <c r="G286" s="1">
        <f ca="1">IF(H286&gt;I286,D286,0)</f>
        <v>19.990000000000002</v>
      </c>
      <c r="H286" s="1">
        <f ca="1">INDEX(INDIRECT(""&amp;C286&amp;"!A2:A489"),MATCH(B286,INDIRECT(""&amp;C286&amp;"!B2:B489"),0))</f>
        <v>58</v>
      </c>
      <c r="I286" s="1">
        <f>IF(C286="RB",LeagueInfo!$D$4*LeagueInfo!$F$2,IF(C286="WR",LeagueInfo!$D$5*LeagueInfo!$F$2,IF(C286="TE",LeagueInfo!$D$6*LeagueInfo!$F$2)))</f>
        <v>12</v>
      </c>
    </row>
    <row r="287" spans="1:9" x14ac:dyDescent="0.25">
      <c r="A287" s="47">
        <f ca="1">RANK(E287,E$2:E$574)</f>
        <v>273</v>
      </c>
      <c r="B287" s="1" t="s">
        <v>481</v>
      </c>
      <c r="C287" s="1" t="s">
        <v>32</v>
      </c>
      <c r="D287" s="1">
        <f ca="1">INDEX(INDIRECT($C287&amp;"!O:O"),MATCH($B287,INDIRECT($C287&amp;"!B:B"),0))</f>
        <v>24.500000000000004</v>
      </c>
      <c r="E287" s="254">
        <f ca="1">D287-LARGE(D$2:D$467,RBCount+WRCount+TECount)</f>
        <v>-52.34</v>
      </c>
      <c r="F287" s="1" t="str">
        <f ca="1">IF(H287&lt;=I287,"Starter",IF(G287&gt;=LARGE(G:G,FlexOn*LeagueInfo!$F$2),"Starter","Bench"))</f>
        <v>Bench</v>
      </c>
      <c r="G287" s="1">
        <f ca="1">IF(H287&gt;I287,D287,0)</f>
        <v>24.500000000000004</v>
      </c>
      <c r="H287" s="1">
        <f ca="1">INDEX(INDIRECT(""&amp;C287&amp;"!A2:A489"),MATCH(B287,INDIRECT(""&amp;C287&amp;"!B2:B489"),0))</f>
        <v>96</v>
      </c>
      <c r="I287" s="1">
        <f>IF(C287="RB",LeagueInfo!$D$4*LeagueInfo!$F$2,IF(C287="WR",LeagueInfo!$D$5*LeagueInfo!$F$2,IF(C287="TE",LeagueInfo!$D$6*LeagueInfo!$F$2)))</f>
        <v>24</v>
      </c>
    </row>
    <row r="288" spans="1:9" x14ac:dyDescent="0.25">
      <c r="A288" s="47">
        <f ca="1">RANK(E288,E$2:E$574)</f>
        <v>287</v>
      </c>
      <c r="B288" s="1" t="s">
        <v>624</v>
      </c>
      <c r="C288" s="1" t="s">
        <v>39</v>
      </c>
      <c r="D288" s="1">
        <f ca="1">INDEX(INDIRECT($C288&amp;"!O:O"),MATCH($B288,INDIRECT($C288&amp;"!B:B"),0))</f>
        <v>20.860000000000003</v>
      </c>
      <c r="E288" s="254">
        <f ca="1">D288-LARGE(D$2:D$467,RBCount+WRCount+TECount)</f>
        <v>-55.980000000000004</v>
      </c>
      <c r="F288" s="1" t="str">
        <f ca="1">IF(H288&lt;=I288,"Starter",IF(G288&gt;=LARGE(G:G,FlexOn*LeagueInfo!$F$2),"Starter","Bench"))</f>
        <v>Bench</v>
      </c>
      <c r="G288" s="1">
        <f ca="1">IF(H288&gt;I288,D288,0)</f>
        <v>20.860000000000003</v>
      </c>
      <c r="H288" s="1">
        <f ca="1">INDEX(INDIRECT(""&amp;C288&amp;"!A2:A489"),MATCH(B288,INDIRECT(""&amp;C288&amp;"!B2:B489"),0))</f>
        <v>131</v>
      </c>
      <c r="I288" s="1">
        <f>IF(C288="RB",LeagueInfo!$D$4*LeagueInfo!$F$2,IF(C288="WR",LeagueInfo!$D$5*LeagueInfo!$F$2,IF(C288="TE",LeagueInfo!$D$6*LeagueInfo!$F$2)))</f>
        <v>24</v>
      </c>
    </row>
    <row r="289" spans="1:9" x14ac:dyDescent="0.25">
      <c r="A289" s="47">
        <f ca="1">RANK(E289,E$2:E$574)</f>
        <v>291</v>
      </c>
      <c r="B289" s="1" t="s">
        <v>625</v>
      </c>
      <c r="C289" s="1" t="s">
        <v>39</v>
      </c>
      <c r="D289" s="1">
        <f ca="1">INDEX(INDIRECT($C289&amp;"!O:O"),MATCH($B289,INDIRECT($C289&amp;"!B:B"),0))</f>
        <v>19.45</v>
      </c>
      <c r="E289" s="254">
        <f ca="1">D289-LARGE(D$2:D$467,RBCount+WRCount+TECount)</f>
        <v>-57.39</v>
      </c>
      <c r="F289" s="1" t="str">
        <f ca="1">IF(H289&lt;=I289,"Starter",IF(G289&gt;=LARGE(G:G,FlexOn*LeagueInfo!$F$2),"Starter","Bench"))</f>
        <v>Bench</v>
      </c>
      <c r="G289" s="1">
        <f ca="1">IF(H289&gt;I289,D289,0)</f>
        <v>19.45</v>
      </c>
      <c r="H289" s="1">
        <f ca="1">INDEX(INDIRECT(""&amp;C289&amp;"!A2:A489"),MATCH(B289,INDIRECT(""&amp;C289&amp;"!B2:B489"),0))</f>
        <v>132</v>
      </c>
      <c r="I289" s="1">
        <f>IF(C289="RB",LeagueInfo!$D$4*LeagueInfo!$F$2,IF(C289="WR",LeagueInfo!$D$5*LeagueInfo!$F$2,IF(C289="TE",LeagueInfo!$D$6*LeagueInfo!$F$2)))</f>
        <v>24</v>
      </c>
    </row>
    <row r="290" spans="1:9" x14ac:dyDescent="0.25">
      <c r="A290" s="47">
        <f ca="1">RANK(E290,E$2:E$574)</f>
        <v>285</v>
      </c>
      <c r="B290" s="1" t="s">
        <v>485</v>
      </c>
      <c r="C290" s="1" t="s">
        <v>32</v>
      </c>
      <c r="D290" s="1">
        <f ca="1">INDEX(INDIRECT($C290&amp;"!O:O"),MATCH($B290,INDIRECT($C290&amp;"!B:B"),0))</f>
        <v>22.23</v>
      </c>
      <c r="E290" s="254">
        <f ca="1">D290-LARGE(D$2:D$467,RBCount+WRCount+TECount)</f>
        <v>-54.61</v>
      </c>
      <c r="F290" s="1" t="str">
        <f ca="1">IF(H290&lt;=I290,"Starter",IF(G290&gt;=LARGE(G:G,FlexOn*LeagueInfo!$F$2),"Starter","Bench"))</f>
        <v>Bench</v>
      </c>
      <c r="G290" s="1">
        <f ca="1">IF(H290&gt;I290,D290,0)</f>
        <v>22.23</v>
      </c>
      <c r="H290" s="1">
        <f ca="1">INDEX(INDIRECT(""&amp;C290&amp;"!A2:A489"),MATCH(B290,INDIRECT(""&amp;C290&amp;"!B2:B489"),0))</f>
        <v>100</v>
      </c>
      <c r="I290" s="1">
        <f>IF(C290="RB",LeagueInfo!$D$4*LeagueInfo!$F$2,IF(C290="WR",LeagueInfo!$D$5*LeagueInfo!$F$2,IF(C290="TE",LeagueInfo!$D$6*LeagueInfo!$F$2)))</f>
        <v>24</v>
      </c>
    </row>
    <row r="291" spans="1:9" x14ac:dyDescent="0.25">
      <c r="A291" s="47">
        <f ca="1">RANK(E291,E$2:E$574)</f>
        <v>278</v>
      </c>
      <c r="B291" s="1" t="s">
        <v>470</v>
      </c>
      <c r="C291" s="1" t="s">
        <v>32</v>
      </c>
      <c r="D291" s="1">
        <f ca="1">INDEX(INDIRECT($C291&amp;"!O:O"),MATCH($B291,INDIRECT($C291&amp;"!B:B"),0))</f>
        <v>23.100000000000005</v>
      </c>
      <c r="E291" s="254">
        <f ca="1">D291-LARGE(D$2:D$467,RBCount+WRCount+TECount)</f>
        <v>-53.739999999999995</v>
      </c>
      <c r="F291" s="1" t="str">
        <f ca="1">IF(H291&lt;=I291,"Starter",IF(G291&gt;=LARGE(G:G,FlexOn*LeagueInfo!$F$2),"Starter","Bench"))</f>
        <v>Bench</v>
      </c>
      <c r="G291" s="1">
        <f ca="1">IF(H291&gt;I291,D291,0)</f>
        <v>23.100000000000005</v>
      </c>
      <c r="H291" s="1">
        <f ca="1">INDEX(INDIRECT(""&amp;C291&amp;"!A2:A489"),MATCH(B291,INDIRECT(""&amp;C291&amp;"!B2:B489"),0))</f>
        <v>98</v>
      </c>
      <c r="I291" s="1">
        <f>IF(C291="RB",LeagueInfo!$D$4*LeagueInfo!$F$2,IF(C291="WR",LeagueInfo!$D$5*LeagueInfo!$F$2,IF(C291="TE",LeagueInfo!$D$6*LeagueInfo!$F$2)))</f>
        <v>24</v>
      </c>
    </row>
    <row r="292" spans="1:9" x14ac:dyDescent="0.25">
      <c r="A292" s="47">
        <f ca="1">RANK(E292,E$2:E$574)</f>
        <v>292</v>
      </c>
      <c r="B292" s="1" t="s">
        <v>608</v>
      </c>
      <c r="C292" s="1" t="s">
        <v>39</v>
      </c>
      <c r="D292" s="1">
        <f ca="1">INDEX(INDIRECT($C292&amp;"!O:O"),MATCH($B292,INDIRECT($C292&amp;"!B:B"),0))</f>
        <v>19.37</v>
      </c>
      <c r="E292" s="254">
        <f ca="1">D292-LARGE(D$2:D$467,RBCount+WRCount+TECount)</f>
        <v>-57.47</v>
      </c>
      <c r="F292" s="1" t="str">
        <f ca="1">IF(H292&lt;=I292,"Starter",IF(G292&gt;=LARGE(G:G,FlexOn*LeagueInfo!$F$2),"Starter","Bench"))</f>
        <v>Bench</v>
      </c>
      <c r="G292" s="1">
        <f ca="1">IF(H292&gt;I292,D292,0)</f>
        <v>19.37</v>
      </c>
      <c r="H292" s="1">
        <f ca="1">INDEX(INDIRECT(""&amp;C292&amp;"!A2:A489"),MATCH(B292,INDIRECT(""&amp;C292&amp;"!B2:B489"),0))</f>
        <v>133</v>
      </c>
      <c r="I292" s="1">
        <f>IF(C292="RB",LeagueInfo!$D$4*LeagueInfo!$F$2,IF(C292="WR",LeagueInfo!$D$5*LeagueInfo!$F$2,IF(C292="TE",LeagueInfo!$D$6*LeagueInfo!$F$2)))</f>
        <v>24</v>
      </c>
    </row>
    <row r="293" spans="1:9" x14ac:dyDescent="0.25">
      <c r="A293" s="47">
        <f ca="1">RANK(E293,E$2:E$574)</f>
        <v>294</v>
      </c>
      <c r="B293" s="1" t="s">
        <v>746</v>
      </c>
      <c r="C293" s="1" t="s">
        <v>47</v>
      </c>
      <c r="D293" s="1">
        <f ca="1">INDEX(INDIRECT($C293&amp;"!O:O"),MATCH($B293,INDIRECT($C293&amp;"!B:B"),0))</f>
        <v>18.940000000000005</v>
      </c>
      <c r="E293" s="254">
        <f ca="1">D293-LARGE(D$2:D$467,RBCount+WRCount+TECount)</f>
        <v>-57.9</v>
      </c>
      <c r="F293" s="1" t="str">
        <f ca="1">IF(H293&lt;=I293,"Starter",IF(G293&gt;=LARGE(G:G,FlexOn*LeagueInfo!$F$2),"Starter","Bench"))</f>
        <v>Bench</v>
      </c>
      <c r="G293" s="1">
        <f ca="1">IF(H293&gt;I293,D293,0)</f>
        <v>18.940000000000005</v>
      </c>
      <c r="H293" s="1">
        <f ca="1">INDEX(INDIRECT(""&amp;C293&amp;"!A2:A489"),MATCH(B293,INDIRECT(""&amp;C293&amp;"!B2:B489"),0))</f>
        <v>59</v>
      </c>
      <c r="I293" s="1">
        <f>IF(C293="RB",LeagueInfo!$D$4*LeagueInfo!$F$2,IF(C293="WR",LeagueInfo!$D$5*LeagueInfo!$F$2,IF(C293="TE",LeagueInfo!$D$6*LeagueInfo!$F$2)))</f>
        <v>12</v>
      </c>
    </row>
    <row r="294" spans="1:9" x14ac:dyDescent="0.25">
      <c r="A294" s="47">
        <f ca="1">RANK(E294,E$2:E$574)</f>
        <v>295</v>
      </c>
      <c r="B294" s="1" t="s">
        <v>609</v>
      </c>
      <c r="C294" s="1" t="s">
        <v>39</v>
      </c>
      <c r="D294" s="1">
        <f ca="1">INDEX(INDIRECT($C294&amp;"!O:O"),MATCH($B294,INDIRECT($C294&amp;"!B:B"),0))</f>
        <v>18.840000000000003</v>
      </c>
      <c r="E294" s="254">
        <f ca="1">D294-LARGE(D$2:D$467,RBCount+WRCount+TECount)</f>
        <v>-58</v>
      </c>
      <c r="F294" s="1" t="str">
        <f ca="1">IF(H294&lt;=I294,"Starter",IF(G294&gt;=LARGE(G:G,FlexOn*LeagueInfo!$F$2),"Starter","Bench"))</f>
        <v>Bench</v>
      </c>
      <c r="G294" s="1">
        <f ca="1">IF(H294&gt;I294,D294,0)</f>
        <v>18.840000000000003</v>
      </c>
      <c r="H294" s="1">
        <f ca="1">INDEX(INDIRECT(""&amp;C294&amp;"!A2:A489"),MATCH(B294,INDIRECT(""&amp;C294&amp;"!B2:B489"),0))</f>
        <v>135</v>
      </c>
      <c r="I294" s="1">
        <f>IF(C294="RB",LeagueInfo!$D$4*LeagueInfo!$F$2,IF(C294="WR",LeagueInfo!$D$5*LeagueInfo!$F$2,IF(C294="TE",LeagueInfo!$D$6*LeagueInfo!$F$2)))</f>
        <v>24</v>
      </c>
    </row>
    <row r="295" spans="1:9" x14ac:dyDescent="0.25">
      <c r="A295" s="47">
        <f ca="1">RANK(E295,E$2:E$574)</f>
        <v>296</v>
      </c>
      <c r="B295" s="1" t="s">
        <v>745</v>
      </c>
      <c r="C295" s="1" t="s">
        <v>47</v>
      </c>
      <c r="D295" s="1">
        <f ca="1">INDEX(INDIRECT($C295&amp;"!O:O"),MATCH($B295,INDIRECT($C295&amp;"!B:B"),0))</f>
        <v>18.290000000000003</v>
      </c>
      <c r="E295" s="254">
        <f ca="1">D295-LARGE(D$2:D$467,RBCount+WRCount+TECount)</f>
        <v>-58.55</v>
      </c>
      <c r="F295" s="1" t="str">
        <f ca="1">IF(H295&lt;=I295,"Starter",IF(G295&gt;=LARGE(G:G,FlexOn*LeagueInfo!$F$2),"Starter","Bench"))</f>
        <v>Bench</v>
      </c>
      <c r="G295" s="1">
        <f ca="1">IF(H295&gt;I295,D295,0)</f>
        <v>18.290000000000003</v>
      </c>
      <c r="H295" s="1">
        <f ca="1">INDEX(INDIRECT(""&amp;C295&amp;"!A2:A489"),MATCH(B295,INDIRECT(""&amp;C295&amp;"!B2:B489"),0))</f>
        <v>60</v>
      </c>
      <c r="I295" s="1">
        <f>IF(C295="RB",LeagueInfo!$D$4*LeagueInfo!$F$2,IF(C295="WR",LeagueInfo!$D$5*LeagueInfo!$F$2,IF(C295="TE",LeagueInfo!$D$6*LeagueInfo!$F$2)))</f>
        <v>12</v>
      </c>
    </row>
    <row r="296" spans="1:9" x14ac:dyDescent="0.25">
      <c r="A296" s="47">
        <f ca="1">RANK(E296,E$2:E$574)</f>
        <v>286</v>
      </c>
      <c r="B296" s="1" t="s">
        <v>465</v>
      </c>
      <c r="C296" s="1" t="s">
        <v>32</v>
      </c>
      <c r="D296" s="1">
        <f ca="1">INDEX(INDIRECT($C296&amp;"!O:O"),MATCH($B296,INDIRECT($C296&amp;"!B:B"),0))</f>
        <v>21.18</v>
      </c>
      <c r="E296" s="254">
        <f ca="1">D296-LARGE(D$2:D$467,RBCount+WRCount+TECount)</f>
        <v>-55.660000000000004</v>
      </c>
      <c r="F296" s="1" t="str">
        <f ca="1">IF(H296&lt;=I296,"Starter",IF(G296&gt;=LARGE(G:G,FlexOn*LeagueInfo!$F$2),"Starter","Bench"))</f>
        <v>Bench</v>
      </c>
      <c r="G296" s="1">
        <f ca="1">IF(H296&gt;I296,D296,0)</f>
        <v>21.18</v>
      </c>
      <c r="H296" s="1">
        <f ca="1">INDEX(INDIRECT(""&amp;C296&amp;"!A2:A489"),MATCH(B296,INDIRECT(""&amp;C296&amp;"!B2:B489"),0))</f>
        <v>101</v>
      </c>
      <c r="I296" s="1">
        <f>IF(C296="RB",LeagueInfo!$D$4*LeagueInfo!$F$2,IF(C296="WR",LeagueInfo!$D$5*LeagueInfo!$F$2,IF(C296="TE",LeagueInfo!$D$6*LeagueInfo!$F$2)))</f>
        <v>24</v>
      </c>
    </row>
    <row r="297" spans="1:9" x14ac:dyDescent="0.25">
      <c r="A297" s="47">
        <f ca="1">RANK(E297,E$2:E$574)</f>
        <v>298</v>
      </c>
      <c r="B297" s="1" t="s">
        <v>756</v>
      </c>
      <c r="C297" s="1" t="s">
        <v>47</v>
      </c>
      <c r="D297" s="1">
        <f ca="1">INDEX(INDIRECT($C297&amp;"!O:O"),MATCH($B297,INDIRECT($C297&amp;"!B:B"),0))</f>
        <v>17.590000000000003</v>
      </c>
      <c r="E297" s="254">
        <f ca="1">D297-LARGE(D$2:D$467,RBCount+WRCount+TECount)</f>
        <v>-59.25</v>
      </c>
      <c r="F297" s="1" t="str">
        <f ca="1">IF(H297&lt;=I297,"Starter",IF(G297&gt;=LARGE(G:G,FlexOn*LeagueInfo!$F$2),"Starter","Bench"))</f>
        <v>Bench</v>
      </c>
      <c r="G297" s="1">
        <f ca="1">IF(H297&gt;I297,D297,0)</f>
        <v>17.590000000000003</v>
      </c>
      <c r="H297" s="1">
        <f ca="1">INDEX(INDIRECT(""&amp;C297&amp;"!A2:A489"),MATCH(B297,INDIRECT(""&amp;C297&amp;"!B2:B489"),0))</f>
        <v>61</v>
      </c>
      <c r="I297" s="1">
        <f>IF(C297="RB",LeagueInfo!$D$4*LeagueInfo!$F$2,IF(C297="WR",LeagueInfo!$D$5*LeagueInfo!$F$2,IF(C297="TE",LeagueInfo!$D$6*LeagueInfo!$F$2)))</f>
        <v>12</v>
      </c>
    </row>
    <row r="298" spans="1:9" x14ac:dyDescent="0.25">
      <c r="A298" s="47">
        <f ca="1">RANK(E298,E$2:E$574)</f>
        <v>297</v>
      </c>
      <c r="B298" s="1" t="s">
        <v>631</v>
      </c>
      <c r="C298" s="1" t="s">
        <v>39</v>
      </c>
      <c r="D298" s="1">
        <f ca="1">INDEX(INDIRECT($C298&amp;"!O:O"),MATCH($B298,INDIRECT($C298&amp;"!B:B"),0))</f>
        <v>17.97</v>
      </c>
      <c r="E298" s="254">
        <f ca="1">D298-LARGE(D$2:D$467,RBCount+WRCount+TECount)</f>
        <v>-58.870000000000005</v>
      </c>
      <c r="F298" s="1" t="str">
        <f ca="1">IF(H298&lt;=I298,"Starter",IF(G298&gt;=LARGE(G:G,FlexOn*LeagueInfo!$F$2),"Starter","Bench"))</f>
        <v>Bench</v>
      </c>
      <c r="G298" s="1">
        <f ca="1">IF(H298&gt;I298,D298,0)</f>
        <v>17.97</v>
      </c>
      <c r="H298" s="1">
        <f ca="1">INDEX(INDIRECT(""&amp;C298&amp;"!A2:A489"),MATCH(B298,INDIRECT(""&amp;C298&amp;"!B2:B489"),0))</f>
        <v>136</v>
      </c>
      <c r="I298" s="1">
        <f>IF(C298="RB",LeagueInfo!$D$4*LeagueInfo!$F$2,IF(C298="WR",LeagueInfo!$D$5*LeagueInfo!$F$2,IF(C298="TE",LeagueInfo!$D$6*LeagueInfo!$F$2)))</f>
        <v>24</v>
      </c>
    </row>
    <row r="299" spans="1:9" x14ac:dyDescent="0.25">
      <c r="A299" s="47">
        <f ca="1">RANK(E299,E$2:E$574)</f>
        <v>300</v>
      </c>
      <c r="B299" s="1" t="s">
        <v>628</v>
      </c>
      <c r="C299" s="1" t="s">
        <v>39</v>
      </c>
      <c r="D299" s="1">
        <f ca="1">INDEX(INDIRECT($C299&amp;"!O:O"),MATCH($B299,INDIRECT($C299&amp;"!B:B"),0))</f>
        <v>16.62</v>
      </c>
      <c r="E299" s="254">
        <f ca="1">D299-LARGE(D$2:D$467,RBCount+WRCount+TECount)</f>
        <v>-60.22</v>
      </c>
      <c r="F299" s="1" t="str">
        <f ca="1">IF(H299&lt;=I299,"Starter",IF(G299&gt;=LARGE(G:G,FlexOn*LeagueInfo!$F$2),"Starter","Bench"))</f>
        <v>Bench</v>
      </c>
      <c r="G299" s="1">
        <f ca="1">IF(H299&gt;I299,D299,0)</f>
        <v>16.62</v>
      </c>
      <c r="H299" s="1">
        <f ca="1">INDEX(INDIRECT(""&amp;C299&amp;"!A2:A489"),MATCH(B299,INDIRECT(""&amp;C299&amp;"!B2:B489"),0))</f>
        <v>137</v>
      </c>
      <c r="I299" s="1">
        <f>IF(C299="RB",LeagueInfo!$D$4*LeagueInfo!$F$2,IF(C299="WR",LeagueInfo!$D$5*LeagueInfo!$F$2,IF(C299="TE",LeagueInfo!$D$6*LeagueInfo!$F$2)))</f>
        <v>24</v>
      </c>
    </row>
    <row r="300" spans="1:9" x14ac:dyDescent="0.25">
      <c r="A300" s="47">
        <f ca="1">RANK(E300,E$2:E$574)</f>
        <v>293</v>
      </c>
      <c r="B300" s="1" t="s">
        <v>620</v>
      </c>
      <c r="C300" s="1" t="s">
        <v>39</v>
      </c>
      <c r="D300" s="1">
        <f ca="1">INDEX(INDIRECT($C300&amp;"!O:O"),MATCH($B300,INDIRECT($C300&amp;"!B:B"),0))</f>
        <v>19.05</v>
      </c>
      <c r="E300" s="254">
        <f ca="1">D300-LARGE(D$2:D$467,RBCount+WRCount+TECount)</f>
        <v>-57.790000000000006</v>
      </c>
      <c r="F300" s="1" t="str">
        <f ca="1">IF(H300&lt;=I300,"Starter",IF(G300&gt;=LARGE(G:G,FlexOn*LeagueInfo!$F$2),"Starter","Bench"))</f>
        <v>Bench</v>
      </c>
      <c r="G300" s="1">
        <f ca="1">IF(H300&gt;I300,D300,0)</f>
        <v>19.05</v>
      </c>
      <c r="H300" s="1">
        <f ca="1">INDEX(INDIRECT(""&amp;C300&amp;"!A2:A489"),MATCH(B300,INDIRECT(""&amp;C300&amp;"!B2:B489"),0))</f>
        <v>134</v>
      </c>
      <c r="I300" s="1">
        <f>IF(C300="RB",LeagueInfo!$D$4*LeagueInfo!$F$2,IF(C300="WR",LeagueInfo!$D$5*LeagueInfo!$F$2,IF(C300="TE",LeagueInfo!$D$6*LeagueInfo!$F$2)))</f>
        <v>24</v>
      </c>
    </row>
    <row r="301" spans="1:9" x14ac:dyDescent="0.25">
      <c r="A301" s="47">
        <f ca="1">RANK(E301,E$2:E$574)</f>
        <v>307</v>
      </c>
      <c r="B301" s="1" t="s">
        <v>733</v>
      </c>
      <c r="C301" s="1" t="s">
        <v>47</v>
      </c>
      <c r="D301" s="1">
        <f ca="1">INDEX(INDIRECT($C301&amp;"!O:O"),MATCH($B301,INDIRECT($C301&amp;"!B:B"),0))</f>
        <v>16.150000000000002</v>
      </c>
      <c r="E301" s="254">
        <f ca="1">D301-LARGE(D$2:D$467,RBCount+WRCount+TECount)</f>
        <v>-60.69</v>
      </c>
      <c r="F301" s="1" t="str">
        <f ca="1">IF(H301&lt;=I301,"Starter",IF(G301&gt;=LARGE(G:G,FlexOn*LeagueInfo!$F$2),"Starter","Bench"))</f>
        <v>Bench</v>
      </c>
      <c r="G301" s="1">
        <f ca="1">IF(H301&gt;I301,D301,0)</f>
        <v>16.150000000000002</v>
      </c>
      <c r="H301" s="1">
        <f ca="1">INDEX(INDIRECT(""&amp;C301&amp;"!A2:A489"),MATCH(B301,INDIRECT(""&amp;C301&amp;"!B2:B489"),0))</f>
        <v>62</v>
      </c>
      <c r="I301" s="1">
        <f>IF(C301="RB",LeagueInfo!$D$4*LeagueInfo!$F$2,IF(C301="WR",LeagueInfo!$D$5*LeagueInfo!$F$2,IF(C301="TE",LeagueInfo!$D$6*LeagueInfo!$F$2)))</f>
        <v>12</v>
      </c>
    </row>
    <row r="302" spans="1:9" x14ac:dyDescent="0.25">
      <c r="A302" s="47">
        <f ca="1">RANK(E302,E$2:E$574)</f>
        <v>306</v>
      </c>
      <c r="B302" s="1" t="s">
        <v>629</v>
      </c>
      <c r="C302" s="1" t="s">
        <v>39</v>
      </c>
      <c r="D302" s="1">
        <f ca="1">INDEX(INDIRECT($C302&amp;"!O:O"),MATCH($B302,INDIRECT($C302&amp;"!B:B"),0))</f>
        <v>16.160000000000004</v>
      </c>
      <c r="E302" s="254">
        <f ca="1">D302-LARGE(D$2:D$467,RBCount+WRCount+TECount)</f>
        <v>-60.68</v>
      </c>
      <c r="F302" s="1" t="str">
        <f ca="1">IF(H302&lt;=I302,"Starter",IF(G302&gt;=LARGE(G:G,FlexOn*LeagueInfo!$F$2),"Starter","Bench"))</f>
        <v>Bench</v>
      </c>
      <c r="G302" s="1">
        <f ca="1">IF(H302&gt;I302,D302,0)</f>
        <v>16.160000000000004</v>
      </c>
      <c r="H302" s="1">
        <f ca="1">INDEX(INDIRECT(""&amp;C302&amp;"!A2:A489"),MATCH(B302,INDIRECT(""&amp;C302&amp;"!B2:B489"),0))</f>
        <v>141</v>
      </c>
      <c r="I302" s="1">
        <f>IF(C302="RB",LeagueInfo!$D$4*LeagueInfo!$F$2,IF(C302="WR",LeagueInfo!$D$5*LeagueInfo!$F$2,IF(C302="TE",LeagueInfo!$D$6*LeagueInfo!$F$2)))</f>
        <v>24</v>
      </c>
    </row>
    <row r="303" spans="1:9" x14ac:dyDescent="0.25">
      <c r="A303" s="47">
        <f ca="1">RANK(E303,E$2:E$574)</f>
        <v>308</v>
      </c>
      <c r="B303" s="1" t="s">
        <v>751</v>
      </c>
      <c r="C303" s="1" t="s">
        <v>47</v>
      </c>
      <c r="D303" s="1">
        <f ca="1">INDEX(INDIRECT($C303&amp;"!O:O"),MATCH($B303,INDIRECT($C303&amp;"!B:B"),0))</f>
        <v>16.13</v>
      </c>
      <c r="E303" s="254">
        <f ca="1">D303-LARGE(D$2:D$467,RBCount+WRCount+TECount)</f>
        <v>-60.710000000000008</v>
      </c>
      <c r="F303" s="1" t="str">
        <f ca="1">IF(H303&lt;=I303,"Starter",IF(G303&gt;=LARGE(G:G,FlexOn*LeagueInfo!$F$2),"Starter","Bench"))</f>
        <v>Bench</v>
      </c>
      <c r="G303" s="1">
        <f ca="1">IF(H303&gt;I303,D303,0)</f>
        <v>16.13</v>
      </c>
      <c r="H303" s="1">
        <f ca="1">INDEX(INDIRECT(""&amp;C303&amp;"!A2:A489"),MATCH(B303,INDIRECT(""&amp;C303&amp;"!B2:B489"),0))</f>
        <v>63</v>
      </c>
      <c r="I303" s="1">
        <f>IF(C303="RB",LeagueInfo!$D$4*LeagueInfo!$F$2,IF(C303="WR",LeagueInfo!$D$5*LeagueInfo!$F$2,IF(C303="TE",LeagueInfo!$D$6*LeagueInfo!$F$2)))</f>
        <v>12</v>
      </c>
    </row>
    <row r="304" spans="1:9" x14ac:dyDescent="0.25">
      <c r="A304" s="47">
        <f ca="1">RANK(E304,E$2:E$574)</f>
        <v>309</v>
      </c>
      <c r="B304" s="1" t="s">
        <v>687</v>
      </c>
      <c r="C304" s="1" t="s">
        <v>39</v>
      </c>
      <c r="D304" s="1">
        <f ca="1">INDEX(INDIRECT($C304&amp;"!O:O"),MATCH($B304,INDIRECT($C304&amp;"!B:B"),0))</f>
        <v>16.049999999999997</v>
      </c>
      <c r="E304" s="254">
        <f ca="1">D304-LARGE(D$2:D$467,RBCount+WRCount+TECount)</f>
        <v>-60.790000000000006</v>
      </c>
      <c r="F304" s="1" t="str">
        <f ca="1">IF(H304&lt;=I304,"Starter",IF(G304&gt;=LARGE(G:G,FlexOn*LeagueInfo!$F$2),"Starter","Bench"))</f>
        <v>Bench</v>
      </c>
      <c r="G304" s="1">
        <f ca="1">IF(H304&gt;I304,D304,0)</f>
        <v>16.049999999999997</v>
      </c>
      <c r="H304" s="1">
        <f ca="1">INDEX(INDIRECT(""&amp;C304&amp;"!A2:A489"),MATCH(B304,INDIRECT(""&amp;C304&amp;"!B2:B489"),0))</f>
        <v>142</v>
      </c>
      <c r="I304" s="1">
        <f>IF(C304="RB",LeagueInfo!$D$4*LeagueInfo!$F$2,IF(C304="WR",LeagueInfo!$D$5*LeagueInfo!$F$2,IF(C304="TE",LeagueInfo!$D$6*LeagueInfo!$F$2)))</f>
        <v>24</v>
      </c>
    </row>
    <row r="305" spans="1:9" x14ac:dyDescent="0.25">
      <c r="A305" s="47">
        <f ca="1">RANK(E305,E$2:E$574)</f>
        <v>301</v>
      </c>
      <c r="B305" s="1" t="s">
        <v>658</v>
      </c>
      <c r="C305" s="1" t="s">
        <v>39</v>
      </c>
      <c r="D305" s="1">
        <f ca="1">INDEX(INDIRECT($C305&amp;"!O:O"),MATCH($B305,INDIRECT($C305&amp;"!B:B"),0))</f>
        <v>16.520000000000003</v>
      </c>
      <c r="E305" s="254">
        <f ca="1">D305-LARGE(D$2:D$467,RBCount+WRCount+TECount)</f>
        <v>-60.32</v>
      </c>
      <c r="F305" s="1" t="str">
        <f ca="1">IF(H305&lt;=I305,"Starter",IF(G305&gt;=LARGE(G:G,FlexOn*LeagueInfo!$F$2),"Starter","Bench"))</f>
        <v>Bench</v>
      </c>
      <c r="G305" s="1">
        <f ca="1">IF(H305&gt;I305,D305,0)</f>
        <v>16.520000000000003</v>
      </c>
      <c r="H305" s="1">
        <f ca="1">INDEX(INDIRECT(""&amp;C305&amp;"!A2:A489"),MATCH(B305,INDIRECT(""&amp;C305&amp;"!B2:B489"),0))</f>
        <v>138</v>
      </c>
      <c r="I305" s="1">
        <f>IF(C305="RB",LeagueInfo!$D$4*LeagueInfo!$F$2,IF(C305="WR",LeagueInfo!$D$5*LeagueInfo!$F$2,IF(C305="TE",LeagueInfo!$D$6*LeagueInfo!$F$2)))</f>
        <v>24</v>
      </c>
    </row>
    <row r="306" spans="1:9" x14ac:dyDescent="0.25">
      <c r="A306" s="47">
        <f ca="1">RANK(E306,E$2:E$574)</f>
        <v>302</v>
      </c>
      <c r="B306" s="1" t="s">
        <v>617</v>
      </c>
      <c r="C306" s="1" t="s">
        <v>39</v>
      </c>
      <c r="D306" s="1">
        <f ca="1">INDEX(INDIRECT($C306&amp;"!O:O"),MATCH($B306,INDIRECT($C306&amp;"!B:B"),0))</f>
        <v>16.46</v>
      </c>
      <c r="E306" s="254">
        <f ca="1">D306-LARGE(D$2:D$467,RBCount+WRCount+TECount)</f>
        <v>-60.38</v>
      </c>
      <c r="F306" s="1" t="str">
        <f ca="1">IF(H306&lt;=I306,"Starter",IF(G306&gt;=LARGE(G:G,FlexOn*LeagueInfo!$F$2),"Starter","Bench"))</f>
        <v>Bench</v>
      </c>
      <c r="G306" s="1">
        <f ca="1">IF(H306&gt;I306,D306,0)</f>
        <v>16.46</v>
      </c>
      <c r="H306" s="1">
        <f ca="1">INDEX(INDIRECT(""&amp;C306&amp;"!A2:A489"),MATCH(B306,INDIRECT(""&amp;C306&amp;"!B2:B489"),0))</f>
        <v>139</v>
      </c>
      <c r="I306" s="1">
        <f>IF(C306="RB",LeagueInfo!$D$4*LeagueInfo!$F$2,IF(C306="WR",LeagueInfo!$D$5*LeagueInfo!$F$2,IF(C306="TE",LeagueInfo!$D$6*LeagueInfo!$F$2)))</f>
        <v>24</v>
      </c>
    </row>
    <row r="307" spans="1:9" x14ac:dyDescent="0.25">
      <c r="A307" s="47">
        <f ca="1">RANK(E307,E$2:E$574)</f>
        <v>303</v>
      </c>
      <c r="B307" s="1" t="s">
        <v>619</v>
      </c>
      <c r="C307" s="1" t="s">
        <v>39</v>
      </c>
      <c r="D307" s="1">
        <f ca="1">INDEX(INDIRECT($C307&amp;"!O:O"),MATCH($B307,INDIRECT($C307&amp;"!B:B"),0))</f>
        <v>16.419999999999998</v>
      </c>
      <c r="E307" s="254">
        <f ca="1">D307-LARGE(D$2:D$467,RBCount+WRCount+TECount)</f>
        <v>-60.42</v>
      </c>
      <c r="F307" s="1" t="str">
        <f ca="1">IF(H307&lt;=I307,"Starter",IF(G307&gt;=LARGE(G:G,FlexOn*LeagueInfo!$F$2),"Starter","Bench"))</f>
        <v>Bench</v>
      </c>
      <c r="G307" s="1">
        <f ca="1">IF(H307&gt;I307,D307,0)</f>
        <v>16.419999999999998</v>
      </c>
      <c r="H307" s="1">
        <f ca="1">INDEX(INDIRECT(""&amp;C307&amp;"!A2:A489"),MATCH(B307,INDIRECT(""&amp;C307&amp;"!B2:B489"),0))</f>
        <v>140</v>
      </c>
      <c r="I307" s="1">
        <f>IF(C307="RB",LeagueInfo!$D$4*LeagueInfo!$F$2,IF(C307="WR",LeagueInfo!$D$5*LeagueInfo!$F$2,IF(C307="TE",LeagueInfo!$D$6*LeagueInfo!$F$2)))</f>
        <v>24</v>
      </c>
    </row>
    <row r="308" spans="1:9" x14ac:dyDescent="0.25">
      <c r="A308" s="47">
        <f ca="1">RANK(E308,E$2:E$574)</f>
        <v>312</v>
      </c>
      <c r="B308" s="1" t="s">
        <v>752</v>
      </c>
      <c r="C308" s="1" t="s">
        <v>47</v>
      </c>
      <c r="D308" s="1">
        <f ca="1">INDEX(INDIRECT($C308&amp;"!O:O"),MATCH($B308,INDIRECT($C308&amp;"!B:B"),0))</f>
        <v>15.03</v>
      </c>
      <c r="E308" s="254">
        <f ca="1">D308-LARGE(D$2:D$467,RBCount+WRCount+TECount)</f>
        <v>-61.81</v>
      </c>
      <c r="F308" s="1" t="str">
        <f ca="1">IF(H308&lt;=I308,"Starter",IF(G308&gt;=LARGE(G:G,FlexOn*LeagueInfo!$F$2),"Starter","Bench"))</f>
        <v>Bench</v>
      </c>
      <c r="G308" s="1">
        <f ca="1">IF(H308&gt;I308,D308,0)</f>
        <v>15.03</v>
      </c>
      <c r="H308" s="1">
        <f ca="1">INDEX(INDIRECT(""&amp;C308&amp;"!A2:A489"),MATCH(B308,INDIRECT(""&amp;C308&amp;"!B2:B489"),0))</f>
        <v>64</v>
      </c>
      <c r="I308" s="1">
        <f>IF(C308="RB",LeagueInfo!$D$4*LeagueInfo!$F$2,IF(C308="WR",LeagueInfo!$D$5*LeagueInfo!$F$2,IF(C308="TE",LeagueInfo!$D$6*LeagueInfo!$F$2)))</f>
        <v>12</v>
      </c>
    </row>
    <row r="309" spans="1:9" x14ac:dyDescent="0.25">
      <c r="A309" s="47">
        <f ca="1">RANK(E309,E$2:E$574)</f>
        <v>311</v>
      </c>
      <c r="B309" s="1" t="s">
        <v>601</v>
      </c>
      <c r="C309" s="1" t="s">
        <v>39</v>
      </c>
      <c r="D309" s="1">
        <f ca="1">INDEX(INDIRECT($C309&amp;"!O:O"),MATCH($B309,INDIRECT($C309&amp;"!B:B"),0))</f>
        <v>15.479999999999999</v>
      </c>
      <c r="E309" s="254">
        <f ca="1">D309-LARGE(D$2:D$467,RBCount+WRCount+TECount)</f>
        <v>-61.360000000000007</v>
      </c>
      <c r="F309" s="1" t="str">
        <f ca="1">IF(H309&lt;=I309,"Starter",IF(G309&gt;=LARGE(G:G,FlexOn*LeagueInfo!$F$2),"Starter","Bench"))</f>
        <v>Bench</v>
      </c>
      <c r="G309" s="1">
        <f ca="1">IF(H309&gt;I309,D309,0)</f>
        <v>15.479999999999999</v>
      </c>
      <c r="H309" s="1">
        <f ca="1">INDEX(INDIRECT(""&amp;C309&amp;"!A2:A489"),MATCH(B309,INDIRECT(""&amp;C309&amp;"!B2:B489"),0))</f>
        <v>143</v>
      </c>
      <c r="I309" s="1">
        <f>IF(C309="RB",LeagueInfo!$D$4*LeagueInfo!$F$2,IF(C309="WR",LeagueInfo!$D$5*LeagueInfo!$F$2,IF(C309="TE",LeagueInfo!$D$6*LeagueInfo!$F$2)))</f>
        <v>24</v>
      </c>
    </row>
    <row r="310" spans="1:9" x14ac:dyDescent="0.25">
      <c r="A310" s="47">
        <f ca="1">RANK(E310,E$2:E$574)</f>
        <v>319</v>
      </c>
      <c r="B310" s="1" t="s">
        <v>755</v>
      </c>
      <c r="C310" s="1" t="s">
        <v>47</v>
      </c>
      <c r="D310" s="1">
        <f ca="1">INDEX(INDIRECT($C310&amp;"!O:O"),MATCH($B310,INDIRECT($C310&amp;"!B:B"),0))</f>
        <v>14.53</v>
      </c>
      <c r="E310" s="254">
        <f ca="1">D310-LARGE(D$2:D$467,RBCount+WRCount+TECount)</f>
        <v>-62.31</v>
      </c>
      <c r="F310" s="1" t="str">
        <f ca="1">IF(H310&lt;=I310,"Starter",IF(G310&gt;=LARGE(G:G,FlexOn*LeagueInfo!$F$2),"Starter","Bench"))</f>
        <v>Bench</v>
      </c>
      <c r="G310" s="1">
        <f ca="1">IF(H310&gt;I310,D310,0)</f>
        <v>14.53</v>
      </c>
      <c r="H310" s="1">
        <f ca="1">INDEX(INDIRECT(""&amp;C310&amp;"!A2:A489"),MATCH(B310,INDIRECT(""&amp;C310&amp;"!B2:B489"),0))</f>
        <v>66</v>
      </c>
      <c r="I310" s="1">
        <f>IF(C310="RB",LeagueInfo!$D$4*LeagueInfo!$F$2,IF(C310="WR",LeagueInfo!$D$5*LeagueInfo!$F$2,IF(C310="TE",LeagueInfo!$D$6*LeagueInfo!$F$2)))</f>
        <v>12</v>
      </c>
    </row>
    <row r="311" spans="1:9" x14ac:dyDescent="0.25">
      <c r="A311" s="47">
        <f ca="1">RANK(E311,E$2:E$574)</f>
        <v>313</v>
      </c>
      <c r="B311" s="1" t="s">
        <v>760</v>
      </c>
      <c r="C311" s="1" t="s">
        <v>47</v>
      </c>
      <c r="D311" s="1">
        <f ca="1">INDEX(INDIRECT($C311&amp;"!O:O"),MATCH($B311,INDIRECT($C311&amp;"!B:B"),0))</f>
        <v>15.020000000000001</v>
      </c>
      <c r="E311" s="254">
        <f ca="1">D311-LARGE(D$2:D$467,RBCount+WRCount+TECount)</f>
        <v>-61.82</v>
      </c>
      <c r="F311" s="1" t="str">
        <f ca="1">IF(H311&lt;=I311,"Starter",IF(G311&gt;=LARGE(G:G,FlexOn*LeagueInfo!$F$2),"Starter","Bench"))</f>
        <v>Bench</v>
      </c>
      <c r="G311" s="1">
        <f ca="1">IF(H311&gt;I311,D311,0)</f>
        <v>15.020000000000001</v>
      </c>
      <c r="H311" s="1">
        <f ca="1">INDEX(INDIRECT(""&amp;C311&amp;"!A2:A489"),MATCH(B311,INDIRECT(""&amp;C311&amp;"!B2:B489"),0))</f>
        <v>65</v>
      </c>
      <c r="I311" s="1">
        <f>IF(C311="RB",LeagueInfo!$D$4*LeagueInfo!$F$2,IF(C311="WR",LeagueInfo!$D$5*LeagueInfo!$F$2,IF(C311="TE",LeagueInfo!$D$6*LeagueInfo!$F$2)))</f>
        <v>12</v>
      </c>
    </row>
    <row r="312" spans="1:9" x14ac:dyDescent="0.25">
      <c r="A312" s="47">
        <f ca="1">RANK(E312,E$2:E$574)</f>
        <v>315</v>
      </c>
      <c r="B312" s="1" t="s">
        <v>478</v>
      </c>
      <c r="C312" s="1" t="s">
        <v>32</v>
      </c>
      <c r="D312" s="1">
        <f ca="1">INDEX(INDIRECT($C312&amp;"!O:O"),MATCH($B312,INDIRECT($C312&amp;"!B:B"),0))</f>
        <v>14.830000000000002</v>
      </c>
      <c r="E312" s="254">
        <f ca="1">D312-LARGE(D$2:D$467,RBCount+WRCount+TECount)</f>
        <v>-62.010000000000005</v>
      </c>
      <c r="F312" s="1" t="str">
        <f ca="1">IF(H312&lt;=I312,"Starter",IF(G312&gt;=LARGE(G:G,FlexOn*LeagueInfo!$F$2),"Starter","Bench"))</f>
        <v>Bench</v>
      </c>
      <c r="G312" s="1">
        <f ca="1">IF(H312&gt;I312,D312,0)</f>
        <v>14.830000000000002</v>
      </c>
      <c r="H312" s="1">
        <f ca="1">INDEX(INDIRECT(""&amp;C312&amp;"!A2:A489"),MATCH(B312,INDIRECT(""&amp;C312&amp;"!B2:B489"),0))</f>
        <v>107</v>
      </c>
      <c r="I312" s="1">
        <f>IF(C312="RB",LeagueInfo!$D$4*LeagueInfo!$F$2,IF(C312="WR",LeagueInfo!$D$5*LeagueInfo!$F$2,IF(C312="TE",LeagueInfo!$D$6*LeagueInfo!$F$2)))</f>
        <v>24</v>
      </c>
    </row>
    <row r="313" spans="1:9" x14ac:dyDescent="0.25">
      <c r="A313" s="47">
        <f ca="1">RANK(E313,E$2:E$574)</f>
        <v>316</v>
      </c>
      <c r="B313" s="1" t="s">
        <v>606</v>
      </c>
      <c r="C313" s="1" t="s">
        <v>39</v>
      </c>
      <c r="D313" s="1">
        <f ca="1">INDEX(INDIRECT($C313&amp;"!O:O"),MATCH($B313,INDIRECT($C313&amp;"!B:B"),0))</f>
        <v>14.770000000000001</v>
      </c>
      <c r="E313" s="254">
        <f ca="1">D313-LARGE(D$2:D$467,RBCount+WRCount+TECount)</f>
        <v>-62.07</v>
      </c>
      <c r="F313" s="1" t="str">
        <f ca="1">IF(H313&lt;=I313,"Starter",IF(G313&gt;=LARGE(G:G,FlexOn*LeagueInfo!$F$2),"Starter","Bench"))</f>
        <v>Bench</v>
      </c>
      <c r="G313" s="1">
        <f ca="1">IF(H313&gt;I313,D313,0)</f>
        <v>14.770000000000001</v>
      </c>
      <c r="H313" s="1">
        <f ca="1">INDEX(INDIRECT(""&amp;C313&amp;"!A2:A489"),MATCH(B313,INDIRECT(""&amp;C313&amp;"!B2:B489"),0))</f>
        <v>144</v>
      </c>
      <c r="I313" s="1">
        <f>IF(C313="RB",LeagueInfo!$D$4*LeagueInfo!$F$2,IF(C313="WR",LeagueInfo!$D$5*LeagueInfo!$F$2,IF(C313="TE",LeagueInfo!$D$6*LeagueInfo!$F$2)))</f>
        <v>24</v>
      </c>
    </row>
    <row r="314" spans="1:9" x14ac:dyDescent="0.25">
      <c r="A314" s="47">
        <f ca="1">RANK(E314,E$2:E$574)</f>
        <v>318</v>
      </c>
      <c r="B314" s="1" t="s">
        <v>709</v>
      </c>
      <c r="C314" s="1" t="s">
        <v>39</v>
      </c>
      <c r="D314" s="1">
        <f ca="1">INDEX(INDIRECT($C314&amp;"!O:O"),MATCH($B314,INDIRECT($C314&amp;"!B:B"),0))</f>
        <v>14.55</v>
      </c>
      <c r="E314" s="254">
        <f ca="1">D314-LARGE(D$2:D$467,RBCount+WRCount+TECount)</f>
        <v>-62.290000000000006</v>
      </c>
      <c r="F314" s="1" t="str">
        <f ca="1">IF(H314&lt;=I314,"Starter",IF(G314&gt;=LARGE(G:G,FlexOn*LeagueInfo!$F$2),"Starter","Bench"))</f>
        <v>Bench</v>
      </c>
      <c r="G314" s="1">
        <f ca="1">IF(H314&gt;I314,D314,0)</f>
        <v>14.55</v>
      </c>
      <c r="H314" s="1">
        <f ca="1">INDEX(INDIRECT(""&amp;C314&amp;"!A2:A489"),MATCH(B314,INDIRECT(""&amp;C314&amp;"!B2:B489"),0))</f>
        <v>146</v>
      </c>
      <c r="I314" s="1">
        <f>IF(C314="RB",LeagueInfo!$D$4*LeagueInfo!$F$2,IF(C314="WR",LeagueInfo!$D$5*LeagueInfo!$F$2,IF(C314="TE",LeagueInfo!$D$6*LeagueInfo!$F$2)))</f>
        <v>24</v>
      </c>
    </row>
    <row r="315" spans="1:9" x14ac:dyDescent="0.25">
      <c r="A315" s="47">
        <f ca="1">RANK(E315,E$2:E$574)</f>
        <v>299</v>
      </c>
      <c r="B315" s="1" t="s">
        <v>519</v>
      </c>
      <c r="C315" s="1" t="s">
        <v>32</v>
      </c>
      <c r="D315" s="1">
        <f ca="1">INDEX(INDIRECT($C315&amp;"!O:O"),MATCH($B315,INDIRECT($C315&amp;"!B:B"),0))</f>
        <v>16.78</v>
      </c>
      <c r="E315" s="254">
        <f ca="1">D315-LARGE(D$2:D$467,RBCount+WRCount+TECount)</f>
        <v>-60.06</v>
      </c>
      <c r="F315" s="1" t="str">
        <f ca="1">IF(H315&lt;=I315,"Starter",IF(G315&gt;=LARGE(G:G,FlexOn*LeagueInfo!$F$2),"Starter","Bench"))</f>
        <v>Bench</v>
      </c>
      <c r="G315" s="1">
        <f ca="1">IF(H315&gt;I315,D315,0)</f>
        <v>16.78</v>
      </c>
      <c r="H315" s="1">
        <f ca="1">INDEX(INDIRECT(""&amp;C315&amp;"!A2:A489"),MATCH(B315,INDIRECT(""&amp;C315&amp;"!B2:B489"),0))</f>
        <v>102</v>
      </c>
      <c r="I315" s="1">
        <f>IF(C315="RB",LeagueInfo!$D$4*LeagueInfo!$F$2,IF(C315="WR",LeagueInfo!$D$5*LeagueInfo!$F$2,IF(C315="TE",LeagueInfo!$D$6*LeagueInfo!$F$2)))</f>
        <v>24</v>
      </c>
    </row>
    <row r="316" spans="1:9" x14ac:dyDescent="0.25">
      <c r="A316" s="47">
        <f ca="1">RANK(E316,E$2:E$574)</f>
        <v>322</v>
      </c>
      <c r="B316" s="1" t="s">
        <v>639</v>
      </c>
      <c r="C316" s="1" t="s">
        <v>39</v>
      </c>
      <c r="D316" s="1">
        <f ca="1">INDEX(INDIRECT($C316&amp;"!O:O"),MATCH($B316,INDIRECT($C316&amp;"!B:B"),0))</f>
        <v>14.01</v>
      </c>
      <c r="E316" s="254">
        <f ca="1">D316-LARGE(D$2:D$467,RBCount+WRCount+TECount)</f>
        <v>-62.830000000000005</v>
      </c>
      <c r="F316" s="1" t="str">
        <f ca="1">IF(H316&lt;=I316,"Starter",IF(G316&gt;=LARGE(G:G,FlexOn*LeagueInfo!$F$2),"Starter","Bench"))</f>
        <v>Bench</v>
      </c>
      <c r="G316" s="1">
        <f ca="1">IF(H316&gt;I316,D316,0)</f>
        <v>14.01</v>
      </c>
      <c r="H316" s="1">
        <f ca="1">INDEX(INDIRECT(""&amp;C316&amp;"!A2:A489"),MATCH(B316,INDIRECT(""&amp;C316&amp;"!B2:B489"),0))</f>
        <v>148</v>
      </c>
      <c r="I316" s="1">
        <f>IF(C316="RB",LeagueInfo!$D$4*LeagueInfo!$F$2,IF(C316="WR",LeagueInfo!$D$5*LeagueInfo!$F$2,IF(C316="TE",LeagueInfo!$D$6*LeagueInfo!$F$2)))</f>
        <v>24</v>
      </c>
    </row>
    <row r="317" spans="1:9" x14ac:dyDescent="0.25">
      <c r="A317" s="47">
        <f ca="1">RANK(E317,E$2:E$574)</f>
        <v>325</v>
      </c>
      <c r="B317" s="1" t="s">
        <v>781</v>
      </c>
      <c r="C317" s="1" t="s">
        <v>47</v>
      </c>
      <c r="D317" s="1">
        <f ca="1">INDEX(INDIRECT($C317&amp;"!O:O"),MATCH($B317,INDIRECT($C317&amp;"!B:B"),0))</f>
        <v>13.750000000000002</v>
      </c>
      <c r="E317" s="254">
        <f ca="1">D317-LARGE(D$2:D$467,RBCount+WRCount+TECount)</f>
        <v>-63.09</v>
      </c>
      <c r="F317" s="1" t="str">
        <f ca="1">IF(H317&lt;=I317,"Starter",IF(G317&gt;=LARGE(G:G,FlexOn*LeagueInfo!$F$2),"Starter","Bench"))</f>
        <v>Bench</v>
      </c>
      <c r="G317" s="1">
        <f ca="1">IF(H317&gt;I317,D317,0)</f>
        <v>13.750000000000002</v>
      </c>
      <c r="H317" s="1">
        <f ca="1">INDEX(INDIRECT(""&amp;C317&amp;"!A2:A489"),MATCH(B317,INDIRECT(""&amp;C317&amp;"!B2:B489"),0))</f>
        <v>67</v>
      </c>
      <c r="I317" s="1">
        <f>IF(C317="RB",LeagueInfo!$D$4*LeagueInfo!$F$2,IF(C317="WR",LeagueInfo!$D$5*LeagueInfo!$F$2,IF(C317="TE",LeagueInfo!$D$6*LeagueInfo!$F$2)))</f>
        <v>12</v>
      </c>
    </row>
    <row r="318" spans="1:9" x14ac:dyDescent="0.25">
      <c r="A318" s="47">
        <f ca="1">RANK(E318,E$2:E$574)</f>
        <v>305</v>
      </c>
      <c r="B318" s="1" t="s">
        <v>479</v>
      </c>
      <c r="C318" s="1" t="s">
        <v>32</v>
      </c>
      <c r="D318" s="1">
        <f ca="1">INDEX(INDIRECT($C318&amp;"!O:O"),MATCH($B318,INDIRECT($C318&amp;"!B:B"),0))</f>
        <v>16.170000000000002</v>
      </c>
      <c r="E318" s="254">
        <f ca="1">D318-LARGE(D$2:D$467,RBCount+WRCount+TECount)</f>
        <v>-60.67</v>
      </c>
      <c r="F318" s="1" t="str">
        <f ca="1">IF(H318&lt;=I318,"Starter",IF(G318&gt;=LARGE(G:G,FlexOn*LeagueInfo!$F$2),"Starter","Bench"))</f>
        <v>Bench</v>
      </c>
      <c r="G318" s="1">
        <f ca="1">IF(H318&gt;I318,D318,0)</f>
        <v>16.170000000000002</v>
      </c>
      <c r="H318" s="1">
        <f ca="1">INDEX(INDIRECT(""&amp;C318&amp;"!A2:A489"),MATCH(B318,INDIRECT(""&amp;C318&amp;"!B2:B489"),0))</f>
        <v>104</v>
      </c>
      <c r="I318" s="1">
        <f>IF(C318="RB",LeagueInfo!$D$4*LeagueInfo!$F$2,IF(C318="WR",LeagueInfo!$D$5*LeagueInfo!$F$2,IF(C318="TE",LeagueInfo!$D$6*LeagueInfo!$F$2)))</f>
        <v>24</v>
      </c>
    </row>
    <row r="319" spans="1:9" x14ac:dyDescent="0.25">
      <c r="A319" s="47">
        <f ca="1">RANK(E319,E$2:E$574)</f>
        <v>317</v>
      </c>
      <c r="B319" s="1" t="s">
        <v>633</v>
      </c>
      <c r="C319" s="1" t="s">
        <v>39</v>
      </c>
      <c r="D319" s="1">
        <f ca="1">INDEX(INDIRECT($C319&amp;"!O:O"),MATCH($B319,INDIRECT($C319&amp;"!B:B"),0))</f>
        <v>14.680000000000001</v>
      </c>
      <c r="E319" s="254">
        <f ca="1">D319-LARGE(D$2:D$467,RBCount+WRCount+TECount)</f>
        <v>-62.160000000000004</v>
      </c>
      <c r="F319" s="1" t="str">
        <f ca="1">IF(H319&lt;=I319,"Starter",IF(G319&gt;=LARGE(G:G,FlexOn*LeagueInfo!$F$2),"Starter","Bench"))</f>
        <v>Bench</v>
      </c>
      <c r="G319" s="1">
        <f ca="1">IF(H319&gt;I319,D319,0)</f>
        <v>14.680000000000001</v>
      </c>
      <c r="H319" s="1">
        <f ca="1">INDEX(INDIRECT(""&amp;C319&amp;"!A2:A489"),MATCH(B319,INDIRECT(""&amp;C319&amp;"!B2:B489"),0))</f>
        <v>145</v>
      </c>
      <c r="I319" s="1">
        <f>IF(C319="RB",LeagueInfo!$D$4*LeagueInfo!$F$2,IF(C319="WR",LeagueInfo!$D$5*LeagueInfo!$F$2,IF(C319="TE",LeagueInfo!$D$6*LeagueInfo!$F$2)))</f>
        <v>24</v>
      </c>
    </row>
    <row r="320" spans="1:9" x14ac:dyDescent="0.25">
      <c r="A320" s="47">
        <f ca="1">RANK(E320,E$2:E$574)</f>
        <v>326</v>
      </c>
      <c r="B320" s="1" t="s">
        <v>747</v>
      </c>
      <c r="C320" s="1" t="s">
        <v>47</v>
      </c>
      <c r="D320" s="1">
        <f ca="1">INDEX(INDIRECT($C320&amp;"!O:O"),MATCH($B320,INDIRECT($C320&amp;"!B:B"),0))</f>
        <v>13.420000000000002</v>
      </c>
      <c r="E320" s="254">
        <f ca="1">D320-LARGE(D$2:D$467,RBCount+WRCount+TECount)</f>
        <v>-63.42</v>
      </c>
      <c r="F320" s="1" t="str">
        <f ca="1">IF(H320&lt;=I320,"Starter",IF(G320&gt;=LARGE(G:G,FlexOn*LeagueInfo!$F$2),"Starter","Bench"))</f>
        <v>Bench</v>
      </c>
      <c r="G320" s="1">
        <f ca="1">IF(H320&gt;I320,D320,0)</f>
        <v>13.420000000000002</v>
      </c>
      <c r="H320" s="1">
        <f ca="1">INDEX(INDIRECT(""&amp;C320&amp;"!A2:A489"),MATCH(B320,INDIRECT(""&amp;C320&amp;"!B2:B489"),0))</f>
        <v>68</v>
      </c>
      <c r="I320" s="1">
        <f>IF(C320="RB",LeagueInfo!$D$4*LeagueInfo!$F$2,IF(C320="WR",LeagueInfo!$D$5*LeagueInfo!$F$2,IF(C320="TE",LeagueInfo!$D$6*LeagueInfo!$F$2)))</f>
        <v>12</v>
      </c>
    </row>
    <row r="321" spans="1:9" x14ac:dyDescent="0.25">
      <c r="A321" s="47">
        <f ca="1">RANK(E321,E$2:E$574)</f>
        <v>327</v>
      </c>
      <c r="B321" s="1" t="s">
        <v>754</v>
      </c>
      <c r="C321" s="1" t="s">
        <v>47</v>
      </c>
      <c r="D321" s="1">
        <f ca="1">INDEX(INDIRECT($C321&amp;"!O:O"),MATCH($B321,INDIRECT($C321&amp;"!B:B"),0))</f>
        <v>13.31</v>
      </c>
      <c r="E321" s="254">
        <f ca="1">D321-LARGE(D$2:D$467,RBCount+WRCount+TECount)</f>
        <v>-63.53</v>
      </c>
      <c r="F321" s="1" t="str">
        <f ca="1">IF(H321&lt;=I321,"Starter",IF(G321&gt;=LARGE(G:G,FlexOn*LeagueInfo!$F$2),"Starter","Bench"))</f>
        <v>Bench</v>
      </c>
      <c r="G321" s="1">
        <f ca="1">IF(H321&gt;I321,D321,0)</f>
        <v>13.31</v>
      </c>
      <c r="H321" s="1">
        <f ca="1">INDEX(INDIRECT(""&amp;C321&amp;"!A2:A489"),MATCH(B321,INDIRECT(""&amp;C321&amp;"!B2:B489"),0))</f>
        <v>69</v>
      </c>
      <c r="I321" s="1">
        <f>IF(C321="RB",LeagueInfo!$D$4*LeagueInfo!$F$2,IF(C321="WR",LeagueInfo!$D$5*LeagueInfo!$F$2,IF(C321="TE",LeagueInfo!$D$6*LeagueInfo!$F$2)))</f>
        <v>12</v>
      </c>
    </row>
    <row r="322" spans="1:9" x14ac:dyDescent="0.25">
      <c r="A322" s="47">
        <f ca="1">RANK(E322,E$2:E$574)</f>
        <v>314</v>
      </c>
      <c r="B322" s="1" t="s">
        <v>484</v>
      </c>
      <c r="C322" s="1" t="s">
        <v>32</v>
      </c>
      <c r="D322" s="1">
        <f ca="1">INDEX(INDIRECT($C322&amp;"!O:O"),MATCH($B322,INDIRECT($C322&amp;"!B:B"),0))</f>
        <v>14.98</v>
      </c>
      <c r="E322" s="254">
        <f ca="1">D322-LARGE(D$2:D$467,RBCount+WRCount+TECount)</f>
        <v>-61.86</v>
      </c>
      <c r="F322" s="1" t="str">
        <f ca="1">IF(H322&lt;=I322,"Starter",IF(G322&gt;=LARGE(G:G,FlexOn*LeagueInfo!$F$2),"Starter","Bench"))</f>
        <v>Bench</v>
      </c>
      <c r="G322" s="1">
        <f ca="1">IF(H322&gt;I322,D322,0)</f>
        <v>14.98</v>
      </c>
      <c r="H322" s="1">
        <f ca="1">INDEX(INDIRECT(""&amp;C322&amp;"!A2:A489"),MATCH(B322,INDIRECT(""&amp;C322&amp;"!B2:B489"),0))</f>
        <v>106</v>
      </c>
      <c r="I322" s="1">
        <f>IF(C322="RB",LeagueInfo!$D$4*LeagueInfo!$F$2,IF(C322="WR",LeagueInfo!$D$5*LeagueInfo!$F$2,IF(C322="TE",LeagueInfo!$D$6*LeagueInfo!$F$2)))</f>
        <v>24</v>
      </c>
    </row>
    <row r="323" spans="1:9" x14ac:dyDescent="0.25">
      <c r="A323" s="47">
        <f ca="1">RANK(E323,E$2:E$574)</f>
        <v>328</v>
      </c>
      <c r="B323" s="1" t="s">
        <v>623</v>
      </c>
      <c r="C323" s="1" t="s">
        <v>39</v>
      </c>
      <c r="D323" s="1">
        <f ca="1">INDEX(INDIRECT($C323&amp;"!O:O"),MATCH($B323,INDIRECT($C323&amp;"!B:B"),0))</f>
        <v>13.22</v>
      </c>
      <c r="E323" s="254">
        <f ca="1">D323-LARGE(D$2:D$467,RBCount+WRCount+TECount)</f>
        <v>-63.620000000000005</v>
      </c>
      <c r="F323" s="1" t="str">
        <f ca="1">IF(H323&lt;=I323,"Starter",IF(G323&gt;=LARGE(G:G,FlexOn*LeagueInfo!$F$2),"Starter","Bench"))</f>
        <v>Bench</v>
      </c>
      <c r="G323" s="1">
        <f ca="1">IF(H323&gt;I323,D323,0)</f>
        <v>13.22</v>
      </c>
      <c r="H323" s="1">
        <f ca="1">INDEX(INDIRECT(""&amp;C323&amp;"!A2:A489"),MATCH(B323,INDIRECT(""&amp;C323&amp;"!B2:B489"),0))</f>
        <v>150</v>
      </c>
      <c r="I323" s="1">
        <f>IF(C323="RB",LeagueInfo!$D$4*LeagueInfo!$F$2,IF(C323="WR",LeagueInfo!$D$5*LeagueInfo!$F$2,IF(C323="TE",LeagueInfo!$D$6*LeagueInfo!$F$2)))</f>
        <v>24</v>
      </c>
    </row>
    <row r="324" spans="1:9" x14ac:dyDescent="0.25">
      <c r="A324" s="47">
        <f ca="1">RANK(E324,E$2:E$574)</f>
        <v>320</v>
      </c>
      <c r="B324" s="1" t="s">
        <v>627</v>
      </c>
      <c r="C324" s="1" t="s">
        <v>39</v>
      </c>
      <c r="D324" s="1">
        <f ca="1">INDEX(INDIRECT($C324&amp;"!O:O"),MATCH($B324,INDIRECT($C324&amp;"!B:B"),0))</f>
        <v>14.39</v>
      </c>
      <c r="E324" s="254">
        <f ca="1">D324-LARGE(D$2:D$467,RBCount+WRCount+TECount)</f>
        <v>-62.45</v>
      </c>
      <c r="F324" s="1" t="str">
        <f ca="1">IF(H324&lt;=I324,"Starter",IF(G324&gt;=LARGE(G:G,FlexOn*LeagueInfo!$F$2),"Starter","Bench"))</f>
        <v>Bench</v>
      </c>
      <c r="G324" s="1">
        <f ca="1">IF(H324&gt;I324,D324,0)</f>
        <v>14.39</v>
      </c>
      <c r="H324" s="1">
        <f ca="1">INDEX(INDIRECT(""&amp;C324&amp;"!A2:A489"),MATCH(B324,INDIRECT(""&amp;C324&amp;"!B2:B489"),0))</f>
        <v>147</v>
      </c>
      <c r="I324" s="1">
        <f>IF(C324="RB",LeagueInfo!$D$4*LeagueInfo!$F$2,IF(C324="WR",LeagueInfo!$D$5*LeagueInfo!$F$2,IF(C324="TE",LeagueInfo!$D$6*LeagueInfo!$F$2)))</f>
        <v>24</v>
      </c>
    </row>
    <row r="325" spans="1:9" x14ac:dyDescent="0.25">
      <c r="A325" s="47">
        <f ca="1">RANK(E325,E$2:E$574)</f>
        <v>310</v>
      </c>
      <c r="B325" s="1" t="s">
        <v>500</v>
      </c>
      <c r="C325" s="1" t="s">
        <v>32</v>
      </c>
      <c r="D325" s="1">
        <f ca="1">INDEX(INDIRECT($C325&amp;"!O:O"),MATCH($B325,INDIRECT($C325&amp;"!B:B"),0))</f>
        <v>15.480000000000002</v>
      </c>
      <c r="E325" s="254">
        <f ca="1">D325-LARGE(D$2:D$467,RBCount+WRCount+TECount)</f>
        <v>-61.36</v>
      </c>
      <c r="F325" s="1" t="str">
        <f ca="1">IF(H325&lt;=I325,"Starter",IF(G325&gt;=LARGE(G:G,FlexOn*LeagueInfo!$F$2),"Starter","Bench"))</f>
        <v>Bench</v>
      </c>
      <c r="G325" s="1">
        <f ca="1">IF(H325&gt;I325,D325,0)</f>
        <v>15.480000000000002</v>
      </c>
      <c r="H325" s="1">
        <f ca="1">INDEX(INDIRECT(""&amp;C325&amp;"!A2:A489"),MATCH(B325,INDIRECT(""&amp;C325&amp;"!B2:B489"),0))</f>
        <v>105</v>
      </c>
      <c r="I325" s="1">
        <f>IF(C325="RB",LeagueInfo!$D$4*LeagueInfo!$F$2,IF(C325="WR",LeagueInfo!$D$5*LeagueInfo!$F$2,IF(C325="TE",LeagueInfo!$D$6*LeagueInfo!$F$2)))</f>
        <v>24</v>
      </c>
    </row>
    <row r="326" spans="1:9" x14ac:dyDescent="0.25">
      <c r="A326" s="47">
        <f ca="1">RANK(E326,E$2:E$574)</f>
        <v>304</v>
      </c>
      <c r="B326" s="1" t="s">
        <v>477</v>
      </c>
      <c r="C326" s="1" t="s">
        <v>32</v>
      </c>
      <c r="D326" s="1">
        <f ca="1">INDEX(INDIRECT($C326&amp;"!O:O"),MATCH($B326,INDIRECT($C326&amp;"!B:B"),0))</f>
        <v>16.350000000000001</v>
      </c>
      <c r="E326" s="254">
        <f ca="1">D326-LARGE(D$2:D$467,RBCount+WRCount+TECount)</f>
        <v>-60.49</v>
      </c>
      <c r="F326" s="1" t="str">
        <f ca="1">IF(H326&lt;=I326,"Starter",IF(G326&gt;=LARGE(G:G,FlexOn*LeagueInfo!$F$2),"Starter","Bench"))</f>
        <v>Bench</v>
      </c>
      <c r="G326" s="1">
        <f ca="1">IF(H326&gt;I326,D326,0)</f>
        <v>16.350000000000001</v>
      </c>
      <c r="H326" s="1">
        <f ca="1">INDEX(INDIRECT(""&amp;C326&amp;"!A2:A489"),MATCH(B326,INDIRECT(""&amp;C326&amp;"!B2:B489"),0))</f>
        <v>103</v>
      </c>
      <c r="I326" s="1">
        <f>IF(C326="RB",LeagueInfo!$D$4*LeagueInfo!$F$2,IF(C326="WR",LeagueInfo!$D$5*LeagueInfo!$F$2,IF(C326="TE",LeagueInfo!$D$6*LeagueInfo!$F$2)))</f>
        <v>24</v>
      </c>
    </row>
    <row r="327" spans="1:9" x14ac:dyDescent="0.25">
      <c r="A327" s="47">
        <f ca="1">RANK(E327,E$2:E$574)</f>
        <v>339</v>
      </c>
      <c r="B327" s="1" t="s">
        <v>613</v>
      </c>
      <c r="C327" s="1" t="s">
        <v>39</v>
      </c>
      <c r="D327" s="1">
        <f ca="1">INDEX(INDIRECT($C327&amp;"!O:O"),MATCH($B327,INDIRECT($C327&amp;"!B:B"),0))</f>
        <v>12.06</v>
      </c>
      <c r="E327" s="254">
        <f ca="1">D327-LARGE(D$2:D$467,RBCount+WRCount+TECount)</f>
        <v>-64.78</v>
      </c>
      <c r="F327" s="1" t="str">
        <f ca="1">IF(H327&lt;=I327,"Starter",IF(G327&gt;=LARGE(G:G,FlexOn*LeagueInfo!$F$2),"Starter","Bench"))</f>
        <v>Bench</v>
      </c>
      <c r="G327" s="1">
        <f ca="1">IF(H327&gt;I327,D327,0)</f>
        <v>12.06</v>
      </c>
      <c r="H327" s="1">
        <f ca="1">INDEX(INDIRECT(""&amp;C327&amp;"!A2:A489"),MATCH(B327,INDIRECT(""&amp;C327&amp;"!B2:B489"),0))</f>
        <v>153</v>
      </c>
      <c r="I327" s="1">
        <f>IF(C327="RB",LeagueInfo!$D$4*LeagueInfo!$F$2,IF(C327="WR",LeagueInfo!$D$5*LeagueInfo!$F$2,IF(C327="TE",LeagueInfo!$D$6*LeagueInfo!$F$2)))</f>
        <v>24</v>
      </c>
    </row>
    <row r="328" spans="1:9" x14ac:dyDescent="0.25">
      <c r="A328" s="47">
        <f ca="1">RANK(E328,E$2:E$574)</f>
        <v>334</v>
      </c>
      <c r="B328" s="1" t="s">
        <v>759</v>
      </c>
      <c r="C328" s="1" t="s">
        <v>47</v>
      </c>
      <c r="D328" s="1">
        <f ca="1">INDEX(INDIRECT($C328&amp;"!O:O"),MATCH($B328,INDIRECT($C328&amp;"!B:B"),0))</f>
        <v>12.3</v>
      </c>
      <c r="E328" s="254">
        <f ca="1">D328-LARGE(D$2:D$467,RBCount+WRCount+TECount)</f>
        <v>-64.540000000000006</v>
      </c>
      <c r="F328" s="1" t="str">
        <f ca="1">IF(H328&lt;=I328,"Starter",IF(G328&gt;=LARGE(G:G,FlexOn*LeagueInfo!$F$2),"Starter","Bench"))</f>
        <v>Bench</v>
      </c>
      <c r="G328" s="1">
        <f ca="1">IF(H328&gt;I328,D328,0)</f>
        <v>12.3</v>
      </c>
      <c r="H328" s="1">
        <f ca="1">INDEX(INDIRECT(""&amp;C328&amp;"!A2:A489"),MATCH(B328,INDIRECT(""&amp;C328&amp;"!B2:B489"),0))</f>
        <v>71</v>
      </c>
      <c r="I328" s="1">
        <f>IF(C328="RB",LeagueInfo!$D$4*LeagueInfo!$F$2,IF(C328="WR",LeagueInfo!$D$5*LeagueInfo!$F$2,IF(C328="TE",LeagueInfo!$D$6*LeagueInfo!$F$2)))</f>
        <v>12</v>
      </c>
    </row>
    <row r="329" spans="1:9" x14ac:dyDescent="0.25">
      <c r="A329" s="47">
        <f ca="1">RANK(E329,E$2:E$574)</f>
        <v>338</v>
      </c>
      <c r="B329" s="1" t="s">
        <v>635</v>
      </c>
      <c r="C329" s="1" t="s">
        <v>39</v>
      </c>
      <c r="D329" s="1">
        <f ca="1">INDEX(INDIRECT($C329&amp;"!O:O"),MATCH($B329,INDIRECT($C329&amp;"!B:B"),0))</f>
        <v>12.100000000000001</v>
      </c>
      <c r="E329" s="254">
        <f ca="1">D329-LARGE(D$2:D$467,RBCount+WRCount+TECount)</f>
        <v>-64.740000000000009</v>
      </c>
      <c r="F329" s="1" t="str">
        <f ca="1">IF(H329&lt;=I329,"Starter",IF(G329&gt;=LARGE(G:G,FlexOn*LeagueInfo!$F$2),"Starter","Bench"))</f>
        <v>Bench</v>
      </c>
      <c r="G329" s="1">
        <f ca="1">IF(H329&gt;I329,D329,0)</f>
        <v>12.100000000000001</v>
      </c>
      <c r="H329" s="1">
        <f ca="1">INDEX(INDIRECT(""&amp;C329&amp;"!A2:A489"),MATCH(B329,INDIRECT(""&amp;C329&amp;"!B2:B489"),0))</f>
        <v>152</v>
      </c>
      <c r="I329" s="1">
        <f>IF(C329="RB",LeagueInfo!$D$4*LeagueInfo!$F$2,IF(C329="WR",LeagueInfo!$D$5*LeagueInfo!$F$2,IF(C329="TE",LeagueInfo!$D$6*LeagueInfo!$F$2)))</f>
        <v>24</v>
      </c>
    </row>
    <row r="330" spans="1:9" x14ac:dyDescent="0.25">
      <c r="A330" s="47">
        <f ca="1">RANK(E330,E$2:E$574)</f>
        <v>331</v>
      </c>
      <c r="B330" s="1" t="s">
        <v>322</v>
      </c>
      <c r="C330" s="1" t="s">
        <v>47</v>
      </c>
      <c r="D330" s="1">
        <f ca="1">INDEX(INDIRECT($C330&amp;"!O:O"),MATCH($B330,INDIRECT($C330&amp;"!B:B"),0))</f>
        <v>12.66</v>
      </c>
      <c r="E330" s="254">
        <f ca="1">D330-LARGE(D$2:D$467,RBCount+WRCount+TECount)</f>
        <v>-64.180000000000007</v>
      </c>
      <c r="F330" s="1" t="str">
        <f ca="1">IF(H330&lt;=I330,"Starter",IF(G330&gt;=LARGE(G:G,FlexOn*LeagueInfo!$F$2),"Starter","Bench"))</f>
        <v>Bench</v>
      </c>
      <c r="G330" s="1">
        <f ca="1">IF(H330&gt;I330,D330,0)</f>
        <v>12.66</v>
      </c>
      <c r="H330" s="1">
        <f ca="1">INDEX(INDIRECT(""&amp;C330&amp;"!A2:A489"),MATCH(B330,INDIRECT(""&amp;C330&amp;"!B2:B489"),0))</f>
        <v>70</v>
      </c>
      <c r="I330" s="1">
        <f>IF(C330="RB",LeagueInfo!$D$4*LeagueInfo!$F$2,IF(C330="WR",LeagueInfo!$D$5*LeagueInfo!$F$2,IF(C330="TE",LeagueInfo!$D$6*LeagueInfo!$F$2)))</f>
        <v>12</v>
      </c>
    </row>
    <row r="331" spans="1:9" x14ac:dyDescent="0.25">
      <c r="A331" s="47">
        <f ca="1">RANK(E331,E$2:E$574)</f>
        <v>337</v>
      </c>
      <c r="B331" s="1" t="s">
        <v>769</v>
      </c>
      <c r="C331" s="1" t="s">
        <v>47</v>
      </c>
      <c r="D331" s="1">
        <f ca="1">INDEX(INDIRECT($C331&amp;"!O:O"),MATCH($B331,INDIRECT($C331&amp;"!B:B"),0))</f>
        <v>12.16</v>
      </c>
      <c r="E331" s="254">
        <f ca="1">D331-LARGE(D$2:D$467,RBCount+WRCount+TECount)</f>
        <v>-64.680000000000007</v>
      </c>
      <c r="F331" s="1" t="str">
        <f ca="1">IF(H331&lt;=I331,"Starter",IF(G331&gt;=LARGE(G:G,FlexOn*LeagueInfo!$F$2),"Starter","Bench"))</f>
        <v>Bench</v>
      </c>
      <c r="G331" s="1">
        <f ca="1">IF(H331&gt;I331,D331,0)</f>
        <v>12.16</v>
      </c>
      <c r="H331" s="1">
        <f ca="1">INDEX(INDIRECT(""&amp;C331&amp;"!A2:A489"),MATCH(B331,INDIRECT(""&amp;C331&amp;"!B2:B489"),0))</f>
        <v>72</v>
      </c>
      <c r="I331" s="1">
        <f>IF(C331="RB",LeagueInfo!$D$4*LeagueInfo!$F$2,IF(C331="WR",LeagueInfo!$D$5*LeagueInfo!$F$2,IF(C331="TE",LeagueInfo!$D$6*LeagueInfo!$F$2)))</f>
        <v>12</v>
      </c>
    </row>
    <row r="332" spans="1:9" x14ac:dyDescent="0.25">
      <c r="A332" s="47">
        <f ca="1">RANK(E332,E$2:E$574)</f>
        <v>323</v>
      </c>
      <c r="B332" s="1" t="s">
        <v>490</v>
      </c>
      <c r="C332" s="1" t="s">
        <v>32</v>
      </c>
      <c r="D332" s="1">
        <f ca="1">INDEX(INDIRECT($C332&amp;"!O:O"),MATCH($B332,INDIRECT($C332&amp;"!B:B"),0))</f>
        <v>13.77</v>
      </c>
      <c r="E332" s="254">
        <f ca="1">D332-LARGE(D$2:D$467,RBCount+WRCount+TECount)</f>
        <v>-63.070000000000007</v>
      </c>
      <c r="F332" s="1" t="str">
        <f ca="1">IF(H332&lt;=I332,"Starter",IF(G332&gt;=LARGE(G:G,FlexOn*LeagueInfo!$F$2),"Starter","Bench"))</f>
        <v>Bench</v>
      </c>
      <c r="G332" s="1">
        <f ca="1">IF(H332&gt;I332,D332,0)</f>
        <v>13.77</v>
      </c>
      <c r="H332" s="1">
        <f ca="1">INDEX(INDIRECT(""&amp;C332&amp;"!A2:A489"),MATCH(B332,INDIRECT(""&amp;C332&amp;"!B2:B489"),0))</f>
        <v>109</v>
      </c>
      <c r="I332" s="1">
        <f>IF(C332="RB",LeagueInfo!$D$4*LeagueInfo!$F$2,IF(C332="WR",LeagueInfo!$D$5*LeagueInfo!$F$2,IF(C332="TE",LeagueInfo!$D$6*LeagueInfo!$F$2)))</f>
        <v>24</v>
      </c>
    </row>
    <row r="333" spans="1:9" x14ac:dyDescent="0.25">
      <c r="A333" s="47">
        <f ca="1">RANK(E333,E$2:E$574)</f>
        <v>324</v>
      </c>
      <c r="B333" s="1" t="s">
        <v>643</v>
      </c>
      <c r="C333" s="1" t="s">
        <v>39</v>
      </c>
      <c r="D333" s="1">
        <f ca="1">INDEX(INDIRECT($C333&amp;"!O:O"),MATCH($B333,INDIRECT($C333&amp;"!B:B"),0))</f>
        <v>13.760000000000002</v>
      </c>
      <c r="E333" s="254">
        <f ca="1">D333-LARGE(D$2:D$467,RBCount+WRCount+TECount)</f>
        <v>-63.08</v>
      </c>
      <c r="F333" s="1" t="str">
        <f ca="1">IF(H333&lt;=I333,"Starter",IF(G333&gt;=LARGE(G:G,FlexOn*LeagueInfo!$F$2),"Starter","Bench"))</f>
        <v>Bench</v>
      </c>
      <c r="G333" s="1">
        <f ca="1">IF(H333&gt;I333,D333,0)</f>
        <v>13.760000000000002</v>
      </c>
      <c r="H333" s="1">
        <f ca="1">INDEX(INDIRECT(""&amp;C333&amp;"!A2:A489"),MATCH(B333,INDIRECT(""&amp;C333&amp;"!B2:B489"),0))</f>
        <v>149</v>
      </c>
      <c r="I333" s="1">
        <f>IF(C333="RB",LeagueInfo!$D$4*LeagueInfo!$F$2,IF(C333="WR",LeagueInfo!$D$5*LeagueInfo!$F$2,IF(C333="TE",LeagueInfo!$D$6*LeagueInfo!$F$2)))</f>
        <v>24</v>
      </c>
    </row>
    <row r="334" spans="1:9" x14ac:dyDescent="0.25">
      <c r="A334" s="47">
        <f ca="1">RANK(E334,E$2:E$574)</f>
        <v>333</v>
      </c>
      <c r="B334" s="1" t="s">
        <v>679</v>
      </c>
      <c r="C334" s="1" t="s">
        <v>39</v>
      </c>
      <c r="D334" s="1">
        <f ca="1">INDEX(INDIRECT($C334&amp;"!O:O"),MATCH($B334,INDIRECT($C334&amp;"!B:B"),0))</f>
        <v>12.35</v>
      </c>
      <c r="E334" s="254">
        <f ca="1">D334-LARGE(D$2:D$467,RBCount+WRCount+TECount)</f>
        <v>-64.490000000000009</v>
      </c>
      <c r="F334" s="1" t="str">
        <f ca="1">IF(H334&lt;=I334,"Starter",IF(G334&gt;=LARGE(G:G,FlexOn*LeagueInfo!$F$2),"Starter","Bench"))</f>
        <v>Bench</v>
      </c>
      <c r="G334" s="1">
        <f ca="1">IF(H334&gt;I334,D334,0)</f>
        <v>12.35</v>
      </c>
      <c r="H334" s="1">
        <f ca="1">INDEX(INDIRECT(""&amp;C334&amp;"!A2:A489"),MATCH(B334,INDIRECT(""&amp;C334&amp;"!B2:B489"),0))</f>
        <v>151</v>
      </c>
      <c r="I334" s="1">
        <f>IF(C334="RB",LeagueInfo!$D$4*LeagueInfo!$F$2,IF(C334="WR",LeagueInfo!$D$5*LeagueInfo!$F$2,IF(C334="TE",LeagueInfo!$D$6*LeagueInfo!$F$2)))</f>
        <v>24</v>
      </c>
    </row>
    <row r="335" spans="1:9" x14ac:dyDescent="0.25">
      <c r="A335" s="47">
        <f ca="1">RANK(E335,E$2:E$574)</f>
        <v>329</v>
      </c>
      <c r="B335" s="1" t="s">
        <v>488</v>
      </c>
      <c r="C335" s="1" t="s">
        <v>32</v>
      </c>
      <c r="D335" s="1">
        <f ca="1">INDEX(INDIRECT($C335&amp;"!O:O"),MATCH($B335,INDIRECT($C335&amp;"!B:B"),0))</f>
        <v>12.7</v>
      </c>
      <c r="E335" s="254">
        <f ca="1">D335-LARGE(D$2:D$467,RBCount+WRCount+TECount)</f>
        <v>-64.14</v>
      </c>
      <c r="F335" s="1" t="str">
        <f ca="1">IF(H335&lt;=I335,"Starter",IF(G335&gt;=LARGE(G:G,FlexOn*LeagueInfo!$F$2),"Starter","Bench"))</f>
        <v>Bench</v>
      </c>
      <c r="G335" s="1">
        <f ca="1">IF(H335&gt;I335,D335,0)</f>
        <v>12.7</v>
      </c>
      <c r="H335" s="1">
        <f ca="1">INDEX(INDIRECT(""&amp;C335&amp;"!A2:A489"),MATCH(B335,INDIRECT(""&amp;C335&amp;"!B2:B489"),0))</f>
        <v>110</v>
      </c>
      <c r="I335" s="1">
        <f>IF(C335="RB",LeagueInfo!$D$4*LeagueInfo!$F$2,IF(C335="WR",LeagueInfo!$D$5*LeagueInfo!$F$2,IF(C335="TE",LeagueInfo!$D$6*LeagueInfo!$F$2)))</f>
        <v>24</v>
      </c>
    </row>
    <row r="336" spans="1:9" x14ac:dyDescent="0.25">
      <c r="A336" s="47">
        <f ca="1">RANK(E336,E$2:E$574)</f>
        <v>342</v>
      </c>
      <c r="B336" s="1" t="s">
        <v>758</v>
      </c>
      <c r="C336" s="1" t="s">
        <v>47</v>
      </c>
      <c r="D336" s="1">
        <f ca="1">INDEX(INDIRECT($C336&amp;"!O:O"),MATCH($B336,INDIRECT($C336&amp;"!B:B"),0))</f>
        <v>11.56</v>
      </c>
      <c r="E336" s="254">
        <f ca="1">D336-LARGE(D$2:D$467,RBCount+WRCount+TECount)</f>
        <v>-65.28</v>
      </c>
      <c r="F336" s="1" t="str">
        <f ca="1">IF(H336&lt;=I336,"Starter",IF(G336&gt;=LARGE(G:G,FlexOn*LeagueInfo!$F$2),"Starter","Bench"))</f>
        <v>Bench</v>
      </c>
      <c r="G336" s="1">
        <f ca="1">IF(H336&gt;I336,D336,0)</f>
        <v>11.56</v>
      </c>
      <c r="H336" s="1">
        <f ca="1">INDEX(INDIRECT(""&amp;C336&amp;"!A2:A489"),MATCH(B336,INDIRECT(""&amp;C336&amp;"!B2:B489"),0))</f>
        <v>73</v>
      </c>
      <c r="I336" s="1">
        <f>IF(C336="RB",LeagueInfo!$D$4*LeagueInfo!$F$2,IF(C336="WR",LeagueInfo!$D$5*LeagueInfo!$F$2,IF(C336="TE",LeagueInfo!$D$6*LeagueInfo!$F$2)))</f>
        <v>12</v>
      </c>
    </row>
    <row r="337" spans="1:9" x14ac:dyDescent="0.25">
      <c r="A337" s="47">
        <f ca="1">RANK(E337,E$2:E$574)</f>
        <v>336</v>
      </c>
      <c r="B337" s="1" t="s">
        <v>489</v>
      </c>
      <c r="C337" s="1" t="s">
        <v>32</v>
      </c>
      <c r="D337" s="1">
        <f ca="1">INDEX(INDIRECT($C337&amp;"!O:O"),MATCH($B337,INDIRECT($C337&amp;"!B:B"),0))</f>
        <v>12.290000000000001</v>
      </c>
      <c r="E337" s="254">
        <f ca="1">D337-LARGE(D$2:D$467,RBCount+WRCount+TECount)</f>
        <v>-64.55</v>
      </c>
      <c r="F337" s="1" t="str">
        <f ca="1">IF(H337&lt;=I337,"Starter",IF(G337&gt;=LARGE(G:G,FlexOn*LeagueInfo!$F$2),"Starter","Bench"))</f>
        <v>Bench</v>
      </c>
      <c r="G337" s="1">
        <f ca="1">IF(H337&gt;I337,D337,0)</f>
        <v>12.290000000000001</v>
      </c>
      <c r="H337" s="1">
        <f ca="1">INDEX(INDIRECT(""&amp;C337&amp;"!A2:A489"),MATCH(B337,INDIRECT(""&amp;C337&amp;"!B2:B489"),0))</f>
        <v>114</v>
      </c>
      <c r="I337" s="1">
        <f>IF(C337="RB",LeagueInfo!$D$4*LeagueInfo!$F$2,IF(C337="WR",LeagueInfo!$D$5*LeagueInfo!$F$2,IF(C337="TE",LeagueInfo!$D$6*LeagueInfo!$F$2)))</f>
        <v>24</v>
      </c>
    </row>
    <row r="338" spans="1:9" x14ac:dyDescent="0.25">
      <c r="A338" s="47">
        <f ca="1">RANK(E338,E$2:E$574)</f>
        <v>350</v>
      </c>
      <c r="B338" s="1" t="s">
        <v>763</v>
      </c>
      <c r="C338" s="1" t="s">
        <v>47</v>
      </c>
      <c r="D338" s="1">
        <f ca="1">INDEX(INDIRECT($C338&amp;"!O:O"),MATCH($B338,INDIRECT($C338&amp;"!B:B"),0))</f>
        <v>10.78</v>
      </c>
      <c r="E338" s="254">
        <f ca="1">D338-LARGE(D$2:D$467,RBCount+WRCount+TECount)</f>
        <v>-66.06</v>
      </c>
      <c r="F338" s="1" t="str">
        <f ca="1">IF(H338&lt;=I338,"Starter",IF(G338&gt;=LARGE(G:G,FlexOn*LeagueInfo!$F$2),"Starter","Bench"))</f>
        <v>Bench</v>
      </c>
      <c r="G338" s="1">
        <f ca="1">IF(H338&gt;I338,D338,0)</f>
        <v>10.78</v>
      </c>
      <c r="H338" s="1">
        <f ca="1">INDEX(INDIRECT(""&amp;C338&amp;"!A2:A489"),MATCH(B338,INDIRECT(""&amp;C338&amp;"!B2:B489"),0))</f>
        <v>77</v>
      </c>
      <c r="I338" s="1">
        <f>IF(C338="RB",LeagueInfo!$D$4*LeagueInfo!$F$2,IF(C338="WR",LeagueInfo!$D$5*LeagueInfo!$F$2,IF(C338="TE",LeagueInfo!$D$6*LeagueInfo!$F$2)))</f>
        <v>12</v>
      </c>
    </row>
    <row r="339" spans="1:9" x14ac:dyDescent="0.25">
      <c r="A339" s="47">
        <f ca="1">RANK(E339,E$2:E$574)</f>
        <v>321</v>
      </c>
      <c r="B339" s="1" t="s">
        <v>480</v>
      </c>
      <c r="C339" s="1" t="s">
        <v>32</v>
      </c>
      <c r="D339" s="1">
        <f ca="1">INDEX(INDIRECT($C339&amp;"!O:O"),MATCH($B339,INDIRECT($C339&amp;"!B:B"),0))</f>
        <v>14.24</v>
      </c>
      <c r="E339" s="254">
        <f ca="1">D339-LARGE(D$2:D$467,RBCount+WRCount+TECount)</f>
        <v>-62.6</v>
      </c>
      <c r="F339" s="1" t="str">
        <f ca="1">IF(H339&lt;=I339,"Starter",IF(G339&gt;=LARGE(G:G,FlexOn*LeagueInfo!$F$2),"Starter","Bench"))</f>
        <v>Bench</v>
      </c>
      <c r="G339" s="1">
        <f ca="1">IF(H339&gt;I339,D339,0)</f>
        <v>14.24</v>
      </c>
      <c r="H339" s="1">
        <f ca="1">INDEX(INDIRECT(""&amp;C339&amp;"!A2:A489"),MATCH(B339,INDIRECT(""&amp;C339&amp;"!B2:B489"),0))</f>
        <v>108</v>
      </c>
      <c r="I339" s="1">
        <f>IF(C339="RB",LeagueInfo!$D$4*LeagueInfo!$F$2,IF(C339="WR",LeagueInfo!$D$5*LeagueInfo!$F$2,IF(C339="TE",LeagueInfo!$D$6*LeagueInfo!$F$2)))</f>
        <v>24</v>
      </c>
    </row>
    <row r="340" spans="1:9" x14ac:dyDescent="0.25">
      <c r="A340" s="47">
        <f ca="1">RANK(E340,E$2:E$574)</f>
        <v>360</v>
      </c>
      <c r="B340" s="1" t="s">
        <v>491</v>
      </c>
      <c r="C340" s="1" t="s">
        <v>32</v>
      </c>
      <c r="D340" s="1">
        <f ca="1">INDEX(INDIRECT($C340&amp;"!O:O"),MATCH($B340,INDIRECT($C340&amp;"!B:B"),0))</f>
        <v>9.8699999999999992</v>
      </c>
      <c r="E340" s="254">
        <f ca="1">D340-LARGE(D$2:D$467,RBCount+WRCount+TECount)</f>
        <v>-66.97</v>
      </c>
      <c r="F340" s="1" t="str">
        <f ca="1">IF(H340&lt;=I340,"Starter",IF(G340&gt;=LARGE(G:G,FlexOn*LeagueInfo!$F$2),"Starter","Bench"))</f>
        <v>Bench</v>
      </c>
      <c r="G340" s="1">
        <f ca="1">IF(H340&gt;I340,D340,0)</f>
        <v>9.8699999999999992</v>
      </c>
      <c r="H340" s="1">
        <f ca="1">INDEX(INDIRECT(""&amp;C340&amp;"!A2:A489"),MATCH(B340,INDIRECT(""&amp;C340&amp;"!B2:B489"),0))</f>
        <v>121</v>
      </c>
      <c r="I340" s="1">
        <f>IF(C340="RB",LeagueInfo!$D$4*LeagueInfo!$F$2,IF(C340="WR",LeagueInfo!$D$5*LeagueInfo!$F$2,IF(C340="TE",LeagueInfo!$D$6*LeagueInfo!$F$2)))</f>
        <v>24</v>
      </c>
    </row>
    <row r="341" spans="1:9" x14ac:dyDescent="0.25">
      <c r="A341" s="47">
        <f ca="1">RANK(E341,E$2:E$574)</f>
        <v>346</v>
      </c>
      <c r="B341" s="1" t="s">
        <v>768</v>
      </c>
      <c r="C341" s="1" t="s">
        <v>47</v>
      </c>
      <c r="D341" s="1">
        <f ca="1">INDEX(INDIRECT($C341&amp;"!O:O"),MATCH($B341,INDIRECT($C341&amp;"!B:B"),0))</f>
        <v>10.940000000000001</v>
      </c>
      <c r="E341" s="254">
        <f ca="1">D341-LARGE(D$2:D$467,RBCount+WRCount+TECount)</f>
        <v>-65.900000000000006</v>
      </c>
      <c r="F341" s="1" t="str">
        <f ca="1">IF(H341&lt;=I341,"Starter",IF(G341&gt;=LARGE(G:G,FlexOn*LeagueInfo!$F$2),"Starter","Bench"))</f>
        <v>Bench</v>
      </c>
      <c r="G341" s="1">
        <f ca="1">IF(H341&gt;I341,D341,0)</f>
        <v>10.940000000000001</v>
      </c>
      <c r="H341" s="1">
        <f ca="1">INDEX(INDIRECT(""&amp;C341&amp;"!A2:A489"),MATCH(B341,INDIRECT(""&amp;C341&amp;"!B2:B489"),0))</f>
        <v>75</v>
      </c>
      <c r="I341" s="1">
        <f>IF(C341="RB",LeagueInfo!$D$4*LeagueInfo!$F$2,IF(C341="WR",LeagueInfo!$D$5*LeagueInfo!$F$2,IF(C341="TE",LeagueInfo!$D$6*LeagueInfo!$F$2)))</f>
        <v>12</v>
      </c>
    </row>
    <row r="342" spans="1:9" x14ac:dyDescent="0.25">
      <c r="A342" s="47">
        <f ca="1">RANK(E342,E$2:E$574)</f>
        <v>332</v>
      </c>
      <c r="B342" s="1" t="s">
        <v>548</v>
      </c>
      <c r="C342" s="1" t="s">
        <v>32</v>
      </c>
      <c r="D342" s="1">
        <f ca="1">INDEX(INDIRECT($C342&amp;"!O:O"),MATCH($B342,INDIRECT($C342&amp;"!B:B"),0))</f>
        <v>12.620000000000001</v>
      </c>
      <c r="E342" s="254">
        <f ca="1">D342-LARGE(D$2:D$467,RBCount+WRCount+TECount)</f>
        <v>-64.22</v>
      </c>
      <c r="F342" s="1" t="str">
        <f ca="1">IF(H342&lt;=I342,"Starter",IF(G342&gt;=LARGE(G:G,FlexOn*LeagueInfo!$F$2),"Starter","Bench"))</f>
        <v>Bench</v>
      </c>
      <c r="G342" s="1">
        <f ca="1">IF(H342&gt;I342,D342,0)</f>
        <v>12.620000000000001</v>
      </c>
      <c r="H342" s="1">
        <f ca="1">INDEX(INDIRECT(""&amp;C342&amp;"!A2:A489"),MATCH(B342,INDIRECT(""&amp;C342&amp;"!B2:B489"),0))</f>
        <v>112</v>
      </c>
      <c r="I342" s="1">
        <f>IF(C342="RB",LeagueInfo!$D$4*LeagueInfo!$F$2,IF(C342="WR",LeagueInfo!$D$5*LeagueInfo!$F$2,IF(C342="TE",LeagueInfo!$D$6*LeagueInfo!$F$2)))</f>
        <v>24</v>
      </c>
    </row>
    <row r="343" spans="1:9" x14ac:dyDescent="0.25">
      <c r="A343" s="47">
        <f ca="1">RANK(E343,E$2:E$574)</f>
        <v>340</v>
      </c>
      <c r="B343" s="1" t="s">
        <v>547</v>
      </c>
      <c r="C343" s="1" t="s">
        <v>32</v>
      </c>
      <c r="D343" s="1">
        <f ca="1">INDEX(INDIRECT($C343&amp;"!O:O"),MATCH($B343,INDIRECT($C343&amp;"!B:B"),0))</f>
        <v>11.74</v>
      </c>
      <c r="E343" s="254">
        <f ca="1">D343-LARGE(D$2:D$467,RBCount+WRCount+TECount)</f>
        <v>-65.100000000000009</v>
      </c>
      <c r="F343" s="1" t="str">
        <f ca="1">IF(H343&lt;=I343,"Starter",IF(G343&gt;=LARGE(G:G,FlexOn*LeagueInfo!$F$2),"Starter","Bench"))</f>
        <v>Bench</v>
      </c>
      <c r="G343" s="1">
        <f ca="1">IF(H343&gt;I343,D343,0)</f>
        <v>11.74</v>
      </c>
      <c r="H343" s="1">
        <f ca="1">INDEX(INDIRECT(""&amp;C343&amp;"!A2:A489"),MATCH(B343,INDIRECT(""&amp;C343&amp;"!B2:B489"),0))</f>
        <v>115</v>
      </c>
      <c r="I343" s="1">
        <f>IF(C343="RB",LeagueInfo!$D$4*LeagueInfo!$F$2,IF(C343="WR",LeagueInfo!$D$5*LeagueInfo!$F$2,IF(C343="TE",LeagueInfo!$D$6*LeagueInfo!$F$2)))</f>
        <v>24</v>
      </c>
    </row>
    <row r="344" spans="1:9" x14ac:dyDescent="0.25">
      <c r="A344" s="47">
        <f ca="1">RANK(E344,E$2:E$574)</f>
        <v>344</v>
      </c>
      <c r="B344" s="1" t="s">
        <v>647</v>
      </c>
      <c r="C344" s="1" t="s">
        <v>39</v>
      </c>
      <c r="D344" s="1">
        <f ca="1">INDEX(INDIRECT($C344&amp;"!O:O"),MATCH($B344,INDIRECT($C344&amp;"!B:B"),0))</f>
        <v>11.05</v>
      </c>
      <c r="E344" s="254">
        <f ca="1">D344-LARGE(D$2:D$467,RBCount+WRCount+TECount)</f>
        <v>-65.790000000000006</v>
      </c>
      <c r="F344" s="1" t="str">
        <f ca="1">IF(H344&lt;=I344,"Starter",IF(G344&gt;=LARGE(G:G,FlexOn*LeagueInfo!$F$2),"Starter","Bench"))</f>
        <v>Bench</v>
      </c>
      <c r="G344" s="1">
        <f ca="1">IF(H344&gt;I344,D344,0)</f>
        <v>11.05</v>
      </c>
      <c r="H344" s="1">
        <f ca="1">INDEX(INDIRECT(""&amp;C344&amp;"!A2:A489"),MATCH(B344,INDIRECT(""&amp;C344&amp;"!B2:B489"),0))</f>
        <v>154</v>
      </c>
      <c r="I344" s="1">
        <f>IF(C344="RB",LeagueInfo!$D$4*LeagueInfo!$F$2,IF(C344="WR",LeagueInfo!$D$5*LeagueInfo!$F$2,IF(C344="TE",LeagueInfo!$D$6*LeagueInfo!$F$2)))</f>
        <v>24</v>
      </c>
    </row>
    <row r="345" spans="1:9" x14ac:dyDescent="0.25">
      <c r="A345" s="47">
        <f ca="1">RANK(E345,E$2:E$574)</f>
        <v>330</v>
      </c>
      <c r="B345" s="1" t="s">
        <v>473</v>
      </c>
      <c r="C345" s="1" t="s">
        <v>32</v>
      </c>
      <c r="D345" s="1">
        <f ca="1">INDEX(INDIRECT($C345&amp;"!O:O"),MATCH($B345,INDIRECT($C345&amp;"!B:B"),0))</f>
        <v>12.67</v>
      </c>
      <c r="E345" s="254">
        <f ca="1">D345-LARGE(D$2:D$467,RBCount+WRCount+TECount)</f>
        <v>-64.17</v>
      </c>
      <c r="F345" s="1" t="str">
        <f ca="1">IF(H345&lt;=I345,"Starter",IF(G345&gt;=LARGE(G:G,FlexOn*LeagueInfo!$F$2),"Starter","Bench"))</f>
        <v>Bench</v>
      </c>
      <c r="G345" s="1">
        <f ca="1">IF(H345&gt;I345,D345,0)</f>
        <v>12.67</v>
      </c>
      <c r="H345" s="1">
        <f ca="1">INDEX(INDIRECT(""&amp;C345&amp;"!A2:A489"),MATCH(B345,INDIRECT(""&amp;C345&amp;"!B2:B489"),0))</f>
        <v>111</v>
      </c>
      <c r="I345" s="1">
        <f>IF(C345="RB",LeagueInfo!$D$4*LeagueInfo!$F$2,IF(C345="WR",LeagueInfo!$D$5*LeagueInfo!$F$2,IF(C345="TE",LeagueInfo!$D$6*LeagueInfo!$F$2)))</f>
        <v>24</v>
      </c>
    </row>
    <row r="346" spans="1:9" x14ac:dyDescent="0.25">
      <c r="A346" s="47">
        <f ca="1">RANK(E346,E$2:E$574)</f>
        <v>351</v>
      </c>
      <c r="B346" s="1" t="s">
        <v>766</v>
      </c>
      <c r="C346" s="1" t="s">
        <v>47</v>
      </c>
      <c r="D346" s="1">
        <f ca="1">INDEX(INDIRECT($C346&amp;"!O:O"),MATCH($B346,INDIRECT($C346&amp;"!B:B"),0))</f>
        <v>10.55</v>
      </c>
      <c r="E346" s="254">
        <f ca="1">D346-LARGE(D$2:D$467,RBCount+WRCount+TECount)</f>
        <v>-66.290000000000006</v>
      </c>
      <c r="F346" s="1" t="str">
        <f ca="1">IF(H346&lt;=I346,"Starter",IF(G346&gt;=LARGE(G:G,FlexOn*LeagueInfo!$F$2),"Starter","Bench"))</f>
        <v>Bench</v>
      </c>
      <c r="G346" s="1">
        <f ca="1">IF(H346&gt;I346,D346,0)</f>
        <v>10.55</v>
      </c>
      <c r="H346" s="1">
        <f ca="1">INDEX(INDIRECT(""&amp;C346&amp;"!A2:A489"),MATCH(B346,INDIRECT(""&amp;C346&amp;"!B2:B489"),0))</f>
        <v>78</v>
      </c>
      <c r="I346" s="1">
        <f>IF(C346="RB",LeagueInfo!$D$4*LeagueInfo!$F$2,IF(C346="WR",LeagueInfo!$D$5*LeagueInfo!$F$2,IF(C346="TE",LeagueInfo!$D$6*LeagueInfo!$F$2)))</f>
        <v>12</v>
      </c>
    </row>
    <row r="347" spans="1:9" x14ac:dyDescent="0.25">
      <c r="A347" s="47">
        <f ca="1">RANK(E347,E$2:E$574)</f>
        <v>347</v>
      </c>
      <c r="B347" s="1" t="s">
        <v>699</v>
      </c>
      <c r="C347" s="1" t="s">
        <v>39</v>
      </c>
      <c r="D347" s="1">
        <f ca="1">INDEX(INDIRECT($C347&amp;"!O:O"),MATCH($B347,INDIRECT($C347&amp;"!B:B"),0))</f>
        <v>10.829999999999998</v>
      </c>
      <c r="E347" s="254">
        <f ca="1">D347-LARGE(D$2:D$467,RBCount+WRCount+TECount)</f>
        <v>-66.010000000000005</v>
      </c>
      <c r="F347" s="1" t="str">
        <f ca="1">IF(H347&lt;=I347,"Starter",IF(G347&gt;=LARGE(G:G,FlexOn*LeagueInfo!$F$2),"Starter","Bench"))</f>
        <v>Bench</v>
      </c>
      <c r="G347" s="1">
        <f ca="1">IF(H347&gt;I347,D347,0)</f>
        <v>10.829999999999998</v>
      </c>
      <c r="H347" s="1">
        <f ca="1">INDEX(INDIRECT(""&amp;C347&amp;"!A2:A489"),MATCH(B347,INDIRECT(""&amp;C347&amp;"!B2:B489"),0))</f>
        <v>155</v>
      </c>
      <c r="I347" s="1">
        <f>IF(C347="RB",LeagueInfo!$D$4*LeagueInfo!$F$2,IF(C347="WR",LeagueInfo!$D$5*LeagueInfo!$F$2,IF(C347="TE",LeagueInfo!$D$6*LeagueInfo!$F$2)))</f>
        <v>24</v>
      </c>
    </row>
    <row r="348" spans="1:9" x14ac:dyDescent="0.25">
      <c r="A348" s="47">
        <f ca="1">RANK(E348,E$2:E$574)</f>
        <v>377</v>
      </c>
      <c r="B348" s="1" t="s">
        <v>765</v>
      </c>
      <c r="C348" s="1" t="s">
        <v>47</v>
      </c>
      <c r="D348" s="1">
        <f ca="1">INDEX(INDIRECT($C348&amp;"!O:O"),MATCH($B348,INDIRECT($C348&amp;"!B:B"),0))</f>
        <v>9.129999999999999</v>
      </c>
      <c r="E348" s="254">
        <f ca="1">D348-LARGE(D$2:D$467,RBCount+WRCount+TECount)</f>
        <v>-67.710000000000008</v>
      </c>
      <c r="F348" s="1" t="str">
        <f ca="1">IF(H348&lt;=I348,"Starter",IF(G348&gt;=LARGE(G:G,FlexOn*LeagueInfo!$F$2),"Starter","Bench"))</f>
        <v>Bench</v>
      </c>
      <c r="G348" s="1">
        <f ca="1">IF(H348&gt;I348,D348,0)</f>
        <v>9.129999999999999</v>
      </c>
      <c r="H348" s="1">
        <f ca="1">INDEX(INDIRECT(""&amp;C348&amp;"!A2:A489"),MATCH(B348,INDIRECT(""&amp;C348&amp;"!B2:B489"),0))</f>
        <v>85</v>
      </c>
      <c r="I348" s="1">
        <f>IF(C348="RB",LeagueInfo!$D$4*LeagueInfo!$F$2,IF(C348="WR",LeagueInfo!$D$5*LeagueInfo!$F$2,IF(C348="TE",LeagueInfo!$D$6*LeagueInfo!$F$2)))</f>
        <v>12</v>
      </c>
    </row>
    <row r="349" spans="1:9" x14ac:dyDescent="0.25">
      <c r="A349" s="47">
        <f ca="1">RANK(E349,E$2:E$574)</f>
        <v>334</v>
      </c>
      <c r="B349" s="1" t="s">
        <v>483</v>
      </c>
      <c r="C349" s="1" t="s">
        <v>32</v>
      </c>
      <c r="D349" s="1">
        <f ca="1">INDEX(INDIRECT($C349&amp;"!O:O"),MATCH($B349,INDIRECT($C349&amp;"!B:B"),0))</f>
        <v>12.299999999999999</v>
      </c>
      <c r="E349" s="254">
        <f ca="1">D349-LARGE(D$2:D$467,RBCount+WRCount+TECount)</f>
        <v>-64.540000000000006</v>
      </c>
      <c r="F349" s="1" t="str">
        <f ca="1">IF(H349&lt;=I349,"Starter",IF(G349&gt;=LARGE(G:G,FlexOn*LeagueInfo!$F$2),"Starter","Bench"))</f>
        <v>Bench</v>
      </c>
      <c r="G349" s="1">
        <f ca="1">IF(H349&gt;I349,D349,0)</f>
        <v>12.299999999999999</v>
      </c>
      <c r="H349" s="1">
        <f ca="1">INDEX(INDIRECT(""&amp;C349&amp;"!A2:A489"),MATCH(B349,INDIRECT(""&amp;C349&amp;"!B2:B489"),0))</f>
        <v>113</v>
      </c>
      <c r="I349" s="1">
        <f>IF(C349="RB",LeagueInfo!$D$4*LeagueInfo!$F$2,IF(C349="WR",LeagueInfo!$D$5*LeagueInfo!$F$2,IF(C349="TE",LeagueInfo!$D$6*LeagueInfo!$F$2)))</f>
        <v>24</v>
      </c>
    </row>
    <row r="350" spans="1:9" x14ac:dyDescent="0.25">
      <c r="A350" s="47">
        <f ca="1">RANK(E350,E$2:E$574)</f>
        <v>348</v>
      </c>
      <c r="B350" s="1" t="s">
        <v>634</v>
      </c>
      <c r="C350" s="1" t="s">
        <v>39</v>
      </c>
      <c r="D350" s="1">
        <f ca="1">INDEX(INDIRECT($C350&amp;"!O:O"),MATCH($B350,INDIRECT($C350&amp;"!B:B"),0))</f>
        <v>10.8</v>
      </c>
      <c r="E350" s="254">
        <f ca="1">D350-LARGE(D$2:D$467,RBCount+WRCount+TECount)</f>
        <v>-66.040000000000006</v>
      </c>
      <c r="F350" s="1" t="str">
        <f ca="1">IF(H350&lt;=I350,"Starter",IF(G350&gt;=LARGE(G:G,FlexOn*LeagueInfo!$F$2),"Starter","Bench"))</f>
        <v>Bench</v>
      </c>
      <c r="G350" s="1">
        <f ca="1">IF(H350&gt;I350,D350,0)</f>
        <v>10.8</v>
      </c>
      <c r="H350" s="1">
        <f ca="1">INDEX(INDIRECT(""&amp;C350&amp;"!A2:A489"),MATCH(B350,INDIRECT(""&amp;C350&amp;"!B2:B489"),0))</f>
        <v>156</v>
      </c>
      <c r="I350" s="1">
        <f>IF(C350="RB",LeagueInfo!$D$4*LeagueInfo!$F$2,IF(C350="WR",LeagueInfo!$D$5*LeagueInfo!$F$2,IF(C350="TE",LeagueInfo!$D$6*LeagueInfo!$F$2)))</f>
        <v>24</v>
      </c>
    </row>
    <row r="351" spans="1:9" x14ac:dyDescent="0.25">
      <c r="A351" s="47">
        <f ca="1">RANK(E351,E$2:E$574)</f>
        <v>343</v>
      </c>
      <c r="B351" s="1" t="s">
        <v>771</v>
      </c>
      <c r="C351" s="1" t="s">
        <v>47</v>
      </c>
      <c r="D351" s="1">
        <f ca="1">INDEX(INDIRECT($C351&amp;"!O:O"),MATCH($B351,INDIRECT($C351&amp;"!B:B"),0))</f>
        <v>11.120000000000001</v>
      </c>
      <c r="E351" s="254">
        <f ca="1">D351-LARGE(D$2:D$467,RBCount+WRCount+TECount)</f>
        <v>-65.72</v>
      </c>
      <c r="F351" s="1" t="str">
        <f ca="1">IF(H351&lt;=I351,"Starter",IF(G351&gt;=LARGE(G:G,FlexOn*LeagueInfo!$F$2),"Starter","Bench"))</f>
        <v>Bench</v>
      </c>
      <c r="G351" s="1">
        <f ca="1">IF(H351&gt;I351,D351,0)</f>
        <v>11.120000000000001</v>
      </c>
      <c r="H351" s="1">
        <f ca="1">INDEX(INDIRECT(""&amp;C351&amp;"!A2:A489"),MATCH(B351,INDIRECT(""&amp;C351&amp;"!B2:B489"),0))</f>
        <v>74</v>
      </c>
      <c r="I351" s="1">
        <f>IF(C351="RB",LeagueInfo!$D$4*LeagueInfo!$F$2,IF(C351="WR",LeagueInfo!$D$5*LeagueInfo!$F$2,IF(C351="TE",LeagueInfo!$D$6*LeagueInfo!$F$2)))</f>
        <v>12</v>
      </c>
    </row>
    <row r="352" spans="1:9" x14ac:dyDescent="0.25">
      <c r="A352" s="47">
        <f ca="1">RANK(E352,E$2:E$574)</f>
        <v>358</v>
      </c>
      <c r="B352" s="1" t="s">
        <v>762</v>
      </c>
      <c r="C352" s="1" t="s">
        <v>47</v>
      </c>
      <c r="D352" s="1">
        <f ca="1">INDEX(INDIRECT($C352&amp;"!O:O"),MATCH($B352,INDIRECT($C352&amp;"!B:B"),0))</f>
        <v>10</v>
      </c>
      <c r="E352" s="254">
        <f ca="1">D352-LARGE(D$2:D$467,RBCount+WRCount+TECount)</f>
        <v>-66.84</v>
      </c>
      <c r="F352" s="1" t="str">
        <f ca="1">IF(H352&lt;=I352,"Starter",IF(G352&gt;=LARGE(G:G,FlexOn*LeagueInfo!$F$2),"Starter","Bench"))</f>
        <v>Bench</v>
      </c>
      <c r="G352" s="1">
        <f ca="1">IF(H352&gt;I352,D352,0)</f>
        <v>10</v>
      </c>
      <c r="H352" s="1">
        <f ca="1">INDEX(INDIRECT(""&amp;C352&amp;"!A2:A489"),MATCH(B352,INDIRECT(""&amp;C352&amp;"!B2:B489"),0))</f>
        <v>80</v>
      </c>
      <c r="I352" s="1">
        <f>IF(C352="RB",LeagueInfo!$D$4*LeagueInfo!$F$2,IF(C352="WR",LeagueInfo!$D$5*LeagueInfo!$F$2,IF(C352="TE",LeagueInfo!$D$6*LeagueInfo!$F$2)))</f>
        <v>12</v>
      </c>
    </row>
    <row r="353" spans="1:9" x14ac:dyDescent="0.25">
      <c r="A353" s="47">
        <f ca="1">RANK(E353,E$2:E$574)</f>
        <v>373</v>
      </c>
      <c r="B353" s="1" t="s">
        <v>757</v>
      </c>
      <c r="C353" s="1" t="s">
        <v>47</v>
      </c>
      <c r="D353" s="1">
        <f ca="1">INDEX(INDIRECT($C353&amp;"!O:O"),MATCH($B353,INDIRECT($C353&amp;"!B:B"),0))</f>
        <v>9.2900000000000027</v>
      </c>
      <c r="E353" s="254">
        <f ca="1">D353-LARGE(D$2:D$467,RBCount+WRCount+TECount)</f>
        <v>-67.55</v>
      </c>
      <c r="F353" s="1" t="str">
        <f ca="1">IF(H353&lt;=I353,"Starter",IF(G353&gt;=LARGE(G:G,FlexOn*LeagueInfo!$F$2),"Starter","Bench"))</f>
        <v>Bench</v>
      </c>
      <c r="G353" s="1">
        <f ca="1">IF(H353&gt;I353,D353,0)</f>
        <v>9.2900000000000027</v>
      </c>
      <c r="H353" s="1">
        <f ca="1">INDEX(INDIRECT(""&amp;C353&amp;"!A2:A489"),MATCH(B353,INDIRECT(""&amp;C353&amp;"!B2:B489"),0))</f>
        <v>83</v>
      </c>
      <c r="I353" s="1">
        <f>IF(C353="RB",LeagueInfo!$D$4*LeagueInfo!$F$2,IF(C353="WR",LeagueInfo!$D$5*LeagueInfo!$F$2,IF(C353="TE",LeagueInfo!$D$6*LeagueInfo!$F$2)))</f>
        <v>12</v>
      </c>
    </row>
    <row r="354" spans="1:9" x14ac:dyDescent="0.25">
      <c r="A354" s="47">
        <f ca="1">RANK(E354,E$2:E$574)</f>
        <v>352</v>
      </c>
      <c r="B354" s="1" t="s">
        <v>653</v>
      </c>
      <c r="C354" s="1" t="s">
        <v>39</v>
      </c>
      <c r="D354" s="1">
        <f ca="1">INDEX(INDIRECT($C354&amp;"!O:O"),MATCH($B354,INDIRECT($C354&amp;"!B:B"),0))</f>
        <v>10.48</v>
      </c>
      <c r="E354" s="254">
        <f ca="1">D354-LARGE(D$2:D$467,RBCount+WRCount+TECount)</f>
        <v>-66.36</v>
      </c>
      <c r="F354" s="1" t="str">
        <f ca="1">IF(H354&lt;=I354,"Starter",IF(G354&gt;=LARGE(G:G,FlexOn*LeagueInfo!$F$2),"Starter","Bench"))</f>
        <v>Bench</v>
      </c>
      <c r="G354" s="1">
        <f ca="1">IF(H354&gt;I354,D354,0)</f>
        <v>10.48</v>
      </c>
      <c r="H354" s="1">
        <f ca="1">INDEX(INDIRECT(""&amp;C354&amp;"!A2:A489"),MATCH(B354,INDIRECT(""&amp;C354&amp;"!B2:B489"),0))</f>
        <v>157</v>
      </c>
      <c r="I354" s="1">
        <f>IF(C354="RB",LeagueInfo!$D$4*LeagueInfo!$F$2,IF(C354="WR",LeagueInfo!$D$5*LeagueInfo!$F$2,IF(C354="TE",LeagueInfo!$D$6*LeagueInfo!$F$2)))</f>
        <v>24</v>
      </c>
    </row>
    <row r="355" spans="1:9" x14ac:dyDescent="0.25">
      <c r="A355" s="47">
        <f ca="1">RANK(E355,E$2:E$574)</f>
        <v>349</v>
      </c>
      <c r="B355" s="1" t="s">
        <v>775</v>
      </c>
      <c r="C355" s="1" t="s">
        <v>47</v>
      </c>
      <c r="D355" s="1">
        <f ca="1">INDEX(INDIRECT($C355&amp;"!O:O"),MATCH($B355,INDIRECT($C355&amp;"!B:B"),0))</f>
        <v>10.79</v>
      </c>
      <c r="E355" s="254">
        <f ca="1">D355-LARGE(D$2:D$467,RBCount+WRCount+TECount)</f>
        <v>-66.050000000000011</v>
      </c>
      <c r="F355" s="1" t="str">
        <f ca="1">IF(H355&lt;=I355,"Starter",IF(G355&gt;=LARGE(G:G,FlexOn*LeagueInfo!$F$2),"Starter","Bench"))</f>
        <v>Bench</v>
      </c>
      <c r="G355" s="1">
        <f ca="1">IF(H355&gt;I355,D355,0)</f>
        <v>10.79</v>
      </c>
      <c r="H355" s="1">
        <f ca="1">INDEX(INDIRECT(""&amp;C355&amp;"!A2:A489"),MATCH(B355,INDIRECT(""&amp;C355&amp;"!B2:B489"),0))</f>
        <v>76</v>
      </c>
      <c r="I355" s="1">
        <f>IF(C355="RB",LeagueInfo!$D$4*LeagueInfo!$F$2,IF(C355="WR",LeagueInfo!$D$5*LeagueInfo!$F$2,IF(C355="TE",LeagueInfo!$D$6*LeagueInfo!$F$2)))</f>
        <v>12</v>
      </c>
    </row>
    <row r="356" spans="1:9" x14ac:dyDescent="0.25">
      <c r="A356" s="47">
        <f ca="1">RANK(E356,E$2:E$574)</f>
        <v>357</v>
      </c>
      <c r="B356" s="1" t="s">
        <v>776</v>
      </c>
      <c r="C356" s="1" t="s">
        <v>47</v>
      </c>
      <c r="D356" s="1">
        <f ca="1">INDEX(INDIRECT($C356&amp;"!O:O"),MATCH($B356,INDIRECT($C356&amp;"!B:B"),0))</f>
        <v>10.14</v>
      </c>
      <c r="E356" s="254">
        <f ca="1">D356-LARGE(D$2:D$467,RBCount+WRCount+TECount)</f>
        <v>-66.7</v>
      </c>
      <c r="F356" s="1" t="str">
        <f ca="1">IF(H356&lt;=I356,"Starter",IF(G356&gt;=LARGE(G:G,FlexOn*LeagueInfo!$F$2),"Starter","Bench"))</f>
        <v>Bench</v>
      </c>
      <c r="G356" s="1">
        <f ca="1">IF(H356&gt;I356,D356,0)</f>
        <v>10.14</v>
      </c>
      <c r="H356" s="1">
        <f ca="1">INDEX(INDIRECT(""&amp;C356&amp;"!A2:A489"),MATCH(B356,INDIRECT(""&amp;C356&amp;"!B2:B489"),0))</f>
        <v>79</v>
      </c>
      <c r="I356" s="1">
        <f>IF(C356="RB",LeagueInfo!$D$4*LeagueInfo!$F$2,IF(C356="WR",LeagueInfo!$D$5*LeagueInfo!$F$2,IF(C356="TE",LeagueInfo!$D$6*LeagueInfo!$F$2)))</f>
        <v>12</v>
      </c>
    </row>
    <row r="357" spans="1:9" x14ac:dyDescent="0.25">
      <c r="A357" s="47">
        <f ca="1">RANK(E357,E$2:E$574)</f>
        <v>354</v>
      </c>
      <c r="B357" s="1" t="s">
        <v>654</v>
      </c>
      <c r="C357" s="1" t="s">
        <v>39</v>
      </c>
      <c r="D357" s="1">
        <f ca="1">INDEX(INDIRECT($C357&amp;"!O:O"),MATCH($B357,INDIRECT($C357&amp;"!B:B"),0))</f>
        <v>10.280000000000001</v>
      </c>
      <c r="E357" s="254">
        <f ca="1">D357-LARGE(D$2:D$467,RBCount+WRCount+TECount)</f>
        <v>-66.56</v>
      </c>
      <c r="F357" s="1" t="str">
        <f ca="1">IF(H357&lt;=I357,"Starter",IF(G357&gt;=LARGE(G:G,FlexOn*LeagueInfo!$F$2),"Starter","Bench"))</f>
        <v>Bench</v>
      </c>
      <c r="G357" s="1">
        <f ca="1">IF(H357&gt;I357,D357,0)</f>
        <v>10.280000000000001</v>
      </c>
      <c r="H357" s="1">
        <f ca="1">INDEX(INDIRECT(""&amp;C357&amp;"!A2:A489"),MATCH(B357,INDIRECT(""&amp;C357&amp;"!B2:B489"),0))</f>
        <v>158</v>
      </c>
      <c r="I357" s="1">
        <f>IF(C357="RB",LeagueInfo!$D$4*LeagueInfo!$F$2,IF(C357="WR",LeagueInfo!$D$5*LeagueInfo!$F$2,IF(C357="TE",LeagueInfo!$D$6*LeagueInfo!$F$2)))</f>
        <v>24</v>
      </c>
    </row>
    <row r="358" spans="1:9" x14ac:dyDescent="0.25">
      <c r="A358" s="47">
        <f ca="1">RANK(E358,E$2:E$574)</f>
        <v>369</v>
      </c>
      <c r="B358" s="1" t="s">
        <v>660</v>
      </c>
      <c r="C358" s="1" t="s">
        <v>39</v>
      </c>
      <c r="D358" s="1">
        <f ca="1">INDEX(INDIRECT($C358&amp;"!O:O"),MATCH($B358,INDIRECT($C358&amp;"!B:B"),0))</f>
        <v>9.4700000000000006</v>
      </c>
      <c r="E358" s="254">
        <f ca="1">D358-LARGE(D$2:D$467,RBCount+WRCount+TECount)</f>
        <v>-67.37</v>
      </c>
      <c r="F358" s="1" t="str">
        <f ca="1">IF(H358&lt;=I358,"Starter",IF(G358&gt;=LARGE(G:G,FlexOn*LeagueInfo!$F$2),"Starter","Bench"))</f>
        <v>Bench</v>
      </c>
      <c r="G358" s="1">
        <f ca="1">IF(H358&gt;I358,D358,0)</f>
        <v>9.4700000000000006</v>
      </c>
      <c r="H358" s="1">
        <f ca="1">INDEX(INDIRECT(""&amp;C358&amp;"!A2:A489"),MATCH(B358,INDIRECT(""&amp;C358&amp;"!B2:B489"),0))</f>
        <v>162</v>
      </c>
      <c r="I358" s="1">
        <f>IF(C358="RB",LeagueInfo!$D$4*LeagueInfo!$F$2,IF(C358="WR",LeagueInfo!$D$5*LeagueInfo!$F$2,IF(C358="TE",LeagueInfo!$D$6*LeagueInfo!$F$2)))</f>
        <v>24</v>
      </c>
    </row>
    <row r="359" spans="1:9" x14ac:dyDescent="0.25">
      <c r="A359" s="47">
        <f ca="1">RANK(E359,E$2:E$574)</f>
        <v>359</v>
      </c>
      <c r="B359" s="1" t="s">
        <v>662</v>
      </c>
      <c r="C359" s="1" t="s">
        <v>39</v>
      </c>
      <c r="D359" s="1">
        <f ca="1">INDEX(INDIRECT($C359&amp;"!O:O"),MATCH($B359,INDIRECT($C359&amp;"!B:B"),0))</f>
        <v>9.9600000000000009</v>
      </c>
      <c r="E359" s="254">
        <f ca="1">D359-LARGE(D$2:D$467,RBCount+WRCount+TECount)</f>
        <v>-66.88</v>
      </c>
      <c r="F359" s="1" t="str">
        <f ca="1">IF(H359&lt;=I359,"Starter",IF(G359&gt;=LARGE(G:G,FlexOn*LeagueInfo!$F$2),"Starter","Bench"))</f>
        <v>Bench</v>
      </c>
      <c r="G359" s="1">
        <f ca="1">IF(H359&gt;I359,D359,0)</f>
        <v>9.9600000000000009</v>
      </c>
      <c r="H359" s="1">
        <f ca="1">INDEX(INDIRECT(""&amp;C359&amp;"!A2:A489"),MATCH(B359,INDIRECT(""&amp;C359&amp;"!B2:B489"),0))</f>
        <v>159</v>
      </c>
      <c r="I359" s="1">
        <f>IF(C359="RB",LeagueInfo!$D$4*LeagueInfo!$F$2,IF(C359="WR",LeagueInfo!$D$5*LeagueInfo!$F$2,IF(C359="TE",LeagueInfo!$D$6*LeagueInfo!$F$2)))</f>
        <v>24</v>
      </c>
    </row>
    <row r="360" spans="1:9" x14ac:dyDescent="0.25">
      <c r="A360" s="47">
        <f ca="1">RANK(E360,E$2:E$574)</f>
        <v>368</v>
      </c>
      <c r="B360" s="1" t="s">
        <v>753</v>
      </c>
      <c r="C360" s="1" t="s">
        <v>47</v>
      </c>
      <c r="D360" s="1">
        <f ca="1">INDEX(INDIRECT($C360&amp;"!O:O"),MATCH($B360,INDIRECT($C360&amp;"!B:B"),0))</f>
        <v>9.5</v>
      </c>
      <c r="E360" s="254">
        <f ca="1">D360-LARGE(D$2:D$467,RBCount+WRCount+TECount)</f>
        <v>-67.34</v>
      </c>
      <c r="F360" s="1" t="str">
        <f ca="1">IF(H360&lt;=I360,"Starter",IF(G360&gt;=LARGE(G:G,FlexOn*LeagueInfo!$F$2),"Starter","Bench"))</f>
        <v>Bench</v>
      </c>
      <c r="G360" s="1">
        <f ca="1">IF(H360&gt;I360,D360,0)</f>
        <v>9.5</v>
      </c>
      <c r="H360" s="1">
        <f ca="1">INDEX(INDIRECT(""&amp;C360&amp;"!A2:A489"),MATCH(B360,INDIRECT(""&amp;C360&amp;"!B2:B489"),0))</f>
        <v>82</v>
      </c>
      <c r="I360" s="1">
        <f>IF(C360="RB",LeagueInfo!$D$4*LeagueInfo!$F$2,IF(C360="WR",LeagueInfo!$D$5*LeagueInfo!$F$2,IF(C360="TE",LeagueInfo!$D$6*LeagueInfo!$F$2)))</f>
        <v>12</v>
      </c>
    </row>
    <row r="361" spans="1:9" x14ac:dyDescent="0.25">
      <c r="A361" s="47">
        <f ca="1">RANK(E361,E$2:E$574)</f>
        <v>361</v>
      </c>
      <c r="B361" s="1" t="s">
        <v>656</v>
      </c>
      <c r="C361" s="1" t="s">
        <v>39</v>
      </c>
      <c r="D361" s="1">
        <f ca="1">INDEX(INDIRECT($C361&amp;"!O:O"),MATCH($B361,INDIRECT($C361&amp;"!B:B"),0))</f>
        <v>9.8000000000000007</v>
      </c>
      <c r="E361" s="254">
        <f ca="1">D361-LARGE(D$2:D$467,RBCount+WRCount+TECount)</f>
        <v>-67.040000000000006</v>
      </c>
      <c r="F361" s="1" t="str">
        <f ca="1">IF(H361&lt;=I361,"Starter",IF(G361&gt;=LARGE(G:G,FlexOn*LeagueInfo!$F$2),"Starter","Bench"))</f>
        <v>Bench</v>
      </c>
      <c r="G361" s="1">
        <f ca="1">IF(H361&gt;I361,D361,0)</f>
        <v>9.8000000000000007</v>
      </c>
      <c r="H361" s="1">
        <f ca="1">INDEX(INDIRECT(""&amp;C361&amp;"!A2:A489"),MATCH(B361,INDIRECT(""&amp;C361&amp;"!B2:B489"),0))</f>
        <v>160</v>
      </c>
      <c r="I361" s="1">
        <f>IF(C361="RB",LeagueInfo!$D$4*LeagueInfo!$F$2,IF(C361="WR",LeagueInfo!$D$5*LeagueInfo!$F$2,IF(C361="TE",LeagueInfo!$D$6*LeagueInfo!$F$2)))</f>
        <v>24</v>
      </c>
    </row>
    <row r="362" spans="1:9" x14ac:dyDescent="0.25">
      <c r="A362" s="47">
        <f ca="1">RANK(E362,E$2:E$574)</f>
        <v>371</v>
      </c>
      <c r="B362" s="1" t="s">
        <v>501</v>
      </c>
      <c r="C362" s="1" t="s">
        <v>32</v>
      </c>
      <c r="D362" s="1">
        <f ca="1">INDEX(INDIRECT($C362&amp;"!O:O"),MATCH($B362,INDIRECT($C362&amp;"!B:B"),0))</f>
        <v>9.39</v>
      </c>
      <c r="E362" s="254">
        <f ca="1">D362-LARGE(D$2:D$467,RBCount+WRCount+TECount)</f>
        <v>-67.45</v>
      </c>
      <c r="F362" s="1" t="str">
        <f ca="1">IF(H362&lt;=I362,"Starter",IF(G362&gt;=LARGE(G:G,FlexOn*LeagueInfo!$F$2),"Starter","Bench"))</f>
        <v>Bench</v>
      </c>
      <c r="G362" s="1">
        <f ca="1">IF(H362&gt;I362,D362,0)</f>
        <v>9.39</v>
      </c>
      <c r="H362" s="1">
        <f ca="1">INDEX(INDIRECT(""&amp;C362&amp;"!A2:A489"),MATCH(B362,INDIRECT(""&amp;C362&amp;"!B2:B489"),0))</f>
        <v>126</v>
      </c>
      <c r="I362" s="1">
        <f>IF(C362="RB",LeagueInfo!$D$4*LeagueInfo!$F$2,IF(C362="WR",LeagueInfo!$D$5*LeagueInfo!$F$2,IF(C362="TE",LeagueInfo!$D$6*LeagueInfo!$F$2)))</f>
        <v>24</v>
      </c>
    </row>
    <row r="363" spans="1:9" x14ac:dyDescent="0.25">
      <c r="A363" s="47">
        <f ca="1">RANK(E363,E$2:E$574)</f>
        <v>345</v>
      </c>
      <c r="B363" s="1" t="s">
        <v>502</v>
      </c>
      <c r="C363" s="1" t="s">
        <v>32</v>
      </c>
      <c r="D363" s="1">
        <f ca="1">INDEX(INDIRECT($C363&amp;"!O:O"),MATCH($B363,INDIRECT($C363&amp;"!B:B"),0))</f>
        <v>10.96</v>
      </c>
      <c r="E363" s="254">
        <f ca="1">D363-LARGE(D$2:D$467,RBCount+WRCount+TECount)</f>
        <v>-65.88</v>
      </c>
      <c r="F363" s="1" t="str">
        <f ca="1">IF(H363&lt;=I363,"Starter",IF(G363&gt;=LARGE(G:G,FlexOn*LeagueInfo!$F$2),"Starter","Bench"))</f>
        <v>Bench</v>
      </c>
      <c r="G363" s="1">
        <f ca="1">IF(H363&gt;I363,D363,0)</f>
        <v>10.96</v>
      </c>
      <c r="H363" s="1">
        <f ca="1">INDEX(INDIRECT(""&amp;C363&amp;"!A2:A489"),MATCH(B363,INDIRECT(""&amp;C363&amp;"!B2:B489"),0))</f>
        <v>117</v>
      </c>
      <c r="I363" s="1">
        <f>IF(C363="RB",LeagueInfo!$D$4*LeagueInfo!$F$2,IF(C363="WR",LeagueInfo!$D$5*LeagueInfo!$F$2,IF(C363="TE",LeagueInfo!$D$6*LeagueInfo!$F$2)))</f>
        <v>24</v>
      </c>
    </row>
    <row r="364" spans="1:9" x14ac:dyDescent="0.25">
      <c r="A364" s="47">
        <f ca="1">RANK(E364,E$2:E$574)</f>
        <v>374</v>
      </c>
      <c r="B364" s="1" t="s">
        <v>749</v>
      </c>
      <c r="C364" s="1" t="s">
        <v>47</v>
      </c>
      <c r="D364" s="1">
        <f ca="1">INDEX(INDIRECT($C364&amp;"!O:O"),MATCH($B364,INDIRECT($C364&amp;"!B:B"),0))</f>
        <v>9.26</v>
      </c>
      <c r="E364" s="254">
        <f ca="1">D364-LARGE(D$2:D$467,RBCount+WRCount+TECount)</f>
        <v>-67.58</v>
      </c>
      <c r="F364" s="1" t="str">
        <f ca="1">IF(H364&lt;=I364,"Starter",IF(G364&gt;=LARGE(G:G,FlexOn*LeagueInfo!$F$2),"Starter","Bench"))</f>
        <v>Bench</v>
      </c>
      <c r="G364" s="1">
        <f ca="1">IF(H364&gt;I364,D364,0)</f>
        <v>9.26</v>
      </c>
      <c r="H364" s="1">
        <f ca="1">INDEX(INDIRECT(""&amp;C364&amp;"!A2:A489"),MATCH(B364,INDIRECT(""&amp;C364&amp;"!B2:B489"),0))</f>
        <v>84</v>
      </c>
      <c r="I364" s="1">
        <f>IF(C364="RB",LeagueInfo!$D$4*LeagueInfo!$F$2,IF(C364="WR",LeagueInfo!$D$5*LeagueInfo!$F$2,IF(C364="TE",LeagueInfo!$D$6*LeagueInfo!$F$2)))</f>
        <v>12</v>
      </c>
    </row>
    <row r="365" spans="1:9" x14ac:dyDescent="0.25">
      <c r="A365" s="47">
        <f ca="1">RANK(E365,E$2:E$574)</f>
        <v>382</v>
      </c>
      <c r="B365" s="1" t="s">
        <v>668</v>
      </c>
      <c r="C365" s="1" t="s">
        <v>39</v>
      </c>
      <c r="D365" s="1">
        <f ca="1">INDEX(INDIRECT($C365&amp;"!O:O"),MATCH($B365,INDIRECT($C365&amp;"!B:B"),0))</f>
        <v>8.89</v>
      </c>
      <c r="E365" s="254">
        <f ca="1">D365-LARGE(D$2:D$467,RBCount+WRCount+TECount)</f>
        <v>-67.95</v>
      </c>
      <c r="F365" s="1" t="str">
        <f ca="1">IF(H365&lt;=I365,"Starter",IF(G365&gt;=LARGE(G:G,FlexOn*LeagueInfo!$F$2),"Starter","Bench"))</f>
        <v>Bench</v>
      </c>
      <c r="G365" s="1">
        <f ca="1">IF(H365&gt;I365,D365,0)</f>
        <v>8.89</v>
      </c>
      <c r="H365" s="1">
        <f ca="1">INDEX(INDIRECT(""&amp;C365&amp;"!A2:A489"),MATCH(B365,INDIRECT(""&amp;C365&amp;"!B2:B489"),0))</f>
        <v>169</v>
      </c>
      <c r="I365" s="1">
        <f>IF(C365="RB",LeagueInfo!$D$4*LeagueInfo!$F$2,IF(C365="WR",LeagueInfo!$D$5*LeagueInfo!$F$2,IF(C365="TE",LeagueInfo!$D$6*LeagueInfo!$F$2)))</f>
        <v>24</v>
      </c>
    </row>
    <row r="366" spans="1:9" x14ac:dyDescent="0.25">
      <c r="A366" s="47">
        <f ca="1">RANK(E366,E$2:E$574)</f>
        <v>356</v>
      </c>
      <c r="B366" s="1" t="s">
        <v>497</v>
      </c>
      <c r="C366" s="1" t="s">
        <v>32</v>
      </c>
      <c r="D366" s="1">
        <f ca="1">INDEX(INDIRECT($C366&amp;"!O:O"),MATCH($B366,INDIRECT($C366&amp;"!B:B"),0))</f>
        <v>10.19</v>
      </c>
      <c r="E366" s="254">
        <f ca="1">D366-LARGE(D$2:D$467,RBCount+WRCount+TECount)</f>
        <v>-66.650000000000006</v>
      </c>
      <c r="F366" s="1" t="str">
        <f ca="1">IF(H366&lt;=I366,"Starter",IF(G366&gt;=LARGE(G:G,FlexOn*LeagueInfo!$F$2),"Starter","Bench"))</f>
        <v>Bench</v>
      </c>
      <c r="G366" s="1">
        <f ca="1">IF(H366&gt;I366,D366,0)</f>
        <v>10.19</v>
      </c>
      <c r="H366" s="1">
        <f ca="1">INDEX(INDIRECT(""&amp;C366&amp;"!A2:A489"),MATCH(B366,INDIRECT(""&amp;C366&amp;"!B2:B489"),0))</f>
        <v>120</v>
      </c>
      <c r="I366" s="1">
        <f>IF(C366="RB",LeagueInfo!$D$4*LeagueInfo!$F$2,IF(C366="WR",LeagueInfo!$D$5*LeagueInfo!$F$2,IF(C366="TE",LeagueInfo!$D$6*LeagueInfo!$F$2)))</f>
        <v>24</v>
      </c>
    </row>
    <row r="367" spans="1:9" x14ac:dyDescent="0.25">
      <c r="A367" s="47">
        <f ca="1">RANK(E367,E$2:E$574)</f>
        <v>362</v>
      </c>
      <c r="B367" s="1" t="s">
        <v>657</v>
      </c>
      <c r="C367" s="1" t="s">
        <v>39</v>
      </c>
      <c r="D367" s="1">
        <f ca="1">INDEX(INDIRECT($C367&amp;"!O:O"),MATCH($B367,INDIRECT($C367&amp;"!B:B"),0))</f>
        <v>9.7800000000000011</v>
      </c>
      <c r="E367" s="254">
        <f ca="1">D367-LARGE(D$2:D$467,RBCount+WRCount+TECount)</f>
        <v>-67.06</v>
      </c>
      <c r="F367" s="1" t="str">
        <f ca="1">IF(H367&lt;=I367,"Starter",IF(G367&gt;=LARGE(G:G,FlexOn*LeagueInfo!$F$2),"Starter","Bench"))</f>
        <v>Bench</v>
      </c>
      <c r="G367" s="1">
        <f ca="1">IF(H367&gt;I367,D367,0)</f>
        <v>9.7800000000000011</v>
      </c>
      <c r="H367" s="1">
        <f ca="1">INDEX(INDIRECT(""&amp;C367&amp;"!A2:A489"),MATCH(B367,INDIRECT(""&amp;C367&amp;"!B2:B489"),0))</f>
        <v>161</v>
      </c>
      <c r="I367" s="1">
        <f>IF(C367="RB",LeagueInfo!$D$4*LeagueInfo!$F$2,IF(C367="WR",LeagueInfo!$D$5*LeagueInfo!$F$2,IF(C367="TE",LeagueInfo!$D$6*LeagueInfo!$F$2)))</f>
        <v>24</v>
      </c>
    </row>
    <row r="368" spans="1:9" x14ac:dyDescent="0.25">
      <c r="A368" s="47">
        <f ca="1">RANK(E368,E$2:E$574)</f>
        <v>364</v>
      </c>
      <c r="B368" s="1" t="s">
        <v>537</v>
      </c>
      <c r="C368" s="1" t="s">
        <v>32</v>
      </c>
      <c r="D368" s="1">
        <f ca="1">INDEX(INDIRECT($C368&amp;"!O:O"),MATCH($B368,INDIRECT($C368&amp;"!B:B"),0))</f>
        <v>9.58</v>
      </c>
      <c r="E368" s="254">
        <f ca="1">D368-LARGE(D$2:D$467,RBCount+WRCount+TECount)</f>
        <v>-67.260000000000005</v>
      </c>
      <c r="F368" s="1" t="str">
        <f ca="1">IF(H368&lt;=I368,"Starter",IF(G368&gt;=LARGE(G:G,FlexOn*LeagueInfo!$F$2),"Starter","Bench"))</f>
        <v>Bench</v>
      </c>
      <c r="G368" s="1">
        <f ca="1">IF(H368&gt;I368,D368,0)</f>
        <v>9.58</v>
      </c>
      <c r="H368" s="1">
        <f ca="1">INDEX(INDIRECT(""&amp;C368&amp;"!A2:A489"),MATCH(B368,INDIRECT(""&amp;C368&amp;"!B2:B489"),0))</f>
        <v>123</v>
      </c>
      <c r="I368" s="1">
        <f>IF(C368="RB",LeagueInfo!$D$4*LeagueInfo!$F$2,IF(C368="WR",LeagueInfo!$D$5*LeagueInfo!$F$2,IF(C368="TE",LeagueInfo!$D$6*LeagueInfo!$F$2)))</f>
        <v>24</v>
      </c>
    </row>
    <row r="369" spans="1:9" x14ac:dyDescent="0.25">
      <c r="A369" s="47">
        <f ca="1">RANK(E369,E$2:E$574)</f>
        <v>364</v>
      </c>
      <c r="B369" s="1" t="s">
        <v>539</v>
      </c>
      <c r="C369" s="1" t="s">
        <v>32</v>
      </c>
      <c r="D369" s="1">
        <f ca="1">INDEX(INDIRECT($C369&amp;"!O:O"),MATCH($B369,INDIRECT($C369&amp;"!B:B"),0))</f>
        <v>9.58</v>
      </c>
      <c r="E369" s="254">
        <f ca="1">D369-LARGE(D$2:D$467,RBCount+WRCount+TECount)</f>
        <v>-67.260000000000005</v>
      </c>
      <c r="F369" s="1" t="str">
        <f ca="1">IF(H369&lt;=I369,"Starter",IF(G369&gt;=LARGE(G:G,FlexOn*LeagueInfo!$F$2),"Starter","Bench"))</f>
        <v>Bench</v>
      </c>
      <c r="G369" s="1">
        <f ca="1">IF(H369&gt;I369,D369,0)</f>
        <v>9.58</v>
      </c>
      <c r="H369" s="1">
        <f ca="1">INDEX(INDIRECT(""&amp;C369&amp;"!A2:A489"),MATCH(B369,INDIRECT(""&amp;C369&amp;"!B2:B489"),0))</f>
        <v>123</v>
      </c>
      <c r="I369" s="1">
        <f>IF(C369="RB",LeagueInfo!$D$4*LeagueInfo!$F$2,IF(C369="WR",LeagueInfo!$D$5*LeagueInfo!$F$2,IF(C369="TE",LeagueInfo!$D$6*LeagueInfo!$F$2)))</f>
        <v>24</v>
      </c>
    </row>
    <row r="370" spans="1:9" x14ac:dyDescent="0.25">
      <c r="A370" s="47">
        <f ca="1">RANK(E370,E$2:E$574)</f>
        <v>366</v>
      </c>
      <c r="B370" s="1" t="s">
        <v>764</v>
      </c>
      <c r="C370" s="1" t="s">
        <v>47</v>
      </c>
      <c r="D370" s="1">
        <f ca="1">INDEX(INDIRECT($C370&amp;"!O:O"),MATCH($B370,INDIRECT($C370&amp;"!B:B"),0))</f>
        <v>9.5299999999999994</v>
      </c>
      <c r="E370" s="254">
        <f ca="1">D370-LARGE(D$2:D$467,RBCount+WRCount+TECount)</f>
        <v>-67.31</v>
      </c>
      <c r="F370" s="1" t="str">
        <f ca="1">IF(H370&lt;=I370,"Starter",IF(G370&gt;=LARGE(G:G,FlexOn*LeagueInfo!$F$2),"Starter","Bench"))</f>
        <v>Bench</v>
      </c>
      <c r="G370" s="1">
        <f ca="1">IF(H370&gt;I370,D370,0)</f>
        <v>9.5299999999999994</v>
      </c>
      <c r="H370" s="1">
        <f ca="1">INDEX(INDIRECT(""&amp;C370&amp;"!A2:A489"),MATCH(B370,INDIRECT(""&amp;C370&amp;"!B2:B489"),0))</f>
        <v>81</v>
      </c>
      <c r="I370" s="1">
        <f>IF(C370="RB",LeagueInfo!$D$4*LeagueInfo!$F$2,IF(C370="WR",LeagueInfo!$D$5*LeagueInfo!$F$2,IF(C370="TE",LeagueInfo!$D$6*LeagueInfo!$F$2)))</f>
        <v>12</v>
      </c>
    </row>
    <row r="371" spans="1:9" x14ac:dyDescent="0.25">
      <c r="A371" s="47">
        <f ca="1">RANK(E371,E$2:E$574)</f>
        <v>391</v>
      </c>
      <c r="B371" s="1" t="s">
        <v>772</v>
      </c>
      <c r="C371" s="1" t="s">
        <v>47</v>
      </c>
      <c r="D371" s="1">
        <f ca="1">INDEX(INDIRECT($C371&amp;"!O:O"),MATCH($B371,INDIRECT($C371&amp;"!B:B"),0))</f>
        <v>8.5</v>
      </c>
      <c r="E371" s="254">
        <f ca="1">D371-LARGE(D$2:D$467,RBCount+WRCount+TECount)</f>
        <v>-68.34</v>
      </c>
      <c r="F371" s="1" t="str">
        <f ca="1">IF(H371&lt;=I371,"Starter",IF(G371&gt;=LARGE(G:G,FlexOn*LeagueInfo!$F$2),"Starter","Bench"))</f>
        <v>Bench</v>
      </c>
      <c r="G371" s="1">
        <f ca="1">IF(H371&gt;I371,D371,0)</f>
        <v>8.5</v>
      </c>
      <c r="H371" s="1">
        <f ca="1">INDEX(INDIRECT(""&amp;C371&amp;"!A2:A489"),MATCH(B371,INDIRECT(""&amp;C371&amp;"!B2:B489"),0))</f>
        <v>88</v>
      </c>
      <c r="I371" s="1">
        <f>IF(C371="RB",LeagueInfo!$D$4*LeagueInfo!$F$2,IF(C371="WR",LeagueInfo!$D$5*LeagueInfo!$F$2,IF(C371="TE",LeagueInfo!$D$6*LeagueInfo!$F$2)))</f>
        <v>12</v>
      </c>
    </row>
    <row r="372" spans="1:9" x14ac:dyDescent="0.25">
      <c r="A372" s="47">
        <f ca="1">RANK(E372,E$2:E$574)</f>
        <v>341</v>
      </c>
      <c r="B372" s="1" t="s">
        <v>486</v>
      </c>
      <c r="C372" s="1" t="s">
        <v>32</v>
      </c>
      <c r="D372" s="1">
        <f ca="1">INDEX(INDIRECT($C372&amp;"!O:O"),MATCH($B372,INDIRECT($C372&amp;"!B:B"),0))</f>
        <v>11.650000000000002</v>
      </c>
      <c r="E372" s="254">
        <f ca="1">D372-LARGE(D$2:D$467,RBCount+WRCount+TECount)</f>
        <v>-65.19</v>
      </c>
      <c r="F372" s="1" t="str">
        <f ca="1">IF(H372&lt;=I372,"Starter",IF(G372&gt;=LARGE(G:G,FlexOn*LeagueInfo!$F$2),"Starter","Bench"))</f>
        <v>Bench</v>
      </c>
      <c r="G372" s="1">
        <f ca="1">IF(H372&gt;I372,D372,0)</f>
        <v>11.650000000000002</v>
      </c>
      <c r="H372" s="1">
        <f ca="1">INDEX(INDIRECT(""&amp;C372&amp;"!A2:A489"),MATCH(B372,INDIRECT(""&amp;C372&amp;"!B2:B489"),0))</f>
        <v>116</v>
      </c>
      <c r="I372" s="1">
        <f>IF(C372="RB",LeagueInfo!$D$4*LeagueInfo!$F$2,IF(C372="WR",LeagueInfo!$D$5*LeagueInfo!$F$2,IF(C372="TE",LeagueInfo!$D$6*LeagueInfo!$F$2)))</f>
        <v>24</v>
      </c>
    </row>
    <row r="373" spans="1:9" x14ac:dyDescent="0.25">
      <c r="A373" s="47">
        <f ca="1">RANK(E373,E$2:E$574)</f>
        <v>376</v>
      </c>
      <c r="B373" s="1" t="s">
        <v>665</v>
      </c>
      <c r="C373" s="1" t="s">
        <v>39</v>
      </c>
      <c r="D373" s="1">
        <f ca="1">INDEX(INDIRECT($C373&amp;"!O:O"),MATCH($B373,INDIRECT($C373&amp;"!B:B"),0))</f>
        <v>9.2200000000000006</v>
      </c>
      <c r="E373" s="254">
        <f ca="1">D373-LARGE(D$2:D$467,RBCount+WRCount+TECount)</f>
        <v>-67.62</v>
      </c>
      <c r="F373" s="1" t="str">
        <f ca="1">IF(H373&lt;=I373,"Starter",IF(G373&gt;=LARGE(G:G,FlexOn*LeagueInfo!$F$2),"Starter","Bench"))</f>
        <v>Bench</v>
      </c>
      <c r="G373" s="1">
        <f ca="1">IF(H373&gt;I373,D373,0)</f>
        <v>9.2200000000000006</v>
      </c>
      <c r="H373" s="1">
        <f ca="1">INDEX(INDIRECT(""&amp;C373&amp;"!A2:A489"),MATCH(B373,INDIRECT(""&amp;C373&amp;"!B2:B489"),0))</f>
        <v>166</v>
      </c>
      <c r="I373" s="1">
        <f>IF(C373="RB",LeagueInfo!$D$4*LeagueInfo!$F$2,IF(C373="WR",LeagueInfo!$D$5*LeagueInfo!$F$2,IF(C373="TE",LeagueInfo!$D$6*LeagueInfo!$F$2)))</f>
        <v>24</v>
      </c>
    </row>
    <row r="374" spans="1:9" x14ac:dyDescent="0.25">
      <c r="A374" s="47">
        <f ca="1">RANK(E374,E$2:E$574)</f>
        <v>389</v>
      </c>
      <c r="B374" s="1" t="s">
        <v>646</v>
      </c>
      <c r="C374" s="1" t="s">
        <v>39</v>
      </c>
      <c r="D374" s="1">
        <f ca="1">INDEX(INDIRECT($C374&amp;"!O:O"),MATCH($B374,INDIRECT($C374&amp;"!B:B"),0))</f>
        <v>8.56</v>
      </c>
      <c r="E374" s="254">
        <f ca="1">D374-LARGE(D$2:D$467,RBCount+WRCount+TECount)</f>
        <v>-68.28</v>
      </c>
      <c r="F374" s="1" t="str">
        <f ca="1">IF(H374&lt;=I374,"Starter",IF(G374&gt;=LARGE(G:G,FlexOn*LeagueInfo!$F$2),"Starter","Bench"))</f>
        <v>Bench</v>
      </c>
      <c r="G374" s="1">
        <f ca="1">IF(H374&gt;I374,D374,0)</f>
        <v>8.56</v>
      </c>
      <c r="H374" s="1">
        <f ca="1">INDEX(INDIRECT(""&amp;C374&amp;"!A2:A489"),MATCH(B374,INDIRECT(""&amp;C374&amp;"!B2:B489"),0))</f>
        <v>176</v>
      </c>
      <c r="I374" s="1">
        <f>IF(C374="RB",LeagueInfo!$D$4*LeagueInfo!$F$2,IF(C374="WR",LeagueInfo!$D$5*LeagueInfo!$F$2,IF(C374="TE",LeagueInfo!$D$6*LeagueInfo!$F$2)))</f>
        <v>24</v>
      </c>
    </row>
    <row r="375" spans="1:9" x14ac:dyDescent="0.25">
      <c r="A375" s="47">
        <f ca="1">RANK(E375,E$2:E$574)</f>
        <v>370</v>
      </c>
      <c r="B375" s="1" t="s">
        <v>651</v>
      </c>
      <c r="C375" s="1" t="s">
        <v>39</v>
      </c>
      <c r="D375" s="1">
        <f ca="1">INDEX(INDIRECT($C375&amp;"!O:O"),MATCH($B375,INDIRECT($C375&amp;"!B:B"),0))</f>
        <v>9.4</v>
      </c>
      <c r="E375" s="254">
        <f ca="1">D375-LARGE(D$2:D$467,RBCount+WRCount+TECount)</f>
        <v>-67.44</v>
      </c>
      <c r="F375" s="1" t="str">
        <f ca="1">IF(H375&lt;=I375,"Starter",IF(G375&gt;=LARGE(G:G,FlexOn*LeagueInfo!$F$2),"Starter","Bench"))</f>
        <v>Bench</v>
      </c>
      <c r="G375" s="1">
        <f ca="1">IF(H375&gt;I375,D375,0)</f>
        <v>9.4</v>
      </c>
      <c r="H375" s="1">
        <f ca="1">INDEX(INDIRECT(""&amp;C375&amp;"!A2:A489"),MATCH(B375,INDIRECT(""&amp;C375&amp;"!B2:B489"),0))</f>
        <v>163</v>
      </c>
      <c r="I375" s="1">
        <f>IF(C375="RB",LeagueInfo!$D$4*LeagueInfo!$F$2,IF(C375="WR",LeagueInfo!$D$5*LeagueInfo!$F$2,IF(C375="TE",LeagueInfo!$D$6*LeagueInfo!$F$2)))</f>
        <v>24</v>
      </c>
    </row>
    <row r="376" spans="1:9" x14ac:dyDescent="0.25">
      <c r="A376" s="47">
        <f ca="1">RANK(E376,E$2:E$574)</f>
        <v>391</v>
      </c>
      <c r="B376" s="1" t="s">
        <v>707</v>
      </c>
      <c r="C376" s="1" t="s">
        <v>39</v>
      </c>
      <c r="D376" s="1">
        <f ca="1">INDEX(INDIRECT($C376&amp;"!O:O"),MATCH($B376,INDIRECT($C376&amp;"!B:B"),0))</f>
        <v>8.5</v>
      </c>
      <c r="E376" s="254">
        <f ca="1">D376-LARGE(D$2:D$467,RBCount+WRCount+TECount)</f>
        <v>-68.34</v>
      </c>
      <c r="F376" s="1" t="str">
        <f ca="1">IF(H376&lt;=I376,"Starter",IF(G376&gt;=LARGE(G:G,FlexOn*LeagueInfo!$F$2),"Starter","Bench"))</f>
        <v>Bench</v>
      </c>
      <c r="G376" s="1">
        <f ca="1">IF(H376&gt;I376,D376,0)</f>
        <v>8.5</v>
      </c>
      <c r="H376" s="1">
        <f ca="1">INDEX(INDIRECT(""&amp;C376&amp;"!A2:A489"),MATCH(B376,INDIRECT(""&amp;C376&amp;"!B2:B489"),0))</f>
        <v>177</v>
      </c>
      <c r="I376" s="1">
        <f>IF(C376="RB",LeagueInfo!$D$4*LeagueInfo!$F$2,IF(C376="WR",LeagueInfo!$D$5*LeagueInfo!$F$2,IF(C376="TE",LeagueInfo!$D$6*LeagueInfo!$F$2)))</f>
        <v>24</v>
      </c>
    </row>
    <row r="377" spans="1:9" x14ac:dyDescent="0.25">
      <c r="A377" s="47">
        <f ca="1">RANK(E377,E$2:E$574)</f>
        <v>372</v>
      </c>
      <c r="B377" s="1" t="s">
        <v>640</v>
      </c>
      <c r="C377" s="1" t="s">
        <v>39</v>
      </c>
      <c r="D377" s="1">
        <f ca="1">INDEX(INDIRECT($C377&amp;"!O:O"),MATCH($B377,INDIRECT($C377&amp;"!B:B"),0))</f>
        <v>9.3800000000000008</v>
      </c>
      <c r="E377" s="254">
        <f ca="1">D377-LARGE(D$2:D$467,RBCount+WRCount+TECount)</f>
        <v>-67.460000000000008</v>
      </c>
      <c r="F377" s="1" t="str">
        <f ca="1">IF(H377&lt;=I377,"Starter",IF(G377&gt;=LARGE(G:G,FlexOn*LeagueInfo!$F$2),"Starter","Bench"))</f>
        <v>Bench</v>
      </c>
      <c r="G377" s="1">
        <f ca="1">IF(H377&gt;I377,D377,0)</f>
        <v>9.3800000000000008</v>
      </c>
      <c r="H377" s="1">
        <f ca="1">INDEX(INDIRECT(""&amp;C377&amp;"!A2:A489"),MATCH(B377,INDIRECT(""&amp;C377&amp;"!B2:B489"),0))</f>
        <v>164</v>
      </c>
      <c r="I377" s="1">
        <f>IF(C377="RB",LeagueInfo!$D$4*LeagueInfo!$F$2,IF(C377="WR",LeagueInfo!$D$5*LeagueInfo!$F$2,IF(C377="TE",LeagueInfo!$D$6*LeagueInfo!$F$2)))</f>
        <v>24</v>
      </c>
    </row>
    <row r="378" spans="1:9" x14ac:dyDescent="0.25">
      <c r="A378" s="47">
        <f ca="1">RANK(E378,E$2:E$574)</f>
        <v>355</v>
      </c>
      <c r="B378" s="1" t="s">
        <v>492</v>
      </c>
      <c r="C378" s="1" t="s">
        <v>32</v>
      </c>
      <c r="D378" s="1">
        <f ca="1">INDEX(INDIRECT($C378&amp;"!O:O"),MATCH($B378,INDIRECT($C378&amp;"!B:B"),0))</f>
        <v>10.200000000000001</v>
      </c>
      <c r="E378" s="254">
        <f ca="1">D378-LARGE(D$2:D$467,RBCount+WRCount+TECount)</f>
        <v>-66.64</v>
      </c>
      <c r="F378" s="1" t="str">
        <f ca="1">IF(H378&lt;=I378,"Starter",IF(G378&gt;=LARGE(G:G,FlexOn*LeagueInfo!$F$2),"Starter","Bench"))</f>
        <v>Bench</v>
      </c>
      <c r="G378" s="1">
        <f ca="1">IF(H378&gt;I378,D378,0)</f>
        <v>10.200000000000001</v>
      </c>
      <c r="H378" s="1">
        <f ca="1">INDEX(INDIRECT(""&amp;C378&amp;"!A2:A489"),MATCH(B378,INDIRECT(""&amp;C378&amp;"!B2:B489"),0))</f>
        <v>119</v>
      </c>
      <c r="I378" s="1">
        <f>IF(C378="RB",LeagueInfo!$D$4*LeagueInfo!$F$2,IF(C378="WR",LeagueInfo!$D$5*LeagueInfo!$F$2,IF(C378="TE",LeagueInfo!$D$6*LeagueInfo!$F$2)))</f>
        <v>24</v>
      </c>
    </row>
    <row r="379" spans="1:9" x14ac:dyDescent="0.25">
      <c r="A379" s="47">
        <f ca="1">RANK(E379,E$2:E$574)</f>
        <v>380</v>
      </c>
      <c r="B379" s="1" t="s">
        <v>667</v>
      </c>
      <c r="C379" s="1" t="s">
        <v>39</v>
      </c>
      <c r="D379" s="1">
        <f ca="1">INDEX(INDIRECT($C379&amp;"!O:O"),MATCH($B379,INDIRECT($C379&amp;"!B:B"),0))</f>
        <v>8.9499999999999993</v>
      </c>
      <c r="E379" s="254">
        <f ca="1">D379-LARGE(D$2:D$467,RBCount+WRCount+TECount)</f>
        <v>-67.89</v>
      </c>
      <c r="F379" s="1" t="str">
        <f ca="1">IF(H379&lt;=I379,"Starter",IF(G379&gt;=LARGE(G:G,FlexOn*LeagueInfo!$F$2),"Starter","Bench"))</f>
        <v>Bench</v>
      </c>
      <c r="G379" s="1">
        <f ca="1">IF(H379&gt;I379,D379,0)</f>
        <v>8.9499999999999993</v>
      </c>
      <c r="H379" s="1">
        <f ca="1">INDEX(INDIRECT(""&amp;C379&amp;"!A2:A489"),MATCH(B379,INDIRECT(""&amp;C379&amp;"!B2:B489"),0))</f>
        <v>168</v>
      </c>
      <c r="I379" s="1">
        <f>IF(C379="RB",LeagueInfo!$D$4*LeagueInfo!$F$2,IF(C379="WR",LeagueInfo!$D$5*LeagueInfo!$F$2,IF(C379="TE",LeagueInfo!$D$6*LeagueInfo!$F$2)))</f>
        <v>24</v>
      </c>
    </row>
    <row r="380" spans="1:9" x14ac:dyDescent="0.25">
      <c r="A380" s="47">
        <f ca="1">RANK(E380,E$2:E$574)</f>
        <v>406</v>
      </c>
      <c r="B380" s="1" t="s">
        <v>750</v>
      </c>
      <c r="C380" s="1" t="s">
        <v>47</v>
      </c>
      <c r="D380" s="1">
        <f ca="1">INDEX(INDIRECT($C380&amp;"!O:O"),MATCH($B380,INDIRECT($C380&amp;"!B:B"),0))</f>
        <v>7.9700000000000015</v>
      </c>
      <c r="E380" s="254">
        <f ca="1">D380-LARGE(D$2:D$467,RBCount+WRCount+TECount)</f>
        <v>-68.87</v>
      </c>
      <c r="F380" s="1" t="str">
        <f ca="1">IF(H380&lt;=I380,"Starter",IF(G380&gt;=LARGE(G:G,FlexOn*LeagueInfo!$F$2),"Starter","Bench"))</f>
        <v>Bench</v>
      </c>
      <c r="G380" s="1">
        <f ca="1">IF(H380&gt;I380,D380,0)</f>
        <v>7.9700000000000015</v>
      </c>
      <c r="H380" s="1">
        <f ca="1">INDEX(INDIRECT(""&amp;C380&amp;"!A2:A489"),MATCH(B380,INDIRECT(""&amp;C380&amp;"!B2:B489"),0))</f>
        <v>91</v>
      </c>
      <c r="I380" s="1">
        <f>IF(C380="RB",LeagueInfo!$D$4*LeagueInfo!$F$2,IF(C380="WR",LeagueInfo!$D$5*LeagueInfo!$F$2,IF(C380="TE",LeagueInfo!$D$6*LeagueInfo!$F$2)))</f>
        <v>12</v>
      </c>
    </row>
    <row r="381" spans="1:9" x14ac:dyDescent="0.25">
      <c r="A381" s="47">
        <f ca="1">RANK(E381,E$2:E$574)</f>
        <v>402</v>
      </c>
      <c r="B381" s="1" t="s">
        <v>683</v>
      </c>
      <c r="C381" s="1" t="s">
        <v>39</v>
      </c>
      <c r="D381" s="1">
        <f ca="1">INDEX(INDIRECT($C381&amp;"!O:O"),MATCH($B381,INDIRECT($C381&amp;"!B:B"),0))</f>
        <v>8.1900000000000013</v>
      </c>
      <c r="E381" s="254">
        <f ca="1">D381-LARGE(D$2:D$467,RBCount+WRCount+TECount)</f>
        <v>-68.650000000000006</v>
      </c>
      <c r="F381" s="1" t="str">
        <f ca="1">IF(H381&lt;=I381,"Starter",IF(G381&gt;=LARGE(G:G,FlexOn*LeagueInfo!$F$2),"Starter","Bench"))</f>
        <v>Bench</v>
      </c>
      <c r="G381" s="1">
        <f ca="1">IF(H381&gt;I381,D381,0)</f>
        <v>8.1900000000000013</v>
      </c>
      <c r="H381" s="1">
        <f ca="1">INDEX(INDIRECT(""&amp;C381&amp;"!A2:A489"),MATCH(B381,INDIRECT(""&amp;C381&amp;"!B2:B489"),0))</f>
        <v>185</v>
      </c>
      <c r="I381" s="1">
        <f>IF(C381="RB",LeagueInfo!$D$4*LeagueInfo!$F$2,IF(C381="WR",LeagueInfo!$D$5*LeagueInfo!$F$2,IF(C381="TE",LeagueInfo!$D$6*LeagueInfo!$F$2)))</f>
        <v>24</v>
      </c>
    </row>
    <row r="382" spans="1:9" x14ac:dyDescent="0.25">
      <c r="A382" s="47">
        <f ca="1">RANK(E382,E$2:E$574)</f>
        <v>397</v>
      </c>
      <c r="B382" s="1" t="s">
        <v>784</v>
      </c>
      <c r="C382" s="1" t="s">
        <v>47</v>
      </c>
      <c r="D382" s="1">
        <f ca="1">INDEX(INDIRECT($C382&amp;"!O:O"),MATCH($B382,INDIRECT($C382&amp;"!B:B"),0))</f>
        <v>8.2900000000000009</v>
      </c>
      <c r="E382" s="254">
        <f ca="1">D382-LARGE(D$2:D$467,RBCount+WRCount+TECount)</f>
        <v>-68.55</v>
      </c>
      <c r="F382" s="1" t="str">
        <f ca="1">IF(H382&lt;=I382,"Starter",IF(G382&gt;=LARGE(G:G,FlexOn*LeagueInfo!$F$2),"Starter","Bench"))</f>
        <v>Bench</v>
      </c>
      <c r="G382" s="1">
        <f ca="1">IF(H382&gt;I382,D382,0)</f>
        <v>8.2900000000000009</v>
      </c>
      <c r="H382" s="1">
        <f ca="1">INDEX(INDIRECT(""&amp;C382&amp;"!A2:A489"),MATCH(B382,INDIRECT(""&amp;C382&amp;"!B2:B489"),0))</f>
        <v>89</v>
      </c>
      <c r="I382" s="1">
        <f>IF(C382="RB",LeagueInfo!$D$4*LeagueInfo!$F$2,IF(C382="WR",LeagueInfo!$D$5*LeagueInfo!$F$2,IF(C382="TE",LeagueInfo!$D$6*LeagueInfo!$F$2)))</f>
        <v>12</v>
      </c>
    </row>
    <row r="383" spans="1:9" x14ac:dyDescent="0.25">
      <c r="A383" s="47">
        <f ca="1">RANK(E383,E$2:E$574)</f>
        <v>387</v>
      </c>
      <c r="B383" s="1" t="s">
        <v>672</v>
      </c>
      <c r="C383" s="1" t="s">
        <v>39</v>
      </c>
      <c r="D383" s="1">
        <f ca="1">INDEX(INDIRECT($C383&amp;"!O:O"),MATCH($B383,INDIRECT($C383&amp;"!B:B"),0))</f>
        <v>8.620000000000001</v>
      </c>
      <c r="E383" s="254">
        <f ca="1">D383-LARGE(D$2:D$467,RBCount+WRCount+TECount)</f>
        <v>-68.22</v>
      </c>
      <c r="F383" s="1" t="str">
        <f ca="1">IF(H383&lt;=I383,"Starter",IF(G383&gt;=LARGE(G:G,FlexOn*LeagueInfo!$F$2),"Starter","Bench"))</f>
        <v>Bench</v>
      </c>
      <c r="G383" s="1">
        <f ca="1">IF(H383&gt;I383,D383,0)</f>
        <v>8.620000000000001</v>
      </c>
      <c r="H383" s="1">
        <f ca="1">INDEX(INDIRECT(""&amp;C383&amp;"!A2:A489"),MATCH(B383,INDIRECT(""&amp;C383&amp;"!B2:B489"),0))</f>
        <v>174</v>
      </c>
      <c r="I383" s="1">
        <f>IF(C383="RB",LeagueInfo!$D$4*LeagueInfo!$F$2,IF(C383="WR",LeagueInfo!$D$5*LeagueInfo!$F$2,IF(C383="TE",LeagueInfo!$D$6*LeagueInfo!$F$2)))</f>
        <v>24</v>
      </c>
    </row>
    <row r="384" spans="1:9" x14ac:dyDescent="0.25">
      <c r="A384" s="47">
        <f ca="1">RANK(E384,E$2:E$574)</f>
        <v>416</v>
      </c>
      <c r="B384" s="1" t="s">
        <v>672</v>
      </c>
      <c r="C384" s="1" t="s">
        <v>47</v>
      </c>
      <c r="D384" s="1">
        <f ca="1">INDEX(INDIRECT($C384&amp;"!O:O"),MATCH($B384,INDIRECT($C384&amp;"!B:B"),0))</f>
        <v>7.7</v>
      </c>
      <c r="E384" s="254">
        <f ca="1">D384-LARGE(D$2:D$467,RBCount+WRCount+TECount)</f>
        <v>-69.14</v>
      </c>
      <c r="F384" s="1" t="str">
        <f ca="1">IF(H384&lt;=I384,"Starter",IF(G384&gt;=LARGE(G:G,FlexOn*LeagueInfo!$F$2),"Starter","Bench"))</f>
        <v>Bench</v>
      </c>
      <c r="G384" s="1">
        <f ca="1">IF(H384&gt;I384,D384,0)</f>
        <v>7.7</v>
      </c>
      <c r="H384" s="1">
        <f ca="1">INDEX(INDIRECT(""&amp;C384&amp;"!A2:A489"),MATCH(B384,INDIRECT(""&amp;C384&amp;"!B2:B489"),0))</f>
        <v>94</v>
      </c>
      <c r="I384" s="1">
        <f>IF(C384="RB",LeagueInfo!$D$4*LeagueInfo!$F$2,IF(C384="WR",LeagueInfo!$D$5*LeagueInfo!$F$2,IF(C384="TE",LeagueInfo!$D$6*LeagueInfo!$F$2)))</f>
        <v>12</v>
      </c>
    </row>
    <row r="385" spans="1:9" x14ac:dyDescent="0.25">
      <c r="A385" s="47">
        <f ca="1">RANK(E385,E$2:E$574)</f>
        <v>438</v>
      </c>
      <c r="B385" s="1" t="s">
        <v>541</v>
      </c>
      <c r="C385" s="1" t="s">
        <v>32</v>
      </c>
      <c r="D385" s="1">
        <f ca="1">INDEX(INDIRECT($C385&amp;"!O:O"),MATCH($B385,INDIRECT($C385&amp;"!B:B"),0))</f>
        <v>7.13</v>
      </c>
      <c r="E385" s="254">
        <f ca="1">D385-LARGE(D$2:D$467,RBCount+WRCount+TECount)</f>
        <v>-69.710000000000008</v>
      </c>
      <c r="F385" s="1" t="str">
        <f ca="1">IF(H385&lt;=I385,"Starter",IF(G385&gt;=LARGE(G:G,FlexOn*LeagueInfo!$F$2),"Starter","Bench"))</f>
        <v>Bench</v>
      </c>
      <c r="G385" s="1">
        <f ca="1">IF(H385&gt;I385,D385,0)</f>
        <v>7.13</v>
      </c>
      <c r="H385" s="1">
        <f ca="1">INDEX(INDIRECT(""&amp;C385&amp;"!A2:A489"),MATCH(B385,INDIRECT(""&amp;C385&amp;"!B2:B489"),0))</f>
        <v>136</v>
      </c>
      <c r="I385" s="1">
        <f>IF(C385="RB",LeagueInfo!$D$4*LeagueInfo!$F$2,IF(C385="WR",LeagueInfo!$D$5*LeagueInfo!$F$2,IF(C385="TE",LeagueInfo!$D$6*LeagueInfo!$F$2)))</f>
        <v>24</v>
      </c>
    </row>
    <row r="386" spans="1:9" x14ac:dyDescent="0.25">
      <c r="A386" s="47">
        <f ca="1">RANK(E386,E$2:E$574)</f>
        <v>367</v>
      </c>
      <c r="B386" s="1" t="s">
        <v>495</v>
      </c>
      <c r="C386" s="1" t="s">
        <v>32</v>
      </c>
      <c r="D386" s="1">
        <f ca="1">INDEX(INDIRECT($C386&amp;"!O:O"),MATCH($B386,INDIRECT($C386&amp;"!B:B"),0))</f>
        <v>9.5100000000000016</v>
      </c>
      <c r="E386" s="254">
        <f ca="1">D386-LARGE(D$2:D$467,RBCount+WRCount+TECount)</f>
        <v>-67.33</v>
      </c>
      <c r="F386" s="1" t="str">
        <f ca="1">IF(H386&lt;=I386,"Starter",IF(G386&gt;=LARGE(G:G,FlexOn*LeagueInfo!$F$2),"Starter","Bench"))</f>
        <v>Bench</v>
      </c>
      <c r="G386" s="1">
        <f ca="1">IF(H386&gt;I386,D386,0)</f>
        <v>9.5100000000000016</v>
      </c>
      <c r="H386" s="1">
        <f ca="1">INDEX(INDIRECT(""&amp;C386&amp;"!A2:A489"),MATCH(B386,INDIRECT(""&amp;C386&amp;"!B2:B489"),0))</f>
        <v>125</v>
      </c>
      <c r="I386" s="1">
        <f>IF(C386="RB",LeagueInfo!$D$4*LeagueInfo!$F$2,IF(C386="WR",LeagueInfo!$D$5*LeagueInfo!$F$2,IF(C386="TE",LeagueInfo!$D$6*LeagueInfo!$F$2)))</f>
        <v>24</v>
      </c>
    </row>
    <row r="387" spans="1:9" x14ac:dyDescent="0.25">
      <c r="A387" s="47">
        <f ca="1">RANK(E387,E$2:E$574)</f>
        <v>379</v>
      </c>
      <c r="B387" s="1" t="s">
        <v>648</v>
      </c>
      <c r="C387" s="1" t="s">
        <v>39</v>
      </c>
      <c r="D387" s="1">
        <f ca="1">INDEX(INDIRECT($C387&amp;"!O:O"),MATCH($B387,INDIRECT($C387&amp;"!B:B"),0))</f>
        <v>8.9600000000000009</v>
      </c>
      <c r="E387" s="254">
        <f ca="1">D387-LARGE(D$2:D$467,RBCount+WRCount+TECount)</f>
        <v>-67.88</v>
      </c>
      <c r="F387" s="1" t="str">
        <f ca="1">IF(H387&lt;=I387,"Starter",IF(G387&gt;=LARGE(G:G,FlexOn*LeagueInfo!$F$2),"Starter","Bench"))</f>
        <v>Bench</v>
      </c>
      <c r="G387" s="1">
        <f ca="1">IF(H387&gt;I387,D387,0)</f>
        <v>8.9600000000000009</v>
      </c>
      <c r="H387" s="1">
        <f ca="1">INDEX(INDIRECT(""&amp;C387&amp;"!A2:A489"),MATCH(B387,INDIRECT(""&amp;C387&amp;"!B2:B489"),0))</f>
        <v>167</v>
      </c>
      <c r="I387" s="1">
        <f>IF(C387="RB",LeagueInfo!$D$4*LeagueInfo!$F$2,IF(C387="WR",LeagueInfo!$D$5*LeagueInfo!$F$2,IF(C387="TE",LeagueInfo!$D$6*LeagueInfo!$F$2)))</f>
        <v>24</v>
      </c>
    </row>
    <row r="388" spans="1:9" x14ac:dyDescent="0.25">
      <c r="A388" s="47">
        <f ca="1">RANK(E388,E$2:E$574)</f>
        <v>363</v>
      </c>
      <c r="B388" s="1" t="s">
        <v>474</v>
      </c>
      <c r="C388" s="1" t="s">
        <v>32</v>
      </c>
      <c r="D388" s="1">
        <f ca="1">INDEX(INDIRECT($C388&amp;"!O:O"),MATCH($B388,INDIRECT($C388&amp;"!B:B"),0))</f>
        <v>9.6500000000000021</v>
      </c>
      <c r="E388" s="254">
        <f ca="1">D388-LARGE(D$2:D$467,RBCount+WRCount+TECount)</f>
        <v>-67.19</v>
      </c>
      <c r="F388" s="1" t="str">
        <f ca="1">IF(H388&lt;=I388,"Starter",IF(G388&gt;=LARGE(G:G,FlexOn*LeagueInfo!$F$2),"Starter","Bench"))</f>
        <v>Bench</v>
      </c>
      <c r="G388" s="1">
        <f ca="1">IF(H388&gt;I388,D388,0)</f>
        <v>9.6500000000000021</v>
      </c>
      <c r="H388" s="1">
        <f ca="1">INDEX(INDIRECT(""&amp;C388&amp;"!A2:A489"),MATCH(B388,INDIRECT(""&amp;C388&amp;"!B2:B489"),0))</f>
        <v>122</v>
      </c>
      <c r="I388" s="1">
        <f>IF(C388="RB",LeagueInfo!$D$4*LeagueInfo!$F$2,IF(C388="WR",LeagueInfo!$D$5*LeagueInfo!$F$2,IF(C388="TE",LeagueInfo!$D$6*LeagueInfo!$F$2)))</f>
        <v>24</v>
      </c>
    </row>
    <row r="389" spans="1:9" x14ac:dyDescent="0.25">
      <c r="A389" s="47">
        <f ca="1">RANK(E389,E$2:E$574)</f>
        <v>375</v>
      </c>
      <c r="B389" s="1" t="s">
        <v>636</v>
      </c>
      <c r="C389" s="1" t="s">
        <v>39</v>
      </c>
      <c r="D389" s="1">
        <f ca="1">INDEX(INDIRECT($C389&amp;"!O:O"),MATCH($B389,INDIRECT($C389&amp;"!B:B"),0))</f>
        <v>9.2500000000000018</v>
      </c>
      <c r="E389" s="254">
        <f ca="1">D389-LARGE(D$2:D$467,RBCount+WRCount+TECount)</f>
        <v>-67.59</v>
      </c>
      <c r="F389" s="1" t="str">
        <f ca="1">IF(H389&lt;=I389,"Starter",IF(G389&gt;=LARGE(G:G,FlexOn*LeagueInfo!$F$2),"Starter","Bench"))</f>
        <v>Bench</v>
      </c>
      <c r="G389" s="1">
        <f ca="1">IF(H389&gt;I389,D389,0)</f>
        <v>9.2500000000000018</v>
      </c>
      <c r="H389" s="1">
        <f ca="1">INDEX(INDIRECT(""&amp;C389&amp;"!A2:A489"),MATCH(B389,INDIRECT(""&amp;C389&amp;"!B2:B489"),0))</f>
        <v>165</v>
      </c>
      <c r="I389" s="1">
        <f>IF(C389="RB",LeagueInfo!$D$4*LeagueInfo!$F$2,IF(C389="WR",LeagueInfo!$D$5*LeagueInfo!$F$2,IF(C389="TE",LeagueInfo!$D$6*LeagueInfo!$F$2)))</f>
        <v>24</v>
      </c>
    </row>
    <row r="390" spans="1:9" x14ac:dyDescent="0.25">
      <c r="A390" s="47">
        <f ca="1">RANK(E390,E$2:E$574)</f>
        <v>390</v>
      </c>
      <c r="B390" s="1" t="s">
        <v>799</v>
      </c>
      <c r="C390" s="1" t="s">
        <v>47</v>
      </c>
      <c r="D390" s="1">
        <f ca="1">INDEX(INDIRECT($C390&amp;"!O:O"),MATCH($B390,INDIRECT($C390&amp;"!B:B"),0))</f>
        <v>8.5300000000000011</v>
      </c>
      <c r="E390" s="254">
        <f ca="1">D390-LARGE(D$2:D$467,RBCount+WRCount+TECount)</f>
        <v>-68.31</v>
      </c>
      <c r="F390" s="1" t="str">
        <f ca="1">IF(H390&lt;=I390,"Starter",IF(G390&gt;=LARGE(G:G,FlexOn*LeagueInfo!$F$2),"Starter","Bench"))</f>
        <v>Bench</v>
      </c>
      <c r="G390" s="1">
        <f ca="1">IF(H390&gt;I390,D390,0)</f>
        <v>8.5300000000000011</v>
      </c>
      <c r="H390" s="1">
        <f ca="1">INDEX(INDIRECT(""&amp;C390&amp;"!A2:A489"),MATCH(B390,INDIRECT(""&amp;C390&amp;"!B2:B489"),0))</f>
        <v>87</v>
      </c>
      <c r="I390" s="1">
        <f>IF(C390="RB",LeagueInfo!$D$4*LeagueInfo!$F$2,IF(C390="WR",LeagueInfo!$D$5*LeagueInfo!$F$2,IF(C390="TE",LeagueInfo!$D$6*LeagueInfo!$F$2)))</f>
        <v>12</v>
      </c>
    </row>
    <row r="391" spans="1:9" x14ac:dyDescent="0.25">
      <c r="A391" s="47">
        <f ca="1">RANK(E391,E$2:E$574)</f>
        <v>353</v>
      </c>
      <c r="B391" s="1" t="s">
        <v>487</v>
      </c>
      <c r="C391" s="1" t="s">
        <v>32</v>
      </c>
      <c r="D391" s="1">
        <f ca="1">INDEX(INDIRECT($C391&amp;"!O:O"),MATCH($B391,INDIRECT($C391&amp;"!B:B"),0))</f>
        <v>10.3</v>
      </c>
      <c r="E391" s="254">
        <f ca="1">D391-LARGE(D$2:D$467,RBCount+WRCount+TECount)</f>
        <v>-66.540000000000006</v>
      </c>
      <c r="F391" s="1" t="str">
        <f ca="1">IF(H391&lt;=I391,"Starter",IF(G391&gt;=LARGE(G:G,FlexOn*LeagueInfo!$F$2),"Starter","Bench"))</f>
        <v>Bench</v>
      </c>
      <c r="G391" s="1">
        <f ca="1">IF(H391&gt;I391,D391,0)</f>
        <v>10.3</v>
      </c>
      <c r="H391" s="1">
        <f ca="1">INDEX(INDIRECT(""&amp;C391&amp;"!A2:A489"),MATCH(B391,INDIRECT(""&amp;C391&amp;"!B2:B489"),0))</f>
        <v>118</v>
      </c>
      <c r="I391" s="1">
        <f>IF(C391="RB",LeagueInfo!$D$4*LeagueInfo!$F$2,IF(C391="WR",LeagueInfo!$D$5*LeagueInfo!$F$2,IF(C391="TE",LeagueInfo!$D$6*LeagueInfo!$F$2)))</f>
        <v>24</v>
      </c>
    </row>
    <row r="392" spans="1:9" x14ac:dyDescent="0.25">
      <c r="A392" s="47">
        <f ca="1">RANK(E392,E$2:E$574)</f>
        <v>408</v>
      </c>
      <c r="B392" s="1" t="s">
        <v>790</v>
      </c>
      <c r="C392" s="1" t="s">
        <v>47</v>
      </c>
      <c r="D392" s="1">
        <f ca="1">INDEX(INDIRECT($C392&amp;"!O:O"),MATCH($B392,INDIRECT($C392&amp;"!B:B"),0))</f>
        <v>7.9300000000000006</v>
      </c>
      <c r="E392" s="254">
        <f ca="1">D392-LARGE(D$2:D$467,RBCount+WRCount+TECount)</f>
        <v>-68.91</v>
      </c>
      <c r="F392" s="1" t="str">
        <f ca="1">IF(H392&lt;=I392,"Starter",IF(G392&gt;=LARGE(G:G,FlexOn*LeagueInfo!$F$2),"Starter","Bench"))</f>
        <v>Bench</v>
      </c>
      <c r="G392" s="1">
        <f ca="1">IF(H392&gt;I392,D392,0)</f>
        <v>7.9300000000000006</v>
      </c>
      <c r="H392" s="1">
        <f ca="1">INDEX(INDIRECT(""&amp;C392&amp;"!A2:A489"),MATCH(B392,INDIRECT(""&amp;C392&amp;"!B2:B489"),0))</f>
        <v>92</v>
      </c>
      <c r="I392" s="1">
        <f>IF(C392="RB",LeagueInfo!$D$4*LeagueInfo!$F$2,IF(C392="WR",LeagueInfo!$D$5*LeagueInfo!$F$2,IF(C392="TE",LeagueInfo!$D$6*LeagueInfo!$F$2)))</f>
        <v>12</v>
      </c>
    </row>
    <row r="393" spans="1:9" x14ac:dyDescent="0.25">
      <c r="A393" s="47">
        <f ca="1">RANK(E393,E$2:E$574)</f>
        <v>395</v>
      </c>
      <c r="B393" s="1" t="s">
        <v>632</v>
      </c>
      <c r="C393" s="1" t="s">
        <v>39</v>
      </c>
      <c r="D393" s="1">
        <f ca="1">INDEX(INDIRECT($C393&amp;"!O:O"),MATCH($B393,INDIRECT($C393&amp;"!B:B"),0))</f>
        <v>8.4000000000000021</v>
      </c>
      <c r="E393" s="254">
        <f ca="1">D393-LARGE(D$2:D$467,RBCount+WRCount+TECount)</f>
        <v>-68.44</v>
      </c>
      <c r="F393" s="1" t="str">
        <f ca="1">IF(H393&lt;=I393,"Starter",IF(G393&gt;=LARGE(G:G,FlexOn*LeagueInfo!$F$2),"Starter","Bench"))</f>
        <v>Bench</v>
      </c>
      <c r="G393" s="1">
        <f ca="1">IF(H393&gt;I393,D393,0)</f>
        <v>8.4000000000000021</v>
      </c>
      <c r="H393" s="1">
        <f ca="1">INDEX(INDIRECT(""&amp;C393&amp;"!A2:A489"),MATCH(B393,INDIRECT(""&amp;C393&amp;"!B2:B489"),0))</f>
        <v>180</v>
      </c>
      <c r="I393" s="1">
        <f>IF(C393="RB",LeagueInfo!$D$4*LeagueInfo!$F$2,IF(C393="WR",LeagueInfo!$D$5*LeagueInfo!$F$2,IF(C393="TE",LeagueInfo!$D$6*LeagueInfo!$F$2)))</f>
        <v>24</v>
      </c>
    </row>
    <row r="394" spans="1:9" x14ac:dyDescent="0.25">
      <c r="A394" s="47">
        <f ca="1">RANK(E394,E$2:E$574)</f>
        <v>384</v>
      </c>
      <c r="B394" s="1" t="s">
        <v>670</v>
      </c>
      <c r="C394" s="1" t="s">
        <v>39</v>
      </c>
      <c r="D394" s="1">
        <f ca="1">INDEX(INDIRECT($C394&amp;"!O:O"),MATCH($B394,INDIRECT($C394&amp;"!B:B"),0))</f>
        <v>8.7000000000000011</v>
      </c>
      <c r="E394" s="254">
        <f ca="1">D394-LARGE(D$2:D$467,RBCount+WRCount+TECount)</f>
        <v>-68.14</v>
      </c>
      <c r="F394" s="1" t="str">
        <f ca="1">IF(H394&lt;=I394,"Starter",IF(G394&gt;=LARGE(G:G,FlexOn*LeagueInfo!$F$2),"Starter","Bench"))</f>
        <v>Bench</v>
      </c>
      <c r="G394" s="1">
        <f ca="1">IF(H394&gt;I394,D394,0)</f>
        <v>8.7000000000000011</v>
      </c>
      <c r="H394" s="1">
        <f ca="1">INDEX(INDIRECT(""&amp;C394&amp;"!A2:A489"),MATCH(B394,INDIRECT(""&amp;C394&amp;"!B2:B489"),0))</f>
        <v>171</v>
      </c>
      <c r="I394" s="1">
        <f>IF(C394="RB",LeagueInfo!$D$4*LeagueInfo!$F$2,IF(C394="WR",LeagueInfo!$D$5*LeagueInfo!$F$2,IF(C394="TE",LeagueInfo!$D$6*LeagueInfo!$F$2)))</f>
        <v>24</v>
      </c>
    </row>
    <row r="395" spans="1:9" x14ac:dyDescent="0.25">
      <c r="A395" s="47">
        <f ca="1">RANK(E395,E$2:E$574)</f>
        <v>410</v>
      </c>
      <c r="B395" s="1" t="s">
        <v>652</v>
      </c>
      <c r="C395" s="1" t="s">
        <v>39</v>
      </c>
      <c r="D395" s="1">
        <f ca="1">INDEX(INDIRECT($C395&amp;"!O:O"),MATCH($B395,INDIRECT($C395&amp;"!B:B"),0))</f>
        <v>7.879999999999999</v>
      </c>
      <c r="E395" s="254">
        <f ca="1">D395-LARGE(D$2:D$467,RBCount+WRCount+TECount)</f>
        <v>-68.960000000000008</v>
      </c>
      <c r="F395" s="1" t="str">
        <f ca="1">IF(H395&lt;=I395,"Starter",IF(G395&gt;=LARGE(G:G,FlexOn*LeagueInfo!$F$2),"Starter","Bench"))</f>
        <v>Bench</v>
      </c>
      <c r="G395" s="1">
        <f ca="1">IF(H395&gt;I395,D395,0)</f>
        <v>7.879999999999999</v>
      </c>
      <c r="H395" s="1">
        <f ca="1">INDEX(INDIRECT(""&amp;C395&amp;"!A2:A489"),MATCH(B395,INDIRECT(""&amp;C395&amp;"!B2:B489"),0))</f>
        <v>188</v>
      </c>
      <c r="I395" s="1">
        <f>IF(C395="RB",LeagueInfo!$D$4*LeagueInfo!$F$2,IF(C395="WR",LeagueInfo!$D$5*LeagueInfo!$F$2,IF(C395="TE",LeagueInfo!$D$6*LeagueInfo!$F$2)))</f>
        <v>24</v>
      </c>
    </row>
    <row r="396" spans="1:9" x14ac:dyDescent="0.25">
      <c r="A396" s="47">
        <f ca="1">RANK(E396,E$2:E$574)</f>
        <v>384</v>
      </c>
      <c r="B396" s="1" t="s">
        <v>671</v>
      </c>
      <c r="C396" s="1" t="s">
        <v>39</v>
      </c>
      <c r="D396" s="1">
        <f ca="1">INDEX(INDIRECT($C396&amp;"!O:O"),MATCH($B396,INDIRECT($C396&amp;"!B:B"),0))</f>
        <v>8.7000000000000011</v>
      </c>
      <c r="E396" s="254">
        <f ca="1">D396-LARGE(D$2:D$467,RBCount+WRCount+TECount)</f>
        <v>-68.14</v>
      </c>
      <c r="F396" s="1" t="str">
        <f ca="1">IF(H396&lt;=I396,"Starter",IF(G396&gt;=LARGE(G:G,FlexOn*LeagueInfo!$F$2),"Starter","Bench"))</f>
        <v>Bench</v>
      </c>
      <c r="G396" s="1">
        <f ca="1">IF(H396&gt;I396,D396,0)</f>
        <v>8.7000000000000011</v>
      </c>
      <c r="H396" s="1">
        <f ca="1">INDEX(INDIRECT(""&amp;C396&amp;"!A2:A489"),MATCH(B396,INDIRECT(""&amp;C396&amp;"!B2:B489"),0))</f>
        <v>171</v>
      </c>
      <c r="I396" s="1">
        <f>IF(C396="RB",LeagueInfo!$D$4*LeagueInfo!$F$2,IF(C396="WR",LeagueInfo!$D$5*LeagueInfo!$F$2,IF(C396="TE",LeagueInfo!$D$6*LeagueInfo!$F$2)))</f>
        <v>24</v>
      </c>
    </row>
    <row r="397" spans="1:9" x14ac:dyDescent="0.25">
      <c r="A397" s="47">
        <f ca="1">RANK(E397,E$2:E$574)</f>
        <v>394</v>
      </c>
      <c r="B397" s="1" t="s">
        <v>673</v>
      </c>
      <c r="C397" s="1" t="s">
        <v>39</v>
      </c>
      <c r="D397" s="1">
        <f ca="1">INDEX(INDIRECT($C397&amp;"!O:O"),MATCH($B397,INDIRECT($C397&amp;"!B:B"),0))</f>
        <v>8.43</v>
      </c>
      <c r="E397" s="254">
        <f ca="1">D397-LARGE(D$2:D$467,RBCount+WRCount+TECount)</f>
        <v>-68.41</v>
      </c>
      <c r="F397" s="1" t="str">
        <f ca="1">IF(H397&lt;=I397,"Starter",IF(G397&gt;=LARGE(G:G,FlexOn*LeagueInfo!$F$2),"Starter","Bench"))</f>
        <v>Bench</v>
      </c>
      <c r="G397" s="1">
        <f ca="1">IF(H397&gt;I397,D397,0)</f>
        <v>8.43</v>
      </c>
      <c r="H397" s="1">
        <f ca="1">INDEX(INDIRECT(""&amp;C397&amp;"!A2:A489"),MATCH(B397,INDIRECT(""&amp;C397&amp;"!B2:B489"),0))</f>
        <v>179</v>
      </c>
      <c r="I397" s="1">
        <f>IF(C397="RB",LeagueInfo!$D$4*LeagueInfo!$F$2,IF(C397="WR",LeagueInfo!$D$5*LeagueInfo!$F$2,IF(C397="TE",LeagueInfo!$D$6*LeagueInfo!$F$2)))</f>
        <v>24</v>
      </c>
    </row>
    <row r="398" spans="1:9" x14ac:dyDescent="0.25">
      <c r="A398" s="47">
        <f ca="1">RANK(E398,E$2:E$574)</f>
        <v>403</v>
      </c>
      <c r="B398" s="1" t="s">
        <v>678</v>
      </c>
      <c r="C398" s="1" t="s">
        <v>39</v>
      </c>
      <c r="D398" s="1">
        <f ca="1">INDEX(INDIRECT($C398&amp;"!O:O"),MATCH($B398,INDIRECT($C398&amp;"!B:B"),0))</f>
        <v>8.1700000000000017</v>
      </c>
      <c r="E398" s="254">
        <f ca="1">D398-LARGE(D$2:D$467,RBCount+WRCount+TECount)</f>
        <v>-68.67</v>
      </c>
      <c r="F398" s="1" t="str">
        <f ca="1">IF(H398&lt;=I398,"Starter",IF(G398&gt;=LARGE(G:G,FlexOn*LeagueInfo!$F$2),"Starter","Bench"))</f>
        <v>Bench</v>
      </c>
      <c r="G398" s="1">
        <f ca="1">IF(H398&gt;I398,D398,0)</f>
        <v>8.1700000000000017</v>
      </c>
      <c r="H398" s="1">
        <f ca="1">INDEX(INDIRECT(""&amp;C398&amp;"!A2:A489"),MATCH(B398,INDIRECT(""&amp;C398&amp;"!B2:B489"),0))</f>
        <v>186</v>
      </c>
      <c r="I398" s="1">
        <f>IF(C398="RB",LeagueInfo!$D$4*LeagueInfo!$F$2,IF(C398="WR",LeagueInfo!$D$5*LeagueInfo!$F$2,IF(C398="TE",LeagueInfo!$D$6*LeagueInfo!$F$2)))</f>
        <v>24</v>
      </c>
    </row>
    <row r="399" spans="1:9" x14ac:dyDescent="0.25">
      <c r="A399" s="47">
        <f ca="1">RANK(E399,E$2:E$574)</f>
        <v>388</v>
      </c>
      <c r="B399" s="1" t="s">
        <v>664</v>
      </c>
      <c r="C399" s="1" t="s">
        <v>39</v>
      </c>
      <c r="D399" s="1">
        <f ca="1">INDEX(INDIRECT($C399&amp;"!O:O"),MATCH($B399,INDIRECT($C399&amp;"!B:B"),0))</f>
        <v>8.6000000000000014</v>
      </c>
      <c r="E399" s="254">
        <f ca="1">D399-LARGE(D$2:D$467,RBCount+WRCount+TECount)</f>
        <v>-68.240000000000009</v>
      </c>
      <c r="F399" s="1" t="str">
        <f ca="1">IF(H399&lt;=I399,"Starter",IF(G399&gt;=LARGE(G:G,FlexOn*LeagueInfo!$F$2),"Starter","Bench"))</f>
        <v>Bench</v>
      </c>
      <c r="G399" s="1">
        <f ca="1">IF(H399&gt;I399,D399,0)</f>
        <v>8.6000000000000014</v>
      </c>
      <c r="H399" s="1">
        <f ca="1">INDEX(INDIRECT(""&amp;C399&amp;"!A2:A489"),MATCH(B399,INDIRECT(""&amp;C399&amp;"!B2:B489"),0))</f>
        <v>175</v>
      </c>
      <c r="I399" s="1">
        <f>IF(C399="RB",LeagueInfo!$D$4*LeagueInfo!$F$2,IF(C399="WR",LeagueInfo!$D$5*LeagueInfo!$F$2,IF(C399="TE",LeagueInfo!$D$6*LeagueInfo!$F$2)))</f>
        <v>24</v>
      </c>
    </row>
    <row r="400" spans="1:9" x14ac:dyDescent="0.25">
      <c r="A400" s="47">
        <f ca="1">RANK(E400,E$2:E$574)</f>
        <v>400</v>
      </c>
      <c r="B400" s="1" t="s">
        <v>677</v>
      </c>
      <c r="C400" s="1" t="s">
        <v>39</v>
      </c>
      <c r="D400" s="1">
        <f ca="1">INDEX(INDIRECT($C400&amp;"!O:O"),MATCH($B400,INDIRECT($C400&amp;"!B:B"),0))</f>
        <v>8.25</v>
      </c>
      <c r="E400" s="256">
        <f ca="1">D400-LARGE(D$2:D$467,RBCount+WRCount+TECount)</f>
        <v>-68.59</v>
      </c>
      <c r="F400" s="47" t="str">
        <f ca="1">IF(H400&lt;=I400,"Starter",IF(G400&gt;=LARGE(G:G,FlexOn*LeagueInfo!$F$2),"Starter","Bench"))</f>
        <v>Bench</v>
      </c>
      <c r="G400" s="1">
        <f ca="1">IF(H400&gt;I400,D400,0)</f>
        <v>8.25</v>
      </c>
      <c r="H400" s="1">
        <f ca="1">INDEX(INDIRECT(""&amp;C400&amp;"!A2:A489"),MATCH(B400,INDIRECT(""&amp;C400&amp;"!B2:B489"),0))</f>
        <v>183</v>
      </c>
      <c r="I400" s="1">
        <f>IF(C400="RB",LeagueInfo!$D$4*LeagueInfo!$F$2,IF(C400="WR",LeagueInfo!$D$5*LeagueInfo!$F$2,IF(C400="TE",LeagueInfo!$D$6*LeagueInfo!$F$2)))</f>
        <v>24</v>
      </c>
    </row>
    <row r="401" spans="1:9" x14ac:dyDescent="0.25">
      <c r="A401" s="47">
        <f ca="1">RANK(E401,E$2:E$574)</f>
        <v>404</v>
      </c>
      <c r="B401" s="1" t="s">
        <v>94</v>
      </c>
      <c r="C401" s="1" t="s">
        <v>47</v>
      </c>
      <c r="D401" s="1">
        <f ca="1">INDEX(INDIRECT($C401&amp;"!O:O"),MATCH($B401,INDIRECT($C401&amp;"!B:B"),0))</f>
        <v>8.1000000000000014</v>
      </c>
      <c r="E401" s="254">
        <f ca="1">D401-LARGE(D$2:D$467,RBCount+WRCount+TECount)</f>
        <v>-68.740000000000009</v>
      </c>
      <c r="F401" s="1" t="str">
        <f ca="1">IF(H401&lt;=I401,"Starter",IF(G401&gt;=LARGE(G:G,FlexOn*LeagueInfo!$F$2),"Starter","Bench"))</f>
        <v>Bench</v>
      </c>
      <c r="G401" s="1">
        <f ca="1">IF(H401&gt;I401,D401,0)</f>
        <v>8.1000000000000014</v>
      </c>
      <c r="H401" s="1">
        <f ca="1">INDEX(INDIRECT(""&amp;C401&amp;"!A2:A489"),MATCH(B401,INDIRECT(""&amp;C401&amp;"!B2:B489"),0))</f>
        <v>90</v>
      </c>
      <c r="I401" s="1">
        <f>IF(C401="RB",LeagueInfo!$D$4*LeagueInfo!$F$2,IF(C401="WR",LeagueInfo!$D$5*LeagueInfo!$F$2,IF(C401="TE",LeagueInfo!$D$6*LeagueInfo!$F$2)))</f>
        <v>12</v>
      </c>
    </row>
    <row r="402" spans="1:9" x14ac:dyDescent="0.25">
      <c r="A402" s="47">
        <f ca="1">RANK(E402,E$2:E$574)</f>
        <v>391</v>
      </c>
      <c r="B402" s="1" t="s">
        <v>927</v>
      </c>
      <c r="C402" s="1" t="s">
        <v>39</v>
      </c>
      <c r="D402" s="1">
        <f ca="1">INDEX(INDIRECT($C402&amp;"!O:O"),MATCH($B402,INDIRECT($C402&amp;"!B:B"),0))</f>
        <v>8.5</v>
      </c>
      <c r="E402" s="254">
        <f ca="1">D402-LARGE(D$2:D$467,RBCount+WRCount+TECount)</f>
        <v>-68.34</v>
      </c>
      <c r="F402" s="1" t="str">
        <f ca="1">IF(H402&lt;=I402,"Starter",IF(G402&gt;=LARGE(G:G,FlexOn*LeagueInfo!$F$2),"Starter","Bench"))</f>
        <v>Bench</v>
      </c>
      <c r="G402" s="1">
        <f ca="1">IF(H402&gt;I402,D402,0)</f>
        <v>8.5</v>
      </c>
      <c r="H402" s="1">
        <f ca="1">INDEX(INDIRECT(""&amp;C402&amp;"!A2:A489"),MATCH(B402,INDIRECT(""&amp;C402&amp;"!B2:B489"),0))</f>
        <v>177</v>
      </c>
      <c r="I402" s="1">
        <f>IF(C402="RB",LeagueInfo!$D$4*LeagueInfo!$F$2,IF(C402="WR",LeagueInfo!$D$5*LeagueInfo!$F$2,IF(C402="TE",LeagueInfo!$D$6*LeagueInfo!$F$2)))</f>
        <v>24</v>
      </c>
    </row>
    <row r="403" spans="1:9" x14ac:dyDescent="0.25">
      <c r="A403" s="47">
        <f ca="1">RANK(E403,E$2:E$574)</f>
        <v>419</v>
      </c>
      <c r="B403" s="1" t="s">
        <v>761</v>
      </c>
      <c r="C403" s="1" t="s">
        <v>47</v>
      </c>
      <c r="D403" s="1">
        <f ca="1">INDEX(INDIRECT($C403&amp;"!O:O"),MATCH($B403,INDIRECT($C403&amp;"!B:B"),0))</f>
        <v>7.68</v>
      </c>
      <c r="E403" s="254">
        <f ca="1">D403-LARGE(D$2:D$467,RBCount+WRCount+TECount)</f>
        <v>-69.16</v>
      </c>
      <c r="F403" s="1" t="str">
        <f ca="1">IF(H403&lt;=I403,"Starter",IF(G403&gt;=LARGE(G:G,FlexOn*LeagueInfo!$F$2),"Starter","Bench"))</f>
        <v>Bench</v>
      </c>
      <c r="G403" s="1">
        <f ca="1">IF(H403&gt;I403,D403,0)</f>
        <v>7.68</v>
      </c>
      <c r="H403" s="1">
        <f ca="1">INDEX(INDIRECT(""&amp;C403&amp;"!A2:A489"),MATCH(B403,INDIRECT(""&amp;C403&amp;"!B2:B489"),0))</f>
        <v>95</v>
      </c>
      <c r="I403" s="1">
        <f>IF(C403="RB",LeagueInfo!$D$4*LeagueInfo!$F$2,IF(C403="WR",LeagueInfo!$D$5*LeagueInfo!$F$2,IF(C403="TE",LeagueInfo!$D$6*LeagueInfo!$F$2)))</f>
        <v>12</v>
      </c>
    </row>
    <row r="404" spans="1:9" x14ac:dyDescent="0.25">
      <c r="A404" s="47">
        <f ca="1">RANK(E404,E$2:E$574)</f>
        <v>412</v>
      </c>
      <c r="B404" s="1" t="s">
        <v>680</v>
      </c>
      <c r="C404" s="1" t="s">
        <v>39</v>
      </c>
      <c r="D404" s="1">
        <f ca="1">INDEX(INDIRECT($C404&amp;"!O:O"),MATCH($B404,INDIRECT($C404&amp;"!B:B"),0))</f>
        <v>7.8400000000000007</v>
      </c>
      <c r="E404" s="254">
        <f ca="1">D404-LARGE(D$2:D$467,RBCount+WRCount+TECount)</f>
        <v>-69</v>
      </c>
      <c r="F404" s="1" t="str">
        <f ca="1">IF(H404&lt;=I404,"Starter",IF(G404&gt;=LARGE(G:G,FlexOn*LeagueInfo!$F$2),"Starter","Bench"))</f>
        <v>Bench</v>
      </c>
      <c r="G404" s="1">
        <f ca="1">IF(H404&gt;I404,D404,0)</f>
        <v>7.8400000000000007</v>
      </c>
      <c r="H404" s="1">
        <f ca="1">INDEX(INDIRECT(""&amp;C404&amp;"!A2:A489"),MATCH(B404,INDIRECT(""&amp;C404&amp;"!B2:B489"),0))</f>
        <v>190</v>
      </c>
      <c r="I404" s="1">
        <f>IF(C404="RB",LeagueInfo!$D$4*LeagueInfo!$F$2,IF(C404="WR",LeagueInfo!$D$5*LeagueInfo!$F$2,IF(C404="TE",LeagueInfo!$D$6*LeagueInfo!$F$2)))</f>
        <v>24</v>
      </c>
    </row>
    <row r="405" spans="1:9" x14ac:dyDescent="0.25">
      <c r="A405" s="47">
        <f ca="1">RANK(E405,E$2:E$574)</f>
        <v>396</v>
      </c>
      <c r="B405" s="1" t="s">
        <v>674</v>
      </c>
      <c r="C405" s="1" t="s">
        <v>39</v>
      </c>
      <c r="D405" s="1">
        <f ca="1">INDEX(INDIRECT($C405&amp;"!O:O"),MATCH($B405,INDIRECT($C405&amp;"!B:B"),0))</f>
        <v>8.3500000000000014</v>
      </c>
      <c r="E405" s="254">
        <f ca="1">D405-LARGE(D$2:D$467,RBCount+WRCount+TECount)</f>
        <v>-68.490000000000009</v>
      </c>
      <c r="F405" s="1" t="str">
        <f ca="1">IF(H405&lt;=I405,"Starter",IF(G405&gt;=LARGE(G:G,FlexOn*LeagueInfo!$F$2),"Starter","Bench"))</f>
        <v>Bench</v>
      </c>
      <c r="G405" s="1">
        <f ca="1">IF(H405&gt;I405,D405,0)</f>
        <v>8.3500000000000014</v>
      </c>
      <c r="H405" s="1">
        <f ca="1">INDEX(INDIRECT(""&amp;C405&amp;"!A2:A489"),MATCH(B405,INDIRECT(""&amp;C405&amp;"!B2:B489"),0))</f>
        <v>181</v>
      </c>
      <c r="I405" s="1">
        <f>IF(C405="RB",LeagueInfo!$D$4*LeagueInfo!$F$2,IF(C405="WR",LeagueInfo!$D$5*LeagueInfo!$F$2,IF(C405="TE",LeagueInfo!$D$6*LeagueInfo!$F$2)))</f>
        <v>24</v>
      </c>
    </row>
    <row r="406" spans="1:9" x14ac:dyDescent="0.25">
      <c r="A406" s="47">
        <f ca="1">RANK(E406,E$2:E$574)</f>
        <v>401</v>
      </c>
      <c r="B406" s="1" t="s">
        <v>666</v>
      </c>
      <c r="C406" s="1" t="s">
        <v>39</v>
      </c>
      <c r="D406" s="1">
        <f ca="1">INDEX(INDIRECT($C406&amp;"!O:O"),MATCH($B406,INDIRECT($C406&amp;"!B:B"),0))</f>
        <v>8.2000000000000011</v>
      </c>
      <c r="E406" s="254">
        <f ca="1">D406-LARGE(D$2:D$467,RBCount+WRCount+TECount)</f>
        <v>-68.64</v>
      </c>
      <c r="F406" s="1" t="str">
        <f ca="1">IF(H406&lt;=I406,"Starter",IF(G406&gt;=LARGE(G:G,FlexOn*LeagueInfo!$F$2),"Starter","Bench"))</f>
        <v>Bench</v>
      </c>
      <c r="G406" s="1">
        <f ca="1">IF(H406&gt;I406,D406,0)</f>
        <v>8.2000000000000011</v>
      </c>
      <c r="H406" s="1">
        <f ca="1">INDEX(INDIRECT(""&amp;C406&amp;"!A2:A489"),MATCH(B406,INDIRECT(""&amp;C406&amp;"!B2:B489"),0))</f>
        <v>184</v>
      </c>
      <c r="I406" s="1">
        <f>IF(C406="RB",LeagueInfo!$D$4*LeagueInfo!$F$2,IF(C406="WR",LeagueInfo!$D$5*LeagueInfo!$F$2,IF(C406="TE",LeagueInfo!$D$6*LeagueInfo!$F$2)))</f>
        <v>24</v>
      </c>
    </row>
    <row r="407" spans="1:9" x14ac:dyDescent="0.25">
      <c r="A407" s="47">
        <f ca="1">RANK(E407,E$2:E$574)</f>
        <v>412</v>
      </c>
      <c r="B407" s="1" t="s">
        <v>682</v>
      </c>
      <c r="C407" s="1" t="s">
        <v>39</v>
      </c>
      <c r="D407" s="1">
        <f ca="1">INDEX(INDIRECT($C407&amp;"!O:O"),MATCH($B407,INDIRECT($C407&amp;"!B:B"),0))</f>
        <v>7.8400000000000007</v>
      </c>
      <c r="E407" s="254">
        <f ca="1">D407-LARGE(D$2:D$467,RBCount+WRCount+TECount)</f>
        <v>-69</v>
      </c>
      <c r="F407" s="1" t="str">
        <f ca="1">IF(H407&lt;=I407,"Starter",IF(G407&gt;=LARGE(G:G,FlexOn*LeagueInfo!$F$2),"Starter","Bench"))</f>
        <v>Bench</v>
      </c>
      <c r="G407" s="1">
        <f ca="1">IF(H407&gt;I407,D407,0)</f>
        <v>7.8400000000000007</v>
      </c>
      <c r="H407" s="1">
        <f ca="1">INDEX(INDIRECT(""&amp;C407&amp;"!A2:A489"),MATCH(B407,INDIRECT(""&amp;C407&amp;"!B2:B489"),0))</f>
        <v>190</v>
      </c>
      <c r="I407" s="1">
        <f>IF(C407="RB",LeagueInfo!$D$4*LeagueInfo!$F$2,IF(C407="WR",LeagueInfo!$D$5*LeagueInfo!$F$2,IF(C407="TE",LeagueInfo!$D$6*LeagueInfo!$F$2)))</f>
        <v>24</v>
      </c>
    </row>
    <row r="408" spans="1:9" x14ac:dyDescent="0.25">
      <c r="A408" s="47">
        <f ca="1">RANK(E408,E$2:E$574)</f>
        <v>398</v>
      </c>
      <c r="B408" s="1" t="s">
        <v>675</v>
      </c>
      <c r="C408" s="1" t="s">
        <v>39</v>
      </c>
      <c r="D408" s="1">
        <f ca="1">INDEX(INDIRECT($C408&amp;"!O:O"),MATCH($B408,INDIRECT($C408&amp;"!B:B"),0))</f>
        <v>8.2800000000000011</v>
      </c>
      <c r="E408" s="254">
        <f ca="1">D408-LARGE(D$2:D$467,RBCount+WRCount+TECount)</f>
        <v>-68.56</v>
      </c>
      <c r="F408" s="1" t="str">
        <f ca="1">IF(H408&lt;=I408,"Starter",IF(G408&gt;=LARGE(G:G,FlexOn*LeagueInfo!$F$2),"Starter","Bench"))</f>
        <v>Bench</v>
      </c>
      <c r="G408" s="1">
        <f ca="1">IF(H408&gt;I408,D408,0)</f>
        <v>8.2800000000000011</v>
      </c>
      <c r="H408" s="1">
        <f ca="1">INDEX(INDIRECT(""&amp;C408&amp;"!A2:A489"),MATCH(B408,INDIRECT(""&amp;C408&amp;"!B2:B489"),0))</f>
        <v>182</v>
      </c>
      <c r="I408" s="1">
        <f>IF(C408="RB",LeagueInfo!$D$4*LeagueInfo!$F$2,IF(C408="WR",LeagueInfo!$D$5*LeagueInfo!$F$2,IF(C408="TE",LeagueInfo!$D$6*LeagueInfo!$F$2)))</f>
        <v>24</v>
      </c>
    </row>
    <row r="409" spans="1:9" x14ac:dyDescent="0.25">
      <c r="A409" s="47">
        <f ca="1">RANK(E409,E$2:E$574)</f>
        <v>386</v>
      </c>
      <c r="B409" s="1" t="s">
        <v>655</v>
      </c>
      <c r="C409" s="1" t="s">
        <v>39</v>
      </c>
      <c r="D409" s="1">
        <f ca="1">INDEX(INDIRECT($C409&amp;"!O:O"),MATCH($B409,INDIRECT($C409&amp;"!B:B"),0))</f>
        <v>8.66</v>
      </c>
      <c r="E409" s="254">
        <f ca="1">D409-LARGE(D$2:D$467,RBCount+WRCount+TECount)</f>
        <v>-68.180000000000007</v>
      </c>
      <c r="F409" s="1" t="str">
        <f ca="1">IF(H409&lt;=I409,"Starter",IF(G409&gt;=LARGE(G:G,FlexOn*LeagueInfo!$F$2),"Starter","Bench"))</f>
        <v>Bench</v>
      </c>
      <c r="G409" s="1">
        <f ca="1">IF(H409&gt;I409,D409,0)</f>
        <v>8.66</v>
      </c>
      <c r="H409" s="1">
        <f ca="1">INDEX(INDIRECT(""&amp;C409&amp;"!A2:A489"),MATCH(B409,INDIRECT(""&amp;C409&amp;"!B2:B489"),0))</f>
        <v>173</v>
      </c>
      <c r="I409" s="1">
        <f>IF(C409="RB",LeagueInfo!$D$4*LeagueInfo!$F$2,IF(C409="WR",LeagueInfo!$D$5*LeagueInfo!$F$2,IF(C409="TE",LeagueInfo!$D$6*LeagueInfo!$F$2)))</f>
        <v>24</v>
      </c>
    </row>
    <row r="410" spans="1:9" x14ac:dyDescent="0.25">
      <c r="A410" s="47">
        <f ca="1">RANK(E410,E$2:E$574)</f>
        <v>381</v>
      </c>
      <c r="B410" s="1" t="s">
        <v>767</v>
      </c>
      <c r="C410" s="1" t="s">
        <v>47</v>
      </c>
      <c r="D410" s="1">
        <f ca="1">INDEX(INDIRECT($C410&amp;"!O:O"),MATCH($B410,INDIRECT($C410&amp;"!B:B"),0))</f>
        <v>8.9</v>
      </c>
      <c r="E410" s="254">
        <f ca="1">D410-LARGE(D$2:D$467,RBCount+WRCount+TECount)</f>
        <v>-67.94</v>
      </c>
      <c r="F410" s="1" t="str">
        <f ca="1">IF(H410&lt;=I410,"Starter",IF(G410&gt;=LARGE(G:G,FlexOn*LeagueInfo!$F$2),"Starter","Bench"))</f>
        <v>Bench</v>
      </c>
      <c r="G410" s="1">
        <f ca="1">IF(H410&gt;I410,D410,0)</f>
        <v>8.9</v>
      </c>
      <c r="H410" s="1">
        <f ca="1">INDEX(INDIRECT(""&amp;C410&amp;"!A2:A489"),MATCH(B410,INDIRECT(""&amp;C410&amp;"!B2:B489"),0))</f>
        <v>86</v>
      </c>
      <c r="I410" s="1">
        <f>IF(C410="RB",LeagueInfo!$D$4*LeagueInfo!$F$2,IF(C410="WR",LeagueInfo!$D$5*LeagueInfo!$F$2,IF(C410="TE",LeagueInfo!$D$6*LeagueInfo!$F$2)))</f>
        <v>12</v>
      </c>
    </row>
    <row r="411" spans="1:9" x14ac:dyDescent="0.25">
      <c r="A411" s="47">
        <f ca="1">RANK(E411,E$2:E$574)</f>
        <v>411</v>
      </c>
      <c r="B411" s="1" t="s">
        <v>690</v>
      </c>
      <c r="C411" s="1" t="s">
        <v>39</v>
      </c>
      <c r="D411" s="1">
        <f ca="1">INDEX(INDIRECT($C411&amp;"!O:O"),MATCH($B411,INDIRECT($C411&amp;"!B:B"),0))</f>
        <v>7.8599999999999994</v>
      </c>
      <c r="E411" s="254">
        <f ca="1">D411-LARGE(D$2:D$467,RBCount+WRCount+TECount)</f>
        <v>-68.98</v>
      </c>
      <c r="F411" s="1" t="str">
        <f ca="1">IF(H411&lt;=I411,"Starter",IF(G411&gt;=LARGE(G:G,FlexOn*LeagueInfo!$F$2),"Starter","Bench"))</f>
        <v>Bench</v>
      </c>
      <c r="G411" s="1">
        <f ca="1">IF(H411&gt;I411,D411,0)</f>
        <v>7.8599999999999994</v>
      </c>
      <c r="H411" s="1">
        <f ca="1">INDEX(INDIRECT(""&amp;C411&amp;"!A2:A489"),MATCH(B411,INDIRECT(""&amp;C411&amp;"!B2:B489"),0))</f>
        <v>189</v>
      </c>
      <c r="I411" s="1">
        <f>IF(C411="RB",LeagueInfo!$D$4*LeagueInfo!$F$2,IF(C411="WR",LeagueInfo!$D$5*LeagueInfo!$F$2,IF(C411="TE",LeagueInfo!$D$6*LeagueInfo!$F$2)))</f>
        <v>24</v>
      </c>
    </row>
    <row r="412" spans="1:9" x14ac:dyDescent="0.25">
      <c r="A412" s="47">
        <f ca="1">RANK(E412,E$2:E$574)</f>
        <v>428</v>
      </c>
      <c r="B412" s="1" t="s">
        <v>789</v>
      </c>
      <c r="C412" s="1" t="s">
        <v>47</v>
      </c>
      <c r="D412" s="1">
        <f ca="1">INDEX(INDIRECT($C412&amp;"!O:O"),MATCH($B412,INDIRECT($C412&amp;"!B:B"),0))</f>
        <v>7.45</v>
      </c>
      <c r="E412" s="254">
        <f ca="1">D412-LARGE(D$2:D$467,RBCount+WRCount+TECount)</f>
        <v>-69.39</v>
      </c>
      <c r="F412" s="1" t="str">
        <f ca="1">IF(H412&lt;=I412,"Starter",IF(G412&gt;=LARGE(G:G,FlexOn*LeagueInfo!$F$2),"Starter","Bench"))</f>
        <v>Bench</v>
      </c>
      <c r="G412" s="1">
        <f ca="1">IF(H412&gt;I412,D412,0)</f>
        <v>7.45</v>
      </c>
      <c r="H412" s="1">
        <f ca="1">INDEX(INDIRECT(""&amp;C412&amp;"!A2:A489"),MATCH(B412,INDIRECT(""&amp;C412&amp;"!B2:B489"),0))</f>
        <v>98</v>
      </c>
      <c r="I412" s="1">
        <f>IF(C412="RB",LeagueInfo!$D$4*LeagueInfo!$F$2,IF(C412="WR",LeagueInfo!$D$5*LeagueInfo!$F$2,IF(C412="TE",LeagueInfo!$D$6*LeagueInfo!$F$2)))</f>
        <v>12</v>
      </c>
    </row>
    <row r="413" spans="1:9" x14ac:dyDescent="0.25">
      <c r="A413" s="47">
        <f ca="1">RANK(E413,E$2:E$574)</f>
        <v>422</v>
      </c>
      <c r="B413" s="1" t="s">
        <v>676</v>
      </c>
      <c r="C413" s="1" t="s">
        <v>39</v>
      </c>
      <c r="D413" s="1">
        <f ca="1">INDEX(INDIRECT($C413&amp;"!O:O"),MATCH($B413,INDIRECT($C413&amp;"!B:B"),0))</f>
        <v>7.62</v>
      </c>
      <c r="E413" s="254">
        <f ca="1">D413-LARGE(D$2:D$467,RBCount+WRCount+TECount)</f>
        <v>-69.22</v>
      </c>
      <c r="F413" s="1" t="str">
        <f ca="1">IF(H413&lt;=I413,"Starter",IF(G413&gt;=LARGE(G:G,FlexOn*LeagueInfo!$F$2),"Starter","Bench"))</f>
        <v>Bench</v>
      </c>
      <c r="G413" s="1">
        <f ca="1">IF(H413&gt;I413,D413,0)</f>
        <v>7.62</v>
      </c>
      <c r="H413" s="1">
        <f ca="1">INDEX(INDIRECT(""&amp;C413&amp;"!A2:A489"),MATCH(B413,INDIRECT(""&amp;C413&amp;"!B2:B489"),0))</f>
        <v>195</v>
      </c>
      <c r="I413" s="1">
        <f>IF(C413="RB",LeagueInfo!$D$4*LeagueInfo!$F$2,IF(C413="WR",LeagueInfo!$D$5*LeagueInfo!$F$2,IF(C413="TE",LeagueInfo!$D$6*LeagueInfo!$F$2)))</f>
        <v>24</v>
      </c>
    </row>
    <row r="414" spans="1:9" x14ac:dyDescent="0.25">
      <c r="A414" s="47">
        <f ca="1">RANK(E414,E$2:E$574)</f>
        <v>407</v>
      </c>
      <c r="B414" s="1" t="s">
        <v>621</v>
      </c>
      <c r="C414" s="1" t="s">
        <v>39</v>
      </c>
      <c r="D414" s="1">
        <f ca="1">INDEX(INDIRECT($C414&amp;"!O:O"),MATCH($B414,INDIRECT($C414&amp;"!B:B"),0))</f>
        <v>7.96</v>
      </c>
      <c r="E414" s="254">
        <f ca="1">D414-LARGE(D$2:D$467,RBCount+WRCount+TECount)</f>
        <v>-68.88000000000001</v>
      </c>
      <c r="F414" s="1" t="str">
        <f ca="1">IF(H414&lt;=I414,"Starter",IF(G414&gt;=LARGE(G:G,FlexOn*LeagueInfo!$F$2),"Starter","Bench"))</f>
        <v>Bench</v>
      </c>
      <c r="G414" s="1">
        <f ca="1">IF(H414&gt;I414,D414,0)</f>
        <v>7.96</v>
      </c>
      <c r="H414" s="1">
        <f ca="1">INDEX(INDIRECT(""&amp;C414&amp;"!A2:A489"),MATCH(B414,INDIRECT(""&amp;C414&amp;"!B2:B489"),0))</f>
        <v>187</v>
      </c>
      <c r="I414" s="1">
        <f>IF(C414="RB",LeagueInfo!$D$4*LeagueInfo!$F$2,IF(C414="WR",LeagueInfo!$D$5*LeagueInfo!$F$2,IF(C414="TE",LeagueInfo!$D$6*LeagueInfo!$F$2)))</f>
        <v>24</v>
      </c>
    </row>
    <row r="415" spans="1:9" x14ac:dyDescent="0.25">
      <c r="A415" s="47">
        <f ca="1">RANK(E415,E$2:E$574)</f>
        <v>378</v>
      </c>
      <c r="B415" s="1" t="s">
        <v>493</v>
      </c>
      <c r="C415" s="1" t="s">
        <v>32</v>
      </c>
      <c r="D415" s="1">
        <f ca="1">INDEX(INDIRECT($C415&amp;"!O:O"),MATCH($B415,INDIRECT($C415&amp;"!B:B"),0))</f>
        <v>9.1</v>
      </c>
      <c r="E415" s="254">
        <f ca="1">D415-LARGE(D$2:D$467,RBCount+WRCount+TECount)</f>
        <v>-67.740000000000009</v>
      </c>
      <c r="F415" s="1" t="str">
        <f ca="1">IF(H415&lt;=I415,"Starter",IF(G415&gt;=LARGE(G:G,FlexOn*LeagueInfo!$F$2),"Starter","Bench"))</f>
        <v>Bench</v>
      </c>
      <c r="G415" s="1">
        <f ca="1">IF(H415&gt;I415,D415,0)</f>
        <v>9.1</v>
      </c>
      <c r="H415" s="1">
        <f ca="1">INDEX(INDIRECT(""&amp;C415&amp;"!A2:A489"),MATCH(B415,INDIRECT(""&amp;C415&amp;"!B2:B489"),0))</f>
        <v>127</v>
      </c>
      <c r="I415" s="1">
        <f>IF(C415="RB",LeagueInfo!$D$4*LeagueInfo!$F$2,IF(C415="WR",LeagueInfo!$D$5*LeagueInfo!$F$2,IF(C415="TE",LeagueInfo!$D$6*LeagueInfo!$F$2)))</f>
        <v>24</v>
      </c>
    </row>
    <row r="416" spans="1:9" x14ac:dyDescent="0.25">
      <c r="A416" s="47">
        <f ca="1">RANK(E416,E$2:E$574)</f>
        <v>383</v>
      </c>
      <c r="B416" s="1" t="s">
        <v>669</v>
      </c>
      <c r="C416" s="1" t="s">
        <v>39</v>
      </c>
      <c r="D416" s="1">
        <f ca="1">INDEX(INDIRECT($C416&amp;"!O:O"),MATCH($B416,INDIRECT($C416&amp;"!B:B"),0))</f>
        <v>8.84</v>
      </c>
      <c r="E416" s="254">
        <f ca="1">D416-LARGE(D$2:D$467,RBCount+WRCount+TECount)</f>
        <v>-68</v>
      </c>
      <c r="F416" s="1" t="str">
        <f ca="1">IF(H416&lt;=I416,"Starter",IF(G416&gt;=LARGE(G:G,FlexOn*LeagueInfo!$F$2),"Starter","Bench"))</f>
        <v>Bench</v>
      </c>
      <c r="G416" s="1">
        <f ca="1">IF(H416&gt;I416,D416,0)</f>
        <v>8.84</v>
      </c>
      <c r="H416" s="1">
        <f ca="1">INDEX(INDIRECT(""&amp;C416&amp;"!A2:A489"),MATCH(B416,INDIRECT(""&amp;C416&amp;"!B2:B489"),0))</f>
        <v>170</v>
      </c>
      <c r="I416" s="1">
        <f>IF(C416="RB",LeagueInfo!$D$4*LeagueInfo!$F$2,IF(C416="WR",LeagueInfo!$D$5*LeagueInfo!$F$2,IF(C416="TE",LeagueInfo!$D$6*LeagueInfo!$F$2)))</f>
        <v>24</v>
      </c>
    </row>
    <row r="417" spans="1:9" x14ac:dyDescent="0.25">
      <c r="A417" s="47">
        <f ca="1">RANK(E417,E$2:E$574)</f>
        <v>424</v>
      </c>
      <c r="B417" s="1" t="s">
        <v>929</v>
      </c>
      <c r="C417" s="1" t="s">
        <v>47</v>
      </c>
      <c r="D417" s="1">
        <f ca="1">INDEX(INDIRECT($C417&amp;"!O:O"),MATCH($B417,INDIRECT($C417&amp;"!B:B"),0))</f>
        <v>7.5400000000000009</v>
      </c>
      <c r="E417" s="254">
        <f ca="1">D417-LARGE(D$2:D$467,RBCount+WRCount+TECount)</f>
        <v>-69.3</v>
      </c>
      <c r="F417" s="1" t="str">
        <f ca="1">IF(H417&lt;=I417,"Starter",IF(G417&gt;=LARGE(G:G,FlexOn*LeagueInfo!$F$2),"Starter","Bench"))</f>
        <v>Bench</v>
      </c>
      <c r="G417" s="1">
        <f ca="1">IF(H417&gt;I417,D417,0)</f>
        <v>7.5400000000000009</v>
      </c>
      <c r="H417" s="1">
        <f ca="1">INDEX(INDIRECT(""&amp;C417&amp;"!A2:A489"),MATCH(B417,INDIRECT(""&amp;C417&amp;"!B2:B489"),0))</f>
        <v>96</v>
      </c>
      <c r="I417" s="1">
        <f>IF(C417="RB",LeagueInfo!$D$4*LeagueInfo!$F$2,IF(C417="WR",LeagueInfo!$D$5*LeagueInfo!$F$2,IF(C417="TE",LeagueInfo!$D$6*LeagueInfo!$F$2)))</f>
        <v>12</v>
      </c>
    </row>
    <row r="418" spans="1:9" x14ac:dyDescent="0.25">
      <c r="A418" s="47">
        <f ca="1">RANK(E418,E$2:E$574)</f>
        <v>433</v>
      </c>
      <c r="B418" s="1" t="s">
        <v>644</v>
      </c>
      <c r="C418" s="1" t="s">
        <v>39</v>
      </c>
      <c r="D418" s="1">
        <f ca="1">INDEX(INDIRECT($C418&amp;"!O:O"),MATCH($B418,INDIRECT($C418&amp;"!B:B"),0))</f>
        <v>7.37</v>
      </c>
      <c r="E418" s="254">
        <f ca="1">D418-LARGE(D$2:D$467,RBCount+WRCount+TECount)</f>
        <v>-69.47</v>
      </c>
      <c r="F418" s="1" t="str">
        <f ca="1">IF(H418&lt;=I418,"Starter",IF(G418&gt;=LARGE(G:G,FlexOn*LeagueInfo!$F$2),"Starter","Bench"))</f>
        <v>Bench</v>
      </c>
      <c r="G418" s="1">
        <f ca="1">IF(H418&gt;I418,D418,0)</f>
        <v>7.37</v>
      </c>
      <c r="H418" s="1">
        <f ca="1">INDEX(INDIRECT(""&amp;C418&amp;"!A2:A489"),MATCH(B418,INDIRECT(""&amp;C418&amp;"!B2:B489"),0))</f>
        <v>200</v>
      </c>
      <c r="I418" s="1">
        <f>IF(C418="RB",LeagueInfo!$D$4*LeagueInfo!$F$2,IF(C418="WR",LeagueInfo!$D$5*LeagueInfo!$F$2,IF(C418="TE",LeagueInfo!$D$6*LeagueInfo!$F$2)))</f>
        <v>24</v>
      </c>
    </row>
    <row r="419" spans="1:9" x14ac:dyDescent="0.25">
      <c r="A419" s="47">
        <f ca="1">RANK(E419,E$2:E$574)</f>
        <v>427</v>
      </c>
      <c r="B419" s="1" t="s">
        <v>786</v>
      </c>
      <c r="C419" s="1" t="s">
        <v>47</v>
      </c>
      <c r="D419" s="1">
        <f ca="1">INDEX(INDIRECT($C419&amp;"!O:O"),MATCH($B419,INDIRECT($C419&amp;"!B:B"),0))</f>
        <v>7.4900000000000011</v>
      </c>
      <c r="E419" s="254">
        <f ca="1">D419-LARGE(D$2:D$467,RBCount+WRCount+TECount)</f>
        <v>-69.350000000000009</v>
      </c>
      <c r="F419" s="1" t="str">
        <f ca="1">IF(H419&lt;=I419,"Starter",IF(G419&gt;=LARGE(G:G,FlexOn*LeagueInfo!$F$2),"Starter","Bench"))</f>
        <v>Bench</v>
      </c>
      <c r="G419" s="1">
        <f ca="1">IF(H419&gt;I419,D419,0)</f>
        <v>7.4900000000000011</v>
      </c>
      <c r="H419" s="1">
        <f ca="1">INDEX(INDIRECT(""&amp;C419&amp;"!A2:A489"),MATCH(B419,INDIRECT(""&amp;C419&amp;"!B2:B489"),0))</f>
        <v>97</v>
      </c>
      <c r="I419" s="1">
        <f>IF(C419="RB",LeagueInfo!$D$4*LeagueInfo!$F$2,IF(C419="WR",LeagueInfo!$D$5*LeagueInfo!$F$2,IF(C419="TE",LeagueInfo!$D$6*LeagueInfo!$F$2)))</f>
        <v>12</v>
      </c>
    </row>
    <row r="420" spans="1:9" x14ac:dyDescent="0.25">
      <c r="A420" s="47">
        <f ca="1">RANK(E420,E$2:E$574)</f>
        <v>423</v>
      </c>
      <c r="B420" s="1" t="s">
        <v>638</v>
      </c>
      <c r="C420" s="1" t="s">
        <v>39</v>
      </c>
      <c r="D420" s="1">
        <f ca="1">INDEX(INDIRECT($C420&amp;"!O:O"),MATCH($B420,INDIRECT($C420&amp;"!B:B"),0))</f>
        <v>7.61</v>
      </c>
      <c r="E420" s="254">
        <f ca="1">D420-LARGE(D$2:D$467,RBCount+WRCount+TECount)</f>
        <v>-69.23</v>
      </c>
      <c r="F420" s="1" t="str">
        <f ca="1">IF(H420&lt;=I420,"Starter",IF(G420&gt;=LARGE(G:G,FlexOn*LeagueInfo!$F$2),"Starter","Bench"))</f>
        <v>Bench</v>
      </c>
      <c r="G420" s="1">
        <f ca="1">IF(H420&gt;I420,D420,0)</f>
        <v>7.61</v>
      </c>
      <c r="H420" s="1">
        <f ca="1">INDEX(INDIRECT(""&amp;C420&amp;"!A2:A489"),MATCH(B420,INDIRECT(""&amp;C420&amp;"!B2:B489"),0))</f>
        <v>196</v>
      </c>
      <c r="I420" s="1">
        <f>IF(C420="RB",LeagueInfo!$D$4*LeagueInfo!$F$2,IF(C420="WR",LeagueInfo!$D$5*LeagueInfo!$F$2,IF(C420="TE",LeagueInfo!$D$6*LeagueInfo!$F$2)))</f>
        <v>24</v>
      </c>
    </row>
    <row r="421" spans="1:9" x14ac:dyDescent="0.25">
      <c r="A421" s="47">
        <f ca="1">RANK(E421,E$2:E$574)</f>
        <v>440</v>
      </c>
      <c r="B421" s="1" t="s">
        <v>693</v>
      </c>
      <c r="C421" s="1" t="s">
        <v>39</v>
      </c>
      <c r="D421" s="1">
        <f ca="1">INDEX(INDIRECT($C421&amp;"!O:O"),MATCH($B421,INDIRECT($C421&amp;"!B:B"),0))</f>
        <v>7.0700000000000012</v>
      </c>
      <c r="E421" s="254">
        <f ca="1">D421-LARGE(D$2:D$467,RBCount+WRCount+TECount)</f>
        <v>-69.77</v>
      </c>
      <c r="F421" s="1" t="str">
        <f ca="1">IF(H421&lt;=I421,"Starter",IF(G421&gt;=LARGE(G:G,FlexOn*LeagueInfo!$F$2),"Starter","Bench"))</f>
        <v>Bench</v>
      </c>
      <c r="G421" s="1">
        <f ca="1">IF(H421&gt;I421,D421,0)</f>
        <v>7.0700000000000012</v>
      </c>
      <c r="H421" s="1">
        <f ca="1">INDEX(INDIRECT(""&amp;C421&amp;"!A2:A489"),MATCH(B421,INDIRECT(""&amp;C421&amp;"!B2:B489"),0))</f>
        <v>202</v>
      </c>
      <c r="I421" s="1">
        <f>IF(C421="RB",LeagueInfo!$D$4*LeagueInfo!$F$2,IF(C421="WR",LeagueInfo!$D$5*LeagueInfo!$F$2,IF(C421="TE",LeagueInfo!$D$6*LeagueInfo!$F$2)))</f>
        <v>24</v>
      </c>
    </row>
    <row r="422" spans="1:9" x14ac:dyDescent="0.25">
      <c r="A422" s="47">
        <f ca="1">RANK(E422,E$2:E$574)</f>
        <v>439</v>
      </c>
      <c r="B422" s="1" t="s">
        <v>512</v>
      </c>
      <c r="C422" s="1" t="s">
        <v>32</v>
      </c>
      <c r="D422" s="1">
        <f ca="1">INDEX(INDIRECT($C422&amp;"!O:O"),MATCH($B422,INDIRECT($C422&amp;"!B:B"),0))</f>
        <v>7.1</v>
      </c>
      <c r="E422" s="254">
        <f ca="1">D422-LARGE(D$2:D$467,RBCount+WRCount+TECount)</f>
        <v>-69.740000000000009</v>
      </c>
      <c r="F422" s="1" t="str">
        <f ca="1">IF(H422&lt;=I422,"Starter",IF(G422&gt;=LARGE(G:G,FlexOn*LeagueInfo!$F$2),"Starter","Bench"))</f>
        <v>Bench</v>
      </c>
      <c r="G422" s="1">
        <f ca="1">IF(H422&gt;I422,D422,0)</f>
        <v>7.1</v>
      </c>
      <c r="H422" s="1">
        <f ca="1">INDEX(INDIRECT(""&amp;C422&amp;"!A2:A489"),MATCH(B422,INDIRECT(""&amp;C422&amp;"!B2:B489"),0))</f>
        <v>137</v>
      </c>
      <c r="I422" s="1">
        <f>IF(C422="RB",LeagueInfo!$D$4*LeagueInfo!$F$2,IF(C422="WR",LeagueInfo!$D$5*LeagueInfo!$F$2,IF(C422="TE",LeagueInfo!$D$6*LeagueInfo!$F$2)))</f>
        <v>24</v>
      </c>
    </row>
    <row r="423" spans="1:9" x14ac:dyDescent="0.25">
      <c r="A423" s="47">
        <f ca="1">RANK(E423,E$2:E$574)</f>
        <v>416</v>
      </c>
      <c r="B423" s="1" t="s">
        <v>684</v>
      </c>
      <c r="C423" s="1" t="s">
        <v>39</v>
      </c>
      <c r="D423" s="1">
        <f ca="1">INDEX(INDIRECT($C423&amp;"!O:O"),MATCH($B423,INDIRECT($C423&amp;"!B:B"),0))</f>
        <v>7.7</v>
      </c>
      <c r="E423" s="254">
        <f ca="1">D423-LARGE(D$2:D$467,RBCount+WRCount+TECount)</f>
        <v>-69.14</v>
      </c>
      <c r="F423" s="1" t="str">
        <f ca="1">IF(H423&lt;=I423,"Starter",IF(G423&gt;=LARGE(G:G,FlexOn*LeagueInfo!$F$2),"Starter","Bench"))</f>
        <v>Bench</v>
      </c>
      <c r="G423" s="47">
        <f ca="1">IF(H423&gt;I423,D423,0)</f>
        <v>7.7</v>
      </c>
      <c r="H423" s="47">
        <f ca="1">INDEX(INDIRECT(""&amp;C423&amp;"!A2:A489"),MATCH(B423,INDIRECT(""&amp;C423&amp;"!B2:B489"),0))</f>
        <v>193</v>
      </c>
      <c r="I423" s="47">
        <f>IF(C423="RB",LeagueInfo!$D$4*LeagueInfo!$F$2,IF(C423="WR",LeagueInfo!$D$5*LeagueInfo!$F$2,IF(C423="TE",LeagueInfo!$D$6*LeagueInfo!$F$2)))</f>
        <v>24</v>
      </c>
    </row>
    <row r="424" spans="1:9" x14ac:dyDescent="0.25">
      <c r="A424" s="47">
        <f ca="1">RANK(E424,E$2:E$574)</f>
        <v>429</v>
      </c>
      <c r="B424" s="1" t="s">
        <v>691</v>
      </c>
      <c r="C424" s="1" t="s">
        <v>39</v>
      </c>
      <c r="D424" s="1">
        <f ca="1">INDEX(INDIRECT($C424&amp;"!O:O"),MATCH($B424,INDIRECT($C424&amp;"!B:B"),0))</f>
        <v>7.4</v>
      </c>
      <c r="E424" s="254">
        <f ca="1">D424-LARGE(D$2:D$467,RBCount+WRCount+TECount)</f>
        <v>-69.44</v>
      </c>
      <c r="F424" s="1" t="str">
        <f ca="1">IF(H424&lt;=I424,"Starter",IF(G424&gt;=LARGE(G:G,FlexOn*LeagueInfo!$F$2),"Starter","Bench"))</f>
        <v>Bench</v>
      </c>
      <c r="G424" s="1">
        <f ca="1">IF(H424&gt;I424,D424,0)</f>
        <v>7.4</v>
      </c>
      <c r="H424" s="1">
        <f ca="1">INDEX(INDIRECT(""&amp;C424&amp;"!A2:A489"),MATCH(B424,INDIRECT(""&amp;C424&amp;"!B2:B489"),0))</f>
        <v>198</v>
      </c>
      <c r="I424" s="1">
        <f>IF(C424="RB",LeagueInfo!$D$4*LeagueInfo!$F$2,IF(C424="WR",LeagueInfo!$D$5*LeagueInfo!$F$2,IF(C424="TE",LeagueInfo!$D$6*LeagueInfo!$F$2)))</f>
        <v>24</v>
      </c>
    </row>
    <row r="425" spans="1:9" x14ac:dyDescent="0.25">
      <c r="A425" s="47">
        <f ca="1">RANK(E425,E$2:E$574)</f>
        <v>429</v>
      </c>
      <c r="B425" s="1" t="s">
        <v>692</v>
      </c>
      <c r="C425" s="1" t="s">
        <v>39</v>
      </c>
      <c r="D425" s="1">
        <f ca="1">INDEX(INDIRECT($C425&amp;"!O:O"),MATCH($B425,INDIRECT($C425&amp;"!B:B"),0))</f>
        <v>7.4</v>
      </c>
      <c r="E425" s="254">
        <f ca="1">D425-LARGE(D$2:D$467,RBCount+WRCount+TECount)</f>
        <v>-69.44</v>
      </c>
      <c r="F425" s="1" t="str">
        <f ca="1">IF(H425&lt;=I425,"Starter",IF(G425&gt;=LARGE(G:G,FlexOn*LeagueInfo!$F$2),"Starter","Bench"))</f>
        <v>Bench</v>
      </c>
      <c r="G425" s="1">
        <f ca="1">IF(H425&gt;I425,D425,0)</f>
        <v>7.4</v>
      </c>
      <c r="H425" s="1">
        <f ca="1">INDEX(INDIRECT(""&amp;C425&amp;"!A2:A489"),MATCH(B425,INDIRECT(""&amp;C425&amp;"!B2:B489"),0))</f>
        <v>198</v>
      </c>
      <c r="I425" s="1">
        <f>IF(C425="RB",LeagueInfo!$D$4*LeagueInfo!$F$2,IF(C425="WR",LeagueInfo!$D$5*LeagueInfo!$F$2,IF(C425="TE",LeagueInfo!$D$6*LeagueInfo!$F$2)))</f>
        <v>24</v>
      </c>
    </row>
    <row r="426" spans="1:9" x14ac:dyDescent="0.25">
      <c r="A426" s="47">
        <f ca="1">RANK(E426,E$2:E$574)</f>
        <v>429</v>
      </c>
      <c r="B426" s="1" t="s">
        <v>788</v>
      </c>
      <c r="C426" s="1" t="s">
        <v>47</v>
      </c>
      <c r="D426" s="1">
        <f ca="1">INDEX(INDIRECT($C426&amp;"!O:O"),MATCH($B426,INDIRECT($C426&amp;"!B:B"),0))</f>
        <v>7.4</v>
      </c>
      <c r="E426" s="254">
        <f ca="1">D426-LARGE(D$2:D$467,RBCount+WRCount+TECount)</f>
        <v>-69.44</v>
      </c>
      <c r="F426" s="1" t="str">
        <f ca="1">IF(H426&lt;=I426,"Starter",IF(G426&gt;=LARGE(G:G,FlexOn*LeagueInfo!$F$2),"Starter","Bench"))</f>
        <v>Bench</v>
      </c>
      <c r="G426" s="1">
        <f ca="1">IF(H426&gt;I426,D426,0)</f>
        <v>7.4</v>
      </c>
      <c r="H426" s="1">
        <f ca="1">INDEX(INDIRECT(""&amp;C426&amp;"!A2:A489"),MATCH(B426,INDIRECT(""&amp;C426&amp;"!B2:B489"),0))</f>
        <v>99</v>
      </c>
      <c r="I426" s="1">
        <f>IF(C426="RB",LeagueInfo!$D$4*LeagueInfo!$F$2,IF(C426="WR",LeagueInfo!$D$5*LeagueInfo!$F$2,IF(C426="TE",LeagueInfo!$D$6*LeagueInfo!$F$2)))</f>
        <v>12</v>
      </c>
    </row>
    <row r="427" spans="1:9" x14ac:dyDescent="0.25">
      <c r="A427" s="47">
        <f ca="1">RANK(E427,E$2:E$574)</f>
        <v>414</v>
      </c>
      <c r="B427" s="1" t="s">
        <v>774</v>
      </c>
      <c r="C427" s="1" t="s">
        <v>47</v>
      </c>
      <c r="D427" s="1">
        <f ca="1">INDEX(INDIRECT($C427&amp;"!O:O"),MATCH($B427,INDIRECT($C427&amp;"!B:B"),0))</f>
        <v>7.7100000000000009</v>
      </c>
      <c r="E427" s="254">
        <f ca="1">D427-LARGE(D$2:D$467,RBCount+WRCount+TECount)</f>
        <v>-69.13</v>
      </c>
      <c r="F427" s="1" t="str">
        <f ca="1">IF(H427&lt;=I427,"Starter",IF(G427&gt;=LARGE(G:G,FlexOn*LeagueInfo!$F$2),"Starter","Bench"))</f>
        <v>Bench</v>
      </c>
      <c r="G427" s="1">
        <f ca="1">IF(H427&gt;I427,D427,0)</f>
        <v>7.7100000000000009</v>
      </c>
      <c r="H427" s="1">
        <f ca="1">INDEX(INDIRECT(""&amp;C427&amp;"!A2:A489"),MATCH(B427,INDIRECT(""&amp;C427&amp;"!B2:B489"),0))</f>
        <v>93</v>
      </c>
      <c r="I427" s="1">
        <f>IF(C427="RB",LeagueInfo!$D$4*LeagueInfo!$F$2,IF(C427="WR",LeagueInfo!$D$5*LeagueInfo!$F$2,IF(C427="TE",LeagueInfo!$D$6*LeagueInfo!$F$2)))</f>
        <v>12</v>
      </c>
    </row>
    <row r="428" spans="1:9" x14ac:dyDescent="0.25">
      <c r="A428" s="47">
        <f ca="1">RANK(E428,E$2:E$574)</f>
        <v>414</v>
      </c>
      <c r="B428" s="1" t="s">
        <v>685</v>
      </c>
      <c r="C428" s="1" t="s">
        <v>39</v>
      </c>
      <c r="D428" s="1">
        <f ca="1">INDEX(INDIRECT($C428&amp;"!O:O"),MATCH($B428,INDIRECT($C428&amp;"!B:B"),0))</f>
        <v>7.7100000000000009</v>
      </c>
      <c r="E428" s="254">
        <f ca="1">D428-LARGE(D$2:D$467,RBCount+WRCount+TECount)</f>
        <v>-69.13</v>
      </c>
      <c r="F428" s="1" t="str">
        <f ca="1">IF(H428&lt;=I428,"Starter",IF(G428&gt;=LARGE(G:G,FlexOn*LeagueInfo!$F$2),"Starter","Bench"))</f>
        <v>Bench</v>
      </c>
      <c r="G428" s="1">
        <f ca="1">IF(H428&gt;I428,D428,0)</f>
        <v>7.7100000000000009</v>
      </c>
      <c r="H428" s="1">
        <f ca="1">INDEX(INDIRECT(""&amp;C428&amp;"!A2:A489"),MATCH(B428,INDIRECT(""&amp;C428&amp;"!B2:B489"),0))</f>
        <v>192</v>
      </c>
      <c r="I428" s="1">
        <f>IF(C428="RB",LeagueInfo!$D$4*LeagueInfo!$F$2,IF(C428="WR",LeagueInfo!$D$5*LeagueInfo!$F$2,IF(C428="TE",LeagueInfo!$D$6*LeagueInfo!$F$2)))</f>
        <v>24</v>
      </c>
    </row>
    <row r="429" spans="1:9" x14ac:dyDescent="0.25">
      <c r="A429" s="47">
        <f ca="1">RANK(E429,E$2:E$574)</f>
        <v>426</v>
      </c>
      <c r="B429" s="1" t="s">
        <v>661</v>
      </c>
      <c r="C429" s="1" t="s">
        <v>39</v>
      </c>
      <c r="D429" s="1">
        <f ca="1">INDEX(INDIRECT($C429&amp;"!O:O"),MATCH($B429,INDIRECT($C429&amp;"!B:B"),0))</f>
        <v>7.5000000000000009</v>
      </c>
      <c r="E429" s="254">
        <f ca="1">D429-LARGE(D$2:D$467,RBCount+WRCount+TECount)</f>
        <v>-69.34</v>
      </c>
      <c r="F429" s="1" t="str">
        <f ca="1">IF(H429&lt;=I429,"Starter",IF(G429&gt;=LARGE(G:G,FlexOn*LeagueInfo!$F$2),"Starter","Bench"))</f>
        <v>Bench</v>
      </c>
      <c r="G429" s="1">
        <f ca="1">IF(H429&gt;I429,D429,0)</f>
        <v>7.5000000000000009</v>
      </c>
      <c r="H429" s="1">
        <f ca="1">INDEX(INDIRECT(""&amp;C429&amp;"!A2:A489"),MATCH(B429,INDIRECT(""&amp;C429&amp;"!B2:B489"),0))</f>
        <v>197</v>
      </c>
      <c r="I429" s="1">
        <f>IF(C429="RB",LeagueInfo!$D$4*LeagueInfo!$F$2,IF(C429="WR",LeagueInfo!$D$5*LeagueInfo!$F$2,IF(C429="TE",LeagueInfo!$D$6*LeagueInfo!$F$2)))</f>
        <v>24</v>
      </c>
    </row>
    <row r="430" spans="1:9" x14ac:dyDescent="0.25">
      <c r="A430" s="47">
        <f ca="1">RANK(E430,E$2:E$574)</f>
        <v>416</v>
      </c>
      <c r="B430" s="1" t="s">
        <v>681</v>
      </c>
      <c r="C430" s="1" t="s">
        <v>39</v>
      </c>
      <c r="D430" s="1">
        <f ca="1">INDEX(INDIRECT($C430&amp;"!O:O"),MATCH($B430,INDIRECT($C430&amp;"!B:B"),0))</f>
        <v>7.7</v>
      </c>
      <c r="E430" s="254">
        <f ca="1">D430-LARGE(D$2:D$467,RBCount+WRCount+TECount)</f>
        <v>-69.14</v>
      </c>
      <c r="F430" s="1" t="str">
        <f ca="1">IF(H430&lt;=I430,"Starter",IF(G430&gt;=LARGE(G:G,FlexOn*LeagueInfo!$F$2),"Starter","Bench"))</f>
        <v>Bench</v>
      </c>
      <c r="G430" s="1">
        <f ca="1">IF(H430&gt;I430,D430,0)</f>
        <v>7.7</v>
      </c>
      <c r="H430" s="1">
        <f ca="1">INDEX(INDIRECT(""&amp;C430&amp;"!A2:A489"),MATCH(B430,INDIRECT(""&amp;C430&amp;"!B2:B489"),0))</f>
        <v>193</v>
      </c>
      <c r="I430" s="1">
        <f>IF(C430="RB",LeagueInfo!$D$4*LeagueInfo!$F$2,IF(C430="WR",LeagueInfo!$D$5*LeagueInfo!$F$2,IF(C430="TE",LeagueInfo!$D$6*LeagueInfo!$F$2)))</f>
        <v>24</v>
      </c>
    </row>
    <row r="431" spans="1:9" x14ac:dyDescent="0.25">
      <c r="A431" s="47">
        <f ca="1">RANK(E431,E$2:E$574)</f>
        <v>436</v>
      </c>
      <c r="B431" s="1" t="s">
        <v>696</v>
      </c>
      <c r="C431" s="1" t="s">
        <v>39</v>
      </c>
      <c r="D431" s="1">
        <f ca="1">INDEX(INDIRECT($C431&amp;"!O:O"),MATCH($B431,INDIRECT($C431&amp;"!B:B"),0))</f>
        <v>7.2</v>
      </c>
      <c r="E431" s="254">
        <f ca="1">D431-LARGE(D$2:D$467,RBCount+WRCount+TECount)</f>
        <v>-69.64</v>
      </c>
      <c r="F431" s="1" t="str">
        <f ca="1">IF(H431&lt;=I431,"Starter",IF(G431&gt;=LARGE(G:G,FlexOn*LeagueInfo!$F$2),"Starter","Bench"))</f>
        <v>Bench</v>
      </c>
      <c r="G431" s="1">
        <f ca="1">IF(H431&gt;I431,D431,0)</f>
        <v>7.2</v>
      </c>
      <c r="H431" s="1">
        <f ca="1">INDEX(INDIRECT(""&amp;C431&amp;"!A2:A489"),MATCH(B431,INDIRECT(""&amp;C431&amp;"!B2:B489"),0))</f>
        <v>201</v>
      </c>
      <c r="I431" s="1">
        <f>IF(C431="RB",LeagueInfo!$D$4*LeagueInfo!$F$2,IF(C431="WR",LeagueInfo!$D$5*LeagueInfo!$F$2,IF(C431="TE",LeagueInfo!$D$6*LeagueInfo!$F$2)))</f>
        <v>24</v>
      </c>
    </row>
    <row r="432" spans="1:9" x14ac:dyDescent="0.25">
      <c r="A432" s="47">
        <f ca="1">RANK(E432,E$2:E$574)</f>
        <v>442</v>
      </c>
      <c r="B432" s="1" t="s">
        <v>698</v>
      </c>
      <c r="C432" s="1" t="s">
        <v>39</v>
      </c>
      <c r="D432" s="1">
        <f ca="1">INDEX(INDIRECT($C432&amp;"!O:O"),MATCH($B432,INDIRECT($C432&amp;"!B:B"),0))</f>
        <v>7.03</v>
      </c>
      <c r="E432" s="254">
        <f ca="1">D432-LARGE(D$2:D$467,RBCount+WRCount+TECount)</f>
        <v>-69.81</v>
      </c>
      <c r="F432" s="1" t="str">
        <f ca="1">IF(H432&lt;=I432,"Starter",IF(G432&gt;=LARGE(G:G,FlexOn*LeagueInfo!$F$2),"Starter","Bench"))</f>
        <v>Bench</v>
      </c>
      <c r="G432" s="1">
        <f ca="1">IF(H432&gt;I432,D432,0)</f>
        <v>7.03</v>
      </c>
      <c r="H432" s="1">
        <f ca="1">INDEX(INDIRECT(""&amp;C432&amp;"!A2:A489"),MATCH(B432,INDIRECT(""&amp;C432&amp;"!B2:B489"),0))</f>
        <v>204</v>
      </c>
      <c r="I432" s="1">
        <f>IF(C432="RB",LeagueInfo!$D$4*LeagueInfo!$F$2,IF(C432="WR",LeagueInfo!$D$5*LeagueInfo!$F$2,IF(C432="TE",LeagueInfo!$D$6*LeagueInfo!$F$2)))</f>
        <v>24</v>
      </c>
    </row>
    <row r="433" spans="1:9" x14ac:dyDescent="0.25">
      <c r="A433" s="47">
        <f ca="1">RANK(E433,E$2:E$574)</f>
        <v>437</v>
      </c>
      <c r="B433" s="1" t="s">
        <v>794</v>
      </c>
      <c r="C433" s="1" t="s">
        <v>47</v>
      </c>
      <c r="D433" s="1">
        <f ca="1">INDEX(INDIRECT($C433&amp;"!O:O"),MATCH($B433,INDIRECT($C433&amp;"!B:B"),0))</f>
        <v>7.19</v>
      </c>
      <c r="E433" s="254">
        <f ca="1">D433-LARGE(D$2:D$467,RBCount+WRCount+TECount)</f>
        <v>-69.650000000000006</v>
      </c>
      <c r="F433" s="1" t="str">
        <f ca="1">IF(H433&lt;=I433,"Starter",IF(G433&gt;=LARGE(G:G,FlexOn*LeagueInfo!$F$2),"Starter","Bench"))</f>
        <v>Bench</v>
      </c>
      <c r="G433" s="1">
        <f ca="1">IF(H433&gt;I433,D433,0)</f>
        <v>7.19</v>
      </c>
      <c r="H433" s="1">
        <f ca="1">INDEX(INDIRECT(""&amp;C433&amp;"!A2:A489"),MATCH(B433,INDIRECT(""&amp;C433&amp;"!B2:B489"),0))</f>
        <v>101</v>
      </c>
      <c r="I433" s="1">
        <f>IF(C433="RB",LeagueInfo!$D$4*LeagueInfo!$F$2,IF(C433="WR",LeagueInfo!$D$5*LeagueInfo!$F$2,IF(C433="TE",LeagueInfo!$D$6*LeagueInfo!$F$2)))</f>
        <v>12</v>
      </c>
    </row>
    <row r="434" spans="1:9" x14ac:dyDescent="0.25">
      <c r="A434" s="47">
        <f ca="1">RANK(E434,E$2:E$574)</f>
        <v>421</v>
      </c>
      <c r="B434" s="1" t="s">
        <v>506</v>
      </c>
      <c r="C434" s="1" t="s">
        <v>32</v>
      </c>
      <c r="D434" s="1">
        <f ca="1">INDEX(INDIRECT($C434&amp;"!O:O"),MATCH($B434,INDIRECT($C434&amp;"!B:B"),0))</f>
        <v>7.6300000000000017</v>
      </c>
      <c r="E434" s="254">
        <f ca="1">D434-LARGE(D$2:D$467,RBCount+WRCount+TECount)</f>
        <v>-69.210000000000008</v>
      </c>
      <c r="F434" s="1" t="str">
        <f ca="1">IF(H434&lt;=I434,"Starter",IF(G434&gt;=LARGE(G:G,FlexOn*LeagueInfo!$F$2),"Starter","Bench"))</f>
        <v>Bench</v>
      </c>
      <c r="G434" s="1">
        <f ca="1">IF(H434&gt;I434,D434,0)</f>
        <v>7.6300000000000017</v>
      </c>
      <c r="H434" s="1">
        <f ca="1">INDEX(INDIRECT(""&amp;C434&amp;"!A2:A489"),MATCH(B434,INDIRECT(""&amp;C434&amp;"!B2:B489"),0))</f>
        <v>132</v>
      </c>
      <c r="I434" s="1">
        <f>IF(C434="RB",LeagueInfo!$D$4*LeagueInfo!$F$2,IF(C434="WR",LeagueInfo!$D$5*LeagueInfo!$F$2,IF(C434="TE",LeagueInfo!$D$6*LeagueInfo!$F$2)))</f>
        <v>24</v>
      </c>
    </row>
    <row r="435" spans="1:9" x14ac:dyDescent="0.25">
      <c r="A435" s="47">
        <f ca="1">RANK(E435,E$2:E$574)</f>
        <v>398</v>
      </c>
      <c r="B435" s="1" t="s">
        <v>494</v>
      </c>
      <c r="C435" s="1" t="s">
        <v>32</v>
      </c>
      <c r="D435" s="1">
        <f ca="1">INDEX(INDIRECT($C435&amp;"!O:O"),MATCH($B435,INDIRECT($C435&amp;"!B:B"),0))</f>
        <v>8.2800000000000011</v>
      </c>
      <c r="E435" s="254">
        <f ca="1">D435-LARGE(D$2:D$467,RBCount+WRCount+TECount)</f>
        <v>-68.56</v>
      </c>
      <c r="F435" s="1" t="str">
        <f ca="1">IF(H435&lt;=I435,"Starter",IF(G435&gt;=LARGE(G:G,FlexOn*LeagueInfo!$F$2),"Starter","Bench"))</f>
        <v>Bench</v>
      </c>
      <c r="G435" s="1">
        <f ca="1">IF(H435&gt;I435,D435,0)</f>
        <v>8.2800000000000011</v>
      </c>
      <c r="H435" s="1">
        <f ca="1">INDEX(INDIRECT(""&amp;C435&amp;"!A2:A489"),MATCH(B435,INDIRECT(""&amp;C435&amp;"!B2:B489"),0))</f>
        <v>128</v>
      </c>
      <c r="I435" s="1">
        <f>IF(C435="RB",LeagueInfo!$D$4*LeagueInfo!$F$2,IF(C435="WR",LeagueInfo!$D$5*LeagueInfo!$F$2,IF(C435="TE",LeagueInfo!$D$6*LeagueInfo!$F$2)))</f>
        <v>24</v>
      </c>
    </row>
    <row r="436" spans="1:9" x14ac:dyDescent="0.25">
      <c r="A436" s="47">
        <f ca="1">RANK(E436,E$2:E$574)</f>
        <v>445</v>
      </c>
      <c r="B436" s="1" t="s">
        <v>770</v>
      </c>
      <c r="C436" s="1" t="s">
        <v>47</v>
      </c>
      <c r="D436" s="1">
        <f ca="1">INDEX(INDIRECT($C436&amp;"!O:O"),MATCH($B436,INDIRECT($C436&amp;"!B:B"),0))</f>
        <v>7.0100000000000007</v>
      </c>
      <c r="E436" s="254">
        <f ca="1">D436-LARGE(D$2:D$467,RBCount+WRCount+TECount)</f>
        <v>-69.83</v>
      </c>
      <c r="F436" s="1" t="str">
        <f ca="1">IF(H436&lt;=I436,"Starter",IF(G436&gt;=LARGE(G:G,FlexOn*LeagueInfo!$F$2),"Starter","Bench"))</f>
        <v>Bench</v>
      </c>
      <c r="G436" s="1">
        <f ca="1">IF(H436&gt;I436,D436,0)</f>
        <v>7.0100000000000007</v>
      </c>
      <c r="H436" s="1">
        <f ca="1">INDEX(INDIRECT(""&amp;C436&amp;"!A2:A489"),MATCH(B436,INDIRECT(""&amp;C436&amp;"!B2:B489"),0))</f>
        <v>102</v>
      </c>
      <c r="I436" s="1">
        <f>IF(C436="RB",LeagueInfo!$D$4*LeagueInfo!$F$2,IF(C436="WR",LeagueInfo!$D$5*LeagueInfo!$F$2,IF(C436="TE",LeagueInfo!$D$6*LeagueInfo!$F$2)))</f>
        <v>12</v>
      </c>
    </row>
    <row r="437" spans="1:9" x14ac:dyDescent="0.25">
      <c r="A437" s="47">
        <f ca="1">RANK(E437,E$2:E$574)</f>
        <v>447</v>
      </c>
      <c r="B437" s="1" t="s">
        <v>511</v>
      </c>
      <c r="C437" s="1" t="s">
        <v>32</v>
      </c>
      <c r="D437" s="1">
        <f ca="1">INDEX(INDIRECT($C437&amp;"!O:O"),MATCH($B437,INDIRECT($C437&amp;"!B:B"),0))</f>
        <v>6.9500000000000011</v>
      </c>
      <c r="E437" s="254">
        <f ca="1">D437-LARGE(D$2:D$467,RBCount+WRCount+TECount)</f>
        <v>-69.89</v>
      </c>
      <c r="F437" s="1" t="str">
        <f ca="1">IF(H437&lt;=I437,"Starter",IF(G437&gt;=LARGE(G:G,FlexOn*LeagueInfo!$F$2),"Starter","Bench"))</f>
        <v>Bench</v>
      </c>
      <c r="G437" s="1">
        <f ca="1">IF(H437&gt;I437,D437,0)</f>
        <v>6.9500000000000011</v>
      </c>
      <c r="H437" s="1">
        <f ca="1">INDEX(INDIRECT(""&amp;C437&amp;"!A2:A489"),MATCH(B437,INDIRECT(""&amp;C437&amp;"!B2:B489"),0))</f>
        <v>139</v>
      </c>
      <c r="I437" s="1">
        <f>IF(C437="RB",LeagueInfo!$D$4*LeagueInfo!$F$2,IF(C437="WR",LeagueInfo!$D$5*LeagueInfo!$F$2,IF(C437="TE",LeagueInfo!$D$6*LeagueInfo!$F$2)))</f>
        <v>24</v>
      </c>
    </row>
    <row r="438" spans="1:9" x14ac:dyDescent="0.25">
      <c r="A438" s="47">
        <f ca="1">RANK(E438,E$2:E$574)</f>
        <v>441</v>
      </c>
      <c r="B438" s="1" t="s">
        <v>697</v>
      </c>
      <c r="C438" s="1" t="s">
        <v>39</v>
      </c>
      <c r="D438" s="1">
        <f ca="1">INDEX(INDIRECT($C438&amp;"!O:O"),MATCH($B438,INDIRECT($C438&amp;"!B:B"),0))</f>
        <v>7.05</v>
      </c>
      <c r="E438" s="254">
        <f ca="1">D438-LARGE(D$2:D$467,RBCount+WRCount+TECount)</f>
        <v>-69.790000000000006</v>
      </c>
      <c r="F438" s="1" t="str">
        <f ca="1">IF(H438&lt;=I438,"Starter",IF(G438&gt;=LARGE(G:G,FlexOn*LeagueInfo!$F$2),"Starter","Bench"))</f>
        <v>Bench</v>
      </c>
      <c r="G438" s="1">
        <f ca="1">IF(H438&gt;I438,D438,0)</f>
        <v>7.05</v>
      </c>
      <c r="H438" s="1">
        <f ca="1">INDEX(INDIRECT(""&amp;C438&amp;"!A2:A489"),MATCH(B438,INDIRECT(""&amp;C438&amp;"!B2:B489"),0))</f>
        <v>203</v>
      </c>
      <c r="I438" s="1">
        <f>IF(C438="RB",LeagueInfo!$D$4*LeagueInfo!$F$2,IF(C438="WR",LeagueInfo!$D$5*LeagueInfo!$F$2,IF(C438="TE",LeagueInfo!$D$6*LeagueInfo!$F$2)))</f>
        <v>24</v>
      </c>
    </row>
    <row r="439" spans="1:9" x14ac:dyDescent="0.25">
      <c r="A439" s="47">
        <f ca="1">RANK(E439,E$2:E$574)</f>
        <v>459</v>
      </c>
      <c r="B439" s="1" t="s">
        <v>791</v>
      </c>
      <c r="C439" s="1" t="s">
        <v>47</v>
      </c>
      <c r="D439" s="1">
        <f ca="1">INDEX(INDIRECT($C439&amp;"!O:O"),MATCH($B439,INDIRECT($C439&amp;"!B:B"),0))</f>
        <v>6.5500000000000007</v>
      </c>
      <c r="E439" s="254">
        <f ca="1">D439-LARGE(D$2:D$467,RBCount+WRCount+TECount)</f>
        <v>-70.290000000000006</v>
      </c>
      <c r="F439" s="1" t="str">
        <f ca="1">IF(H439&lt;=I439,"Starter",IF(G439&gt;=LARGE(G:G,FlexOn*LeagueInfo!$F$2),"Starter","Bench"))</f>
        <v>Bench</v>
      </c>
      <c r="G439" s="1">
        <f ca="1">IF(H439&gt;I439,D439,0)</f>
        <v>6.5500000000000007</v>
      </c>
      <c r="H439" s="1">
        <f ca="1">INDEX(INDIRECT(""&amp;C439&amp;"!A2:A489"),MATCH(B439,INDIRECT(""&amp;C439&amp;"!B2:B489"),0))</f>
        <v>107</v>
      </c>
      <c r="I439" s="1">
        <f>IF(C439="RB",LeagueInfo!$D$4*LeagueInfo!$F$2,IF(C439="WR",LeagueInfo!$D$5*LeagueInfo!$F$2,IF(C439="TE",LeagueInfo!$D$6*LeagueInfo!$F$2)))</f>
        <v>12</v>
      </c>
    </row>
    <row r="440" spans="1:9" x14ac:dyDescent="0.25">
      <c r="A440" s="47">
        <f ca="1">RANK(E440,E$2:E$574)</f>
        <v>446</v>
      </c>
      <c r="B440" s="1" t="s">
        <v>663</v>
      </c>
      <c r="C440" s="1" t="s">
        <v>39</v>
      </c>
      <c r="D440" s="1">
        <f ca="1">INDEX(INDIRECT($C440&amp;"!O:O"),MATCH($B440,INDIRECT($C440&amp;"!B:B"),0))</f>
        <v>6.9799999999999995</v>
      </c>
      <c r="E440" s="254">
        <f ca="1">D440-LARGE(D$2:D$467,RBCount+WRCount+TECount)</f>
        <v>-69.86</v>
      </c>
      <c r="F440" s="1" t="str">
        <f ca="1">IF(H440&lt;=I440,"Starter",IF(G440&gt;=LARGE(G:G,FlexOn*LeagueInfo!$F$2),"Starter","Bench"))</f>
        <v>Bench</v>
      </c>
      <c r="G440" s="1">
        <f ca="1">IF(H440&gt;I440,D440,0)</f>
        <v>6.9799999999999995</v>
      </c>
      <c r="H440" s="1">
        <f ca="1">INDEX(INDIRECT(""&amp;C440&amp;"!A2:A489"),MATCH(B440,INDIRECT(""&amp;C440&amp;"!B2:B489"),0))</f>
        <v>206</v>
      </c>
      <c r="I440" s="1">
        <f>IF(C440="RB",LeagueInfo!$D$4*LeagueInfo!$F$2,IF(C440="WR",LeagueInfo!$D$5*LeagueInfo!$F$2,IF(C440="TE",LeagueInfo!$D$6*LeagueInfo!$F$2)))</f>
        <v>24</v>
      </c>
    </row>
    <row r="441" spans="1:9" x14ac:dyDescent="0.25">
      <c r="A441" s="47">
        <f ca="1">RANK(E441,E$2:E$574)</f>
        <v>435</v>
      </c>
      <c r="B441" s="1" t="s">
        <v>793</v>
      </c>
      <c r="C441" s="1" t="s">
        <v>47</v>
      </c>
      <c r="D441" s="1">
        <f ca="1">INDEX(INDIRECT($C441&amp;"!O:O"),MATCH($B441,INDIRECT($C441&amp;"!B:B"),0))</f>
        <v>7.32</v>
      </c>
      <c r="E441" s="254">
        <f ca="1">D441-LARGE(D$2:D$467,RBCount+WRCount+TECount)</f>
        <v>-69.52000000000001</v>
      </c>
      <c r="F441" s="1" t="str">
        <f ca="1">IF(H441&lt;=I441,"Starter",IF(G441&gt;=LARGE(G:G,FlexOn*LeagueInfo!$F$2),"Starter","Bench"))</f>
        <v>Bench</v>
      </c>
      <c r="G441" s="1">
        <f ca="1">IF(H441&gt;I441,D441,0)</f>
        <v>7.32</v>
      </c>
      <c r="H441" s="1">
        <f ca="1">INDEX(INDIRECT(""&amp;C441&amp;"!A2:A489"),MATCH(B441,INDIRECT(""&amp;C441&amp;"!B2:B489"),0))</f>
        <v>100</v>
      </c>
      <c r="I441" s="1">
        <f>IF(C441="RB",LeagueInfo!$D$4*LeagueInfo!$F$2,IF(C441="WR",LeagueInfo!$D$5*LeagueInfo!$F$2,IF(C441="TE",LeagueInfo!$D$6*LeagueInfo!$F$2)))</f>
        <v>12</v>
      </c>
    </row>
    <row r="442" spans="1:9" x14ac:dyDescent="0.25">
      <c r="A442" s="47">
        <f ca="1">RANK(E442,E$2:E$574)</f>
        <v>448</v>
      </c>
      <c r="B442" s="1" t="s">
        <v>703</v>
      </c>
      <c r="C442" s="1" t="s">
        <v>39</v>
      </c>
      <c r="D442" s="1">
        <f ca="1">INDEX(INDIRECT($C442&amp;"!O:O"),MATCH($B442,INDIRECT($C442&amp;"!B:B"),0))</f>
        <v>6.83</v>
      </c>
      <c r="E442" s="254">
        <f ca="1">D442-LARGE(D$2:D$467,RBCount+WRCount+TECount)</f>
        <v>-70.010000000000005</v>
      </c>
      <c r="F442" s="1" t="str">
        <f ca="1">IF(H442&lt;=I442,"Starter",IF(G442&gt;=LARGE(G:G,FlexOn*LeagueInfo!$F$2),"Starter","Bench"))</f>
        <v>Bench</v>
      </c>
      <c r="G442" s="1">
        <f ca="1">IF(H442&gt;I442,D442,0)</f>
        <v>6.83</v>
      </c>
      <c r="H442" s="1">
        <f ca="1">INDEX(INDIRECT(""&amp;C442&amp;"!A2:A489"),MATCH(B442,INDIRECT(""&amp;C442&amp;"!B2:B489"),0))</f>
        <v>207</v>
      </c>
      <c r="I442" s="1">
        <f>IF(C442="RB",LeagueInfo!$D$4*LeagueInfo!$F$2,IF(C442="WR",LeagueInfo!$D$5*LeagueInfo!$F$2,IF(C442="TE",LeagueInfo!$D$6*LeagueInfo!$F$2)))</f>
        <v>24</v>
      </c>
    </row>
    <row r="443" spans="1:9" x14ac:dyDescent="0.25">
      <c r="A443" s="47">
        <f ca="1">RANK(E443,E$2:E$574)</f>
        <v>450</v>
      </c>
      <c r="B443" s="1" t="s">
        <v>645</v>
      </c>
      <c r="C443" s="1" t="s">
        <v>39</v>
      </c>
      <c r="D443" s="1">
        <f ca="1">INDEX(INDIRECT($C443&amp;"!O:O"),MATCH($B443,INDIRECT($C443&amp;"!B:B"),0))</f>
        <v>6.7700000000000014</v>
      </c>
      <c r="E443" s="254">
        <f ca="1">D443-LARGE(D$2:D$467,RBCount+WRCount+TECount)</f>
        <v>-70.070000000000007</v>
      </c>
      <c r="F443" s="1" t="str">
        <f ca="1">IF(H443&lt;=I443,"Starter",IF(G443&gt;=LARGE(G:G,FlexOn*LeagueInfo!$F$2),"Starter","Bench"))</f>
        <v>Bench</v>
      </c>
      <c r="G443" s="1">
        <f ca="1">IF(H443&gt;I443,D443,0)</f>
        <v>6.7700000000000014</v>
      </c>
      <c r="H443" s="1">
        <f ca="1">INDEX(INDIRECT(""&amp;C443&amp;"!A2:A489"),MATCH(B443,INDIRECT(""&amp;C443&amp;"!B2:B489"),0))</f>
        <v>208</v>
      </c>
      <c r="I443" s="1">
        <f>IF(C443="RB",LeagueInfo!$D$4*LeagueInfo!$F$2,IF(C443="WR",LeagueInfo!$D$5*LeagueInfo!$F$2,IF(C443="TE",LeagueInfo!$D$6*LeagueInfo!$F$2)))</f>
        <v>24</v>
      </c>
    </row>
    <row r="444" spans="1:9" x14ac:dyDescent="0.25">
      <c r="A444" s="47">
        <f ca="1">RANK(E444,E$2:E$574)</f>
        <v>429</v>
      </c>
      <c r="B444" s="1" t="s">
        <v>923</v>
      </c>
      <c r="C444" s="1" t="s">
        <v>32</v>
      </c>
      <c r="D444" s="1">
        <f ca="1">INDEX(INDIRECT($C444&amp;"!O:O"),MATCH($B444,INDIRECT($C444&amp;"!B:B"),0))</f>
        <v>7.4</v>
      </c>
      <c r="E444" s="254">
        <f ca="1">D444-LARGE(D$2:D$467,RBCount+WRCount+TECount)</f>
        <v>-69.44</v>
      </c>
      <c r="F444" s="1" t="str">
        <f ca="1">IF(H444&lt;=I444,"Starter",IF(G444&gt;=LARGE(G:G,FlexOn*LeagueInfo!$F$2),"Starter","Bench"))</f>
        <v>Bench</v>
      </c>
      <c r="G444" s="1">
        <f ca="1">IF(H444&gt;I444,D444,0)</f>
        <v>7.4</v>
      </c>
      <c r="H444" s="1">
        <f ca="1">INDEX(INDIRECT(""&amp;C444&amp;"!A2:A489"),MATCH(B444,INDIRECT(""&amp;C444&amp;"!B2:B489"),0))</f>
        <v>134</v>
      </c>
      <c r="I444" s="1">
        <f>IF(C444="RB",LeagueInfo!$D$4*LeagueInfo!$F$2,IF(C444="WR",LeagueInfo!$D$5*LeagueInfo!$F$2,IF(C444="TE",LeagueInfo!$D$6*LeagueInfo!$F$2)))</f>
        <v>24</v>
      </c>
    </row>
    <row r="445" spans="1:9" x14ac:dyDescent="0.25">
      <c r="A445" s="47">
        <f ca="1">RANK(E445,E$2:E$574)</f>
        <v>456</v>
      </c>
      <c r="B445" s="1" t="s">
        <v>798</v>
      </c>
      <c r="C445" s="1" t="s">
        <v>47</v>
      </c>
      <c r="D445" s="1">
        <f ca="1">INDEX(INDIRECT($C445&amp;"!O:O"),MATCH($B445,INDIRECT($C445&amp;"!B:B"),0))</f>
        <v>6.63</v>
      </c>
      <c r="E445" s="254">
        <f ca="1">D445-LARGE(D$2:D$467,RBCount+WRCount+TECount)</f>
        <v>-70.210000000000008</v>
      </c>
      <c r="F445" s="1" t="str">
        <f ca="1">IF(H445&lt;=I445,"Starter",IF(G445&gt;=LARGE(G:G,FlexOn*LeagueInfo!$F$2),"Starter","Bench"))</f>
        <v>Bench</v>
      </c>
      <c r="G445" s="1">
        <f ca="1">IF(H445&gt;I445,D445,0)</f>
        <v>6.63</v>
      </c>
      <c r="H445" s="1">
        <f ca="1">INDEX(INDIRECT(""&amp;C445&amp;"!A2:A489"),MATCH(B445,INDIRECT(""&amp;C445&amp;"!B2:B489"),0))</f>
        <v>104</v>
      </c>
      <c r="I445" s="1">
        <f>IF(C445="RB",LeagueInfo!$D$4*LeagueInfo!$F$2,IF(C445="WR",LeagueInfo!$D$5*LeagueInfo!$F$2,IF(C445="TE",LeagueInfo!$D$6*LeagueInfo!$F$2)))</f>
        <v>12</v>
      </c>
    </row>
    <row r="446" spans="1:9" x14ac:dyDescent="0.25">
      <c r="A446" s="47">
        <f ca="1">RANK(E446,E$2:E$574)</f>
        <v>442</v>
      </c>
      <c r="B446" s="1" t="s">
        <v>688</v>
      </c>
      <c r="C446" s="1" t="s">
        <v>39</v>
      </c>
      <c r="D446" s="1">
        <f ca="1">INDEX(INDIRECT($C446&amp;"!O:O"),MATCH($B446,INDIRECT($C446&amp;"!B:B"),0))</f>
        <v>7.03</v>
      </c>
      <c r="E446" s="254">
        <f ca="1">D446-LARGE(D$2:D$467,RBCount+WRCount+TECount)</f>
        <v>-69.81</v>
      </c>
      <c r="F446" s="1" t="str">
        <f ca="1">IF(H446&lt;=I446,"Starter",IF(G446&gt;=LARGE(G:G,FlexOn*LeagueInfo!$F$2),"Starter","Bench"))</f>
        <v>Bench</v>
      </c>
      <c r="G446" s="1">
        <f ca="1">IF(H446&gt;I446,D446,0)</f>
        <v>7.03</v>
      </c>
      <c r="H446" s="1">
        <f ca="1">INDEX(INDIRECT(""&amp;C446&amp;"!A2:A489"),MATCH(B446,INDIRECT(""&amp;C446&amp;"!B2:B489"),0))</f>
        <v>204</v>
      </c>
      <c r="I446" s="1">
        <f>IF(C446="RB",LeagueInfo!$D$4*LeagueInfo!$F$2,IF(C446="WR",LeagueInfo!$D$5*LeagueInfo!$F$2,IF(C446="TE",LeagueInfo!$D$6*LeagueInfo!$F$2)))</f>
        <v>24</v>
      </c>
    </row>
    <row r="447" spans="1:9" x14ac:dyDescent="0.25">
      <c r="A447" s="47">
        <f ca="1">RANK(E447,E$2:E$574)</f>
        <v>458</v>
      </c>
      <c r="B447" s="1" t="s">
        <v>783</v>
      </c>
      <c r="C447" s="1" t="s">
        <v>47</v>
      </c>
      <c r="D447" s="1">
        <f ca="1">INDEX(INDIRECT($C447&amp;"!O:O"),MATCH($B447,INDIRECT($C447&amp;"!B:B"),0))</f>
        <v>6.58</v>
      </c>
      <c r="E447" s="254">
        <f ca="1">D447-LARGE(D$2:D$467,RBCount+WRCount+TECount)</f>
        <v>-70.260000000000005</v>
      </c>
      <c r="F447" s="1" t="str">
        <f ca="1">IF(H447&lt;=I447,"Starter",IF(G447&gt;=LARGE(G:G,FlexOn*LeagueInfo!$F$2),"Starter","Bench"))</f>
        <v>Bench</v>
      </c>
      <c r="G447" s="1">
        <f ca="1">IF(H447&gt;I447,D447,0)</f>
        <v>6.58</v>
      </c>
      <c r="H447" s="1">
        <f ca="1">INDEX(INDIRECT(""&amp;C447&amp;"!A2:A489"),MATCH(B447,INDIRECT(""&amp;C447&amp;"!B2:B489"),0))</f>
        <v>106</v>
      </c>
      <c r="I447" s="1">
        <f>IF(C447="RB",LeagueInfo!$D$4*LeagueInfo!$F$2,IF(C447="WR",LeagueInfo!$D$5*LeagueInfo!$F$2,IF(C447="TE",LeagueInfo!$D$6*LeagueInfo!$F$2)))</f>
        <v>12</v>
      </c>
    </row>
    <row r="448" spans="1:9" x14ac:dyDescent="0.25">
      <c r="A448" s="47">
        <f ca="1">RANK(E448,E$2:E$574)</f>
        <v>453</v>
      </c>
      <c r="B448" s="1" t="s">
        <v>705</v>
      </c>
      <c r="C448" s="1" t="s">
        <v>39</v>
      </c>
      <c r="D448" s="1">
        <f ca="1">INDEX(INDIRECT($C448&amp;"!O:O"),MATCH($B448,INDIRECT($C448&amp;"!B:B"),0))</f>
        <v>6.7100000000000009</v>
      </c>
      <c r="E448" s="254">
        <f ca="1">D448-LARGE(D$2:D$467,RBCount+WRCount+TECount)</f>
        <v>-70.13</v>
      </c>
      <c r="F448" s="1" t="str">
        <f ca="1">IF(H448&lt;=I448,"Starter",IF(G448&gt;=LARGE(G:G,FlexOn*LeagueInfo!$F$2),"Starter","Bench"))</f>
        <v>Bench</v>
      </c>
      <c r="G448" s="1">
        <f ca="1">IF(H448&gt;I448,D448,0)</f>
        <v>6.7100000000000009</v>
      </c>
      <c r="H448" s="1">
        <f ca="1">INDEX(INDIRECT(""&amp;C448&amp;"!A2:A489"),MATCH(B448,INDIRECT(""&amp;C448&amp;"!B2:B489"),0))</f>
        <v>209</v>
      </c>
      <c r="I448" s="1">
        <f>IF(C448="RB",LeagueInfo!$D$4*LeagueInfo!$F$2,IF(C448="WR",LeagueInfo!$D$5*LeagueInfo!$F$2,IF(C448="TE",LeagueInfo!$D$6*LeagueInfo!$F$2)))</f>
        <v>24</v>
      </c>
    </row>
    <row r="449" spans="1:9" x14ac:dyDescent="0.25">
      <c r="A449" s="47">
        <f ca="1">RANK(E449,E$2:E$574)</f>
        <v>457</v>
      </c>
      <c r="B449" s="1" t="s">
        <v>795</v>
      </c>
      <c r="C449" s="1" t="s">
        <v>47</v>
      </c>
      <c r="D449" s="1">
        <f ca="1">INDEX(INDIRECT($C449&amp;"!O:O"),MATCH($B449,INDIRECT($C449&amp;"!B:B"),0))</f>
        <v>6.6000000000000005</v>
      </c>
      <c r="E449" s="254">
        <f ca="1">D449-LARGE(D$2:D$467,RBCount+WRCount+TECount)</f>
        <v>-70.240000000000009</v>
      </c>
      <c r="F449" s="1" t="str">
        <f ca="1">IF(H449&lt;=I449,"Starter",IF(G449&gt;=LARGE(G:G,FlexOn*LeagueInfo!$F$2),"Starter","Bench"))</f>
        <v>Bench</v>
      </c>
      <c r="G449" s="1">
        <f ca="1">IF(H449&gt;I449,D449,0)</f>
        <v>6.6000000000000005</v>
      </c>
      <c r="H449" s="1">
        <f ca="1">INDEX(INDIRECT(""&amp;C449&amp;"!A2:A489"),MATCH(B449,INDIRECT(""&amp;C449&amp;"!B2:B489"),0))</f>
        <v>105</v>
      </c>
      <c r="I449" s="1">
        <f>IF(C449="RB",LeagueInfo!$D$4*LeagueInfo!$F$2,IF(C449="WR",LeagueInfo!$D$5*LeagueInfo!$F$2,IF(C449="TE",LeagueInfo!$D$6*LeagueInfo!$F$2)))</f>
        <v>12</v>
      </c>
    </row>
    <row r="450" spans="1:9" x14ac:dyDescent="0.25">
      <c r="A450" s="47">
        <f ca="1">RANK(E450,E$2:E$574)</f>
        <v>420</v>
      </c>
      <c r="B450" s="1" t="s">
        <v>544</v>
      </c>
      <c r="C450" s="1" t="s">
        <v>32</v>
      </c>
      <c r="D450" s="1">
        <f ca="1">INDEX(INDIRECT($C450&amp;"!O:O"),MATCH($B450,INDIRECT($C450&amp;"!B:B"),0))</f>
        <v>7.65</v>
      </c>
      <c r="E450" s="254">
        <f ca="1">D450-LARGE(D$2:D$467,RBCount+WRCount+TECount)</f>
        <v>-69.19</v>
      </c>
      <c r="F450" s="1" t="str">
        <f ca="1">IF(H450&lt;=I450,"Starter",IF(G450&gt;=LARGE(G:G,FlexOn*LeagueInfo!$F$2),"Starter","Bench"))</f>
        <v>Bench</v>
      </c>
      <c r="G450" s="1">
        <f ca="1">IF(H450&gt;I450,D450,0)</f>
        <v>7.65</v>
      </c>
      <c r="H450" s="1">
        <f ca="1">INDEX(INDIRECT(""&amp;C450&amp;"!A2:A489"),MATCH(B450,INDIRECT(""&amp;C450&amp;"!B2:B489"),0))</f>
        <v>131</v>
      </c>
      <c r="I450" s="1">
        <f>IF(C450="RB",LeagueInfo!$D$4*LeagueInfo!$F$2,IF(C450="WR",LeagueInfo!$D$5*LeagueInfo!$F$2,IF(C450="TE",LeagueInfo!$D$6*LeagueInfo!$F$2)))</f>
        <v>24</v>
      </c>
    </row>
    <row r="451" spans="1:9" x14ac:dyDescent="0.25">
      <c r="A451" s="47">
        <f ca="1">RANK(E451,E$2:E$574)</f>
        <v>460</v>
      </c>
      <c r="B451" s="1" t="s">
        <v>792</v>
      </c>
      <c r="C451" s="1" t="s">
        <v>47</v>
      </c>
      <c r="D451" s="1">
        <f ca="1">INDEX(INDIRECT($C451&amp;"!O:O"),MATCH($B451,INDIRECT($C451&amp;"!B:B"),0))</f>
        <v>6.4300000000000006</v>
      </c>
      <c r="E451" s="254">
        <f ca="1">D451-LARGE(D$2:D$467,RBCount+WRCount+TECount)</f>
        <v>-70.41</v>
      </c>
      <c r="F451" s="1" t="str">
        <f ca="1">IF(H451&lt;=I451,"Starter",IF(G451&gt;=LARGE(G:G,FlexOn*LeagueInfo!$F$2),"Starter","Bench"))</f>
        <v>Bench</v>
      </c>
      <c r="G451" s="1">
        <f ca="1">IF(H451&gt;I451,D451,0)</f>
        <v>6.4300000000000006</v>
      </c>
      <c r="H451" s="1">
        <f ca="1">INDEX(INDIRECT(""&amp;C451&amp;"!A2:A489"),MATCH(B451,INDIRECT(""&amp;C451&amp;"!B2:B489"),0))</f>
        <v>108</v>
      </c>
      <c r="I451" s="1">
        <f>IF(C451="RB",LeagueInfo!$D$4*LeagueInfo!$F$2,IF(C451="WR",LeagueInfo!$D$5*LeagueInfo!$F$2,IF(C451="TE",LeagueInfo!$D$6*LeagueInfo!$F$2)))</f>
        <v>12</v>
      </c>
    </row>
    <row r="452" spans="1:9" x14ac:dyDescent="0.25">
      <c r="A452" s="47">
        <f ca="1">RANK(E452,E$2:E$574)</f>
        <v>460</v>
      </c>
      <c r="B452" s="1" t="s">
        <v>650</v>
      </c>
      <c r="C452" s="1" t="s">
        <v>39</v>
      </c>
      <c r="D452" s="1">
        <f ca="1">INDEX(INDIRECT($C452&amp;"!O:O"),MATCH($B452,INDIRECT($C452&amp;"!B:B"),0))</f>
        <v>6.4300000000000006</v>
      </c>
      <c r="E452" s="254">
        <f ca="1">D452-LARGE(D$2:D$467,RBCount+WRCount+TECount)</f>
        <v>-70.41</v>
      </c>
      <c r="F452" s="1" t="str">
        <f ca="1">IF(H452&lt;=I452,"Starter",IF(G452&gt;=LARGE(G:G,FlexOn*LeagueInfo!$F$2),"Starter","Bench"))</f>
        <v>Bench</v>
      </c>
      <c r="G452" s="1">
        <f ca="1">IF(H452&gt;I452,D452,0)</f>
        <v>6.4300000000000006</v>
      </c>
      <c r="H452" s="1">
        <f ca="1">INDEX(INDIRECT(""&amp;C452&amp;"!A2:A489"),MATCH(B452,INDIRECT(""&amp;C452&amp;"!B2:B489"),0))</f>
        <v>210</v>
      </c>
      <c r="I452" s="1">
        <f>IF(C452="RB",LeagueInfo!$D$4*LeagueInfo!$F$2,IF(C452="WR",LeagueInfo!$D$5*LeagueInfo!$F$2,IF(C452="TE",LeagueInfo!$D$6*LeagueInfo!$F$2)))</f>
        <v>24</v>
      </c>
    </row>
    <row r="453" spans="1:9" x14ac:dyDescent="0.25">
      <c r="A453" s="47">
        <f ca="1">RANK(E453,E$2:E$574)</f>
        <v>444</v>
      </c>
      <c r="B453" s="1" t="s">
        <v>540</v>
      </c>
      <c r="C453" s="1" t="s">
        <v>32</v>
      </c>
      <c r="D453" s="1">
        <f ca="1">INDEX(INDIRECT($C453&amp;"!O:O"),MATCH($B453,INDIRECT($C453&amp;"!B:B"),0))</f>
        <v>7.02</v>
      </c>
      <c r="E453" s="254">
        <f ca="1">D453-LARGE(D$2:D$467,RBCount+WRCount+TECount)</f>
        <v>-69.820000000000007</v>
      </c>
      <c r="F453" s="1" t="str">
        <f ca="1">IF(H453&lt;=I453,"Starter",IF(G453&gt;=LARGE(G:G,FlexOn*LeagueInfo!$F$2),"Starter","Bench"))</f>
        <v>Bench</v>
      </c>
      <c r="G453" s="1">
        <f ca="1">IF(H453&gt;I453,D453,0)</f>
        <v>7.02</v>
      </c>
      <c r="H453" s="1">
        <f ca="1">INDEX(INDIRECT(""&amp;C453&amp;"!A2:A489"),MATCH(B453,INDIRECT(""&amp;C453&amp;"!B2:B489"),0))</f>
        <v>138</v>
      </c>
      <c r="I453" s="1">
        <f>IF(C453="RB",LeagueInfo!$D$4*LeagueInfo!$F$2,IF(C453="WR",LeagueInfo!$D$5*LeagueInfo!$F$2,IF(C453="TE",LeagueInfo!$D$6*LeagueInfo!$F$2)))</f>
        <v>24</v>
      </c>
    </row>
    <row r="454" spans="1:9" x14ac:dyDescent="0.25">
      <c r="A454" s="47">
        <f ca="1">RANK(E454,E$2:E$574)</f>
        <v>409</v>
      </c>
      <c r="B454" s="1" t="s">
        <v>504</v>
      </c>
      <c r="C454" s="1" t="s">
        <v>32</v>
      </c>
      <c r="D454" s="1">
        <f ca="1">INDEX(INDIRECT($C454&amp;"!O:O"),MATCH($B454,INDIRECT($C454&amp;"!B:B"),0))</f>
        <v>7.8999999999999995</v>
      </c>
      <c r="E454" s="254">
        <f ca="1">D454-LARGE(D$2:D$467,RBCount+WRCount+TECount)</f>
        <v>-68.94</v>
      </c>
      <c r="F454" s="1" t="str">
        <f ca="1">IF(H454&lt;=I454,"Starter",IF(G454&gt;=LARGE(G:G,FlexOn*LeagueInfo!$F$2),"Starter","Bench"))</f>
        <v>Bench</v>
      </c>
      <c r="G454" s="1">
        <f ca="1">IF(H454&gt;I454,D454,0)</f>
        <v>7.8999999999999995</v>
      </c>
      <c r="H454" s="1">
        <f ca="1">INDEX(INDIRECT(""&amp;C454&amp;"!A2:A489"),MATCH(B454,INDIRECT(""&amp;C454&amp;"!B2:B489"),0))</f>
        <v>130</v>
      </c>
      <c r="I454" s="1">
        <f>IF(C454="RB",LeagueInfo!$D$4*LeagueInfo!$F$2,IF(C454="WR",LeagueInfo!$D$5*LeagueInfo!$F$2,IF(C454="TE",LeagueInfo!$D$6*LeagueInfo!$F$2)))</f>
        <v>24</v>
      </c>
    </row>
    <row r="455" spans="1:9" x14ac:dyDescent="0.25">
      <c r="A455" s="47">
        <f ca="1">RANK(E455,E$2:E$574)</f>
        <v>405</v>
      </c>
      <c r="B455" s="1" t="s">
        <v>503</v>
      </c>
      <c r="C455" s="1" t="s">
        <v>32</v>
      </c>
      <c r="D455" s="1">
        <f ca="1">INDEX(INDIRECT($C455&amp;"!O:O"),MATCH($B455,INDIRECT($C455&amp;"!B:B"),0))</f>
        <v>8.06</v>
      </c>
      <c r="E455" s="254">
        <f ca="1">D455-LARGE(D$2:D$467,RBCount+WRCount+TECount)</f>
        <v>-68.78</v>
      </c>
      <c r="F455" s="1" t="str">
        <f ca="1">IF(H455&lt;=I455,"Starter",IF(G455&gt;=LARGE(G:G,FlexOn*LeagueInfo!$F$2),"Starter","Bench"))</f>
        <v>Bench</v>
      </c>
      <c r="G455" s="1">
        <f ca="1">IF(H455&gt;I455,D455,0)</f>
        <v>8.06</v>
      </c>
      <c r="H455" s="1">
        <f ca="1">INDEX(INDIRECT(""&amp;C455&amp;"!A2:A489"),MATCH(B455,INDIRECT(""&amp;C455&amp;"!B2:B489"),0))</f>
        <v>129</v>
      </c>
      <c r="I455" s="1">
        <f>IF(C455="RB",LeagueInfo!$D$4*LeagueInfo!$F$2,IF(C455="WR",LeagueInfo!$D$5*LeagueInfo!$F$2,IF(C455="TE",LeagueInfo!$D$6*LeagueInfo!$F$2)))</f>
        <v>24</v>
      </c>
    </row>
    <row r="456" spans="1:9" x14ac:dyDescent="0.25">
      <c r="A456" s="47">
        <f ca="1">RANK(E456,E$2:E$574)</f>
        <v>424</v>
      </c>
      <c r="B456" s="1" t="s">
        <v>508</v>
      </c>
      <c r="C456" s="1" t="s">
        <v>32</v>
      </c>
      <c r="D456" s="1">
        <f ca="1">INDEX(INDIRECT($C456&amp;"!O:O"),MATCH($B456,INDIRECT($C456&amp;"!B:B"),0))</f>
        <v>7.5400000000000009</v>
      </c>
      <c r="E456" s="254">
        <f ca="1">D456-LARGE(D$2:D$467,RBCount+WRCount+TECount)</f>
        <v>-69.3</v>
      </c>
      <c r="F456" s="1" t="str">
        <f ca="1">IF(H456&lt;=I456,"Starter",IF(G456&gt;=LARGE(G:G,FlexOn*LeagueInfo!$F$2),"Starter","Bench"))</f>
        <v>Bench</v>
      </c>
      <c r="G456" s="1">
        <f ca="1">IF(H456&gt;I456,D456,0)</f>
        <v>7.5400000000000009</v>
      </c>
      <c r="H456" s="1">
        <f ca="1">INDEX(INDIRECT(""&amp;C456&amp;"!A2:A489"),MATCH(B456,INDIRECT(""&amp;C456&amp;"!B2:B489"),0))</f>
        <v>133</v>
      </c>
      <c r="I456" s="1">
        <f>IF(C456="RB",LeagueInfo!$D$4*LeagueInfo!$F$2,IF(C456="WR",LeagueInfo!$D$5*LeagueInfo!$F$2,IF(C456="TE",LeagueInfo!$D$6*LeagueInfo!$F$2)))</f>
        <v>24</v>
      </c>
    </row>
    <row r="457" spans="1:9" x14ac:dyDescent="0.25">
      <c r="A457" s="47">
        <f ca="1">RANK(E457,E$2:E$574)</f>
        <v>453</v>
      </c>
      <c r="B457" s="1" t="s">
        <v>777</v>
      </c>
      <c r="C457" s="1" t="s">
        <v>47</v>
      </c>
      <c r="D457" s="1">
        <f ca="1">INDEX(INDIRECT($C457&amp;"!O:O"),MATCH($B457,INDIRECT($C457&amp;"!B:B"),0))</f>
        <v>6.7100000000000009</v>
      </c>
      <c r="E457" s="254">
        <f ca="1">D457-LARGE(D$2:D$467,RBCount+WRCount+TECount)</f>
        <v>-70.13</v>
      </c>
      <c r="F457" s="1" t="str">
        <f ca="1">IF(H457&lt;=I457,"Starter",IF(G457&gt;=LARGE(G:G,FlexOn*LeagueInfo!$F$2),"Starter","Bench"))</f>
        <v>Bench</v>
      </c>
      <c r="G457" s="1">
        <f ca="1">IF(H457&gt;I457,D457,0)</f>
        <v>6.7100000000000009</v>
      </c>
      <c r="H457" s="1">
        <f ca="1">INDEX(INDIRECT(""&amp;C457&amp;"!A2:A489"),MATCH(B457,INDIRECT(""&amp;C457&amp;"!B2:B489"),0))</f>
        <v>103</v>
      </c>
      <c r="I457" s="1">
        <f>IF(C457="RB",LeagueInfo!$D$4*LeagueInfo!$F$2,IF(C457="WR",LeagueInfo!$D$5*LeagueInfo!$F$2,IF(C457="TE",LeagueInfo!$D$6*LeagueInfo!$F$2)))</f>
        <v>12</v>
      </c>
    </row>
    <row r="458" spans="1:9" x14ac:dyDescent="0.25">
      <c r="A458" s="47">
        <f ca="1">RANK(E458,E$2:E$574)</f>
        <v>472</v>
      </c>
      <c r="B458" s="1" t="s">
        <v>702</v>
      </c>
      <c r="C458" s="1" t="s">
        <v>39</v>
      </c>
      <c r="D458" s="1">
        <f ca="1">INDEX(INDIRECT($C458&amp;"!O:O"),MATCH($B458,INDIRECT($C458&amp;"!B:B"),0))</f>
        <v>5.7799999999999994</v>
      </c>
      <c r="E458" s="254">
        <f ca="1">D458-LARGE(D$2:D$467,RBCount+WRCount+TECount)</f>
        <v>-71.06</v>
      </c>
      <c r="F458" s="1" t="str">
        <f ca="1">IF(H458&lt;=I458,"Starter",IF(G458&gt;=LARGE(G:G,FlexOn*LeagueInfo!$F$2),"Starter","Bench"))</f>
        <v>Bench</v>
      </c>
      <c r="G458" s="1">
        <f ca="1">IF(H458&gt;I458,D458,0)</f>
        <v>5.7799999999999994</v>
      </c>
      <c r="H458" s="1">
        <f ca="1">INDEX(INDIRECT(""&amp;C458&amp;"!A2:A489"),MATCH(B458,INDIRECT(""&amp;C458&amp;"!B2:B489"),0))</f>
        <v>217</v>
      </c>
      <c r="I458" s="1">
        <f>IF(C458="RB",LeagueInfo!$D$4*LeagueInfo!$F$2,IF(C458="WR",LeagueInfo!$D$5*LeagueInfo!$F$2,IF(C458="TE",LeagueInfo!$D$6*LeagueInfo!$F$2)))</f>
        <v>24</v>
      </c>
    </row>
    <row r="459" spans="1:9" x14ac:dyDescent="0.25">
      <c r="A459" s="47">
        <f ca="1">RANK(E459,E$2:E$574)</f>
        <v>455</v>
      </c>
      <c r="B459" s="1" t="s">
        <v>514</v>
      </c>
      <c r="C459" s="1" t="s">
        <v>32</v>
      </c>
      <c r="D459" s="1">
        <f ca="1">INDEX(INDIRECT($C459&amp;"!O:O"),MATCH($B459,INDIRECT($C459&amp;"!B:B"),0))</f>
        <v>6.65</v>
      </c>
      <c r="E459" s="254">
        <f ca="1">D459-LARGE(D$2:D$467,RBCount+WRCount+TECount)</f>
        <v>-70.19</v>
      </c>
      <c r="F459" s="1" t="str">
        <f ca="1">IF(H459&lt;=I459,"Starter",IF(G459&gt;=LARGE(G:G,FlexOn*LeagueInfo!$F$2),"Starter","Bench"))</f>
        <v>Bench</v>
      </c>
      <c r="G459" s="1">
        <f ca="1">IF(H459&gt;I459,D459,0)</f>
        <v>6.65</v>
      </c>
      <c r="H459" s="1">
        <f ca="1">INDEX(INDIRECT(""&amp;C459&amp;"!A2:A489"),MATCH(B459,INDIRECT(""&amp;C459&amp;"!B2:B489"),0))</f>
        <v>143</v>
      </c>
      <c r="I459" s="1">
        <f>IF(C459="RB",LeagueInfo!$D$4*LeagueInfo!$F$2,IF(C459="WR",LeagueInfo!$D$5*LeagueInfo!$F$2,IF(C459="TE",LeagueInfo!$D$6*LeagueInfo!$F$2)))</f>
        <v>24</v>
      </c>
    </row>
    <row r="460" spans="1:9" x14ac:dyDescent="0.25">
      <c r="A460" s="47">
        <f ca="1">RANK(E460,E$2:E$574)</f>
        <v>463</v>
      </c>
      <c r="B460" s="1" t="s">
        <v>637</v>
      </c>
      <c r="C460" s="1" t="s">
        <v>39</v>
      </c>
      <c r="D460" s="1">
        <f ca="1">INDEX(INDIRECT($C460&amp;"!O:O"),MATCH($B460,INDIRECT($C460&amp;"!B:B"),0))</f>
        <v>6.3999999999999995</v>
      </c>
      <c r="E460" s="254">
        <f ca="1">D460-LARGE(D$2:D$467,RBCount+WRCount+TECount)</f>
        <v>-70.44</v>
      </c>
      <c r="F460" s="1" t="str">
        <f ca="1">IF(H460&lt;=I460,"Starter",IF(G460&gt;=LARGE(G:G,FlexOn*LeagueInfo!$F$2),"Starter","Bench"))</f>
        <v>Bench</v>
      </c>
      <c r="G460" s="1">
        <f ca="1">IF(H460&gt;I460,D460,0)</f>
        <v>6.3999999999999995</v>
      </c>
      <c r="H460" s="1">
        <f ca="1">INDEX(INDIRECT(""&amp;C460&amp;"!A2:A489"),MATCH(B460,INDIRECT(""&amp;C460&amp;"!B2:B489"),0))</f>
        <v>211</v>
      </c>
      <c r="I460" s="1">
        <f>IF(C460="RB",LeagueInfo!$D$4*LeagueInfo!$F$2,IF(C460="WR",LeagueInfo!$D$5*LeagueInfo!$F$2,IF(C460="TE",LeagueInfo!$D$6*LeagueInfo!$F$2)))</f>
        <v>24</v>
      </c>
    </row>
    <row r="461" spans="1:9" x14ac:dyDescent="0.25">
      <c r="A461" s="47">
        <f ca="1">RANK(E461,E$2:E$574)</f>
        <v>478</v>
      </c>
      <c r="B461" s="1" t="s">
        <v>797</v>
      </c>
      <c r="C461" s="1" t="s">
        <v>47</v>
      </c>
      <c r="D461" s="1">
        <f ca="1">INDEX(INDIRECT($C461&amp;"!O:O"),MATCH($B461,INDIRECT($C461&amp;"!B:B"),0))</f>
        <v>5.3999999999999995</v>
      </c>
      <c r="E461" s="254">
        <f ca="1">D461-LARGE(D$2:D$467,RBCount+WRCount+TECount)</f>
        <v>-71.44</v>
      </c>
      <c r="F461" s="1" t="str">
        <f ca="1">IF(H461&lt;=I461,"Starter",IF(G461&gt;=LARGE(G:G,FlexOn*LeagueInfo!$F$2),"Starter","Bench"))</f>
        <v>Bench</v>
      </c>
      <c r="G461" s="1">
        <f ca="1">IF(H461&gt;I461,D461,0)</f>
        <v>5.3999999999999995</v>
      </c>
      <c r="H461" s="1">
        <f ca="1">INDEX(INDIRECT(""&amp;C461&amp;"!A2:A489"),MATCH(B461,INDIRECT(""&amp;C461&amp;"!B2:B489"),0))</f>
        <v>112</v>
      </c>
      <c r="I461" s="1">
        <f>IF(C461="RB",LeagueInfo!$D$4*LeagueInfo!$F$2,IF(C461="WR",LeagueInfo!$D$5*LeagueInfo!$F$2,IF(C461="TE",LeagueInfo!$D$6*LeagueInfo!$F$2)))</f>
        <v>12</v>
      </c>
    </row>
    <row r="462" spans="1:9" x14ac:dyDescent="0.25">
      <c r="A462" s="47">
        <f ca="1">RANK(E462,E$2:E$574)</f>
        <v>464</v>
      </c>
      <c r="B462" s="1" t="s">
        <v>700</v>
      </c>
      <c r="C462" s="1" t="s">
        <v>39</v>
      </c>
      <c r="D462" s="1">
        <f ca="1">INDEX(INDIRECT($C462&amp;"!O:O"),MATCH($B462,INDIRECT($C462&amp;"!B:B"),0))</f>
        <v>6.24</v>
      </c>
      <c r="E462" s="254">
        <f ca="1">D462-LARGE(D$2:D$467,RBCount+WRCount+TECount)</f>
        <v>-70.600000000000009</v>
      </c>
      <c r="F462" s="1" t="str">
        <f ca="1">IF(H462&lt;=I462,"Starter",IF(G462&gt;=LARGE(G:G,FlexOn*LeagueInfo!$F$2),"Starter","Bench"))</f>
        <v>Bench</v>
      </c>
      <c r="G462" s="1">
        <f ca="1">IF(H462&gt;I462,D462,0)</f>
        <v>6.24</v>
      </c>
      <c r="H462" s="1">
        <f ca="1">INDEX(INDIRECT(""&amp;C462&amp;"!A2:A489"),MATCH(B462,INDIRECT(""&amp;C462&amp;"!B2:B489"),0))</f>
        <v>212</v>
      </c>
      <c r="I462" s="1">
        <f>IF(C462="RB",LeagueInfo!$D$4*LeagueInfo!$F$2,IF(C462="WR",LeagueInfo!$D$5*LeagueInfo!$F$2,IF(C462="TE",LeagueInfo!$D$6*LeagueInfo!$F$2)))</f>
        <v>24</v>
      </c>
    </row>
    <row r="463" spans="1:9" x14ac:dyDescent="0.25">
      <c r="A463" s="47">
        <f ca="1">RANK(E463,E$2:E$574)</f>
        <v>434</v>
      </c>
      <c r="B463" s="1" t="s">
        <v>510</v>
      </c>
      <c r="C463" s="1" t="s">
        <v>32</v>
      </c>
      <c r="D463" s="1">
        <f ca="1">INDEX(INDIRECT($C463&amp;"!O:O"),MATCH($B463,INDIRECT($C463&amp;"!B:B"),0))</f>
        <v>7.33</v>
      </c>
      <c r="E463" s="254">
        <f ca="1">D463-LARGE(D$2:D$467,RBCount+WRCount+TECount)</f>
        <v>-69.510000000000005</v>
      </c>
      <c r="F463" s="1" t="str">
        <f ca="1">IF(H463&lt;=I463,"Starter",IF(G463&gt;=LARGE(G:G,FlexOn*LeagueInfo!$F$2),"Starter","Bench"))</f>
        <v>Bench</v>
      </c>
      <c r="G463" s="1">
        <f ca="1">IF(H463&gt;I463,D463,0)</f>
        <v>7.33</v>
      </c>
      <c r="H463" s="1">
        <f ca="1">INDEX(INDIRECT(""&amp;C463&amp;"!A2:A489"),MATCH(B463,INDIRECT(""&amp;C463&amp;"!B2:B489"),0))</f>
        <v>135</v>
      </c>
      <c r="I463" s="1">
        <f>IF(C463="RB",LeagueInfo!$D$4*LeagueInfo!$F$2,IF(C463="WR",LeagueInfo!$D$5*LeagueInfo!$F$2,IF(C463="TE",LeagueInfo!$D$6*LeagueInfo!$F$2)))</f>
        <v>24</v>
      </c>
    </row>
    <row r="464" spans="1:9" x14ac:dyDescent="0.25">
      <c r="A464" s="47">
        <f ca="1">RANK(E464,E$2:E$574)</f>
        <v>452</v>
      </c>
      <c r="B464" s="1" t="s">
        <v>543</v>
      </c>
      <c r="C464" s="1" t="s">
        <v>32</v>
      </c>
      <c r="D464" s="1">
        <f ca="1">INDEX(INDIRECT($C464&amp;"!O:O"),MATCH($B464,INDIRECT($C464&amp;"!B:B"),0))</f>
        <v>6.7200000000000006</v>
      </c>
      <c r="E464" s="254">
        <f ca="1">D464-LARGE(D$2:D$467,RBCount+WRCount+TECount)</f>
        <v>-70.12</v>
      </c>
      <c r="F464" s="1" t="str">
        <f ca="1">IF(H464&lt;=I464,"Starter",IF(G464&gt;=LARGE(G:G,FlexOn*LeagueInfo!$F$2),"Starter","Bench"))</f>
        <v>Bench</v>
      </c>
      <c r="G464" s="1">
        <f ca="1">IF(H464&gt;I464,D464,0)</f>
        <v>6.7200000000000006</v>
      </c>
      <c r="H464" s="1">
        <f ca="1">INDEX(INDIRECT(""&amp;C464&amp;"!A2:A489"),MATCH(B464,INDIRECT(""&amp;C464&amp;"!B2:B489"),0))</f>
        <v>142</v>
      </c>
      <c r="I464" s="1">
        <f>IF(C464="RB",LeagueInfo!$D$4*LeagueInfo!$F$2,IF(C464="WR",LeagueInfo!$D$5*LeagueInfo!$F$2,IF(C464="TE",LeagueInfo!$D$6*LeagueInfo!$F$2)))</f>
        <v>24</v>
      </c>
    </row>
    <row r="465" spans="1:9" x14ac:dyDescent="0.25">
      <c r="A465" s="47">
        <f ca="1">RANK(E465,E$2:E$574)</f>
        <v>467</v>
      </c>
      <c r="B465" s="1" t="s">
        <v>622</v>
      </c>
      <c r="C465" s="1" t="s">
        <v>39</v>
      </c>
      <c r="D465" s="1">
        <f ca="1">INDEX(INDIRECT($C465&amp;"!O:O"),MATCH($B465,INDIRECT($C465&amp;"!B:B"),0))</f>
        <v>6.0700000000000012</v>
      </c>
      <c r="E465" s="254">
        <f ca="1">D465-LARGE(D$2:D$467,RBCount+WRCount+TECount)</f>
        <v>-70.77</v>
      </c>
      <c r="F465" s="1" t="str">
        <f ca="1">IF(H465&lt;=I465,"Starter",IF(G465&gt;=LARGE(G:G,FlexOn*LeagueInfo!$F$2),"Starter","Bench"))</f>
        <v>Bench</v>
      </c>
      <c r="G465" s="1">
        <f ca="1">IF(H465&gt;I465,D465,0)</f>
        <v>6.0700000000000012</v>
      </c>
      <c r="H465" s="1">
        <f ca="1">INDEX(INDIRECT(""&amp;C465&amp;"!A2:A489"),MATCH(B465,INDIRECT(""&amp;C465&amp;"!B2:B489"),0))</f>
        <v>214</v>
      </c>
      <c r="I465" s="1">
        <f>IF(C465="RB",LeagueInfo!$D$4*LeagueInfo!$F$2,IF(C465="WR",LeagueInfo!$D$5*LeagueInfo!$F$2,IF(C465="TE",LeagueInfo!$D$6*LeagueInfo!$F$2)))</f>
        <v>24</v>
      </c>
    </row>
    <row r="466" spans="1:9" x14ac:dyDescent="0.25">
      <c r="A466" s="47">
        <f ca="1">RANK(E466,E$2:E$574)</f>
        <v>466</v>
      </c>
      <c r="B466" s="1" t="s">
        <v>701</v>
      </c>
      <c r="C466" s="1" t="s">
        <v>39</v>
      </c>
      <c r="D466" s="1">
        <f ca="1">INDEX(INDIRECT($C466&amp;"!O:O"),MATCH($B466,INDIRECT($C466&amp;"!B:B"),0))</f>
        <v>6.1000000000000005</v>
      </c>
      <c r="E466" s="254">
        <f ca="1">D466-LARGE(D$2:D$467,RBCount+WRCount+TECount)</f>
        <v>-70.740000000000009</v>
      </c>
      <c r="F466" s="1" t="str">
        <f ca="1">IF(H466&lt;=I466,"Starter",IF(G466&gt;=LARGE(G:G,FlexOn*LeagueInfo!$F$2),"Starter","Bench"))</f>
        <v>Bench</v>
      </c>
      <c r="G466" s="1">
        <f ca="1">IF(H466&gt;I466,D466,0)</f>
        <v>6.1000000000000005</v>
      </c>
      <c r="H466" s="1">
        <f ca="1">INDEX(INDIRECT(""&amp;C466&amp;"!A2:A489"),MATCH(B466,INDIRECT(""&amp;C466&amp;"!B2:B489"),0))</f>
        <v>213</v>
      </c>
      <c r="I466" s="1">
        <f>IF(C466="RB",LeagueInfo!$D$4*LeagueInfo!$F$2,IF(C466="WR",LeagueInfo!$D$5*LeagueInfo!$F$2,IF(C466="TE",LeagueInfo!$D$6*LeagueInfo!$F$2)))</f>
        <v>24</v>
      </c>
    </row>
    <row r="467" spans="1:9" x14ac:dyDescent="0.25">
      <c r="A467" s="47">
        <f ca="1">RANK(E467,E$2:E$574)</f>
        <v>462</v>
      </c>
      <c r="B467" s="1" t="s">
        <v>545</v>
      </c>
      <c r="C467" s="1" t="s">
        <v>32</v>
      </c>
      <c r="D467" s="1">
        <f ca="1">INDEX(INDIRECT($C467&amp;"!O:O"),MATCH($B467,INDIRECT($C467&amp;"!B:B"),0))</f>
        <v>6.42</v>
      </c>
      <c r="E467" s="254">
        <f ca="1">D467-LARGE(D$2:D$467,RBCount+WRCount+TECount)</f>
        <v>-70.42</v>
      </c>
      <c r="F467" s="1" t="str">
        <f ca="1">IF(H467&lt;=I467,"Starter",IF(G467&gt;=LARGE(G:G,FlexOn*LeagueInfo!$F$2),"Starter","Bench"))</f>
        <v>Bench</v>
      </c>
      <c r="G467" s="1">
        <f ca="1">IF(H467&gt;I467,D467,0)</f>
        <v>6.42</v>
      </c>
      <c r="H467" s="1">
        <f ca="1">INDEX(INDIRECT(""&amp;C467&amp;"!A2:A489"),MATCH(B467,INDIRECT(""&amp;C467&amp;"!B2:B489"),0))</f>
        <v>144</v>
      </c>
      <c r="I467" s="1">
        <f>IF(C467="RB",LeagueInfo!$D$4*LeagueInfo!$F$2,IF(C467="WR",LeagueInfo!$D$5*LeagueInfo!$F$2,IF(C467="TE",LeagueInfo!$D$6*LeagueInfo!$F$2)))</f>
        <v>24</v>
      </c>
    </row>
    <row r="468" spans="1:9" x14ac:dyDescent="0.25">
      <c r="A468" s="47">
        <f ca="1">RANK(E468,E$2:E$574)</f>
        <v>465</v>
      </c>
      <c r="B468" s="1" t="s">
        <v>535</v>
      </c>
      <c r="C468" s="1" t="s">
        <v>32</v>
      </c>
      <c r="D468" s="1">
        <f ca="1">INDEX(INDIRECT($C468&amp;"!O:O"),MATCH($B468,INDIRECT($C468&amp;"!B:B"),0))</f>
        <v>6.1400000000000006</v>
      </c>
      <c r="E468" s="254">
        <f ca="1">D468-LARGE(D$2:D$467,RBCount+WRCount+TECount)</f>
        <v>-70.7</v>
      </c>
      <c r="F468" s="1" t="str">
        <f ca="1">IF(H468&lt;=I468,"Starter",IF(G468&gt;=LARGE(G:G,FlexOn*LeagueInfo!$F$2),"Starter","Bench"))</f>
        <v>Bench</v>
      </c>
      <c r="G468" s="1">
        <f ca="1">IF(H468&gt;I468,D468,0)</f>
        <v>6.1400000000000006</v>
      </c>
      <c r="H468" s="1">
        <f ca="1">INDEX(INDIRECT(""&amp;C468&amp;"!A2:A489"),MATCH(B468,INDIRECT(""&amp;C468&amp;"!B2:B489"),0))</f>
        <v>145</v>
      </c>
      <c r="I468" s="1">
        <f>IF(C468="RB",LeagueInfo!$D$4*LeagueInfo!$F$2,IF(C468="WR",LeagueInfo!$D$5*LeagueInfo!$F$2,IF(C468="TE",LeagueInfo!$D$6*LeagueInfo!$F$2)))</f>
        <v>24</v>
      </c>
    </row>
    <row r="469" spans="1:9" x14ac:dyDescent="0.25">
      <c r="A469" s="47">
        <f ca="1">RANK(E469,E$2:E$574)</f>
        <v>471</v>
      </c>
      <c r="B469" s="1" t="s">
        <v>659</v>
      </c>
      <c r="C469" s="1" t="s">
        <v>39</v>
      </c>
      <c r="D469" s="1">
        <f ca="1">INDEX(INDIRECT($C469&amp;"!O:O"),MATCH($B469,INDIRECT($C469&amp;"!B:B"),0))</f>
        <v>5.83</v>
      </c>
      <c r="E469" s="254">
        <f ca="1">D469-LARGE(D$2:D$467,RBCount+WRCount+TECount)</f>
        <v>-71.010000000000005</v>
      </c>
      <c r="F469" s="1" t="str">
        <f ca="1">IF(H469&lt;=I469,"Starter",IF(G469&gt;=LARGE(G:G,FlexOn*LeagueInfo!$F$2),"Starter","Bench"))</f>
        <v>Bench</v>
      </c>
      <c r="G469" s="1">
        <f ca="1">IF(H469&gt;I469,D469,0)</f>
        <v>5.83</v>
      </c>
      <c r="H469" s="1">
        <f ca="1">INDEX(INDIRECT(""&amp;C469&amp;"!A2:A489"),MATCH(B469,INDIRECT(""&amp;C469&amp;"!B2:B489"),0))</f>
        <v>216</v>
      </c>
      <c r="I469" s="1">
        <f>IF(C469="RB",LeagueInfo!$D$4*LeagueInfo!$F$2,IF(C469="WR",LeagueInfo!$D$5*LeagueInfo!$F$2,IF(C469="TE",LeagueInfo!$D$6*LeagueInfo!$F$2)))</f>
        <v>24</v>
      </c>
    </row>
    <row r="470" spans="1:9" x14ac:dyDescent="0.25">
      <c r="A470" s="47">
        <f ca="1">RANK(E470,E$2:E$574)</f>
        <v>486</v>
      </c>
      <c r="B470" s="1" t="s">
        <v>785</v>
      </c>
      <c r="C470" s="1" t="s">
        <v>47</v>
      </c>
      <c r="D470" s="1">
        <f ca="1">INDEX(INDIRECT($C470&amp;"!O:O"),MATCH($B470,INDIRECT($C470&amp;"!B:B"),0))</f>
        <v>5.09</v>
      </c>
      <c r="E470" s="254">
        <f ca="1">D470-LARGE(D$2:D$467,RBCount+WRCount+TECount)</f>
        <v>-71.75</v>
      </c>
      <c r="F470" s="1" t="str">
        <f ca="1">IF(H470&lt;=I470,"Starter",IF(G470&gt;=LARGE(G:G,FlexOn*LeagueInfo!$F$2),"Starter","Bench"))</f>
        <v>Bench</v>
      </c>
      <c r="G470" s="1">
        <f ca="1">IF(H470&gt;I470,D470,0)</f>
        <v>5.09</v>
      </c>
      <c r="H470" s="1">
        <f ca="1">INDEX(INDIRECT(""&amp;C470&amp;"!A2:A489"),MATCH(B470,INDIRECT(""&amp;C470&amp;"!B2:B489"),0))</f>
        <v>117</v>
      </c>
      <c r="I470" s="1">
        <f>IF(C470="RB",LeagueInfo!$D$4*LeagueInfo!$F$2,IF(C470="WR",LeagueInfo!$D$5*LeagueInfo!$F$2,IF(C470="TE",LeagueInfo!$D$6*LeagueInfo!$F$2)))</f>
        <v>12</v>
      </c>
    </row>
    <row r="471" spans="1:9" x14ac:dyDescent="0.25">
      <c r="A471" s="47">
        <f ca="1">RANK(E471,E$2:E$574)</f>
        <v>470</v>
      </c>
      <c r="B471" s="1" t="s">
        <v>686</v>
      </c>
      <c r="C471" s="1" t="s">
        <v>39</v>
      </c>
      <c r="D471" s="1">
        <f ca="1">INDEX(INDIRECT($C471&amp;"!O:O"),MATCH($B471,INDIRECT($C471&amp;"!B:B"),0))</f>
        <v>5.870000000000001</v>
      </c>
      <c r="E471" s="254">
        <f ca="1">D471-LARGE(D$2:D$467,RBCount+WRCount+TECount)</f>
        <v>-70.97</v>
      </c>
      <c r="F471" s="1" t="str">
        <f ca="1">IF(H471&lt;=I471,"Starter",IF(G471&gt;=LARGE(G:G,FlexOn*LeagueInfo!$F$2),"Starter","Bench"))</f>
        <v>Bench</v>
      </c>
      <c r="G471" s="1">
        <f ca="1">IF(H471&gt;I471,D471,0)</f>
        <v>5.870000000000001</v>
      </c>
      <c r="H471" s="1">
        <f ca="1">INDEX(INDIRECT(""&amp;C471&amp;"!A2:A489"),MATCH(B471,INDIRECT(""&amp;C471&amp;"!B2:B489"),0))</f>
        <v>215</v>
      </c>
      <c r="I471" s="1">
        <f>IF(C471="RB",LeagueInfo!$D$4*LeagueInfo!$F$2,IF(C471="WR",LeagueInfo!$D$5*LeagueInfo!$F$2,IF(C471="TE",LeagueInfo!$D$6*LeagueInfo!$F$2)))</f>
        <v>24</v>
      </c>
    </row>
    <row r="472" spans="1:9" x14ac:dyDescent="0.25">
      <c r="A472" s="47">
        <f ca="1">RANK(E472,E$2:E$574)</f>
        <v>479</v>
      </c>
      <c r="B472" s="1" t="s">
        <v>780</v>
      </c>
      <c r="C472" s="1" t="s">
        <v>47</v>
      </c>
      <c r="D472" s="1">
        <f ca="1">INDEX(INDIRECT($C472&amp;"!O:O"),MATCH($B472,INDIRECT($C472&amp;"!B:B"),0))</f>
        <v>5.37</v>
      </c>
      <c r="E472" s="254">
        <f ca="1">D472-LARGE(D$2:D$467,RBCount+WRCount+TECount)</f>
        <v>-71.47</v>
      </c>
      <c r="F472" s="1" t="str">
        <f ca="1">IF(H472&lt;=I472,"Starter",IF(G472&gt;=LARGE(G:G,FlexOn*LeagueInfo!$F$2),"Starter","Bench"))</f>
        <v>Bench</v>
      </c>
      <c r="G472" s="1">
        <f ca="1">IF(H472&gt;I472,D472,0)</f>
        <v>5.37</v>
      </c>
      <c r="H472" s="1">
        <f ca="1">INDEX(INDIRECT(""&amp;C472&amp;"!A2:A489"),MATCH(B472,INDIRECT(""&amp;C472&amp;"!B2:B489"),0))</f>
        <v>113</v>
      </c>
      <c r="I472" s="1">
        <f>IF(C472="RB",LeagueInfo!$D$4*LeagueInfo!$F$2,IF(C472="WR",LeagueInfo!$D$5*LeagueInfo!$F$2,IF(C472="TE",LeagueInfo!$D$6*LeagueInfo!$F$2)))</f>
        <v>12</v>
      </c>
    </row>
    <row r="473" spans="1:9" x14ac:dyDescent="0.25">
      <c r="A473" s="47">
        <f ca="1">RANK(E473,E$2:E$574)</f>
        <v>469</v>
      </c>
      <c r="B473" s="1" t="s">
        <v>800</v>
      </c>
      <c r="C473" s="1" t="s">
        <v>47</v>
      </c>
      <c r="D473" s="1">
        <f ca="1">INDEX(INDIRECT($C473&amp;"!O:O"),MATCH($B473,INDIRECT($C473&amp;"!B:B"),0))</f>
        <v>5.9</v>
      </c>
      <c r="E473" s="254">
        <f ca="1">D473-LARGE(D$2:D$467,RBCount+WRCount+TECount)</f>
        <v>-70.94</v>
      </c>
      <c r="F473" s="1" t="str">
        <f ca="1">IF(H473&lt;=I473,"Starter",IF(G473&gt;=LARGE(G:G,FlexOn*LeagueInfo!$F$2),"Starter","Bench"))</f>
        <v>Bench</v>
      </c>
      <c r="G473" s="1">
        <f ca="1">IF(H473&gt;I473,D473,0)</f>
        <v>5.9</v>
      </c>
      <c r="H473" s="1">
        <f ca="1">INDEX(INDIRECT(""&amp;C473&amp;"!A2:A489"),MATCH(B473,INDIRECT(""&amp;C473&amp;"!B2:B489"),0))</f>
        <v>109</v>
      </c>
      <c r="I473" s="1">
        <f>IF(C473="RB",LeagueInfo!$D$4*LeagueInfo!$F$2,IF(C473="WR",LeagueInfo!$D$5*LeagueInfo!$F$2,IF(C473="TE",LeagueInfo!$D$6*LeagueInfo!$F$2)))</f>
        <v>12</v>
      </c>
    </row>
    <row r="474" spans="1:9" x14ac:dyDescent="0.25">
      <c r="A474" s="47">
        <f ca="1">RANK(E474,E$2:E$574)</f>
        <v>474</v>
      </c>
      <c r="B474" s="1" t="s">
        <v>694</v>
      </c>
      <c r="C474" s="1" t="s">
        <v>39</v>
      </c>
      <c r="D474" s="1">
        <f ca="1">INDEX(INDIRECT($C474&amp;"!O:O"),MATCH($B474,INDIRECT($C474&amp;"!B:B"),0))</f>
        <v>5.6000000000000005</v>
      </c>
      <c r="E474" s="254">
        <f ca="1">D474-LARGE(D$2:D$467,RBCount+WRCount+TECount)</f>
        <v>-71.240000000000009</v>
      </c>
      <c r="F474" s="1" t="str">
        <f ca="1">IF(H474&lt;=I474,"Starter",IF(G474&gt;=LARGE(G:G,FlexOn*LeagueInfo!$F$2),"Starter","Bench"))</f>
        <v>Bench</v>
      </c>
      <c r="G474" s="1">
        <f ca="1">IF(H474&gt;I474,D474,0)</f>
        <v>5.6000000000000005</v>
      </c>
      <c r="H474" s="1">
        <f ca="1">INDEX(INDIRECT(""&amp;C474&amp;"!A2:A489"),MATCH(B474,INDIRECT(""&amp;C474&amp;"!B2:B489"),0))</f>
        <v>218</v>
      </c>
      <c r="I474" s="1">
        <f>IF(C474="RB",LeagueInfo!$D$4*LeagueInfo!$F$2,IF(C474="WR",LeagueInfo!$D$5*LeagueInfo!$F$2,IF(C474="TE",LeagueInfo!$D$6*LeagueInfo!$F$2)))</f>
        <v>24</v>
      </c>
    </row>
    <row r="475" spans="1:9" x14ac:dyDescent="0.25">
      <c r="A475" s="47">
        <f ca="1">RANK(E475,E$2:E$574)</f>
        <v>476</v>
      </c>
      <c r="B475" s="1" t="s">
        <v>782</v>
      </c>
      <c r="C475" s="1" t="s">
        <v>47</v>
      </c>
      <c r="D475" s="1">
        <f ca="1">INDEX(INDIRECT($C475&amp;"!O:O"),MATCH($B475,INDIRECT($C475&amp;"!B:B"),0))</f>
        <v>5.58</v>
      </c>
      <c r="E475" s="254">
        <f ca="1">D475-LARGE(D$2:D$467,RBCount+WRCount+TECount)</f>
        <v>-71.260000000000005</v>
      </c>
      <c r="F475" s="1" t="str">
        <f ca="1">IF(H475&lt;=I475,"Starter",IF(G475&gt;=LARGE(G:G,FlexOn*LeagueInfo!$F$2),"Starter","Bench"))</f>
        <v>Bench</v>
      </c>
      <c r="G475" s="1">
        <f ca="1">IF(H475&gt;I475,D475,0)</f>
        <v>5.58</v>
      </c>
      <c r="H475" s="1">
        <f ca="1">INDEX(INDIRECT(""&amp;C475&amp;"!A2:A489"),MATCH(B475,INDIRECT(""&amp;C475&amp;"!B2:B489"),0))</f>
        <v>111</v>
      </c>
      <c r="I475" s="1">
        <f>IF(C475="RB",LeagueInfo!$D$4*LeagueInfo!$F$2,IF(C475="WR",LeagueInfo!$D$5*LeagueInfo!$F$2,IF(C475="TE",LeagueInfo!$D$6*LeagueInfo!$F$2)))</f>
        <v>12</v>
      </c>
    </row>
    <row r="476" spans="1:9" x14ac:dyDescent="0.25">
      <c r="A476" s="47">
        <f ca="1">RANK(E476,E$2:E$574)</f>
        <v>449</v>
      </c>
      <c r="B476" s="1" t="s">
        <v>513</v>
      </c>
      <c r="C476" s="1" t="s">
        <v>32</v>
      </c>
      <c r="D476" s="1">
        <f ca="1">INDEX(INDIRECT($C476&amp;"!O:O"),MATCH($B476,INDIRECT($C476&amp;"!B:B"),0))</f>
        <v>6.8</v>
      </c>
      <c r="E476" s="254">
        <f ca="1">D476-LARGE(D$2:D$467,RBCount+WRCount+TECount)</f>
        <v>-70.040000000000006</v>
      </c>
      <c r="F476" s="1" t="str">
        <f ca="1">IF(H476&lt;=I476,"Starter",IF(G476&gt;=LARGE(G:G,FlexOn*LeagueInfo!$F$2),"Starter","Bench"))</f>
        <v>Bench</v>
      </c>
      <c r="G476" s="1">
        <f ca="1">IF(H476&gt;I476,D476,0)</f>
        <v>6.8</v>
      </c>
      <c r="H476" s="1">
        <f ca="1">INDEX(INDIRECT(""&amp;C476&amp;"!A2:A489"),MATCH(B476,INDIRECT(""&amp;C476&amp;"!B2:B489"),0))</f>
        <v>140</v>
      </c>
      <c r="I476" s="1">
        <f>IF(C476="RB",LeagueInfo!$D$4*LeagueInfo!$F$2,IF(C476="WR",LeagueInfo!$D$5*LeagueInfo!$F$2,IF(C476="TE",LeagueInfo!$D$6*LeagueInfo!$F$2)))</f>
        <v>24</v>
      </c>
    </row>
    <row r="477" spans="1:9" x14ac:dyDescent="0.25">
      <c r="A477" s="47">
        <f ca="1">RANK(E477,E$2:E$574)</f>
        <v>475</v>
      </c>
      <c r="B477" s="1" t="s">
        <v>801</v>
      </c>
      <c r="C477" s="1" t="s">
        <v>47</v>
      </c>
      <c r="D477" s="1">
        <f ca="1">INDEX(INDIRECT($C477&amp;"!O:O"),MATCH($B477,INDIRECT($C477&amp;"!B:B"),0))</f>
        <v>5.59</v>
      </c>
      <c r="E477" s="254">
        <f ca="1">D477-LARGE(D$2:D$467,RBCount+WRCount+TECount)</f>
        <v>-71.25</v>
      </c>
      <c r="F477" s="1" t="str">
        <f ca="1">IF(H477&lt;=I477,"Starter",IF(G477&gt;=LARGE(G:G,FlexOn*LeagueInfo!$F$2),"Starter","Bench"))</f>
        <v>Bench</v>
      </c>
      <c r="G477" s="1">
        <f ca="1">IF(H477&gt;I477,D477,0)</f>
        <v>5.59</v>
      </c>
      <c r="H477" s="1">
        <f ca="1">INDEX(INDIRECT(""&amp;C477&amp;"!A2:A489"),MATCH(B477,INDIRECT(""&amp;C477&amp;"!B2:B489"),0))</f>
        <v>110</v>
      </c>
      <c r="I477" s="1">
        <f>IF(C477="RB",LeagueInfo!$D$4*LeagueInfo!$F$2,IF(C477="WR",LeagueInfo!$D$5*LeagueInfo!$F$2,IF(C477="TE",LeagueInfo!$D$6*LeagueInfo!$F$2)))</f>
        <v>12</v>
      </c>
    </row>
    <row r="478" spans="1:9" x14ac:dyDescent="0.25">
      <c r="A478" s="47">
        <f ca="1">RANK(E478,E$2:E$574)</f>
        <v>483</v>
      </c>
      <c r="B478" s="1" t="s">
        <v>898</v>
      </c>
      <c r="C478" s="1" t="s">
        <v>47</v>
      </c>
      <c r="D478" s="1">
        <f ca="1">INDEX(INDIRECT($C478&amp;"!O:O"),MATCH($B478,INDIRECT($C478&amp;"!B:B"),0))</f>
        <v>5.13</v>
      </c>
      <c r="E478" s="254">
        <f ca="1">D478-LARGE(D$2:D$467,RBCount+WRCount+TECount)</f>
        <v>-71.710000000000008</v>
      </c>
      <c r="F478" s="1" t="str">
        <f ca="1">IF(H478&lt;=I478,"Starter",IF(G478&gt;=LARGE(G:G,FlexOn*LeagueInfo!$F$2),"Starter","Bench"))</f>
        <v>Bench</v>
      </c>
      <c r="G478" s="1">
        <f ca="1">IF(H478&gt;I478,D478,0)</f>
        <v>5.13</v>
      </c>
      <c r="H478" s="1">
        <f ca="1">INDEX(INDIRECT(""&amp;C478&amp;"!A2:A489"),MATCH(B478,INDIRECT(""&amp;C478&amp;"!B2:B489"),0))</f>
        <v>115</v>
      </c>
      <c r="I478" s="1">
        <f>IF(C478="RB",LeagueInfo!$D$4*LeagueInfo!$F$2,IF(C478="WR",LeagueInfo!$D$5*LeagueInfo!$F$2,IF(C478="TE",LeagueInfo!$D$6*LeagueInfo!$F$2)))</f>
        <v>12</v>
      </c>
    </row>
    <row r="479" spans="1:9" x14ac:dyDescent="0.25">
      <c r="A479" s="47">
        <f ca="1">RANK(E479,E$2:E$574)</f>
        <v>451</v>
      </c>
      <c r="B479" s="1" t="s">
        <v>505</v>
      </c>
      <c r="C479" s="1" t="s">
        <v>32</v>
      </c>
      <c r="D479" s="1">
        <f ca="1">INDEX(INDIRECT($C479&amp;"!O:O"),MATCH($B479,INDIRECT($C479&amp;"!B:B"),0))</f>
        <v>6.7600000000000007</v>
      </c>
      <c r="E479" s="254">
        <f ca="1">D479-LARGE(D$2:D$467,RBCount+WRCount+TECount)</f>
        <v>-70.08</v>
      </c>
      <c r="F479" s="1" t="str">
        <f ca="1">IF(H479&lt;=I479,"Starter",IF(G479&gt;=LARGE(G:G,FlexOn*LeagueInfo!$F$2),"Starter","Bench"))</f>
        <v>Bench</v>
      </c>
      <c r="G479" s="1">
        <f ca="1">IF(H479&gt;I479,D479,0)</f>
        <v>6.7600000000000007</v>
      </c>
      <c r="H479" s="1">
        <f ca="1">INDEX(INDIRECT(""&amp;C479&amp;"!A2:A489"),MATCH(B479,INDIRECT(""&amp;C479&amp;"!B2:B489"),0))</f>
        <v>141</v>
      </c>
      <c r="I479" s="1">
        <f>IF(C479="RB",LeagueInfo!$D$4*LeagueInfo!$F$2,IF(C479="WR",LeagueInfo!$D$5*LeagueInfo!$F$2,IF(C479="TE",LeagueInfo!$D$6*LeagueInfo!$F$2)))</f>
        <v>24</v>
      </c>
    </row>
    <row r="480" spans="1:9" x14ac:dyDescent="0.25">
      <c r="A480" s="47">
        <f ca="1">RANK(E480,E$2:E$574)</f>
        <v>488</v>
      </c>
      <c r="B480" s="1" t="s">
        <v>706</v>
      </c>
      <c r="C480" s="1" t="s">
        <v>39</v>
      </c>
      <c r="D480" s="1">
        <f ca="1">INDEX(INDIRECT($C480&amp;"!O:O"),MATCH($B480,INDIRECT($C480&amp;"!B:B"),0))</f>
        <v>5.0400000000000009</v>
      </c>
      <c r="E480" s="254">
        <f ca="1">D480-LARGE(D$2:D$467,RBCount+WRCount+TECount)</f>
        <v>-71.8</v>
      </c>
      <c r="F480" s="1" t="str">
        <f ca="1">IF(H480&lt;=I480,"Starter",IF(G480&gt;=LARGE(G:G,FlexOn*LeagueInfo!$F$2),"Starter","Bench"))</f>
        <v>Bench</v>
      </c>
      <c r="G480" s="1">
        <f ca="1">IF(H480&gt;I480,D480,0)</f>
        <v>5.0400000000000009</v>
      </c>
      <c r="H480" s="1">
        <f ca="1">INDEX(INDIRECT(""&amp;C480&amp;"!A2:A489"),MATCH(B480,INDIRECT(""&amp;C480&amp;"!B2:B489"),0))</f>
        <v>222</v>
      </c>
      <c r="I480" s="1">
        <f>IF(C480="RB",LeagueInfo!$D$4*LeagueInfo!$F$2,IF(C480="WR",LeagueInfo!$D$5*LeagueInfo!$F$2,IF(C480="TE",LeagueInfo!$D$6*LeagueInfo!$F$2)))</f>
        <v>24</v>
      </c>
    </row>
    <row r="481" spans="1:9" x14ac:dyDescent="0.25">
      <c r="A481" s="47">
        <f ca="1">RANK(E481,E$2:E$574)</f>
        <v>484</v>
      </c>
      <c r="B481" s="1" t="s">
        <v>802</v>
      </c>
      <c r="C481" s="1" t="s">
        <v>47</v>
      </c>
      <c r="D481" s="1">
        <f ca="1">INDEX(INDIRECT($C481&amp;"!O:O"),MATCH($B481,INDIRECT($C481&amp;"!B:B"),0))</f>
        <v>5.12</v>
      </c>
      <c r="E481" s="254">
        <f ca="1">D481-LARGE(D$2:D$467,RBCount+WRCount+TECount)</f>
        <v>-71.72</v>
      </c>
      <c r="F481" s="1" t="str">
        <f ca="1">IF(H481&lt;=I481,"Starter",IF(G481&gt;=LARGE(G:G,FlexOn*LeagueInfo!$F$2),"Starter","Bench"))</f>
        <v>Bench</v>
      </c>
      <c r="G481" s="1">
        <f ca="1">IF(H481&gt;I481,D481,0)</f>
        <v>5.12</v>
      </c>
      <c r="H481" s="1">
        <f ca="1">INDEX(INDIRECT(""&amp;C481&amp;"!A2:A489"),MATCH(B481,INDIRECT(""&amp;C481&amp;"!B2:B489"),0))</f>
        <v>116</v>
      </c>
      <c r="I481" s="1">
        <f>IF(C481="RB",LeagueInfo!$D$4*LeagueInfo!$F$2,IF(C481="WR",LeagueInfo!$D$5*LeagueInfo!$F$2,IF(C481="TE",LeagueInfo!$D$6*LeagueInfo!$F$2)))</f>
        <v>12</v>
      </c>
    </row>
    <row r="482" spans="1:9" x14ac:dyDescent="0.25">
      <c r="A482" s="47">
        <f ca="1">RANK(E482,E$2:E$574)</f>
        <v>468</v>
      </c>
      <c r="B482" s="1" t="s">
        <v>517</v>
      </c>
      <c r="C482" s="1" t="s">
        <v>32</v>
      </c>
      <c r="D482" s="1">
        <f ca="1">INDEX(INDIRECT($C482&amp;"!O:O"),MATCH($B482,INDIRECT($C482&amp;"!B:B"),0))</f>
        <v>5.9799999999999995</v>
      </c>
      <c r="E482" s="254">
        <f ca="1">D482-LARGE(D$2:D$467,RBCount+WRCount+TECount)</f>
        <v>-70.86</v>
      </c>
      <c r="F482" s="1" t="str">
        <f ca="1">IF(H482&lt;=I482,"Starter",IF(G482&gt;=LARGE(G:G,FlexOn*LeagueInfo!$F$2),"Starter","Bench"))</f>
        <v>Bench</v>
      </c>
      <c r="G482" s="1">
        <f ca="1">IF(H482&gt;I482,D482,0)</f>
        <v>5.9799999999999995</v>
      </c>
      <c r="H482" s="1">
        <f ca="1">INDEX(INDIRECT(""&amp;C482&amp;"!A2:A489"),MATCH(B482,INDIRECT(""&amp;C482&amp;"!B2:B489"),0))</f>
        <v>146</v>
      </c>
      <c r="I482" s="1">
        <f>IF(C482="RB",LeagueInfo!$D$4*LeagueInfo!$F$2,IF(C482="WR",LeagueInfo!$D$5*LeagueInfo!$F$2,IF(C482="TE",LeagueInfo!$D$6*LeagueInfo!$F$2)))</f>
        <v>24</v>
      </c>
    </row>
    <row r="483" spans="1:9" x14ac:dyDescent="0.25">
      <c r="A483" s="47">
        <f ca="1">RANK(E483,E$2:E$574)</f>
        <v>480</v>
      </c>
      <c r="B483" s="1" t="s">
        <v>787</v>
      </c>
      <c r="C483" s="1" t="s">
        <v>47</v>
      </c>
      <c r="D483" s="1">
        <f ca="1">INDEX(INDIRECT($C483&amp;"!O:O"),MATCH($B483,INDIRECT($C483&amp;"!B:B"),0))</f>
        <v>5.2700000000000005</v>
      </c>
      <c r="E483" s="254">
        <f ca="1">D483-LARGE(D$2:D$467,RBCount+WRCount+TECount)</f>
        <v>-71.570000000000007</v>
      </c>
      <c r="F483" s="1" t="str">
        <f ca="1">IF(H483&lt;=I483,"Starter",IF(G483&gt;=LARGE(G:G,FlexOn*LeagueInfo!$F$2),"Starter","Bench"))</f>
        <v>Bench</v>
      </c>
      <c r="G483" s="1">
        <f ca="1">IF(H483&gt;I483,D483,0)</f>
        <v>5.2700000000000005</v>
      </c>
      <c r="H483" s="1">
        <f ca="1">INDEX(INDIRECT(""&amp;C483&amp;"!A2:A489"),MATCH(B483,INDIRECT(""&amp;C483&amp;"!B2:B489"),0))</f>
        <v>114</v>
      </c>
      <c r="I483" s="1">
        <f>IF(C483="RB",LeagueInfo!$D$4*LeagueInfo!$F$2,IF(C483="WR",LeagueInfo!$D$5*LeagueInfo!$F$2,IF(C483="TE",LeagueInfo!$D$6*LeagueInfo!$F$2)))</f>
        <v>12</v>
      </c>
    </row>
    <row r="484" spans="1:9" x14ac:dyDescent="0.25">
      <c r="A484" s="47">
        <f ca="1">RANK(E484,E$2:E$574)</f>
        <v>485</v>
      </c>
      <c r="B484" s="1" t="s">
        <v>641</v>
      </c>
      <c r="C484" s="1" t="s">
        <v>39</v>
      </c>
      <c r="D484" s="1">
        <f ca="1">INDEX(INDIRECT($C484&amp;"!O:O"),MATCH($B484,INDIRECT($C484&amp;"!B:B"),0))</f>
        <v>5.1000000000000005</v>
      </c>
      <c r="E484" s="254">
        <f ca="1">D484-LARGE(D$2:D$467,RBCount+WRCount+TECount)</f>
        <v>-71.740000000000009</v>
      </c>
      <c r="F484" s="1" t="str">
        <f ca="1">IF(H484&lt;=I484,"Starter",IF(G484&gt;=LARGE(G:G,FlexOn*LeagueInfo!$F$2),"Starter","Bench"))</f>
        <v>Bench</v>
      </c>
      <c r="G484" s="1">
        <f ca="1">IF(H484&gt;I484,D484,0)</f>
        <v>5.1000000000000005</v>
      </c>
      <c r="H484" s="1">
        <f ca="1">INDEX(INDIRECT(""&amp;C484&amp;"!A2:A489"),MATCH(B484,INDIRECT(""&amp;C484&amp;"!B2:B489"),0))</f>
        <v>221</v>
      </c>
      <c r="I484" s="1">
        <f>IF(C484="RB",LeagueInfo!$D$4*LeagueInfo!$F$2,IF(C484="WR",LeagueInfo!$D$5*LeagueInfo!$F$2,IF(C484="TE",LeagueInfo!$D$6*LeagueInfo!$F$2)))</f>
        <v>24</v>
      </c>
    </row>
    <row r="485" spans="1:9" x14ac:dyDescent="0.25">
      <c r="A485" s="47">
        <f ca="1">RANK(E485,E$2:E$574)</f>
        <v>494</v>
      </c>
      <c r="B485" s="1" t="s">
        <v>796</v>
      </c>
      <c r="C485" s="1" t="s">
        <v>47</v>
      </c>
      <c r="D485" s="1">
        <f ca="1">INDEX(INDIRECT($C485&amp;"!O:O"),MATCH($B485,INDIRECT($C485&amp;"!B:B"),0))</f>
        <v>4.71</v>
      </c>
      <c r="E485" s="254">
        <f ca="1">D485-LARGE(D$2:D$467,RBCount+WRCount+TECount)</f>
        <v>-72.13000000000001</v>
      </c>
      <c r="F485" s="1" t="str">
        <f ca="1">IF(H485&lt;=I485,"Starter",IF(G485&gt;=LARGE(G:G,FlexOn*LeagueInfo!$F$2),"Starter","Bench"))</f>
        <v>Bench</v>
      </c>
      <c r="G485" s="1">
        <f ca="1">IF(H485&gt;I485,D485,0)</f>
        <v>4.71</v>
      </c>
      <c r="H485" s="1">
        <f ca="1">INDEX(INDIRECT(""&amp;C485&amp;"!A2:A489"),MATCH(B485,INDIRECT(""&amp;C485&amp;"!B2:B489"),0))</f>
        <v>120</v>
      </c>
      <c r="I485" s="1">
        <f>IF(C485="RB",LeagueInfo!$D$4*LeagueInfo!$F$2,IF(C485="WR",LeagueInfo!$D$5*LeagueInfo!$F$2,IF(C485="TE",LeagueInfo!$D$6*LeagueInfo!$F$2)))</f>
        <v>12</v>
      </c>
    </row>
    <row r="486" spans="1:9" x14ac:dyDescent="0.25">
      <c r="A486" s="47">
        <f ca="1">RANK(E486,E$2:E$574)</f>
        <v>477</v>
      </c>
      <c r="B486" s="1" t="s">
        <v>695</v>
      </c>
      <c r="C486" s="1" t="s">
        <v>39</v>
      </c>
      <c r="D486" s="1">
        <f ca="1">INDEX(INDIRECT($C486&amp;"!O:O"),MATCH($B486,INDIRECT($C486&amp;"!B:B"),0))</f>
        <v>5.45</v>
      </c>
      <c r="E486" s="254">
        <f ca="1">D486-LARGE(D$2:D$467,RBCount+WRCount+TECount)</f>
        <v>-71.39</v>
      </c>
      <c r="F486" s="1" t="str">
        <f ca="1">IF(H486&lt;=I486,"Starter",IF(G486&gt;=LARGE(G:G,FlexOn*LeagueInfo!$F$2),"Starter","Bench"))</f>
        <v>Bench</v>
      </c>
      <c r="G486" s="1">
        <f ca="1">IF(H486&gt;I486,D486,0)</f>
        <v>5.45</v>
      </c>
      <c r="H486" s="1">
        <f ca="1">INDEX(INDIRECT(""&amp;C486&amp;"!A2:A489"),MATCH(B486,INDIRECT(""&amp;C486&amp;"!B2:B489"),0))</f>
        <v>219</v>
      </c>
      <c r="I486" s="1">
        <f>IF(C486="RB",LeagueInfo!$D$4*LeagueInfo!$F$2,IF(C486="WR",LeagueInfo!$D$5*LeagueInfo!$F$2,IF(C486="TE",LeagueInfo!$D$6*LeagueInfo!$F$2)))</f>
        <v>24</v>
      </c>
    </row>
    <row r="487" spans="1:9" x14ac:dyDescent="0.25">
      <c r="A487" s="47">
        <f ca="1">RANK(E487,E$2:E$574)</f>
        <v>493</v>
      </c>
      <c r="B487" s="1" t="s">
        <v>778</v>
      </c>
      <c r="C487" s="1" t="s">
        <v>47</v>
      </c>
      <c r="D487" s="1">
        <f ca="1">INDEX(INDIRECT($C487&amp;"!O:O"),MATCH($B487,INDIRECT($C487&amp;"!B:B"),0))</f>
        <v>4.76</v>
      </c>
      <c r="E487" s="254">
        <f ca="1">D487-LARGE(D$2:D$467,RBCount+WRCount+TECount)</f>
        <v>-72.08</v>
      </c>
      <c r="F487" s="1" t="str">
        <f ca="1">IF(H487&lt;=I487,"Starter",IF(G487&gt;=LARGE(G:G,FlexOn*LeagueInfo!$F$2),"Starter","Bench"))</f>
        <v>Bench</v>
      </c>
      <c r="G487" s="1">
        <f ca="1">IF(H487&gt;I487,D487,0)</f>
        <v>4.76</v>
      </c>
      <c r="H487" s="1">
        <f ca="1">INDEX(INDIRECT(""&amp;C487&amp;"!A2:A489"),MATCH(B487,INDIRECT(""&amp;C487&amp;"!B2:B489"),0))</f>
        <v>119</v>
      </c>
      <c r="I487" s="1">
        <f>IF(C487="RB",LeagueInfo!$D$4*LeagueInfo!$F$2,IF(C487="WR",LeagueInfo!$D$5*LeagueInfo!$F$2,IF(C487="TE",LeagueInfo!$D$6*LeagueInfo!$F$2)))</f>
        <v>12</v>
      </c>
    </row>
    <row r="488" spans="1:9" x14ac:dyDescent="0.25">
      <c r="A488" s="47">
        <f ca="1">RANK(E488,E$2:E$574)</f>
        <v>491</v>
      </c>
      <c r="B488" s="1" t="s">
        <v>626</v>
      </c>
      <c r="C488" s="1" t="s">
        <v>39</v>
      </c>
      <c r="D488" s="1">
        <f ca="1">INDEX(INDIRECT($C488&amp;"!O:O"),MATCH($B488,INDIRECT($C488&amp;"!B:B"),0))</f>
        <v>4.9700000000000006</v>
      </c>
      <c r="E488" s="254">
        <f ca="1">D488-LARGE(D$2:D$467,RBCount+WRCount+TECount)</f>
        <v>-71.87</v>
      </c>
      <c r="F488" s="1" t="str">
        <f ca="1">IF(H488&lt;=I488,"Starter",IF(G488&gt;=LARGE(G:G,FlexOn*LeagueInfo!$F$2),"Starter","Bench"))</f>
        <v>Bench</v>
      </c>
      <c r="G488" s="1">
        <f ca="1">IF(H488&gt;I488,D488,0)</f>
        <v>4.9700000000000006</v>
      </c>
      <c r="H488" s="1">
        <f ca="1">INDEX(INDIRECT(""&amp;C488&amp;"!A2:A489"),MATCH(B488,INDIRECT(""&amp;C488&amp;"!B2:B489"),0))</f>
        <v>223</v>
      </c>
      <c r="I488" s="1">
        <f>IF(C488="RB",LeagueInfo!$D$4*LeagueInfo!$F$2,IF(C488="WR",LeagueInfo!$D$5*LeagueInfo!$F$2,IF(C488="TE",LeagueInfo!$D$6*LeagueInfo!$F$2)))</f>
        <v>24</v>
      </c>
    </row>
    <row r="489" spans="1:9" x14ac:dyDescent="0.25">
      <c r="A489" s="47">
        <f ca="1">RANK(E489,E$2:E$574)</f>
        <v>481</v>
      </c>
      <c r="B489" s="1" t="s">
        <v>689</v>
      </c>
      <c r="C489" s="1" t="s">
        <v>39</v>
      </c>
      <c r="D489" s="1">
        <f ca="1">INDEX(INDIRECT($C489&amp;"!O:O"),MATCH($B489,INDIRECT($C489&amp;"!B:B"),0))</f>
        <v>5.25</v>
      </c>
      <c r="E489" s="254">
        <f ca="1">D489-LARGE(D$2:D$467,RBCount+WRCount+TECount)</f>
        <v>-71.59</v>
      </c>
      <c r="F489" s="1" t="str">
        <f ca="1">IF(H489&lt;=I489,"Starter",IF(G489&gt;=LARGE(G:G,FlexOn*LeagueInfo!$F$2),"Starter","Bench"))</f>
        <v>Bench</v>
      </c>
      <c r="G489" s="1">
        <f ca="1">IF(H489&gt;I489,D489,0)</f>
        <v>5.25</v>
      </c>
      <c r="H489" s="1">
        <f ca="1">INDEX(INDIRECT(""&amp;C489&amp;"!A2:A489"),MATCH(B489,INDIRECT(""&amp;C489&amp;"!B2:B489"),0))</f>
        <v>220</v>
      </c>
      <c r="I489" s="1">
        <f>IF(C489="RB",LeagueInfo!$D$4*LeagueInfo!$F$2,IF(C489="WR",LeagueInfo!$D$5*LeagueInfo!$F$2,IF(C489="TE",LeagueInfo!$D$6*LeagueInfo!$F$2)))</f>
        <v>24</v>
      </c>
    </row>
    <row r="490" spans="1:9" x14ac:dyDescent="0.25">
      <c r="A490" s="47">
        <f ca="1">RANK(E490,E$2:E$574)</f>
        <v>495</v>
      </c>
      <c r="B490" s="1" t="s">
        <v>803</v>
      </c>
      <c r="C490" s="1" t="s">
        <v>47</v>
      </c>
      <c r="D490" s="1">
        <f ca="1">INDEX(INDIRECT($C490&amp;"!O:O"),MATCH($B490,INDIRECT($C490&amp;"!B:B"),0))</f>
        <v>4.7</v>
      </c>
      <c r="E490" s="254">
        <f ca="1">D490-LARGE(D$2:D$467,RBCount+WRCount+TECount)</f>
        <v>-72.14</v>
      </c>
      <c r="F490" s="1" t="str">
        <f ca="1">IF(H490&lt;=I490,"Starter",IF(G490&gt;=LARGE(G:G,FlexOn*LeagueInfo!$F$2),"Starter","Bench"))</f>
        <v>Bench</v>
      </c>
      <c r="G490" s="1">
        <f ca="1">IF(H490&gt;I490,D490,0)</f>
        <v>4.7</v>
      </c>
      <c r="H490" s="1">
        <f ca="1">INDEX(INDIRECT(""&amp;C490&amp;"!A2:A489"),MATCH(B490,INDIRECT(""&amp;C490&amp;"!B2:B489"),0))</f>
        <v>121</v>
      </c>
      <c r="I490" s="1">
        <f>IF(C490="RB",LeagueInfo!$D$4*LeagueInfo!$F$2,IF(C490="WR",LeagueInfo!$D$5*LeagueInfo!$F$2,IF(C490="TE",LeagueInfo!$D$6*LeagueInfo!$F$2)))</f>
        <v>12</v>
      </c>
    </row>
    <row r="491" spans="1:9" x14ac:dyDescent="0.25">
      <c r="A491" s="47">
        <f ca="1">RANK(E491,E$2:E$574)</f>
        <v>492</v>
      </c>
      <c r="B491" s="1" t="s">
        <v>804</v>
      </c>
      <c r="C491" s="1" t="s">
        <v>47</v>
      </c>
      <c r="D491" s="1">
        <f ca="1">INDEX(INDIRECT($C491&amp;"!O:O"),MATCH($B491,INDIRECT($C491&amp;"!B:B"),0))</f>
        <v>4.82</v>
      </c>
      <c r="E491" s="254">
        <f ca="1">D491-LARGE(D$2:D$467,RBCount+WRCount+TECount)</f>
        <v>-72.02000000000001</v>
      </c>
      <c r="F491" s="1" t="str">
        <f ca="1">IF(H491&lt;=I491,"Starter",IF(G491&gt;=LARGE(G:G,FlexOn*LeagueInfo!$F$2),"Starter","Bench"))</f>
        <v>Bench</v>
      </c>
      <c r="G491" s="1">
        <f ca="1">IF(H491&gt;I491,D491,0)</f>
        <v>4.82</v>
      </c>
      <c r="H491" s="1">
        <f ca="1">INDEX(INDIRECT(""&amp;C491&amp;"!A2:A489"),MATCH(B491,INDIRECT(""&amp;C491&amp;"!B2:B489"),0))</f>
        <v>118</v>
      </c>
      <c r="I491" s="1">
        <f>IF(C491="RB",LeagueInfo!$D$4*LeagueInfo!$F$2,IF(C491="WR",LeagueInfo!$D$5*LeagueInfo!$F$2,IF(C491="TE",LeagueInfo!$D$6*LeagueInfo!$F$2)))</f>
        <v>12</v>
      </c>
    </row>
    <row r="492" spans="1:9" x14ac:dyDescent="0.25">
      <c r="A492" s="47">
        <f ca="1">RANK(E492,E$2:E$574)</f>
        <v>473</v>
      </c>
      <c r="B492" s="1" t="s">
        <v>499</v>
      </c>
      <c r="C492" s="1" t="s">
        <v>32</v>
      </c>
      <c r="D492" s="1">
        <f ca="1">INDEX(INDIRECT($C492&amp;"!O:O"),MATCH($B492,INDIRECT($C492&amp;"!B:B"),0))</f>
        <v>5.7</v>
      </c>
      <c r="E492" s="254">
        <f ca="1">D492-LARGE(D$2:D$467,RBCount+WRCount+TECount)</f>
        <v>-71.14</v>
      </c>
      <c r="F492" s="1" t="str">
        <f ca="1">IF(H492&lt;=I492,"Starter",IF(G492&gt;=LARGE(G:G,FlexOn*LeagueInfo!$F$2),"Starter","Bench"))</f>
        <v>Bench</v>
      </c>
      <c r="G492" s="1">
        <f ca="1">IF(H492&gt;I492,D492,0)</f>
        <v>5.7</v>
      </c>
      <c r="H492" s="1">
        <f ca="1">INDEX(INDIRECT(""&amp;C492&amp;"!A2:A489"),MATCH(B492,INDIRECT(""&amp;C492&amp;"!B2:B489"),0))</f>
        <v>147</v>
      </c>
      <c r="I492" s="1">
        <f>IF(C492="RB",LeagueInfo!$D$4*LeagueInfo!$F$2,IF(C492="WR",LeagueInfo!$D$5*LeagueInfo!$F$2,IF(C492="TE",LeagueInfo!$D$6*LeagueInfo!$F$2)))</f>
        <v>24</v>
      </c>
    </row>
    <row r="493" spans="1:9" x14ac:dyDescent="0.25">
      <c r="A493" s="47">
        <f ca="1">RANK(E493,E$2:E$574)</f>
        <v>482</v>
      </c>
      <c r="B493" s="1" t="s">
        <v>516</v>
      </c>
      <c r="C493" s="1" t="s">
        <v>32</v>
      </c>
      <c r="D493" s="1">
        <f ca="1">INDEX(INDIRECT($C493&amp;"!O:O"),MATCH($B493,INDIRECT($C493&amp;"!B:B"),0))</f>
        <v>5.18</v>
      </c>
      <c r="E493" s="254">
        <f ca="1">D493-LARGE(D$2:D$467,RBCount+WRCount+TECount)</f>
        <v>-71.66</v>
      </c>
      <c r="F493" s="1" t="str">
        <f ca="1">IF(H493&lt;=I493,"Starter",IF(G493&gt;=LARGE(G:G,FlexOn*LeagueInfo!$F$2),"Starter","Bench"))</f>
        <v>Bench</v>
      </c>
      <c r="G493" s="1">
        <f ca="1">IF(H493&gt;I493,D493,0)</f>
        <v>5.18</v>
      </c>
      <c r="H493" s="1">
        <f ca="1">INDEX(INDIRECT(""&amp;C493&amp;"!A2:A489"),MATCH(B493,INDIRECT(""&amp;C493&amp;"!B2:B489"),0))</f>
        <v>148</v>
      </c>
      <c r="I493" s="1">
        <f>IF(C493="RB",LeagueInfo!$D$4*LeagueInfo!$F$2,IF(C493="WR",LeagueInfo!$D$5*LeagueInfo!$F$2,IF(C493="TE",LeagueInfo!$D$6*LeagueInfo!$F$2)))</f>
        <v>24</v>
      </c>
    </row>
    <row r="494" spans="1:9" x14ac:dyDescent="0.25">
      <c r="A494" s="47">
        <f ca="1">RANK(E494,E$2:E$574)</f>
        <v>487</v>
      </c>
      <c r="B494" s="1" t="s">
        <v>542</v>
      </c>
      <c r="C494" s="1" t="s">
        <v>32</v>
      </c>
      <c r="D494" s="1">
        <f ca="1">INDEX(INDIRECT($C494&amp;"!O:O"),MATCH($B494,INDIRECT($C494&amp;"!B:B"),0))</f>
        <v>5.07</v>
      </c>
      <c r="E494" s="254">
        <f ca="1">D494-LARGE(D$2:D$467,RBCount+WRCount+TECount)</f>
        <v>-71.77000000000001</v>
      </c>
      <c r="F494" s="1" t="str">
        <f ca="1">IF(H494&lt;=I494,"Starter",IF(G494&gt;=LARGE(G:G,FlexOn*LeagueInfo!$F$2),"Starter","Bench"))</f>
        <v>Bench</v>
      </c>
      <c r="G494" s="1">
        <f ca="1">IF(H494&gt;I494,D494,0)</f>
        <v>5.07</v>
      </c>
      <c r="H494" s="1">
        <f ca="1">INDEX(INDIRECT(""&amp;C494&amp;"!A2:A489"),MATCH(B494,INDIRECT(""&amp;C494&amp;"!B2:B489"),0))</f>
        <v>149</v>
      </c>
      <c r="I494" s="1">
        <f>IF(C494="RB",LeagueInfo!$D$4*LeagueInfo!$F$2,IF(C494="WR",LeagueInfo!$D$5*LeagueInfo!$F$2,IF(C494="TE",LeagueInfo!$D$6*LeagueInfo!$F$2)))</f>
        <v>24</v>
      </c>
    </row>
    <row r="495" spans="1:9" x14ac:dyDescent="0.25">
      <c r="A495" s="47">
        <f ca="1">RANK(E495,E$2:E$574)</f>
        <v>490</v>
      </c>
      <c r="B495" s="1" t="s">
        <v>518</v>
      </c>
      <c r="C495" s="1" t="s">
        <v>32</v>
      </c>
      <c r="D495" s="1">
        <f ca="1">INDEX(INDIRECT($C495&amp;"!O:O"),MATCH($B495,INDIRECT($C495&amp;"!B:B"),0))</f>
        <v>5</v>
      </c>
      <c r="E495" s="254">
        <f ca="1">D495-LARGE(D$2:D$467,RBCount+WRCount+TECount)</f>
        <v>-71.84</v>
      </c>
      <c r="F495" s="1" t="str">
        <f ca="1">IF(H495&lt;=I495,"Starter",IF(G495&gt;=LARGE(G:G,FlexOn*LeagueInfo!$F$2),"Starter","Bench"))</f>
        <v>Bench</v>
      </c>
      <c r="G495" s="1">
        <f ca="1">IF(H495&gt;I495,D495,0)</f>
        <v>5</v>
      </c>
      <c r="H495" s="1">
        <f ca="1">INDEX(INDIRECT(""&amp;C495&amp;"!A2:A489"),MATCH(B495,INDIRECT(""&amp;C495&amp;"!B2:B489"),0))</f>
        <v>151</v>
      </c>
      <c r="I495" s="1">
        <f>IF(C495="RB",LeagueInfo!$D$4*LeagueInfo!$F$2,IF(C495="WR",LeagueInfo!$D$5*LeagueInfo!$F$2,IF(C495="TE",LeagueInfo!$D$6*LeagueInfo!$F$2)))</f>
        <v>24</v>
      </c>
    </row>
    <row r="496" spans="1:9" x14ac:dyDescent="0.25">
      <c r="A496" s="47">
        <f ca="1">RANK(E496,E$2:E$574)</f>
        <v>500</v>
      </c>
      <c r="B496" s="1" t="s">
        <v>642</v>
      </c>
      <c r="C496" s="1" t="s">
        <v>39</v>
      </c>
      <c r="D496" s="1">
        <f ca="1">INDEX(INDIRECT($C496&amp;"!O:O"),MATCH($B496,INDIRECT($C496&amp;"!B:B"),0))</f>
        <v>4.4200000000000017</v>
      </c>
      <c r="E496" s="254">
        <f ca="1">D496-LARGE(D$2:D$467,RBCount+WRCount+TECount)</f>
        <v>-72.42</v>
      </c>
      <c r="F496" s="1" t="str">
        <f ca="1">IF(H496&lt;=I496,"Starter",IF(G496&gt;=LARGE(G:G,FlexOn*LeagueInfo!$F$2),"Starter","Bench"))</f>
        <v>Bench</v>
      </c>
      <c r="G496" s="1">
        <f ca="1">IF(H496&gt;I496,D496,0)</f>
        <v>4.4200000000000017</v>
      </c>
      <c r="H496" s="1">
        <f ca="1">INDEX(INDIRECT(""&amp;C496&amp;"!A2:A489"),MATCH(B496,INDIRECT(""&amp;C496&amp;"!B2:B489"),0))</f>
        <v>225</v>
      </c>
      <c r="I496" s="1">
        <f>IF(C496="RB",LeagueInfo!$D$4*LeagueInfo!$F$2,IF(C496="WR",LeagueInfo!$D$5*LeagueInfo!$F$2,IF(C496="TE",LeagueInfo!$D$6*LeagueInfo!$F$2)))</f>
        <v>24</v>
      </c>
    </row>
    <row r="497" spans="1:9" x14ac:dyDescent="0.25">
      <c r="A497" s="47">
        <f ca="1">RANK(E497,E$2:E$574)</f>
        <v>495</v>
      </c>
      <c r="B497" s="1" t="s">
        <v>779</v>
      </c>
      <c r="C497" s="1" t="s">
        <v>47</v>
      </c>
      <c r="D497" s="1">
        <f ca="1">INDEX(INDIRECT($C497&amp;"!O:O"),MATCH($B497,INDIRECT($C497&amp;"!B:B"),0))</f>
        <v>4.7</v>
      </c>
      <c r="E497" s="254">
        <f ca="1">D497-LARGE(D$2:D$467,RBCount+WRCount+TECount)</f>
        <v>-72.14</v>
      </c>
      <c r="F497" s="1" t="str">
        <f ca="1">IF(H497&lt;=I497,"Starter",IF(G497&gt;=LARGE(G:G,FlexOn*LeagueInfo!$F$2),"Starter","Bench"))</f>
        <v>Bench</v>
      </c>
      <c r="G497" s="1">
        <f ca="1">IF(H497&gt;I497,D497,0)</f>
        <v>4.7</v>
      </c>
      <c r="H497" s="1">
        <f ca="1">INDEX(INDIRECT(""&amp;C497&amp;"!A2:A489"),MATCH(B497,INDIRECT(""&amp;C497&amp;"!B2:B489"),0))</f>
        <v>121</v>
      </c>
      <c r="I497" s="1">
        <f>IF(C497="RB",LeagueInfo!$D$4*LeagueInfo!$F$2,IF(C497="WR",LeagueInfo!$D$5*LeagueInfo!$F$2,IF(C497="TE",LeagueInfo!$D$6*LeagueInfo!$F$2)))</f>
        <v>12</v>
      </c>
    </row>
    <row r="498" spans="1:9" x14ac:dyDescent="0.25">
      <c r="A498" s="47">
        <f ca="1">RANK(E498,E$2:E$574)</f>
        <v>499</v>
      </c>
      <c r="B498" s="1" t="s">
        <v>649</v>
      </c>
      <c r="C498" s="1" t="s">
        <v>39</v>
      </c>
      <c r="D498" s="1">
        <f ca="1">INDEX(INDIRECT($C498&amp;"!O:O"),MATCH($B498,INDIRECT($C498&amp;"!B:B"),0))</f>
        <v>4.4600000000000009</v>
      </c>
      <c r="E498" s="254">
        <f ca="1">D498-LARGE(D$2:D$467,RBCount+WRCount+TECount)</f>
        <v>-72.38</v>
      </c>
      <c r="F498" s="1" t="str">
        <f ca="1">IF(H498&lt;=I498,"Starter",IF(G498&gt;=LARGE(G:G,FlexOn*LeagueInfo!$F$2),"Starter","Bench"))</f>
        <v>Bench</v>
      </c>
      <c r="G498" s="1">
        <f ca="1">IF(H498&gt;I498,D498,0)</f>
        <v>4.4600000000000009</v>
      </c>
      <c r="H498" s="1">
        <f ca="1">INDEX(INDIRECT(""&amp;C498&amp;"!A2:A489"),MATCH(B498,INDIRECT(""&amp;C498&amp;"!B2:B489"),0))</f>
        <v>224</v>
      </c>
      <c r="I498" s="1">
        <f>IF(C498="RB",LeagueInfo!$D$4*LeagueInfo!$F$2,IF(C498="WR",LeagueInfo!$D$5*LeagueInfo!$F$2,IF(C498="TE",LeagueInfo!$D$6*LeagueInfo!$F$2)))</f>
        <v>24</v>
      </c>
    </row>
    <row r="499" spans="1:9" x14ac:dyDescent="0.25">
      <c r="A499" s="47">
        <f ca="1">RANK(E499,E$2:E$574)</f>
        <v>498</v>
      </c>
      <c r="B499" s="1" t="s">
        <v>496</v>
      </c>
      <c r="C499" s="1" t="s">
        <v>32</v>
      </c>
      <c r="D499" s="1">
        <f ca="1">INDEX(INDIRECT($C499&amp;"!O:O"),MATCH($B499,INDIRECT($C499&amp;"!B:B"),0))</f>
        <v>4.4899999999999993</v>
      </c>
      <c r="E499" s="254">
        <f ca="1">D499-LARGE(D$2:D$467,RBCount+WRCount+TECount)</f>
        <v>-72.350000000000009</v>
      </c>
      <c r="F499" s="1" t="str">
        <f ca="1">IF(H499&lt;=I499,"Starter",IF(G499&gt;=LARGE(G:G,FlexOn*LeagueInfo!$F$2),"Starter","Bench"))</f>
        <v>Bench</v>
      </c>
      <c r="G499" s="1">
        <f ca="1">IF(H499&gt;I499,D499,0)</f>
        <v>4.4899999999999993</v>
      </c>
      <c r="H499" s="1">
        <f ca="1">INDEX(INDIRECT(""&amp;C499&amp;"!A2:A489"),MATCH(B499,INDIRECT(""&amp;C499&amp;"!B2:B489"),0))</f>
        <v>153</v>
      </c>
      <c r="I499" s="1">
        <f>IF(C499="RB",LeagueInfo!$D$4*LeagueInfo!$F$2,IF(C499="WR",LeagueInfo!$D$5*LeagueInfo!$F$2,IF(C499="TE",LeagueInfo!$D$6*LeagueInfo!$F$2)))</f>
        <v>24</v>
      </c>
    </row>
    <row r="500" spans="1:9" x14ac:dyDescent="0.25">
      <c r="A500" s="47">
        <f ca="1">RANK(E500,E$2:E$574)</f>
        <v>504</v>
      </c>
      <c r="B500" s="1" t="s">
        <v>805</v>
      </c>
      <c r="C500" s="1" t="s">
        <v>47</v>
      </c>
      <c r="D500" s="1">
        <f ca="1">INDEX(INDIRECT($C500&amp;"!O:O"),MATCH($B500,INDIRECT($C500&amp;"!B:B"),0))</f>
        <v>4.0299999999999994</v>
      </c>
      <c r="E500" s="254">
        <f ca="1">D500-LARGE(D$2:D$467,RBCount+WRCount+TECount)</f>
        <v>-72.81</v>
      </c>
      <c r="F500" s="1" t="str">
        <f ca="1">IF(H500&lt;=I500,"Starter",IF(G500&gt;=LARGE(G:G,FlexOn*LeagueInfo!$F$2),"Starter","Bench"))</f>
        <v>Bench</v>
      </c>
      <c r="G500" s="1">
        <f ca="1">IF(H500&gt;I500,D500,0)</f>
        <v>4.0299999999999994</v>
      </c>
      <c r="H500" s="1">
        <f ca="1">INDEX(INDIRECT(""&amp;C500&amp;"!A2:A489"),MATCH(B500,INDIRECT(""&amp;C500&amp;"!B2:B489"),0))</f>
        <v>123</v>
      </c>
      <c r="I500" s="1">
        <f>IF(C500="RB",LeagueInfo!$D$4*LeagueInfo!$F$2,IF(C500="WR",LeagueInfo!$D$5*LeagueInfo!$F$2,IF(C500="TE",LeagueInfo!$D$6*LeagueInfo!$F$2)))</f>
        <v>12</v>
      </c>
    </row>
    <row r="501" spans="1:9" x14ac:dyDescent="0.25">
      <c r="A501" s="47">
        <f ca="1">RANK(E501,E$2:E$574)</f>
        <v>488</v>
      </c>
      <c r="B501" s="1" t="s">
        <v>515</v>
      </c>
      <c r="C501" s="1" t="s">
        <v>32</v>
      </c>
      <c r="D501" s="1">
        <f ca="1">INDEX(INDIRECT($C501&amp;"!O:O"),MATCH($B501,INDIRECT($C501&amp;"!B:B"),0))</f>
        <v>5.04</v>
      </c>
      <c r="E501" s="254">
        <f ca="1">D501-LARGE(D$2:D$467,RBCount+WRCount+TECount)</f>
        <v>-71.8</v>
      </c>
      <c r="F501" s="1" t="str">
        <f ca="1">IF(H501&lt;=I501,"Starter",IF(G501&gt;=LARGE(G:G,FlexOn*LeagueInfo!$F$2),"Starter","Bench"))</f>
        <v>Bench</v>
      </c>
      <c r="G501" s="1">
        <f ca="1">IF(H501&gt;I501,D501,0)</f>
        <v>5.04</v>
      </c>
      <c r="H501" s="1">
        <f ca="1">INDEX(INDIRECT(""&amp;C501&amp;"!A2:A489"),MATCH(B501,INDIRECT(""&amp;C501&amp;"!B2:B489"),0))</f>
        <v>150</v>
      </c>
      <c r="I501" s="1">
        <f>IF(C501="RB",LeagueInfo!$D$4*LeagueInfo!$F$2,IF(C501="WR",LeagueInfo!$D$5*LeagueInfo!$F$2,IF(C501="TE",LeagueInfo!$D$6*LeagueInfo!$F$2)))</f>
        <v>24</v>
      </c>
    </row>
    <row r="502" spans="1:9" x14ac:dyDescent="0.25">
      <c r="A502" s="47">
        <f ca="1">RANK(E502,E$2:E$574)</f>
        <v>512</v>
      </c>
      <c r="B502" s="1" t="s">
        <v>324</v>
      </c>
      <c r="C502" s="1" t="s">
        <v>39</v>
      </c>
      <c r="D502" s="1">
        <f ca="1">INDEX(INDIRECT($C502&amp;"!O:O"),MATCH($B502,INDIRECT($C502&amp;"!B:B"),0))</f>
        <v>3.6300000000000003</v>
      </c>
      <c r="E502" s="254">
        <f ca="1">D502-LARGE(D$2:D$467,RBCount+WRCount+TECount)</f>
        <v>-73.210000000000008</v>
      </c>
      <c r="F502" s="1" t="str">
        <f ca="1">IF(H502&lt;=I502,"Starter",IF(G502&gt;=LARGE(G:G,FlexOn*LeagueInfo!$F$2),"Starter","Bench"))</f>
        <v>Bench</v>
      </c>
      <c r="G502" s="1">
        <f ca="1">IF(H502&gt;I502,D502,0)</f>
        <v>3.6300000000000003</v>
      </c>
      <c r="H502" s="1">
        <f ca="1">INDEX(INDIRECT(""&amp;C502&amp;"!A2:A489"),MATCH(B502,INDIRECT(""&amp;C502&amp;"!B2:B489"),0))</f>
        <v>226</v>
      </c>
      <c r="I502" s="1">
        <f>IF(C502="RB",LeagueInfo!$D$4*LeagueInfo!$F$2,IF(C502="WR",LeagueInfo!$D$5*LeagueInfo!$F$2,IF(C502="TE",LeagueInfo!$D$6*LeagueInfo!$F$2)))</f>
        <v>24</v>
      </c>
    </row>
    <row r="503" spans="1:9" x14ac:dyDescent="0.25">
      <c r="A503" s="47">
        <f ca="1">RANK(E503,E$2:E$574)</f>
        <v>502</v>
      </c>
      <c r="B503" s="1" t="s">
        <v>521</v>
      </c>
      <c r="C503" s="1" t="s">
        <v>32</v>
      </c>
      <c r="D503" s="1">
        <f ca="1">INDEX(INDIRECT($C503&amp;"!O:O"),MATCH($B503,INDIRECT($C503&amp;"!B:B"),0))</f>
        <v>4.2</v>
      </c>
      <c r="E503" s="254">
        <f ca="1">D503-LARGE(D$2:D$467,RBCount+WRCount+TECount)</f>
        <v>-72.64</v>
      </c>
      <c r="F503" s="1" t="str">
        <f ca="1">IF(H503&lt;=I503,"Starter",IF(G503&gt;=LARGE(G:G,FlexOn*LeagueInfo!$F$2),"Starter","Bench"))</f>
        <v>Bench</v>
      </c>
      <c r="G503" s="1">
        <f ca="1">IF(H503&gt;I503,D503,0)</f>
        <v>4.2</v>
      </c>
      <c r="H503" s="1">
        <f ca="1">INDEX(INDIRECT(""&amp;C503&amp;"!A2:A489"),MATCH(B503,INDIRECT(""&amp;C503&amp;"!B2:B489"),0))</f>
        <v>155</v>
      </c>
      <c r="I503" s="1">
        <f>IF(C503="RB",LeagueInfo!$D$4*LeagueInfo!$F$2,IF(C503="WR",LeagueInfo!$D$5*LeagueInfo!$F$2,IF(C503="TE",LeagueInfo!$D$6*LeagueInfo!$F$2)))</f>
        <v>24</v>
      </c>
    </row>
    <row r="504" spans="1:9" x14ac:dyDescent="0.25">
      <c r="A504" s="47">
        <f ca="1">RANK(E504,E$2:E$574)</f>
        <v>508</v>
      </c>
      <c r="B504" s="1" t="s">
        <v>930</v>
      </c>
      <c r="C504" s="1" t="s">
        <v>47</v>
      </c>
      <c r="D504" s="1">
        <f ca="1">INDEX(INDIRECT($C504&amp;"!O:O"),MATCH($B504,INDIRECT($C504&amp;"!B:B"),0))</f>
        <v>3.9000000000000004</v>
      </c>
      <c r="E504" s="254">
        <f ca="1">D504-LARGE(D$2:D$467,RBCount+WRCount+TECount)</f>
        <v>-72.94</v>
      </c>
      <c r="F504" s="1" t="str">
        <f ca="1">IF(H504&lt;=I504,"Starter",IF(G504&gt;=LARGE(G:G,FlexOn*LeagueInfo!$F$2),"Starter","Bench"))</f>
        <v>Bench</v>
      </c>
      <c r="G504" s="1">
        <f ca="1">IF(H504&gt;I504,D504,0)</f>
        <v>3.9000000000000004</v>
      </c>
      <c r="H504" s="1">
        <f ca="1">INDEX(INDIRECT(""&amp;C504&amp;"!A2:A489"),MATCH(B504,INDIRECT(""&amp;C504&amp;"!B2:B489"),0))</f>
        <v>124</v>
      </c>
      <c r="I504" s="1">
        <f>IF(C504="RB",LeagueInfo!$D$4*LeagueInfo!$F$2,IF(C504="WR",LeagueInfo!$D$5*LeagueInfo!$F$2,IF(C504="TE",LeagueInfo!$D$6*LeagueInfo!$F$2)))</f>
        <v>12</v>
      </c>
    </row>
    <row r="505" spans="1:9" x14ac:dyDescent="0.25">
      <c r="A505" s="47">
        <f ca="1">RANK(E505,E$2:E$574)</f>
        <v>501</v>
      </c>
      <c r="B505" s="1" t="s">
        <v>524</v>
      </c>
      <c r="C505" s="1" t="s">
        <v>32</v>
      </c>
      <c r="D505" s="1">
        <f ca="1">INDEX(INDIRECT($C505&amp;"!O:O"),MATCH($B505,INDIRECT($C505&amp;"!B:B"),0))</f>
        <v>4.2300000000000004</v>
      </c>
      <c r="E505" s="254">
        <f ca="1">D505-LARGE(D$2:D$467,RBCount+WRCount+TECount)</f>
        <v>-72.61</v>
      </c>
      <c r="F505" s="1" t="str">
        <f ca="1">IF(H505&lt;=I505,"Starter",IF(G505&gt;=LARGE(G:G,FlexOn*LeagueInfo!$F$2),"Starter","Bench"))</f>
        <v>Bench</v>
      </c>
      <c r="G505" s="1">
        <f ca="1">IF(H505&gt;I505,D505,0)</f>
        <v>4.2300000000000004</v>
      </c>
      <c r="H505" s="1">
        <f ca="1">INDEX(INDIRECT(""&amp;C505&amp;"!A2:A489"),MATCH(B505,INDIRECT(""&amp;C505&amp;"!B2:B489"),0))</f>
        <v>154</v>
      </c>
      <c r="I505" s="1">
        <f>IF(C505="RB",LeagueInfo!$D$4*LeagueInfo!$F$2,IF(C505="WR",LeagueInfo!$D$5*LeagueInfo!$F$2,IF(C505="TE",LeagueInfo!$D$6*LeagueInfo!$F$2)))</f>
        <v>24</v>
      </c>
    </row>
    <row r="506" spans="1:9" x14ac:dyDescent="0.25">
      <c r="A506" s="47">
        <f ca="1">RANK(E506,E$2:E$574)</f>
        <v>509</v>
      </c>
      <c r="B506" s="1" t="s">
        <v>525</v>
      </c>
      <c r="C506" s="1" t="s">
        <v>32</v>
      </c>
      <c r="D506" s="1">
        <f ca="1">INDEX(INDIRECT($C506&amp;"!O:O"),MATCH($B506,INDIRECT($C506&amp;"!B:B"),0))</f>
        <v>3.87</v>
      </c>
      <c r="E506" s="254">
        <f ca="1">D506-LARGE(D$2:D$467,RBCount+WRCount+TECount)</f>
        <v>-72.97</v>
      </c>
      <c r="F506" s="1" t="str">
        <f ca="1">IF(H506&lt;=I506,"Starter",IF(G506&gt;=LARGE(G:G,FlexOn*LeagueInfo!$F$2),"Starter","Bench"))</f>
        <v>Bench</v>
      </c>
      <c r="G506" s="1">
        <f ca="1">IF(H506&gt;I506,D506,0)</f>
        <v>3.87</v>
      </c>
      <c r="H506" s="1">
        <f ca="1">INDEX(INDIRECT(""&amp;C506&amp;"!A2:A489"),MATCH(B506,INDIRECT(""&amp;C506&amp;"!B2:B489"),0))</f>
        <v>160</v>
      </c>
      <c r="I506" s="1">
        <f>IF(C506="RB",LeagueInfo!$D$4*LeagueInfo!$F$2,IF(C506="WR",LeagueInfo!$D$5*LeagueInfo!$F$2,IF(C506="TE",LeagueInfo!$D$6*LeagueInfo!$F$2)))</f>
        <v>24</v>
      </c>
    </row>
    <row r="507" spans="1:9" x14ac:dyDescent="0.25">
      <c r="A507" s="47">
        <f ca="1">RANK(E507,E$2:E$574)</f>
        <v>503</v>
      </c>
      <c r="B507" s="1" t="s">
        <v>528</v>
      </c>
      <c r="C507" s="1" t="s">
        <v>32</v>
      </c>
      <c r="D507" s="1">
        <f ca="1">INDEX(INDIRECT($C507&amp;"!O:O"),MATCH($B507,INDIRECT($C507&amp;"!B:B"),0))</f>
        <v>4.0500000000000007</v>
      </c>
      <c r="E507" s="254">
        <f ca="1">D507-LARGE(D$2:D$467,RBCount+WRCount+TECount)</f>
        <v>-72.790000000000006</v>
      </c>
      <c r="F507" s="1" t="str">
        <f ca="1">IF(H507&lt;=I507,"Starter",IF(G507&gt;=LARGE(G:G,FlexOn*LeagueInfo!$F$2),"Starter","Bench"))</f>
        <v>Bench</v>
      </c>
      <c r="G507" s="1">
        <f ca="1">IF(H507&gt;I507,D507,0)</f>
        <v>4.0500000000000007</v>
      </c>
      <c r="H507" s="1">
        <f ca="1">INDEX(INDIRECT(""&amp;C507&amp;"!A2:A489"),MATCH(B507,INDIRECT(""&amp;C507&amp;"!B2:B489"),0))</f>
        <v>156</v>
      </c>
      <c r="I507" s="1">
        <f>IF(C507="RB",LeagueInfo!$D$4*LeagueInfo!$F$2,IF(C507="WR",LeagueInfo!$D$5*LeagueInfo!$F$2,IF(C507="TE",LeagueInfo!$D$6*LeagueInfo!$F$2)))</f>
        <v>24</v>
      </c>
    </row>
    <row r="508" spans="1:9" x14ac:dyDescent="0.25">
      <c r="A508" s="47">
        <f ca="1">RANK(E508,E$2:E$574)</f>
        <v>511</v>
      </c>
      <c r="B508" s="1" t="s">
        <v>546</v>
      </c>
      <c r="C508" s="1" t="s">
        <v>32</v>
      </c>
      <c r="D508" s="1">
        <f ca="1">INDEX(INDIRECT($C508&amp;"!O:O"),MATCH($B508,INDIRECT($C508&amp;"!B:B"),0))</f>
        <v>3.7300000000000004</v>
      </c>
      <c r="E508" s="254">
        <f ca="1">D508-LARGE(D$2:D$467,RBCount+WRCount+TECount)</f>
        <v>-73.11</v>
      </c>
      <c r="F508" s="1" t="str">
        <f ca="1">IF(H508&lt;=I508,"Starter",IF(G508&gt;=LARGE(G:G,FlexOn*LeagueInfo!$F$2),"Starter","Bench"))</f>
        <v>Bench</v>
      </c>
      <c r="G508" s="1">
        <f ca="1">IF(H508&gt;I508,D508,0)</f>
        <v>3.7300000000000004</v>
      </c>
      <c r="H508" s="1">
        <f ca="1">INDEX(INDIRECT(""&amp;C508&amp;"!A2:A489"),MATCH(B508,INDIRECT(""&amp;C508&amp;"!B2:B489"),0))</f>
        <v>162</v>
      </c>
      <c r="I508" s="1">
        <f>IF(C508="RB",LeagueInfo!$D$4*LeagueInfo!$F$2,IF(C508="WR",LeagueInfo!$D$5*LeagueInfo!$F$2,IF(C508="TE",LeagueInfo!$D$6*LeagueInfo!$F$2)))</f>
        <v>24</v>
      </c>
    </row>
    <row r="509" spans="1:9" x14ac:dyDescent="0.25">
      <c r="A509" s="47">
        <f ca="1">RANK(E509,E$2:E$574)</f>
        <v>507</v>
      </c>
      <c r="B509" s="1" t="s">
        <v>522</v>
      </c>
      <c r="C509" s="1" t="s">
        <v>32</v>
      </c>
      <c r="D509" s="1">
        <f ca="1">INDEX(INDIRECT($C509&amp;"!O:O"),MATCH($B509,INDIRECT($C509&amp;"!B:B"),0))</f>
        <v>3.9299999999999997</v>
      </c>
      <c r="E509" s="254">
        <f ca="1">D509-LARGE(D$2:D$467,RBCount+WRCount+TECount)</f>
        <v>-72.91</v>
      </c>
      <c r="F509" s="1" t="str">
        <f ca="1">IF(H509&lt;=I509,"Starter",IF(G509&gt;=LARGE(G:G,FlexOn*LeagueInfo!$F$2),"Starter","Bench"))</f>
        <v>Bench</v>
      </c>
      <c r="G509" s="1">
        <f ca="1">IF(H509&gt;I509,D509,0)</f>
        <v>3.9299999999999997</v>
      </c>
      <c r="H509" s="1">
        <f ca="1">INDEX(INDIRECT(""&amp;C509&amp;"!A2:A489"),MATCH(B509,INDIRECT(""&amp;C509&amp;"!B2:B489"),0))</f>
        <v>159</v>
      </c>
      <c r="I509" s="1">
        <f>IF(C509="RB",LeagueInfo!$D$4*LeagueInfo!$F$2,IF(C509="WR",LeagueInfo!$D$5*LeagueInfo!$F$2,IF(C509="TE",LeagueInfo!$D$6*LeagueInfo!$F$2)))</f>
        <v>24</v>
      </c>
    </row>
    <row r="510" spans="1:9" x14ac:dyDescent="0.25">
      <c r="A510" s="47">
        <f ca="1">RANK(E510,E$2:E$574)</f>
        <v>513</v>
      </c>
      <c r="B510" s="1" t="s">
        <v>773</v>
      </c>
      <c r="C510" s="1" t="s">
        <v>47</v>
      </c>
      <c r="D510" s="1">
        <f ca="1">INDEX(INDIRECT($C510&amp;"!O:O"),MATCH($B510,INDIRECT($C510&amp;"!B:B"),0))</f>
        <v>3.5300000000000002</v>
      </c>
      <c r="E510" s="254">
        <f ca="1">D510-LARGE(D$2:D$467,RBCount+WRCount+TECount)</f>
        <v>-73.31</v>
      </c>
      <c r="F510" s="1" t="str">
        <f ca="1">IF(H510&lt;=I510,"Starter",IF(G510&gt;=LARGE(G:G,FlexOn*LeagueInfo!$F$2),"Starter","Bench"))</f>
        <v>Bench</v>
      </c>
      <c r="G510" s="1">
        <f ca="1">IF(H510&gt;I510,D510,0)</f>
        <v>3.5300000000000002</v>
      </c>
      <c r="H510" s="1">
        <f ca="1">INDEX(INDIRECT(""&amp;C510&amp;"!A2:A489"),MATCH(B510,INDIRECT(""&amp;C510&amp;"!B2:B489"),0))</f>
        <v>125</v>
      </c>
      <c r="I510" s="1">
        <f>IF(C510="RB",LeagueInfo!$D$4*LeagueInfo!$F$2,IF(C510="WR",LeagueInfo!$D$5*LeagueInfo!$F$2,IF(C510="TE",LeagueInfo!$D$6*LeagueInfo!$F$2)))</f>
        <v>12</v>
      </c>
    </row>
    <row r="511" spans="1:9" x14ac:dyDescent="0.25">
      <c r="A511" s="47">
        <f ca="1">RANK(E511,E$2:E$574)</f>
        <v>510</v>
      </c>
      <c r="B511" s="1" t="s">
        <v>325</v>
      </c>
      <c r="C511" s="1" t="s">
        <v>32</v>
      </c>
      <c r="D511" s="1">
        <f ca="1">INDEX(INDIRECT($C511&amp;"!O:O"),MATCH($B511,INDIRECT($C511&amp;"!B:B"),0))</f>
        <v>3.7600000000000002</v>
      </c>
      <c r="E511" s="254">
        <f ca="1">D511-LARGE(D$2:D$467,RBCount+WRCount+TECount)</f>
        <v>-73.08</v>
      </c>
      <c r="F511" s="1" t="str">
        <f ca="1">IF(H511&lt;=I511,"Starter",IF(G511&gt;=LARGE(G:G,FlexOn*LeagueInfo!$F$2),"Starter","Bench"))</f>
        <v>Bench</v>
      </c>
      <c r="G511" s="1">
        <f ca="1">IF(H511&gt;I511,D511,0)</f>
        <v>3.7600000000000002</v>
      </c>
      <c r="H511" s="1">
        <f ca="1">INDEX(INDIRECT(""&amp;C511&amp;"!A2:A489"),MATCH(B511,INDIRECT(""&amp;C511&amp;"!B2:B489"),0))</f>
        <v>161</v>
      </c>
      <c r="I511" s="1">
        <f>IF(C511="RB",LeagueInfo!$D$4*LeagueInfo!$F$2,IF(C511="WR",LeagueInfo!$D$5*LeagueInfo!$F$2,IF(C511="TE",LeagueInfo!$D$6*LeagueInfo!$F$2)))</f>
        <v>24</v>
      </c>
    </row>
    <row r="512" spans="1:9" x14ac:dyDescent="0.25">
      <c r="A512" s="47">
        <f ca="1">RANK(E512,E$2:E$574)</f>
        <v>497</v>
      </c>
      <c r="B512" s="1" t="s">
        <v>924</v>
      </c>
      <c r="C512" s="1" t="s">
        <v>32</v>
      </c>
      <c r="D512" s="1">
        <f ca="1">INDEX(INDIRECT($C512&amp;"!O:O"),MATCH($B512,INDIRECT($C512&amp;"!B:B"),0))</f>
        <v>4.5000000000000009</v>
      </c>
      <c r="E512" s="254">
        <f ca="1">D512-LARGE(D$2:D$467,RBCount+WRCount+TECount)</f>
        <v>-72.34</v>
      </c>
      <c r="F512" s="1" t="str">
        <f ca="1">IF(H512&lt;=I512,"Starter",IF(G512&gt;=LARGE(G:G,FlexOn*LeagueInfo!$F$2),"Starter","Bench"))</f>
        <v>Bench</v>
      </c>
      <c r="G512" s="1">
        <f ca="1">IF(H512&gt;I512,D512,0)</f>
        <v>4.5000000000000009</v>
      </c>
      <c r="H512" s="1">
        <f ca="1">INDEX(INDIRECT(""&amp;C512&amp;"!A2:A489"),MATCH(B512,INDIRECT(""&amp;C512&amp;"!B2:B489"),0))</f>
        <v>152</v>
      </c>
      <c r="I512" s="1">
        <f>IF(C512="RB",LeagueInfo!$D$4*LeagueInfo!$F$2,IF(C512="WR",LeagueInfo!$D$5*LeagueInfo!$F$2,IF(C512="TE",LeagueInfo!$D$6*LeagueInfo!$F$2)))</f>
        <v>24</v>
      </c>
    </row>
    <row r="513" spans="1:9" x14ac:dyDescent="0.25">
      <c r="A513" s="47">
        <f ca="1">RANK(E513,E$2:E$574)</f>
        <v>505</v>
      </c>
      <c r="B513" s="1" t="s">
        <v>520</v>
      </c>
      <c r="C513" s="1" t="s">
        <v>32</v>
      </c>
      <c r="D513" s="1">
        <f ca="1">INDEX(INDIRECT($C513&amp;"!O:O"),MATCH($B513,INDIRECT($C513&amp;"!B:B"),0))</f>
        <v>4.0200000000000005</v>
      </c>
      <c r="E513" s="254">
        <f ca="1">D513-LARGE(D$2:D$467,RBCount+WRCount+TECount)</f>
        <v>-72.820000000000007</v>
      </c>
      <c r="F513" s="1" t="str">
        <f ca="1">IF(H513&lt;=I513,"Starter",IF(G513&gt;=LARGE(G:G,FlexOn*LeagueInfo!$F$2),"Starter","Bench"))</f>
        <v>Bench</v>
      </c>
      <c r="G513" s="1">
        <f ca="1">IF(H513&gt;I513,D513,0)</f>
        <v>4.0200000000000005</v>
      </c>
      <c r="H513" s="1">
        <f ca="1">INDEX(INDIRECT(""&amp;C513&amp;"!A2:A489"),MATCH(B513,INDIRECT(""&amp;C513&amp;"!B2:B489"),0))</f>
        <v>157</v>
      </c>
      <c r="I513" s="1">
        <f>IF(C513="RB",LeagueInfo!$D$4*LeagueInfo!$F$2,IF(C513="WR",LeagueInfo!$D$5*LeagueInfo!$F$2,IF(C513="TE",LeagueInfo!$D$6*LeagueInfo!$F$2)))</f>
        <v>24</v>
      </c>
    </row>
    <row r="514" spans="1:9" x14ac:dyDescent="0.25">
      <c r="A514" s="47">
        <f ca="1">RANK(E514,E$2:E$574)</f>
        <v>515</v>
      </c>
      <c r="B514" s="1" t="s">
        <v>806</v>
      </c>
      <c r="C514" s="1" t="s">
        <v>47</v>
      </c>
      <c r="D514" s="1">
        <f ca="1">INDEX(INDIRECT($C514&amp;"!O:O"),MATCH($B514,INDIRECT($C514&amp;"!B:B"),0))</f>
        <v>3.1</v>
      </c>
      <c r="E514" s="254">
        <f ca="1">D514-LARGE(D$2:D$467,RBCount+WRCount+TECount)</f>
        <v>-73.740000000000009</v>
      </c>
      <c r="F514" s="1" t="str">
        <f ca="1">IF(H514&lt;=I514,"Starter",IF(G514&gt;=LARGE(G:G,FlexOn*LeagueInfo!$F$2),"Starter","Bench"))</f>
        <v>Bench</v>
      </c>
      <c r="G514" s="1">
        <f ca="1">IF(H514&gt;I514,D514,0)</f>
        <v>3.1</v>
      </c>
      <c r="H514" s="1">
        <f ca="1">INDEX(INDIRECT(""&amp;C514&amp;"!A2:A489"),MATCH(B514,INDIRECT(""&amp;C514&amp;"!B2:B489"),0))</f>
        <v>126</v>
      </c>
      <c r="I514" s="1">
        <f>IF(C514="RB",LeagueInfo!$D$4*LeagueInfo!$F$2,IF(C514="WR",LeagueInfo!$D$5*LeagueInfo!$F$2,IF(C514="TE",LeagueInfo!$D$6*LeagueInfo!$F$2)))</f>
        <v>12</v>
      </c>
    </row>
    <row r="515" spans="1:9" x14ac:dyDescent="0.25">
      <c r="A515" s="47">
        <f ca="1">RANK(E515,E$2:E$574)</f>
        <v>514</v>
      </c>
      <c r="B515" s="1" t="s">
        <v>527</v>
      </c>
      <c r="C515" s="1" t="s">
        <v>32</v>
      </c>
      <c r="D515" s="1">
        <f ca="1">INDEX(INDIRECT($C515&amp;"!O:O"),MATCH($B515,INDIRECT($C515&amp;"!B:B"),0))</f>
        <v>3.33</v>
      </c>
      <c r="E515" s="254">
        <f ca="1">D515-LARGE(D$2:D$467,RBCount+WRCount+TECount)</f>
        <v>-73.510000000000005</v>
      </c>
      <c r="F515" s="1" t="str">
        <f ca="1">IF(H515&lt;=I515,"Starter",IF(G515&gt;=LARGE(G:G,FlexOn*LeagueInfo!$F$2),"Starter","Bench"))</f>
        <v>Bench</v>
      </c>
      <c r="G515" s="1">
        <f ca="1">IF(H515&gt;I515,D515,0)</f>
        <v>3.33</v>
      </c>
      <c r="H515" s="1">
        <f ca="1">INDEX(INDIRECT(""&amp;C515&amp;"!A2:A489"),MATCH(B515,INDIRECT(""&amp;C515&amp;"!B2:B489"),0))</f>
        <v>163</v>
      </c>
      <c r="I515" s="1">
        <f>IF(C515="RB",LeagueInfo!$D$4*LeagueInfo!$F$2,IF(C515="WR",LeagueInfo!$D$5*LeagueInfo!$F$2,IF(C515="TE",LeagueInfo!$D$6*LeagueInfo!$F$2)))</f>
        <v>24</v>
      </c>
    </row>
    <row r="516" spans="1:9" x14ac:dyDescent="0.25">
      <c r="A516" s="47">
        <f ca="1">RANK(E516,E$2:E$574)</f>
        <v>506</v>
      </c>
      <c r="B516" s="1" t="s">
        <v>523</v>
      </c>
      <c r="C516" s="1" t="s">
        <v>32</v>
      </c>
      <c r="D516" s="1">
        <f ca="1">INDEX(INDIRECT($C516&amp;"!O:O"),MATCH($B516,INDIRECT($C516&amp;"!B:B"),0))</f>
        <v>4</v>
      </c>
      <c r="E516" s="254">
        <f ca="1">D516-LARGE(D$2:D$467,RBCount+WRCount+TECount)</f>
        <v>-72.84</v>
      </c>
      <c r="F516" s="1" t="str">
        <f ca="1">IF(H516&lt;=I516,"Starter",IF(G516&gt;=LARGE(G:G,FlexOn*LeagueInfo!$F$2),"Starter","Bench"))</f>
        <v>Bench</v>
      </c>
      <c r="G516" s="1">
        <f ca="1">IF(H516&gt;I516,D516,0)</f>
        <v>4</v>
      </c>
      <c r="H516" s="1">
        <f ca="1">INDEX(INDIRECT(""&amp;C516&amp;"!A2:A489"),MATCH(B516,INDIRECT(""&amp;C516&amp;"!B2:B489"),0))</f>
        <v>158</v>
      </c>
      <c r="I516" s="1">
        <f>IF(C516="RB",LeagueInfo!$D$4*LeagueInfo!$F$2,IF(C516="WR",LeagueInfo!$D$5*LeagueInfo!$F$2,IF(C516="TE",LeagueInfo!$D$6*LeagueInfo!$F$2)))</f>
        <v>24</v>
      </c>
    </row>
    <row r="517" spans="1:9" x14ac:dyDescent="0.25">
      <c r="A517" s="47">
        <f ca="1">RANK(E517,E$2:E$574)</f>
        <v>516</v>
      </c>
      <c r="B517" s="1" t="s">
        <v>538</v>
      </c>
      <c r="C517" s="1" t="s">
        <v>32</v>
      </c>
      <c r="D517" s="1">
        <f ca="1">INDEX(INDIRECT($C517&amp;"!O:O"),MATCH($B517,INDIRECT($C517&amp;"!B:B"),0))</f>
        <v>2.9600000000000004</v>
      </c>
      <c r="E517" s="254">
        <f ca="1">D517-LARGE(D$2:D$467,RBCount+WRCount+TECount)</f>
        <v>-73.88000000000001</v>
      </c>
      <c r="F517" s="1" t="str">
        <f ca="1">IF(H517&lt;=I517,"Starter",IF(G517&gt;=LARGE(G:G,FlexOn*LeagueInfo!$F$2),"Starter","Bench"))</f>
        <v>Bench</v>
      </c>
      <c r="G517" s="1">
        <f ca="1">IF(H517&gt;I517,D517,0)</f>
        <v>2.9600000000000004</v>
      </c>
      <c r="H517" s="1">
        <f ca="1">INDEX(INDIRECT(""&amp;C517&amp;"!A2:A489"),MATCH(B517,INDIRECT(""&amp;C517&amp;"!B2:B489"),0))</f>
        <v>164</v>
      </c>
      <c r="I517" s="1">
        <f>IF(C517="RB",LeagueInfo!$D$4*LeagueInfo!$F$2,IF(C517="WR",LeagueInfo!$D$5*LeagueInfo!$F$2,IF(C517="TE",LeagueInfo!$D$6*LeagueInfo!$F$2)))</f>
        <v>24</v>
      </c>
    </row>
    <row r="518" spans="1:9" x14ac:dyDescent="0.25">
      <c r="A518" s="47">
        <f ca="1">RANK(E518,E$2:E$574)</f>
        <v>518</v>
      </c>
      <c r="B518" s="1" t="s">
        <v>538</v>
      </c>
      <c r="C518" s="1" t="s">
        <v>47</v>
      </c>
      <c r="D518" s="1">
        <f ca="1">INDEX(INDIRECT($C518&amp;"!O:O"),MATCH($B518,INDIRECT($C518&amp;"!B:B"),0))</f>
        <v>2.25</v>
      </c>
      <c r="E518" s="254">
        <f ca="1">D518-LARGE(D$2:D$467,RBCount+WRCount+TECount)</f>
        <v>-74.59</v>
      </c>
      <c r="F518" s="1" t="str">
        <f ca="1">IF(H518&lt;=I518,"Starter",IF(G518&gt;=LARGE(G:G,FlexOn*LeagueInfo!$F$2),"Starter","Bench"))</f>
        <v>Bench</v>
      </c>
      <c r="G518" s="1">
        <f ca="1">IF(H518&gt;I518,D518,0)</f>
        <v>2.25</v>
      </c>
      <c r="H518" s="1">
        <f ca="1">INDEX(INDIRECT(""&amp;C518&amp;"!A2:A489"),MATCH(B518,INDIRECT(""&amp;C518&amp;"!B2:B489"),0))</f>
        <v>127</v>
      </c>
      <c r="I518" s="1">
        <f>IF(C518="RB",LeagueInfo!$D$4*LeagueInfo!$F$2,IF(C518="WR",LeagueInfo!$D$5*LeagueInfo!$F$2,IF(C518="TE",LeagueInfo!$D$6*LeagueInfo!$F$2)))</f>
        <v>12</v>
      </c>
    </row>
    <row r="519" spans="1:9" x14ac:dyDescent="0.25">
      <c r="A519" s="47">
        <f ca="1">RANK(E519,E$2:E$574)</f>
        <v>517</v>
      </c>
      <c r="B519" s="1" t="s">
        <v>532</v>
      </c>
      <c r="C519" s="1" t="s">
        <v>32</v>
      </c>
      <c r="D519" s="1">
        <f ca="1">INDEX(INDIRECT($C519&amp;"!O:O"),MATCH($B519,INDIRECT($C519&amp;"!B:B"),0))</f>
        <v>2.8000000000000003</v>
      </c>
      <c r="E519" s="254">
        <f ca="1">D519-LARGE(D$2:D$467,RBCount+WRCount+TECount)</f>
        <v>-74.040000000000006</v>
      </c>
      <c r="F519" s="1" t="str">
        <f ca="1">IF(H519&lt;=I519,"Starter",IF(G519&gt;=LARGE(G:G,FlexOn*LeagueInfo!$F$2),"Starter","Bench"))</f>
        <v>Bench</v>
      </c>
      <c r="G519" s="1">
        <f ca="1">IF(H519&gt;I519,D519,0)</f>
        <v>2.8000000000000003</v>
      </c>
      <c r="H519" s="1">
        <f ca="1">INDEX(INDIRECT(""&amp;C519&amp;"!A2:A489"),MATCH(B519,INDIRECT(""&amp;C519&amp;"!B2:B489"),0))</f>
        <v>165</v>
      </c>
      <c r="I519" s="1">
        <f>IF(C519="RB",LeagueInfo!$D$4*LeagueInfo!$F$2,IF(C519="WR",LeagueInfo!$D$5*LeagueInfo!$F$2,IF(C519="TE",LeagueInfo!$D$6*LeagueInfo!$F$2)))</f>
        <v>24</v>
      </c>
    </row>
    <row r="520" spans="1:9" x14ac:dyDescent="0.25">
      <c r="A520" s="47">
        <f ca="1">RANK(E520,E$2:E$574)</f>
        <v>519</v>
      </c>
      <c r="B520" s="1" t="s">
        <v>529</v>
      </c>
      <c r="C520" s="1" t="s">
        <v>32</v>
      </c>
      <c r="D520" s="1">
        <f ca="1">INDEX(INDIRECT($C520&amp;"!O:O"),MATCH($B520,INDIRECT($C520&amp;"!B:B"),0))</f>
        <v>2.2400000000000002</v>
      </c>
      <c r="E520" s="254">
        <f ca="1">D520-LARGE(D$2:D$467,RBCount+WRCount+TECount)</f>
        <v>-74.600000000000009</v>
      </c>
      <c r="F520" s="1" t="str">
        <f ca="1">IF(H520&lt;=I520,"Starter",IF(G520&gt;=LARGE(G:G,FlexOn*LeagueInfo!$F$2),"Starter","Bench"))</f>
        <v>Bench</v>
      </c>
      <c r="G520" s="1">
        <f ca="1">IF(H520&gt;I520,D520,0)</f>
        <v>2.2400000000000002</v>
      </c>
      <c r="H520" s="1">
        <f ca="1">INDEX(INDIRECT(""&amp;C520&amp;"!A2:A489"),MATCH(B520,INDIRECT(""&amp;C520&amp;"!B2:B489"),0))</f>
        <v>166</v>
      </c>
      <c r="I520" s="1">
        <f>IF(C520="RB",LeagueInfo!$D$4*LeagueInfo!$F$2,IF(C520="WR",LeagueInfo!$D$5*LeagueInfo!$F$2,IF(C520="TE",LeagueInfo!$D$6*LeagueInfo!$F$2)))</f>
        <v>24</v>
      </c>
    </row>
    <row r="521" spans="1:9" x14ac:dyDescent="0.25">
      <c r="A521" s="47">
        <f ca="1">RANK(E521,E$2:E$574)</f>
        <v>520</v>
      </c>
      <c r="B521" s="1" t="s">
        <v>526</v>
      </c>
      <c r="C521" s="1" t="s">
        <v>32</v>
      </c>
      <c r="D521" s="1">
        <f ca="1">INDEX(INDIRECT($C521&amp;"!O:O"),MATCH($B521,INDIRECT($C521&amp;"!B:B"),0))</f>
        <v>2.1</v>
      </c>
      <c r="E521" s="254">
        <f ca="1">D521-LARGE(D$2:D$467,RBCount+WRCount+TECount)</f>
        <v>-74.740000000000009</v>
      </c>
      <c r="F521" s="1" t="str">
        <f ca="1">IF(H521&lt;=I521,"Starter",IF(G521&gt;=LARGE(G:G,FlexOn*LeagueInfo!$F$2),"Starter","Bench"))</f>
        <v>Bench</v>
      </c>
      <c r="G521" s="1">
        <f ca="1">IF(H521&gt;I521,D521,0)</f>
        <v>2.1</v>
      </c>
      <c r="H521" s="1">
        <f ca="1">INDEX(INDIRECT(""&amp;C521&amp;"!A2:A489"),MATCH(B521,INDIRECT(""&amp;C521&amp;"!B2:B489"),0))</f>
        <v>167</v>
      </c>
      <c r="I521" s="1">
        <f>IF(C521="RB",LeagueInfo!$D$4*LeagueInfo!$F$2,IF(C521="WR",LeagueInfo!$D$5*LeagueInfo!$F$2,IF(C521="TE",LeagueInfo!$D$6*LeagueInfo!$F$2)))</f>
        <v>24</v>
      </c>
    </row>
    <row r="522" spans="1:9" x14ac:dyDescent="0.25">
      <c r="A522" s="47">
        <f ca="1">RANK(E522,E$2:E$574)</f>
        <v>522</v>
      </c>
      <c r="B522" s="1" t="s">
        <v>530</v>
      </c>
      <c r="C522" s="1" t="s">
        <v>32</v>
      </c>
      <c r="D522" s="1">
        <f ca="1">INDEX(INDIRECT($C522&amp;"!O:O"),MATCH($B522,INDIRECT($C522&amp;"!B:B"),0))</f>
        <v>1.5100000000000002</v>
      </c>
      <c r="E522" s="254">
        <f ca="1">D522-LARGE(D$2:D$467,RBCount+WRCount+TECount)</f>
        <v>-75.33</v>
      </c>
      <c r="F522" s="1" t="str">
        <f ca="1">IF(H522&lt;=I522,"Starter",IF(G522&gt;=LARGE(G:G,FlexOn*LeagueInfo!$F$2),"Starter","Bench"))</f>
        <v>Bench</v>
      </c>
      <c r="G522" s="1">
        <f ca="1">IF(H522&gt;I522,D522,0)</f>
        <v>1.5100000000000002</v>
      </c>
      <c r="H522" s="1">
        <f ca="1">INDEX(INDIRECT(""&amp;C522&amp;"!A2:A489"),MATCH(B522,INDIRECT(""&amp;C522&amp;"!B2:B489"),0))</f>
        <v>169</v>
      </c>
      <c r="I522" s="1">
        <f>IF(C522="RB",LeagueInfo!$D$4*LeagueInfo!$F$2,IF(C522="WR",LeagueInfo!$D$5*LeagueInfo!$F$2,IF(C522="TE",LeagueInfo!$D$6*LeagueInfo!$F$2)))</f>
        <v>24</v>
      </c>
    </row>
    <row r="523" spans="1:9" x14ac:dyDescent="0.25">
      <c r="A523" s="47">
        <f ca="1">RANK(E523,E$2:E$574)</f>
        <v>521</v>
      </c>
      <c r="B523" s="1" t="s">
        <v>925</v>
      </c>
      <c r="C523" s="1" t="s">
        <v>32</v>
      </c>
      <c r="D523" s="1">
        <f ca="1">INDEX(INDIRECT($C523&amp;"!O:O"),MATCH($B523,INDIRECT($C523&amp;"!B:B"),0))</f>
        <v>1.6</v>
      </c>
      <c r="E523" s="254">
        <f ca="1">D523-LARGE(D$2:D$467,RBCount+WRCount+TECount)</f>
        <v>-75.240000000000009</v>
      </c>
      <c r="F523" s="1" t="str">
        <f ca="1">IF(H523&lt;=I523,"Starter",IF(G523&gt;=LARGE(G:G,FlexOn*LeagueInfo!$F$2),"Starter","Bench"))</f>
        <v>Bench</v>
      </c>
      <c r="G523" s="1">
        <f ca="1">IF(H523&gt;I523,D523,0)</f>
        <v>1.6</v>
      </c>
      <c r="H523" s="1">
        <f ca="1">INDEX(INDIRECT(""&amp;C523&amp;"!A2:A489"),MATCH(B523,INDIRECT(""&amp;C523&amp;"!B2:B489"),0))</f>
        <v>168</v>
      </c>
      <c r="I523" s="1">
        <f>IF(C523="RB",LeagueInfo!$D$4*LeagueInfo!$F$2,IF(C523="WR",LeagueInfo!$D$5*LeagueInfo!$F$2,IF(C523="TE",LeagueInfo!$D$6*LeagueInfo!$F$2)))</f>
        <v>24</v>
      </c>
    </row>
    <row r="524" spans="1:9" x14ac:dyDescent="0.25">
      <c r="A524" s="47">
        <f ca="1">RANK(E524,E$2:E$574)</f>
        <v>524</v>
      </c>
      <c r="B524" s="1" t="s">
        <v>545</v>
      </c>
      <c r="C524" s="1" t="s">
        <v>39</v>
      </c>
      <c r="D524" s="1">
        <f ca="1">INDEX(INDIRECT($C524&amp;"!O:O"),MATCH($B524,INDIRECT($C524&amp;"!B:B"),0))</f>
        <v>1.1000000000000001</v>
      </c>
      <c r="E524" s="254">
        <f ca="1">D524-LARGE(D$2:D$467,RBCount+WRCount+TECount)</f>
        <v>-75.740000000000009</v>
      </c>
      <c r="F524" s="1" t="str">
        <f ca="1">IF(H524&lt;=I524,"Starter",IF(G524&gt;=LARGE(G:G,FlexOn*LeagueInfo!$F$2),"Starter","Bench"))</f>
        <v>Bench</v>
      </c>
      <c r="G524" s="1">
        <f ca="1">IF(H524&gt;I524,D524,0)</f>
        <v>1.1000000000000001</v>
      </c>
      <c r="H524" s="1">
        <f ca="1">INDEX(INDIRECT(""&amp;C524&amp;"!A2:A489"),MATCH(B524,INDIRECT(""&amp;C524&amp;"!B2:B489"),0))</f>
        <v>227</v>
      </c>
      <c r="I524" s="1">
        <f>IF(C524="RB",LeagueInfo!$D$4*LeagueInfo!$F$2,IF(C524="WR",LeagueInfo!$D$5*LeagueInfo!$F$2,IF(C524="TE",LeagueInfo!$D$6*LeagueInfo!$F$2)))</f>
        <v>24</v>
      </c>
    </row>
    <row r="525" spans="1:9" x14ac:dyDescent="0.25">
      <c r="A525" s="47">
        <f ca="1">RANK(E525,E$2:E$574)</f>
        <v>523</v>
      </c>
      <c r="B525" s="1" t="s">
        <v>531</v>
      </c>
      <c r="C525" s="1" t="s">
        <v>32</v>
      </c>
      <c r="D525" s="1">
        <f ca="1">INDEX(INDIRECT($C525&amp;"!O:O"),MATCH($B525,INDIRECT($C525&amp;"!B:B"),0))</f>
        <v>1.4000000000000001</v>
      </c>
      <c r="E525" s="254">
        <f ca="1">D525-LARGE(D$2:D$467,RBCount+WRCount+TECount)</f>
        <v>-75.44</v>
      </c>
      <c r="F525" s="1" t="str">
        <f ca="1">IF(H525&lt;=I525,"Starter",IF(G525&gt;=LARGE(G:G,FlexOn*LeagueInfo!$F$2),"Starter","Bench"))</f>
        <v>Bench</v>
      </c>
      <c r="G525" s="1">
        <f ca="1">IF(H525&gt;I525,D525,0)</f>
        <v>1.4000000000000001</v>
      </c>
      <c r="H525" s="1">
        <f ca="1">INDEX(INDIRECT(""&amp;C525&amp;"!A2:A489"),MATCH(B525,INDIRECT(""&amp;C525&amp;"!B2:B489"),0))</f>
        <v>170</v>
      </c>
      <c r="I525" s="1">
        <f>IF(C525="RB",LeagueInfo!$D$4*LeagueInfo!$F$2,IF(C525="WR",LeagueInfo!$D$5*LeagueInfo!$F$2,IF(C525="TE",LeagueInfo!$D$6*LeagueInfo!$F$2)))</f>
        <v>24</v>
      </c>
    </row>
    <row r="526" spans="1:9" x14ac:dyDescent="0.25">
      <c r="A526" s="47">
        <f ca="1">RANK(E526,E$2:E$574)</f>
        <v>524</v>
      </c>
      <c r="B526" s="1" t="s">
        <v>533</v>
      </c>
      <c r="C526" s="1" t="s">
        <v>32</v>
      </c>
      <c r="D526" s="1">
        <f ca="1">INDEX(INDIRECT($C526&amp;"!O:O"),MATCH($B526,INDIRECT($C526&amp;"!B:B"),0))</f>
        <v>1.1000000000000001</v>
      </c>
      <c r="E526" s="254">
        <f ca="1">D526-LARGE(D$2:D$467,RBCount+WRCount+TECount)</f>
        <v>-75.740000000000009</v>
      </c>
      <c r="F526" s="1" t="str">
        <f ca="1">IF(H526&lt;=I526,"Starter",IF(G526&gt;=LARGE(G:G,FlexOn*LeagueInfo!$F$2),"Starter","Bench"))</f>
        <v>Bench</v>
      </c>
      <c r="G526" s="1">
        <f ca="1">IF(H526&gt;I526,D526,0)</f>
        <v>1.1000000000000001</v>
      </c>
      <c r="H526" s="1">
        <f ca="1">INDEX(INDIRECT(""&amp;C526&amp;"!A2:A489"),MATCH(B526,INDIRECT(""&amp;C526&amp;"!B2:B489"),0))</f>
        <v>171</v>
      </c>
      <c r="I526" s="1">
        <f>IF(C526="RB",LeagueInfo!$D$4*LeagueInfo!$F$2,IF(C526="WR",LeagueInfo!$D$5*LeagueInfo!$F$2,IF(C526="TE",LeagueInfo!$D$6*LeagueInfo!$F$2)))</f>
        <v>24</v>
      </c>
    </row>
    <row r="527" spans="1:9" x14ac:dyDescent="0.25">
      <c r="A527" s="47">
        <f ca="1">RANK(E527,E$2:E$574)</f>
        <v>524</v>
      </c>
      <c r="B527" s="1" t="s">
        <v>534</v>
      </c>
      <c r="C527" s="1" t="s">
        <v>32</v>
      </c>
      <c r="D527" s="1">
        <f ca="1">INDEX(INDIRECT($C527&amp;"!O:O"),MATCH($B527,INDIRECT($C527&amp;"!B:B"),0))</f>
        <v>1.1000000000000001</v>
      </c>
      <c r="E527" s="254">
        <f ca="1">D527-LARGE(D$2:D$467,RBCount+WRCount+TECount)</f>
        <v>-75.740000000000009</v>
      </c>
      <c r="F527" s="1" t="str">
        <f ca="1">IF(H527&lt;=I527,"Starter",IF(G527&gt;=LARGE(G:G,FlexOn*LeagueInfo!$F$2),"Starter","Bench"))</f>
        <v>Bench</v>
      </c>
      <c r="G527" s="1">
        <f ca="1">IF(H527&gt;I527,D527,0)</f>
        <v>1.1000000000000001</v>
      </c>
      <c r="H527" s="1">
        <f ca="1">INDEX(INDIRECT(""&amp;C527&amp;"!A2:A489"),MATCH(B527,INDIRECT(""&amp;C527&amp;"!B2:B489"),0))</f>
        <v>171</v>
      </c>
      <c r="I527" s="1">
        <f>IF(C527="RB",LeagueInfo!$D$4*LeagueInfo!$F$2,IF(C527="WR",LeagueInfo!$D$5*LeagueInfo!$F$2,IF(C527="TE",LeagueInfo!$D$6*LeagueInfo!$F$2)))</f>
        <v>24</v>
      </c>
    </row>
    <row r="528" spans="1:9" x14ac:dyDescent="0.25">
      <c r="A528" s="47">
        <f ca="1">RANK(E528,E$2:E$574)</f>
        <v>527</v>
      </c>
      <c r="B528" s="1" t="s">
        <v>928</v>
      </c>
      <c r="C528" s="1" t="s">
        <v>39</v>
      </c>
      <c r="D528" s="1">
        <f ca="1">INDEX(INDIRECT($C528&amp;"!O:O"),MATCH($B528,INDIRECT($C528&amp;"!B:B"),0))</f>
        <v>0.9</v>
      </c>
      <c r="E528" s="254">
        <f ca="1">D528-LARGE(D$2:D$467,RBCount+WRCount+TECount)</f>
        <v>-75.94</v>
      </c>
      <c r="F528" s="1" t="str">
        <f ca="1">IF(H528&lt;=I528,"Starter",IF(G528&gt;=LARGE(G:G,FlexOn*LeagueInfo!$F$2),"Starter","Bench"))</f>
        <v>Bench</v>
      </c>
      <c r="G528" s="1">
        <f ca="1">IF(H528&gt;I528,D528,0)</f>
        <v>0.9</v>
      </c>
      <c r="H528" s="1">
        <f ca="1">INDEX(INDIRECT(""&amp;C528&amp;"!A2:A489"),MATCH(B528,INDIRECT(""&amp;C528&amp;"!B2:B489"),0))</f>
        <v>228</v>
      </c>
      <c r="I528" s="1">
        <f>IF(C528="RB",LeagueInfo!$D$4*LeagueInfo!$F$2,IF(C528="WR",LeagueInfo!$D$5*LeagueInfo!$F$2,IF(C528="TE",LeagueInfo!$D$6*LeagueInfo!$F$2)))</f>
        <v>24</v>
      </c>
    </row>
    <row r="529" spans="1:9" x14ac:dyDescent="0.25">
      <c r="A529" s="47">
        <f ca="1">RANK(E529,E$2:E$574)</f>
        <v>528</v>
      </c>
      <c r="B529" s="1" t="s">
        <v>708</v>
      </c>
      <c r="C529" s="1" t="s">
        <v>39</v>
      </c>
      <c r="D529" s="1">
        <f ca="1">INDEX(INDIRECT($C529&amp;"!O:O"),MATCH($B529,INDIRECT($C529&amp;"!B:B"),0))</f>
        <v>0.21000000000000002</v>
      </c>
      <c r="E529" s="254">
        <f ca="1">D529-LARGE(D$2:D$467,RBCount+WRCount+TECount)</f>
        <v>-76.63000000000001</v>
      </c>
      <c r="F529" s="1" t="str">
        <f ca="1">IF(H529&lt;=I529,"Starter",IF(G529&gt;=LARGE(G:G,FlexOn*LeagueInfo!$F$2),"Starter","Bench"))</f>
        <v>Bench</v>
      </c>
      <c r="G529" s="1">
        <f ca="1">IF(H529&gt;I529,D529,0)</f>
        <v>0.21000000000000002</v>
      </c>
      <c r="H529" s="1">
        <f ca="1">INDEX(INDIRECT(""&amp;C529&amp;"!A2:A489"),MATCH(B529,INDIRECT(""&amp;C529&amp;"!B2:B489"),0))</f>
        <v>229</v>
      </c>
      <c r="I529" s="1">
        <f>IF(C529="RB",LeagueInfo!$D$4*LeagueInfo!$F$2,IF(C529="WR",LeagueInfo!$D$5*LeagueInfo!$F$2,IF(C529="TE",LeagueInfo!$D$6*LeagueInfo!$F$2)))</f>
        <v>24</v>
      </c>
    </row>
    <row r="530" spans="1:9" x14ac:dyDescent="0.25">
      <c r="A530" s="47"/>
      <c r="B530"/>
      <c r="C530"/>
      <c r="D530"/>
      <c r="E530"/>
      <c r="F530"/>
      <c r="G530"/>
      <c r="H530"/>
      <c r="I530"/>
    </row>
    <row r="531" spans="1:9" x14ac:dyDescent="0.25">
      <c r="A531" s="47"/>
      <c r="B531"/>
      <c r="C531"/>
      <c r="D531"/>
      <c r="E531"/>
      <c r="F531"/>
      <c r="G531"/>
      <c r="H531"/>
      <c r="I531"/>
    </row>
    <row r="532" spans="1:9" x14ac:dyDescent="0.25">
      <c r="A532" s="47"/>
      <c r="B532"/>
      <c r="C532"/>
      <c r="D532"/>
      <c r="E532"/>
      <c r="F532"/>
      <c r="G532"/>
      <c r="H532"/>
      <c r="I532"/>
    </row>
    <row r="533" spans="1:9" x14ac:dyDescent="0.25">
      <c r="A533" s="47"/>
      <c r="B533"/>
      <c r="C533"/>
      <c r="D533"/>
      <c r="E533"/>
      <c r="F533"/>
      <c r="G533"/>
      <c r="H533"/>
      <c r="I533"/>
    </row>
    <row r="534" spans="1:9" x14ac:dyDescent="0.25">
      <c r="A534" s="47"/>
      <c r="B534"/>
      <c r="C534"/>
      <c r="D534"/>
      <c r="E534"/>
      <c r="F534"/>
      <c r="G534"/>
      <c r="H534"/>
      <c r="I534"/>
    </row>
    <row r="535" spans="1:9" x14ac:dyDescent="0.25">
      <c r="A535" s="47"/>
      <c r="B535"/>
      <c r="C535"/>
      <c r="D535"/>
      <c r="E535"/>
      <c r="F535"/>
      <c r="G535"/>
      <c r="H535"/>
      <c r="I535"/>
    </row>
    <row r="536" spans="1:9" x14ac:dyDescent="0.25">
      <c r="A536" s="47"/>
      <c r="B536"/>
      <c r="C536"/>
      <c r="D536"/>
      <c r="E536"/>
      <c r="F536"/>
      <c r="G536"/>
      <c r="H536"/>
      <c r="I536"/>
    </row>
    <row r="537" spans="1:9" x14ac:dyDescent="0.25">
      <c r="A537" s="47"/>
      <c r="B537"/>
      <c r="C537"/>
      <c r="D537"/>
      <c r="E537"/>
      <c r="F537"/>
      <c r="G537"/>
      <c r="H537"/>
      <c r="I537"/>
    </row>
    <row r="538" spans="1:9" x14ac:dyDescent="0.25">
      <c r="A538" s="47"/>
      <c r="B538"/>
      <c r="C538"/>
      <c r="D538"/>
      <c r="E538"/>
      <c r="F538"/>
      <c r="G538"/>
      <c r="H538"/>
      <c r="I538"/>
    </row>
    <row r="539" spans="1:9" x14ac:dyDescent="0.25">
      <c r="A539"/>
      <c r="B539"/>
      <c r="C539"/>
      <c r="D539"/>
      <c r="E539"/>
      <c r="F539"/>
      <c r="G539"/>
      <c r="H539"/>
      <c r="I539"/>
    </row>
    <row r="540" spans="1:9" x14ac:dyDescent="0.25">
      <c r="A540"/>
      <c r="B540"/>
      <c r="C540"/>
      <c r="D540"/>
      <c r="E540"/>
      <c r="F540"/>
      <c r="G540"/>
      <c r="H540"/>
      <c r="I540"/>
    </row>
    <row r="541" spans="1:9" x14ac:dyDescent="0.25">
      <c r="A541"/>
      <c r="B541"/>
      <c r="C541"/>
      <c r="D541"/>
      <c r="E541"/>
      <c r="F541"/>
      <c r="G541"/>
      <c r="H541"/>
      <c r="I541"/>
    </row>
    <row r="542" spans="1:9" x14ac:dyDescent="0.25">
      <c r="A542"/>
      <c r="B542"/>
      <c r="C542"/>
      <c r="D542"/>
      <c r="E542"/>
      <c r="F542"/>
      <c r="G542"/>
      <c r="H542"/>
      <c r="I542"/>
    </row>
    <row r="543" spans="1:9" x14ac:dyDescent="0.25">
      <c r="A543"/>
      <c r="B543"/>
      <c r="C543"/>
      <c r="D543"/>
      <c r="E543"/>
      <c r="F543"/>
      <c r="G543"/>
      <c r="H543"/>
      <c r="I543"/>
    </row>
    <row r="544" spans="1:9" x14ac:dyDescent="0.25">
      <c r="A544"/>
      <c r="B544"/>
      <c r="C544"/>
      <c r="D544"/>
      <c r="E544"/>
      <c r="F544"/>
      <c r="G544"/>
      <c r="H544"/>
      <c r="I544"/>
    </row>
    <row r="545" spans="1:9" x14ac:dyDescent="0.25">
      <c r="A545"/>
      <c r="B545"/>
      <c r="C545"/>
      <c r="D545"/>
      <c r="E545"/>
      <c r="F545"/>
      <c r="G545"/>
      <c r="H545"/>
      <c r="I545"/>
    </row>
    <row r="546" spans="1:9" x14ac:dyDescent="0.25">
      <c r="A546"/>
      <c r="B546"/>
      <c r="C546"/>
      <c r="D546"/>
      <c r="E546"/>
      <c r="F546"/>
      <c r="G546"/>
      <c r="H546"/>
      <c r="I546"/>
    </row>
    <row r="547" spans="1:9" x14ac:dyDescent="0.25">
      <c r="A547"/>
      <c r="B547"/>
      <c r="C547"/>
      <c r="D547"/>
      <c r="E547"/>
      <c r="F547"/>
      <c r="G547"/>
      <c r="H547"/>
      <c r="I547"/>
    </row>
    <row r="548" spans="1:9" x14ac:dyDescent="0.25">
      <c r="A548"/>
      <c r="B548"/>
      <c r="C548"/>
      <c r="D548"/>
      <c r="E548"/>
      <c r="F548"/>
      <c r="G548"/>
      <c r="H548"/>
      <c r="I548"/>
    </row>
    <row r="549" spans="1:9" x14ac:dyDescent="0.25">
      <c r="A549"/>
      <c r="B549"/>
      <c r="C549"/>
      <c r="D549"/>
      <c r="E549"/>
      <c r="F549"/>
      <c r="G549"/>
      <c r="H549"/>
      <c r="I549"/>
    </row>
    <row r="550" spans="1:9" x14ac:dyDescent="0.25">
      <c r="A550"/>
      <c r="B550"/>
      <c r="C550"/>
      <c r="D550"/>
      <c r="E550"/>
      <c r="F550"/>
      <c r="G550"/>
      <c r="H550"/>
      <c r="I550"/>
    </row>
    <row r="551" spans="1:9" x14ac:dyDescent="0.25">
      <c r="A551"/>
      <c r="B551"/>
      <c r="C551"/>
      <c r="D551"/>
      <c r="E551"/>
      <c r="F551"/>
      <c r="G551"/>
      <c r="H551"/>
      <c r="I551"/>
    </row>
    <row r="552" spans="1:9" x14ac:dyDescent="0.25">
      <c r="A552"/>
      <c r="B552"/>
      <c r="C552"/>
      <c r="D552"/>
      <c r="E552"/>
      <c r="F552"/>
      <c r="G552"/>
      <c r="H552"/>
      <c r="I552"/>
    </row>
    <row r="553" spans="1:9" x14ac:dyDescent="0.25">
      <c r="A553"/>
      <c r="B553"/>
      <c r="C553"/>
      <c r="D553"/>
      <c r="E553"/>
      <c r="F553"/>
      <c r="G553"/>
      <c r="H553"/>
      <c r="I553"/>
    </row>
    <row r="554" spans="1:9" x14ac:dyDescent="0.25">
      <c r="A554"/>
      <c r="B554"/>
      <c r="C554"/>
      <c r="D554"/>
      <c r="E554"/>
      <c r="F554"/>
      <c r="G554"/>
      <c r="H554"/>
      <c r="I554"/>
    </row>
    <row r="555" spans="1:9" x14ac:dyDescent="0.25">
      <c r="A555"/>
      <c r="B555"/>
      <c r="C555"/>
      <c r="D555"/>
      <c r="E555"/>
      <c r="F555"/>
      <c r="G555"/>
      <c r="H555"/>
      <c r="I555"/>
    </row>
    <row r="556" spans="1:9" x14ac:dyDescent="0.25">
      <c r="A556"/>
      <c r="B556"/>
      <c r="C556"/>
      <c r="D556"/>
      <c r="E556"/>
      <c r="F556"/>
      <c r="G556"/>
      <c r="H556"/>
      <c r="I556"/>
    </row>
    <row r="557" spans="1:9" x14ac:dyDescent="0.25">
      <c r="A557"/>
      <c r="B557"/>
      <c r="C557"/>
      <c r="D557"/>
      <c r="E557"/>
      <c r="F557"/>
      <c r="G557"/>
      <c r="H557"/>
      <c r="I557"/>
    </row>
    <row r="558" spans="1:9" x14ac:dyDescent="0.25">
      <c r="A558"/>
      <c r="B558"/>
      <c r="C558"/>
      <c r="D558"/>
      <c r="E558"/>
      <c r="F558"/>
      <c r="G558"/>
      <c r="H558"/>
      <c r="I558"/>
    </row>
    <row r="559" spans="1:9" x14ac:dyDescent="0.25">
      <c r="A559"/>
      <c r="B559"/>
      <c r="C559"/>
      <c r="D559"/>
      <c r="E559"/>
      <c r="F559"/>
      <c r="G559"/>
      <c r="H559"/>
      <c r="I559"/>
    </row>
    <row r="560" spans="1:9" x14ac:dyDescent="0.25">
      <c r="A560"/>
      <c r="B560"/>
      <c r="C560"/>
      <c r="D560"/>
      <c r="E560"/>
      <c r="F560"/>
      <c r="G560"/>
      <c r="H560"/>
      <c r="I560"/>
    </row>
    <row r="561" spans="1:9" x14ac:dyDescent="0.25">
      <c r="A561"/>
      <c r="B561"/>
      <c r="C561"/>
      <c r="D561"/>
      <c r="E561"/>
      <c r="F561"/>
      <c r="G561"/>
      <c r="H561"/>
      <c r="I561"/>
    </row>
    <row r="562" spans="1:9" x14ac:dyDescent="0.25">
      <c r="A562"/>
      <c r="B562"/>
      <c r="C562"/>
      <c r="D562"/>
      <c r="E562"/>
      <c r="F562"/>
      <c r="G562"/>
      <c r="H562"/>
      <c r="I562"/>
    </row>
    <row r="563" spans="1:9" x14ac:dyDescent="0.25">
      <c r="A563"/>
      <c r="B563"/>
      <c r="C563"/>
      <c r="D563"/>
      <c r="E563"/>
      <c r="F563"/>
      <c r="G563"/>
      <c r="H563"/>
      <c r="I563"/>
    </row>
    <row r="564" spans="1:9" x14ac:dyDescent="0.25">
      <c r="A564"/>
      <c r="B564"/>
      <c r="C564"/>
      <c r="D564"/>
      <c r="E564"/>
      <c r="F564"/>
      <c r="G564"/>
      <c r="H564"/>
      <c r="I564"/>
    </row>
    <row r="565" spans="1:9" x14ac:dyDescent="0.25">
      <c r="A565"/>
      <c r="B565"/>
      <c r="C565"/>
      <c r="D565"/>
      <c r="E565"/>
      <c r="F565"/>
      <c r="G565"/>
      <c r="H565"/>
      <c r="I565"/>
    </row>
    <row r="566" spans="1:9" x14ac:dyDescent="0.25">
      <c r="A566"/>
      <c r="B566"/>
      <c r="C566"/>
      <c r="D566"/>
      <c r="E566"/>
      <c r="F566"/>
      <c r="G566"/>
      <c r="H566"/>
      <c r="I566"/>
    </row>
    <row r="567" spans="1:9" x14ac:dyDescent="0.25">
      <c r="A567"/>
      <c r="B567"/>
      <c r="C567"/>
      <c r="D567"/>
      <c r="E567"/>
      <c r="F567"/>
      <c r="G567"/>
      <c r="H567"/>
      <c r="I567"/>
    </row>
    <row r="568" spans="1:9" x14ac:dyDescent="0.25">
      <c r="A568"/>
      <c r="B568"/>
      <c r="C568"/>
      <c r="D568"/>
      <c r="E568"/>
      <c r="F568"/>
      <c r="G568"/>
      <c r="H568"/>
      <c r="I568"/>
    </row>
    <row r="569" spans="1:9" x14ac:dyDescent="0.25">
      <c r="A569"/>
      <c r="B569"/>
      <c r="C569"/>
      <c r="D569"/>
      <c r="E569"/>
      <c r="F569"/>
      <c r="G569"/>
      <c r="H569"/>
      <c r="I569"/>
    </row>
    <row r="570" spans="1:9" x14ac:dyDescent="0.25">
      <c r="A570"/>
      <c r="B570"/>
      <c r="C570"/>
      <c r="D570"/>
      <c r="E570"/>
      <c r="F570"/>
      <c r="G570"/>
      <c r="H570"/>
      <c r="I570"/>
    </row>
    <row r="571" spans="1:9" x14ac:dyDescent="0.25">
      <c r="A571"/>
      <c r="B571"/>
      <c r="C571"/>
      <c r="D571"/>
      <c r="E571"/>
      <c r="F571"/>
      <c r="G571"/>
      <c r="H571"/>
      <c r="I571"/>
    </row>
    <row r="572" spans="1:9" x14ac:dyDescent="0.25">
      <c r="A572"/>
      <c r="B572"/>
      <c r="C572"/>
      <c r="D572"/>
      <c r="E572"/>
      <c r="F572"/>
      <c r="G572"/>
      <c r="H572"/>
      <c r="I572"/>
    </row>
    <row r="573" spans="1:9" x14ac:dyDescent="0.25">
      <c r="A573"/>
      <c r="B573"/>
      <c r="C573"/>
      <c r="D573"/>
      <c r="E573"/>
      <c r="F573"/>
      <c r="G573"/>
      <c r="H573"/>
      <c r="I573"/>
    </row>
    <row r="574" spans="1:9" x14ac:dyDescent="0.25">
      <c r="A574"/>
      <c r="B574"/>
      <c r="C574"/>
      <c r="D574"/>
      <c r="E574"/>
      <c r="F574"/>
      <c r="G574"/>
      <c r="H574"/>
      <c r="I574"/>
    </row>
  </sheetData>
  <autoFilter ref="A1:I538"/>
  <sortState ref="A2:J586">
    <sortCondition descending="1" ref="E2"/>
  </sortState>
  <conditionalFormatting sqref="C374 B195:C373">
    <cfRule type="expression" dxfId="54" priority="7">
      <formula>$J195="Yes"</formula>
    </cfRule>
  </conditionalFormatting>
  <conditionalFormatting sqref="B374">
    <cfRule type="expression" dxfId="53" priority="6">
      <formula>$J374="Yes"</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240"/>
  <sheetViews>
    <sheetView workbookViewId="0">
      <selection activeCell="A3" sqref="A3:V160"/>
    </sheetView>
  </sheetViews>
  <sheetFormatPr defaultColWidth="8.85546875" defaultRowHeight="15" x14ac:dyDescent="0.25"/>
  <cols>
    <col min="1" max="1" width="5.42578125" style="1" bestFit="1" customWidth="1"/>
    <col min="2" max="2" width="22.42578125" bestFit="1" customWidth="1"/>
    <col min="3" max="3" width="4.42578125" style="1" customWidth="1"/>
    <col min="4" max="4" width="4.42578125" style="1" bestFit="1" customWidth="1"/>
    <col min="5" max="5" width="5.140625" style="1" customWidth="1"/>
    <col min="6" max="6" width="4.140625" style="1" customWidth="1"/>
    <col min="7" max="7" width="4.42578125" style="1" customWidth="1"/>
    <col min="8" max="8" width="4.140625" style="1" bestFit="1" customWidth="1"/>
    <col min="9" max="10" width="4" style="1" bestFit="1" customWidth="1"/>
    <col min="11" max="11" width="5" bestFit="1" customWidth="1"/>
    <col min="12" max="12" width="8.140625" bestFit="1" customWidth="1"/>
    <col min="13" max="13" width="4.42578125" bestFit="1" customWidth="1"/>
    <col min="14" max="14" width="3.42578125" bestFit="1" customWidth="1"/>
    <col min="15" max="15" width="7" bestFit="1" customWidth="1"/>
    <col min="16" max="16" width="10.85546875" bestFit="1" customWidth="1"/>
    <col min="19" max="19" width="6.42578125" bestFit="1" customWidth="1"/>
    <col min="20" max="20" width="8.140625" style="1" bestFit="1" customWidth="1"/>
    <col min="21" max="21" width="7.42578125" style="25" bestFit="1" customWidth="1"/>
    <col min="22" max="22" width="8.85546875" customWidth="1"/>
    <col min="23" max="23" width="8.85546875" hidden="1" customWidth="1"/>
    <col min="24" max="24" width="0" style="1" hidden="1" customWidth="1"/>
  </cols>
  <sheetData>
    <row r="1" spans="1:27" s="1" customFormat="1" x14ac:dyDescent="0.25">
      <c r="F1" s="277" t="s">
        <v>326</v>
      </c>
      <c r="G1" s="277"/>
      <c r="H1" s="277" t="s">
        <v>327</v>
      </c>
      <c r="I1" s="277"/>
      <c r="J1" s="277"/>
      <c r="K1" s="277" t="s">
        <v>430</v>
      </c>
      <c r="L1" s="277"/>
      <c r="M1" s="277"/>
      <c r="U1" s="25"/>
    </row>
    <row r="2" spans="1:27" s="1" customFormat="1" ht="23.25" x14ac:dyDescent="0.25">
      <c r="A2" s="127" t="s">
        <v>328</v>
      </c>
      <c r="B2" s="127" t="s">
        <v>89</v>
      </c>
      <c r="C2" s="127" t="s">
        <v>329</v>
      </c>
      <c r="D2" s="127" t="s">
        <v>330</v>
      </c>
      <c r="E2" s="127" t="s">
        <v>331</v>
      </c>
      <c r="F2" s="127" t="s">
        <v>332</v>
      </c>
      <c r="G2" s="127" t="s">
        <v>333</v>
      </c>
      <c r="H2" s="127" t="s">
        <v>332</v>
      </c>
      <c r="I2" s="127" t="s">
        <v>334</v>
      </c>
      <c r="J2" s="127" t="s">
        <v>335</v>
      </c>
      <c r="K2" s="127" t="s">
        <v>431</v>
      </c>
      <c r="L2" s="127" t="s">
        <v>334</v>
      </c>
      <c r="M2" s="127" t="s">
        <v>335</v>
      </c>
      <c r="N2" s="127" t="s">
        <v>337</v>
      </c>
      <c r="O2" s="127" t="s">
        <v>338</v>
      </c>
      <c r="P2" s="127" t="s">
        <v>339</v>
      </c>
      <c r="Q2" s="127" t="s">
        <v>340</v>
      </c>
      <c r="R2" s="127" t="s">
        <v>341</v>
      </c>
      <c r="S2" s="127" t="s">
        <v>342</v>
      </c>
      <c r="T2" s="127" t="s">
        <v>343</v>
      </c>
      <c r="U2" s="127" t="s">
        <v>344</v>
      </c>
      <c r="V2" s="127" t="s">
        <v>345</v>
      </c>
      <c r="X2" s="127" t="s">
        <v>346</v>
      </c>
      <c r="Y2" s="127" t="s">
        <v>347</v>
      </c>
      <c r="Z2" s="127" t="s">
        <v>348</v>
      </c>
      <c r="AA2" s="127" t="s">
        <v>349</v>
      </c>
    </row>
    <row r="3" spans="1:27" s="1" customFormat="1" x14ac:dyDescent="0.25">
      <c r="A3" s="47">
        <f>RANK(O3,O$3:O$129)</f>
        <v>1</v>
      </c>
      <c r="B3" s="47" t="s">
        <v>117</v>
      </c>
      <c r="C3" s="47" t="s">
        <v>47</v>
      </c>
      <c r="D3" s="1">
        <f>VLOOKUP(E3,BYEs!$A$2:$B$34,2)</f>
        <v>9</v>
      </c>
      <c r="E3" s="47" t="s">
        <v>351</v>
      </c>
      <c r="F3" s="245">
        <v>0</v>
      </c>
      <c r="G3" s="246">
        <v>0</v>
      </c>
      <c r="H3" s="247">
        <v>0</v>
      </c>
      <c r="I3" s="247">
        <v>0</v>
      </c>
      <c r="J3" s="247">
        <v>0</v>
      </c>
      <c r="K3" s="245">
        <v>71.2</v>
      </c>
      <c r="L3" s="248">
        <v>1043.5999999999999</v>
      </c>
      <c r="M3" s="246">
        <v>9.6999999999999993</v>
      </c>
      <c r="N3" s="247">
        <v>0.2</v>
      </c>
      <c r="O3" s="47">
        <f>(I3*TERushYd)+(J3*TERushTD)+(K3*TERec)+(L3*TERecYd)+(M3*TERecTD)+(N3*TEFuml)+(H3*TERushAtt)</f>
        <v>162.16</v>
      </c>
      <c r="P3" s="47" t="str">
        <f ca="1">IF(A3&lt;=TEStarters,"Starter",IF(A3&gt;TEStarters+TEBench,"Undrafted","Bench"))</f>
        <v>Starter</v>
      </c>
      <c r="Q3" s="47">
        <f ca="1">IFERROR(MAX(O3-LARGE(O$3:O$129,TEStarters),0),0)</f>
        <v>66.69</v>
      </c>
      <c r="R3" s="47">
        <f ca="1">IFERROR(IF(AllowNegative="Yes",O3-LARGE(O$3:O$129,TECount),MAX(O3-LARGE(O$3:O$129,TECount),0)),0)</f>
        <v>95.36</v>
      </c>
      <c r="S3" s="47">
        <f ca="1">IF(TEStarters&gt;0,(R3-Q3)*BenchPF+Q3*StarterPF,0)</f>
        <v>36.002191864421611</v>
      </c>
      <c r="T3" s="47">
        <f ca="1">S3*Auction!$A$2</f>
        <v>36.002191864421611</v>
      </c>
      <c r="U3" s="47" t="str">
        <f>IF(OR(INDEX(Auction!$H$13:$H$683,MATCH(B3,Auction!$A$13:$A$683,0))&gt;0,IFERROR(INDEX(CheatSheet!$D$37:$D$64,MATCH(B3,CheatSheet!$A$37:$A$64,0)),"")&lt;&gt;""),"Yes","No")</f>
        <v>No</v>
      </c>
      <c r="V3" s="219"/>
      <c r="X3" s="100">
        <f ca="1">IFERROR(SUMIFS($Y$3:$Y$129,$Y$3:$Y$129,"&gt;0",$U$3:$U$129,"No")/SUMIF($Y$3:$Y$129,"&gt;0"),0)</f>
        <v>1</v>
      </c>
      <c r="Y3" s="1">
        <f ca="1">AVERAGE(Q3:R3)</f>
        <v>81.025000000000006</v>
      </c>
      <c r="Z3" s="145" t="str">
        <f ca="1">CONCATENATE("TE",ROUND((LARGE($Y$3:$Y$129,1)-$Y3)/(STDEVP($Y$3:$Y$129)/2)+1,0))</f>
        <v>TE1</v>
      </c>
      <c r="AA3" s="1">
        <f ca="1">Y3*LeagueInfo!$H$5</f>
        <v>37.056048709118663</v>
      </c>
    </row>
    <row r="4" spans="1:27" x14ac:dyDescent="0.25">
      <c r="A4" s="47">
        <f>RANK(O4,O$3:O$129)</f>
        <v>2</v>
      </c>
      <c r="B4" s="1" t="s">
        <v>133</v>
      </c>
      <c r="C4" s="1" t="s">
        <v>47</v>
      </c>
      <c r="D4" s="1">
        <f>VLOOKUP(E4,BYEs!$A$2:$B$34,2)</f>
        <v>10</v>
      </c>
      <c r="E4" s="1" t="s">
        <v>372</v>
      </c>
      <c r="F4" s="245">
        <v>0</v>
      </c>
      <c r="G4" s="246">
        <v>0</v>
      </c>
      <c r="H4" s="247">
        <v>0</v>
      </c>
      <c r="I4" s="247">
        <v>0</v>
      </c>
      <c r="J4" s="247">
        <v>0</v>
      </c>
      <c r="K4" s="249">
        <v>81.8</v>
      </c>
      <c r="L4" s="247">
        <v>1039.0999999999999</v>
      </c>
      <c r="M4" s="250">
        <v>5.5</v>
      </c>
      <c r="N4" s="251">
        <v>0.9</v>
      </c>
      <c r="O4" s="12">
        <f>(I4*TERushYd)+(J4*TERushTD)+(K4*TERec)+(L4*TERecYd)+(M4*TERecTD)+(N4*TEFuml)+(H4*TERushAtt)</f>
        <v>135.10999999999999</v>
      </c>
      <c r="P4" s="1" t="str">
        <f ca="1">IF(A4&lt;=TEStarters,"Starter",IF(A4&gt;TEStarters+TEBench,"Undrafted","Bench"))</f>
        <v>Starter</v>
      </c>
      <c r="Q4" s="47">
        <f ca="1">IFERROR(MAX(O4-LARGE(O$3:O$129,TEStarters),0),0)</f>
        <v>39.639999999999986</v>
      </c>
      <c r="R4" s="47">
        <f ca="1">IFERROR(IF(AllowNegative="Yes",O4-LARGE(O$3:O$129,TECount),MAX(O4-LARGE(O$3:O$129,TECount),0)),0)</f>
        <v>68.309999999999988</v>
      </c>
      <c r="S4" s="47">
        <f ca="1">IF(TEStarters&gt;0,(R4-Q4)*BenchPF+Q4*StarterPF,0)</f>
        <v>24.184458609500648</v>
      </c>
      <c r="T4" s="47">
        <f ca="1">S4*Auction!$A$2</f>
        <v>24.184458609500648</v>
      </c>
      <c r="U4" s="47" t="str">
        <f>IF(OR(INDEX(Auction!$H$13:$H$683,MATCH(B4,Auction!$A$13:$A$683,0))&gt;0,IFERROR(INDEX(CheatSheet!$D$37:$D$64,MATCH(B4,CheatSheet!$A$37:$A$64,0)),"")&lt;&gt;""),"Yes","No")</f>
        <v>No</v>
      </c>
      <c r="V4" s="219"/>
      <c r="W4" s="1"/>
      <c r="X4" s="100">
        <f ca="1">IFERROR(SUMIFS($Y$3:$Y$129,$Y$3:$Y$129,"&gt;0",$U$3:$U$129,"No")/SUMIF($Y$3:$Y$129,"&gt;0"),0)</f>
        <v>1</v>
      </c>
      <c r="Y4" s="1">
        <f t="shared" ref="Y4:Y67" ca="1" si="0">AVERAGE(Q4:R4)</f>
        <v>53.974999999999987</v>
      </c>
      <c r="Z4" s="145" t="str">
        <f ca="1">CONCATENATE("TE",ROUND((LARGE($Y$3:$Y$129,1)-$Y4)/(STDEVP($Y$3:$Y$129)/2)+1,0))</f>
        <v>TE4</v>
      </c>
      <c r="AA4" s="1">
        <f ca="1">Y4*LeagueInfo!$H$5</f>
        <v>24.684976600736551</v>
      </c>
    </row>
    <row r="5" spans="1:27" x14ac:dyDescent="0.25">
      <c r="A5" s="47">
        <f>RANK(O5,O$3:O$129)</f>
        <v>3</v>
      </c>
      <c r="B5" s="1" t="s">
        <v>147</v>
      </c>
      <c r="C5" s="1" t="s">
        <v>47</v>
      </c>
      <c r="D5" s="1">
        <f>VLOOKUP(E5,BYEs!$A$2:$B$34,2)</f>
        <v>11</v>
      </c>
      <c r="E5" s="1" t="s">
        <v>357</v>
      </c>
      <c r="F5" s="245">
        <v>0</v>
      </c>
      <c r="G5" s="246">
        <v>0</v>
      </c>
      <c r="H5" s="247">
        <v>0</v>
      </c>
      <c r="I5" s="247">
        <v>0</v>
      </c>
      <c r="J5" s="247">
        <v>0</v>
      </c>
      <c r="K5" s="249">
        <v>77.7</v>
      </c>
      <c r="L5" s="247">
        <v>1005.7</v>
      </c>
      <c r="M5" s="250">
        <v>5.5</v>
      </c>
      <c r="N5" s="251">
        <v>0.7</v>
      </c>
      <c r="O5" s="12">
        <f>(I5*TERushYd)+(J5*TERushTD)+(K5*TERec)+(L5*TERecYd)+(M5*TERecTD)+(N5*TEFuml)+(H5*TERushAtt)</f>
        <v>132.16999999999999</v>
      </c>
      <c r="P5" s="1" t="str">
        <f ca="1">IF(A5&lt;=TEStarters,"Starter",IF(A5&gt;TEStarters+TEBench,"Undrafted","Bench"))</f>
        <v>Starter</v>
      </c>
      <c r="Q5" s="47">
        <f ca="1">IFERROR(MAX(O5-LARGE(O$3:O$129,TEStarters),0),0)</f>
        <v>36.699999999999989</v>
      </c>
      <c r="R5" s="47">
        <f ca="1">IFERROR(IF(AllowNegative="Yes",O5-LARGE(O$3:O$129,TECount),MAX(O5-LARGE(O$3:O$129,TECount),0)),0)</f>
        <v>65.36999999999999</v>
      </c>
      <c r="S5" s="47">
        <f ca="1">IF(TEStarters&gt;0,(R5-Q5)*BenchPF+Q5*StarterPF,0)</f>
        <v>22.900017361091493</v>
      </c>
      <c r="T5" s="47">
        <f ca="1">S5*Auction!$A$2</f>
        <v>22.900017361091493</v>
      </c>
      <c r="U5" s="47" t="str">
        <f>IF(OR(INDEX(Auction!$H$13:$H$683,MATCH(B5,Auction!$A$13:$A$683,0))&gt;0,IFERROR(INDEX(CheatSheet!$D$37:$D$64,MATCH(B5,CheatSheet!$A$37:$A$64,0)),"")&lt;&gt;""),"Yes","No")</f>
        <v>No</v>
      </c>
      <c r="V5" s="219"/>
      <c r="W5" s="1"/>
      <c r="X5" s="100">
        <f ca="1">IFERROR(SUMIFS($Y$3:$Y$129,$Y$3:$Y$129,"&gt;0",$U$3:$U$129,"No")/SUMIF($Y$3:$Y$129,"&gt;0"),0)</f>
        <v>1</v>
      </c>
      <c r="Y5" s="1">
        <f t="shared" ca="1" si="0"/>
        <v>51.034999999999989</v>
      </c>
      <c r="Z5" s="145" t="str">
        <f ca="1">CONCATENATE("TE",ROUND((LARGE($Y$3:$Y$129,1)-$Y5)/(STDEVP($Y$3:$Y$129)/2)+1,0))</f>
        <v>TE4</v>
      </c>
      <c r="AA5" s="1">
        <f ca="1">Y5*LeagueInfo!$H$5</f>
        <v>23.340394271766371</v>
      </c>
    </row>
    <row r="6" spans="1:27" x14ac:dyDescent="0.25">
      <c r="A6" s="47">
        <f>RANK(O6,O$3:O$129)</f>
        <v>4</v>
      </c>
      <c r="B6" s="1" t="s">
        <v>139</v>
      </c>
      <c r="C6" s="1" t="s">
        <v>47</v>
      </c>
      <c r="D6" s="1">
        <f>VLOOKUP(E6,BYEs!$A$2:$B$34,2)</f>
        <v>5</v>
      </c>
      <c r="E6" s="1" t="s">
        <v>358</v>
      </c>
      <c r="F6" s="245">
        <v>0</v>
      </c>
      <c r="G6" s="246">
        <v>0</v>
      </c>
      <c r="H6" s="247">
        <v>0</v>
      </c>
      <c r="I6" s="247">
        <v>0</v>
      </c>
      <c r="J6" s="247">
        <v>0</v>
      </c>
      <c r="K6" s="249">
        <v>76.7</v>
      </c>
      <c r="L6" s="247">
        <v>836.6</v>
      </c>
      <c r="M6" s="250">
        <v>6.6</v>
      </c>
      <c r="N6" s="251">
        <v>1.7</v>
      </c>
      <c r="O6" s="12">
        <f>(I6*TERushYd)+(J6*TERushTD)+(K6*TERec)+(L6*TERecYd)+(M6*TERecTD)+(N6*TEFuml)+(H6*TERushAtt)</f>
        <v>119.86</v>
      </c>
      <c r="P6" s="1" t="str">
        <f ca="1">IF(A6&lt;=TEStarters,"Starter",IF(A6&gt;TEStarters+TEBench,"Undrafted","Bench"))</f>
        <v>Starter</v>
      </c>
      <c r="Q6" s="47">
        <f ca="1">IFERROR(MAX(O6-LARGE(O$3:O$129,TEStarters),0),0)</f>
        <v>24.39</v>
      </c>
      <c r="R6" s="47">
        <f ca="1">IFERROR(IF(AllowNegative="Yes",O6-LARGE(O$3:O$129,TECount),MAX(O6-LARGE(O$3:O$129,TECount),0)),0)</f>
        <v>53.06</v>
      </c>
      <c r="S6" s="47">
        <f ca="1">IF(TEStarters&gt;0,(R6-Q6)*BenchPF+Q6*StarterPF,0)</f>
        <v>17.521965739351128</v>
      </c>
      <c r="T6" s="47">
        <f ca="1">S6*Auction!$A$2</f>
        <v>17.521965739351128</v>
      </c>
      <c r="U6" s="47" t="str">
        <f>IF(OR(INDEX(Auction!$H$13:$H$683,MATCH(B6,Auction!$A$13:$A$683,0))&gt;0,IFERROR(INDEX(CheatSheet!$D$37:$D$64,MATCH(B6,CheatSheet!$A$37:$A$64,0)),"")&lt;&gt;""),"Yes","No")</f>
        <v>No</v>
      </c>
      <c r="V6" s="219"/>
      <c r="W6" s="1"/>
      <c r="X6" s="100">
        <f ca="1">IFERROR(SUMIFS($Y$3:$Y$129,$Y$3:$Y$129,"&gt;0",$U$3:$U$129,"No")/SUMIF($Y$3:$Y$129,"&gt;0"),0)</f>
        <v>1</v>
      </c>
      <c r="Y6" s="1">
        <f t="shared" ca="1" si="0"/>
        <v>38.725000000000001</v>
      </c>
      <c r="Z6" s="145" t="str">
        <f ca="1">CONCATENATE("TE",ROUND((LARGE($Y$3:$Y$129,1)-$Y6)/(STDEVP($Y$3:$Y$129)/2)+1,0))</f>
        <v>TE5</v>
      </c>
      <c r="AA6" s="1">
        <f ca="1">Y6*LeagueInfo!$H$5</f>
        <v>17.710527445364026</v>
      </c>
    </row>
    <row r="7" spans="1:27" x14ac:dyDescent="0.25">
      <c r="A7" s="47">
        <f>RANK(O7,O$3:O$129)</f>
        <v>5</v>
      </c>
      <c r="B7" s="1" t="s">
        <v>157</v>
      </c>
      <c r="C7" s="1" t="s">
        <v>47</v>
      </c>
      <c r="D7" s="1">
        <f>VLOOKUP(E7,BYEs!$A$2:$B$34,2)</f>
        <v>6</v>
      </c>
      <c r="E7" s="1" t="s">
        <v>354</v>
      </c>
      <c r="F7" s="245">
        <v>0</v>
      </c>
      <c r="G7" s="246">
        <v>0</v>
      </c>
      <c r="H7" s="247">
        <v>0</v>
      </c>
      <c r="I7" s="247">
        <v>0</v>
      </c>
      <c r="J7" s="247">
        <v>0</v>
      </c>
      <c r="K7" s="249">
        <v>63.6</v>
      </c>
      <c r="L7" s="247">
        <v>816.1</v>
      </c>
      <c r="M7" s="250">
        <v>6.7</v>
      </c>
      <c r="N7" s="251">
        <v>1</v>
      </c>
      <c r="O7" s="12">
        <f>(I7*TERushYd)+(J7*TERushTD)+(K7*TERec)+(L7*TERecYd)+(M7*TERecTD)+(N7*TEFuml)+(H7*TERushAtt)</f>
        <v>119.81000000000002</v>
      </c>
      <c r="P7" s="1" t="str">
        <f ca="1">IF(A7&lt;=TEStarters,"Starter",IF(A7&gt;TEStarters+TEBench,"Undrafted","Bench"))</f>
        <v>Starter</v>
      </c>
      <c r="Q7" s="47">
        <f ca="1">IFERROR(MAX(O7-LARGE(O$3:O$129,TEStarters),0),0)</f>
        <v>24.340000000000018</v>
      </c>
      <c r="R7" s="47">
        <f ca="1">IFERROR(IF(AllowNegative="Yes",O7-LARGE(O$3:O$129,TECount),MAX(O7-LARGE(O$3:O$129,TECount),0)),0)</f>
        <v>53.010000000000019</v>
      </c>
      <c r="S7" s="47">
        <f ca="1">IF(TEStarters&gt;0,(R7-Q7)*BenchPF+Q7*StarterPF,0)</f>
        <v>17.500121500432613</v>
      </c>
      <c r="T7" s="47">
        <f ca="1">S7*Auction!$A$2</f>
        <v>17.500121500432613</v>
      </c>
      <c r="U7" s="47" t="str">
        <f>IF(OR(INDEX(Auction!$H$13:$H$683,MATCH(B7,Auction!$A$13:$A$683,0))&gt;0,IFERROR(INDEX(CheatSheet!$D$37:$D$64,MATCH(B7,CheatSheet!$A$37:$A$64,0)),"")&lt;&gt;""),"Yes","No")</f>
        <v>No</v>
      </c>
      <c r="V7" s="219"/>
      <c r="W7" s="1"/>
      <c r="X7" s="100">
        <f ca="1">IFERROR(SUMIFS($Y$3:$Y$129,$Y$3:$Y$129,"&gt;0",$U$3:$U$129,"No")/SUMIF($Y$3:$Y$129,"&gt;0"),0)</f>
        <v>1</v>
      </c>
      <c r="Y7" s="1">
        <f t="shared" ca="1" si="0"/>
        <v>38.675000000000018</v>
      </c>
      <c r="Z7" s="145" t="str">
        <f ca="1">CONCATENATE("TE",ROUND((LARGE($Y$3:$Y$129,1)-$Y7)/(STDEVP($Y$3:$Y$129)/2)+1,0))</f>
        <v>TE5</v>
      </c>
      <c r="AA7" s="1">
        <f ca="1">Y7*LeagueInfo!$H$5</f>
        <v>17.687660398952975</v>
      </c>
    </row>
    <row r="8" spans="1:27" x14ac:dyDescent="0.25">
      <c r="A8" s="47">
        <f>RANK(O8,O$3:O$129)</f>
        <v>6</v>
      </c>
      <c r="B8" s="1" t="s">
        <v>204</v>
      </c>
      <c r="C8" s="1" t="s">
        <v>47</v>
      </c>
      <c r="D8" s="1">
        <f>VLOOKUP(E8,BYEs!$A$2:$B$34,2)</f>
        <v>9</v>
      </c>
      <c r="E8" s="1" t="s">
        <v>373</v>
      </c>
      <c r="F8" s="245">
        <v>0</v>
      </c>
      <c r="G8" s="246">
        <v>0</v>
      </c>
      <c r="H8" s="247">
        <v>0</v>
      </c>
      <c r="I8" s="247">
        <v>0</v>
      </c>
      <c r="J8" s="247">
        <v>0</v>
      </c>
      <c r="K8" s="249">
        <v>74.900000000000006</v>
      </c>
      <c r="L8" s="247">
        <v>753.9</v>
      </c>
      <c r="M8" s="250">
        <v>6</v>
      </c>
      <c r="N8" s="251">
        <v>0.7</v>
      </c>
      <c r="O8" s="12">
        <f>(I8*TERushYd)+(J8*TERushTD)+(K8*TERec)+(L8*TERecYd)+(M8*TERecTD)+(N8*TEFuml)+(H8*TERushAtt)</f>
        <v>109.99</v>
      </c>
      <c r="P8" s="1" t="str">
        <f ca="1">IF(A8&lt;=TEStarters,"Starter",IF(A8&gt;TEStarters+TEBench,"Undrafted","Bench"))</f>
        <v>Starter</v>
      </c>
      <c r="Q8" s="47">
        <f ca="1">IFERROR(MAX(O8-LARGE(O$3:O$129,TEStarters),0),0)</f>
        <v>14.519999999999996</v>
      </c>
      <c r="R8" s="47">
        <f ca="1">IFERROR(IF(AllowNegative="Yes",O8-LARGE(O$3:O$129,TECount),MAX(O8-LARGE(O$3:O$129,TECount),0)),0)</f>
        <v>43.19</v>
      </c>
      <c r="S8" s="47">
        <f ca="1">IF(TEStarters&gt;0,(R8-Q8)*BenchPF+Q8*StarterPF,0)</f>
        <v>13.20991297683468</v>
      </c>
      <c r="T8" s="47">
        <f ca="1">S8*Auction!$A$2</f>
        <v>13.20991297683468</v>
      </c>
      <c r="U8" s="47" t="str">
        <f>IF(OR(INDEX(Auction!$H$13:$H$683,MATCH(B8,Auction!$A$13:$A$683,0))&gt;0,IFERROR(INDEX(CheatSheet!$D$37:$D$64,MATCH(B8,CheatSheet!$A$37:$A$64,0)),"")&lt;&gt;""),"Yes","No")</f>
        <v>No</v>
      </c>
      <c r="V8" s="219"/>
      <c r="W8" s="1"/>
      <c r="X8" s="100">
        <f ca="1">IFERROR(SUMIFS($Y$3:$Y$129,$Y$3:$Y$129,"&gt;0",$U$3:$U$129,"No")/SUMIF($Y$3:$Y$129,"&gt;0"),0)</f>
        <v>1</v>
      </c>
      <c r="Y8" s="1">
        <f t="shared" ca="1" si="0"/>
        <v>28.854999999999997</v>
      </c>
      <c r="Z8" s="145" t="str">
        <f ca="1">CONCATENATE("TE",ROUND((LARGE($Y$3:$Y$129,1)-$Y8)/(STDEVP($Y$3:$Y$129)/2)+1,0))</f>
        <v>TE6</v>
      </c>
      <c r="AA8" s="1">
        <f ca="1">Y8*LeagueInfo!$H$5</f>
        <v>13.196572483821274</v>
      </c>
    </row>
    <row r="9" spans="1:27" x14ac:dyDescent="0.25">
      <c r="A9" s="47">
        <f>RANK(O9,O$3:O$129)</f>
        <v>7</v>
      </c>
      <c r="B9" s="1" t="s">
        <v>178</v>
      </c>
      <c r="C9" s="1" t="s">
        <v>47</v>
      </c>
      <c r="D9" s="1">
        <f>VLOOKUP(E9,BYEs!$A$2:$B$34,2)</f>
        <v>6</v>
      </c>
      <c r="E9" s="1" t="s">
        <v>366</v>
      </c>
      <c r="F9" s="245">
        <v>0</v>
      </c>
      <c r="G9" s="246">
        <v>0</v>
      </c>
      <c r="H9" s="247">
        <v>0</v>
      </c>
      <c r="I9" s="247">
        <v>0</v>
      </c>
      <c r="J9" s="247">
        <v>0</v>
      </c>
      <c r="K9" s="249">
        <v>57.2</v>
      </c>
      <c r="L9" s="247">
        <v>713.2</v>
      </c>
      <c r="M9" s="250">
        <v>6.5</v>
      </c>
      <c r="N9" s="251">
        <v>0.2</v>
      </c>
      <c r="O9" s="12">
        <f>(I9*TERushYd)+(J9*TERushTD)+(K9*TERec)+(L9*TERecYd)+(M9*TERecTD)+(N9*TEFuml)+(H9*TERushAtt)</f>
        <v>109.92</v>
      </c>
      <c r="P9" s="1" t="str">
        <f ca="1">IF(A9&lt;=TEStarters,"Starter",IF(A9&gt;TEStarters+TEBench,"Undrafted","Bench"))</f>
        <v>Starter</v>
      </c>
      <c r="Q9" s="47">
        <f ca="1">IFERROR(MAX(O9-LARGE(O$3:O$129,TEStarters),0),0)</f>
        <v>14.450000000000003</v>
      </c>
      <c r="R9" s="47">
        <f ca="1">IFERROR(IF(AllowNegative="Yes",O9-LARGE(O$3:O$129,TECount),MAX(O9-LARGE(O$3:O$129,TECount),0)),0)</f>
        <v>43.120000000000005</v>
      </c>
      <c r="S9" s="47">
        <f ca="1">IF(TEStarters&gt;0,(R9-Q9)*BenchPF+Q9*StarterPF,0)</f>
        <v>13.179331042348752</v>
      </c>
      <c r="T9" s="47">
        <f ca="1">S9*Auction!$A$2</f>
        <v>13.179331042348752</v>
      </c>
      <c r="U9" s="47" t="str">
        <f>IF(OR(INDEX(Auction!$H$13:$H$683,MATCH(B9,Auction!$A$13:$A$683,0))&gt;0,IFERROR(INDEX(CheatSheet!$D$37:$D$64,MATCH(B9,CheatSheet!$A$37:$A$64,0)),"")&lt;&gt;""),"Yes","No")</f>
        <v>No</v>
      </c>
      <c r="V9" s="219"/>
      <c r="W9" s="1"/>
      <c r="X9" s="100">
        <f ca="1">IFERROR(SUMIFS($Y$3:$Y$129,$Y$3:$Y$129,"&gt;0",$U$3:$U$129,"No")/SUMIF($Y$3:$Y$129,"&gt;0"),0)</f>
        <v>1</v>
      </c>
      <c r="Y9" s="1">
        <f t="shared" ca="1" si="0"/>
        <v>28.785000000000004</v>
      </c>
      <c r="Z9" s="145" t="str">
        <f ca="1">CONCATENATE("TE",ROUND((LARGE($Y$3:$Y$129,1)-$Y9)/(STDEVP($Y$3:$Y$129)/2)+1,0))</f>
        <v>TE6</v>
      </c>
      <c r="AA9" s="1">
        <f ca="1">Y9*LeagueInfo!$H$5</f>
        <v>13.164558618845797</v>
      </c>
    </row>
    <row r="10" spans="1:27" x14ac:dyDescent="0.25">
      <c r="A10" s="47">
        <f>RANK(O10,O$3:O$129)</f>
        <v>8</v>
      </c>
      <c r="B10" s="1" t="s">
        <v>177</v>
      </c>
      <c r="C10" s="1" t="s">
        <v>47</v>
      </c>
      <c r="D10" s="1">
        <f>VLOOKUP(E10,BYEs!$A$2:$B$34,2)</f>
        <v>8</v>
      </c>
      <c r="E10" s="1" t="s">
        <v>359</v>
      </c>
      <c r="F10" s="245">
        <v>0</v>
      </c>
      <c r="G10" s="246">
        <v>0</v>
      </c>
      <c r="H10" s="247">
        <v>0</v>
      </c>
      <c r="I10" s="247">
        <v>0</v>
      </c>
      <c r="J10" s="247">
        <v>0</v>
      </c>
      <c r="K10" s="249">
        <v>61.7</v>
      </c>
      <c r="L10" s="247">
        <v>738.9</v>
      </c>
      <c r="M10" s="250">
        <v>5.5</v>
      </c>
      <c r="N10" s="251">
        <v>0.2</v>
      </c>
      <c r="O10" s="12">
        <f>(I10*TERushYd)+(J10*TERushTD)+(K10*TERec)+(L10*TERecYd)+(M10*TERecTD)+(N10*TEFuml)+(H10*TERushAtt)</f>
        <v>106.49</v>
      </c>
      <c r="P10" s="1" t="str">
        <f ca="1">IF(A10&lt;=TEStarters,"Starter",IF(A10&gt;TEStarters+TEBench,"Undrafted","Bench"))</f>
        <v>Starter</v>
      </c>
      <c r="Q10" s="47">
        <f ca="1">IFERROR(MAX(O10-LARGE(O$3:O$129,TEStarters),0),0)</f>
        <v>11.019999999999996</v>
      </c>
      <c r="R10" s="47">
        <f ca="1">IFERROR(IF(AllowNegative="Yes",O10-LARGE(O$3:O$129,TECount),MAX(O10-LARGE(O$3:O$129,TECount),0)),0)</f>
        <v>39.69</v>
      </c>
      <c r="S10" s="47">
        <f ca="1">IF(TEStarters&gt;0,(R10-Q10)*BenchPF+Q10*StarterPF,0)</f>
        <v>11.680816252538069</v>
      </c>
      <c r="T10" s="47">
        <f ca="1">S10*Auction!$A$2</f>
        <v>11.680816252538069</v>
      </c>
      <c r="U10" s="47" t="str">
        <f>IF(OR(INDEX(Auction!$H$13:$H$683,MATCH(B10,Auction!$A$13:$A$683,0))&gt;0,IFERROR(INDEX(CheatSheet!$D$37:$D$64,MATCH(B10,CheatSheet!$A$37:$A$64,0)),"")&lt;&gt;""),"Yes","No")</f>
        <v>No</v>
      </c>
      <c r="V10" s="219"/>
      <c r="W10" s="1"/>
      <c r="X10" s="100">
        <f ca="1">IFERROR(SUMIFS($Y$3:$Y$129,$Y$3:$Y$129,"&gt;0",$U$3:$U$129,"No")/SUMIF($Y$3:$Y$129,"&gt;0"),0)</f>
        <v>1</v>
      </c>
      <c r="Y10" s="1">
        <f t="shared" ca="1" si="0"/>
        <v>25.354999999999997</v>
      </c>
      <c r="Z10" s="145" t="str">
        <f ca="1">CONCATENATE("TE",ROUND((LARGE($Y$3:$Y$129,1)-$Y10)/(STDEVP($Y$3:$Y$129)/2)+1,0))</f>
        <v>TE6</v>
      </c>
      <c r="AA10" s="1">
        <f ca="1">Y10*LeagueInfo!$H$5</f>
        <v>11.595879235047251</v>
      </c>
    </row>
    <row r="11" spans="1:27" x14ac:dyDescent="0.25">
      <c r="A11" s="47">
        <f>RANK(O11,O$3:O$129)</f>
        <v>9</v>
      </c>
      <c r="B11" s="1" t="s">
        <v>223</v>
      </c>
      <c r="C11" s="1" t="s">
        <v>47</v>
      </c>
      <c r="D11" s="1">
        <f>VLOOKUP(E11,BYEs!$A$2:$B$34,2)</f>
        <v>10</v>
      </c>
      <c r="E11" s="1" t="s">
        <v>369</v>
      </c>
      <c r="F11" s="245">
        <v>0</v>
      </c>
      <c r="G11" s="246">
        <v>0</v>
      </c>
      <c r="H11" s="247">
        <v>0</v>
      </c>
      <c r="I11" s="247">
        <v>0</v>
      </c>
      <c r="J11" s="247">
        <v>0</v>
      </c>
      <c r="K11" s="249">
        <v>74.400000000000006</v>
      </c>
      <c r="L11" s="247">
        <v>784.3</v>
      </c>
      <c r="M11" s="250">
        <v>4.7</v>
      </c>
      <c r="N11" s="251">
        <v>0.7</v>
      </c>
      <c r="O11" s="12">
        <f>(I11*TERushYd)+(J11*TERushTD)+(K11*TERec)+(L11*TERecYd)+(M11*TERecTD)+(N11*TEFuml)+(H11*TERushAtt)</f>
        <v>105.23</v>
      </c>
      <c r="P11" s="1" t="str">
        <f ca="1">IF(A11&lt;=TEStarters,"Starter",IF(A11&gt;TEStarters+TEBench,"Undrafted","Bench"))</f>
        <v>Starter</v>
      </c>
      <c r="Q11" s="47">
        <f ca="1">IFERROR(MAX(O11-LARGE(O$3:O$129,TEStarters),0),0)</f>
        <v>9.7600000000000051</v>
      </c>
      <c r="R11" s="47">
        <f ca="1">IFERROR(IF(AllowNegative="Yes",O11-LARGE(O$3:O$129,TECount),MAX(O11-LARGE(O$3:O$129,TECount),0)),0)</f>
        <v>38.430000000000007</v>
      </c>
      <c r="S11" s="47">
        <f ca="1">IF(TEStarters&gt;0,(R11-Q11)*BenchPF+Q11*StarterPF,0)</f>
        <v>11.130341431791294</v>
      </c>
      <c r="T11" s="47">
        <f ca="1">S11*Auction!$A$2</f>
        <v>11.130341431791294</v>
      </c>
      <c r="U11" s="47" t="str">
        <f>IF(OR(INDEX(Auction!$H$13:$H$683,MATCH(B11,Auction!$A$13:$A$683,0))&gt;0,IFERROR(INDEX(CheatSheet!$D$37:$D$64,MATCH(B11,CheatSheet!$A$37:$A$64,0)),"")&lt;&gt;""),"Yes","No")</f>
        <v>No</v>
      </c>
      <c r="V11" s="219"/>
      <c r="W11" s="1"/>
      <c r="X11" s="100">
        <f ca="1">IFERROR(SUMIFS($Y$3:$Y$129,$Y$3:$Y$129,"&gt;0",$U$3:$U$129,"No")/SUMIF($Y$3:$Y$129,"&gt;0"),0)</f>
        <v>1</v>
      </c>
      <c r="Y11" s="1">
        <f t="shared" ca="1" si="0"/>
        <v>24.095000000000006</v>
      </c>
      <c r="Z11" s="145" t="str">
        <f ca="1">CONCATENATE("TE",ROUND((LARGE($Y$3:$Y$129,1)-$Y11)/(STDEVP($Y$3:$Y$129)/2)+1,0))</f>
        <v>TE6</v>
      </c>
      <c r="AA11" s="1">
        <f ca="1">Y11*LeagueInfo!$H$5</f>
        <v>11.019629665488607</v>
      </c>
    </row>
    <row r="12" spans="1:27" x14ac:dyDescent="0.25">
      <c r="A12" s="47">
        <f>RANK(O12,O$3:O$129)</f>
        <v>10</v>
      </c>
      <c r="B12" s="1" t="s">
        <v>184</v>
      </c>
      <c r="C12" s="1" t="s">
        <v>47</v>
      </c>
      <c r="D12" s="1">
        <f>VLOOKUP(E12,BYEs!$A$2:$B$34,2)</f>
        <v>8</v>
      </c>
      <c r="E12" s="1" t="s">
        <v>350</v>
      </c>
      <c r="F12" s="245">
        <v>0</v>
      </c>
      <c r="G12" s="246">
        <v>0</v>
      </c>
      <c r="H12" s="247">
        <v>0</v>
      </c>
      <c r="I12" s="247">
        <v>0</v>
      </c>
      <c r="J12" s="247">
        <v>0</v>
      </c>
      <c r="K12" s="249">
        <v>60.6</v>
      </c>
      <c r="L12" s="247">
        <v>668.7</v>
      </c>
      <c r="M12" s="250">
        <v>6.2</v>
      </c>
      <c r="N12" s="251">
        <v>0.2</v>
      </c>
      <c r="O12" s="12">
        <f>(I12*TERushYd)+(J12*TERushTD)+(K12*TERec)+(L12*TERecYd)+(M12*TERecTD)+(N12*TEFuml)+(H12*TERushAtt)</f>
        <v>103.67</v>
      </c>
      <c r="P12" s="1" t="str">
        <f ca="1">IF(A12&lt;=TEStarters,"Starter",IF(A12&gt;TEStarters+TEBench,"Undrafted","Bench"))</f>
        <v>Starter</v>
      </c>
      <c r="Q12" s="47">
        <f ca="1">IFERROR(MAX(O12-LARGE(O$3:O$129,TEStarters),0),0)</f>
        <v>8.2000000000000028</v>
      </c>
      <c r="R12" s="47">
        <f ca="1">IFERROR(IF(AllowNegative="Yes",O12-LARGE(O$3:O$129,TECount),MAX(O12-LARGE(O$3:O$129,TECount),0)),0)</f>
        <v>36.870000000000005</v>
      </c>
      <c r="S12" s="47">
        <f ca="1">IF(TEStarters&gt;0,(R12-Q12)*BenchPF+Q12*StarterPF,0)</f>
        <v>10.448801177533372</v>
      </c>
      <c r="T12" s="47">
        <f ca="1">S12*Auction!$A$2</f>
        <v>10.448801177533372</v>
      </c>
      <c r="U12" s="47" t="str">
        <f>IF(OR(INDEX(Auction!$H$13:$H$683,MATCH(B12,Auction!$A$13:$A$683,0))&gt;0,IFERROR(INDEX(CheatSheet!$D$37:$D$64,MATCH(B12,CheatSheet!$A$37:$A$64,0)),"")&lt;&gt;""),"Yes","No")</f>
        <v>No</v>
      </c>
      <c r="V12" s="219"/>
      <c r="W12" s="1"/>
      <c r="X12" s="100">
        <f ca="1">IFERROR(SUMIFS($Y$3:$Y$129,$Y$3:$Y$129,"&gt;0",$U$3:$U$129,"No")/SUMIF($Y$3:$Y$129,"&gt;0"),0)</f>
        <v>1</v>
      </c>
      <c r="Y12" s="1">
        <f t="shared" ca="1" si="0"/>
        <v>22.535000000000004</v>
      </c>
      <c r="Z12" s="145" t="str">
        <f ca="1">CONCATENATE("TE",ROUND((LARGE($Y$3:$Y$129,1)-$Y12)/(STDEVP($Y$3:$Y$129)/2)+1,0))</f>
        <v>TE7</v>
      </c>
      <c r="AA12" s="1">
        <f ca="1">Y12*LeagueInfo!$H$5</f>
        <v>10.306177817463611</v>
      </c>
    </row>
    <row r="13" spans="1:27" x14ac:dyDescent="0.25">
      <c r="A13" s="47">
        <f>RANK(O13,O$3:O$129)</f>
        <v>11</v>
      </c>
      <c r="B13" s="1" t="s">
        <v>226</v>
      </c>
      <c r="C13" s="1" t="s">
        <v>47</v>
      </c>
      <c r="D13" s="1">
        <f>VLOOKUP(E13,BYEs!$A$2:$B$34,2)</f>
        <v>10</v>
      </c>
      <c r="E13" s="1" t="s">
        <v>361</v>
      </c>
      <c r="F13" s="245">
        <v>0</v>
      </c>
      <c r="G13" s="246">
        <v>0</v>
      </c>
      <c r="H13" s="247">
        <v>0</v>
      </c>
      <c r="I13" s="247">
        <v>0</v>
      </c>
      <c r="J13" s="247">
        <v>0</v>
      </c>
      <c r="K13" s="249">
        <v>50.4</v>
      </c>
      <c r="L13" s="247">
        <v>629</v>
      </c>
      <c r="M13" s="250">
        <v>6.3</v>
      </c>
      <c r="N13" s="251">
        <v>0.7</v>
      </c>
      <c r="O13" s="12">
        <f>(I13*TERushYd)+(J13*TERushTD)+(K13*TERec)+(L13*TERecYd)+(M13*TERecTD)+(N13*TEFuml)+(H13*TERushAtt)</f>
        <v>99.3</v>
      </c>
      <c r="P13" s="1" t="str">
        <f ca="1">IF(A13&lt;=TEStarters,"Starter",IF(A13&gt;TEStarters+TEBench,"Undrafted","Bench"))</f>
        <v>Starter</v>
      </c>
      <c r="Q13" s="47">
        <f ca="1">IFERROR(MAX(O13-LARGE(O$3:O$129,TEStarters),0),0)</f>
        <v>3.8299999999999983</v>
      </c>
      <c r="R13" s="47">
        <f ca="1">IFERROR(IF(AllowNegative="Yes",O13-LARGE(O$3:O$129,TECount),MAX(O13-LARGE(O$3:O$129,TECount),0)),0)</f>
        <v>32.5</v>
      </c>
      <c r="S13" s="47">
        <f ca="1">IF(TEStarters&gt;0,(R13-Q13)*BenchPF+Q13*StarterPF,0)</f>
        <v>8.5396146960544588</v>
      </c>
      <c r="T13" s="47">
        <f ca="1">S13*Auction!$A$2</f>
        <v>8.5396146960544588</v>
      </c>
      <c r="U13" s="47" t="str">
        <f>IF(OR(INDEX(Auction!$H$13:$H$683,MATCH(B13,Auction!$A$13:$A$683,0))&gt;0,IFERROR(INDEX(CheatSheet!$D$37:$D$64,MATCH(B13,CheatSheet!$A$37:$A$64,0)),"")&lt;&gt;""),"Yes","No")</f>
        <v>No</v>
      </c>
      <c r="V13" s="219"/>
      <c r="W13" s="1"/>
      <c r="X13" s="100">
        <f ca="1">IFERROR(SUMIFS($Y$3:$Y$129,$Y$3:$Y$129,"&gt;0",$U$3:$U$129,"No")/SUMIF($Y$3:$Y$129,"&gt;0"),0)</f>
        <v>1</v>
      </c>
      <c r="Y13" s="1">
        <f t="shared" ca="1" si="0"/>
        <v>18.164999999999999</v>
      </c>
      <c r="Z13" s="145" t="str">
        <f ca="1">CONCATENATE("TE",ROUND((LARGE($Y$3:$Y$129,1)-$Y13)/(STDEVP($Y$3:$Y$129)/2)+1,0))</f>
        <v>TE7</v>
      </c>
      <c r="AA13" s="1">
        <f ca="1">Y13*LeagueInfo!$H$5</f>
        <v>8.3075979611371853</v>
      </c>
    </row>
    <row r="14" spans="1:27" x14ac:dyDescent="0.25">
      <c r="A14" s="47">
        <f>RANK(O14,O$3:O$129)</f>
        <v>12</v>
      </c>
      <c r="B14" s="1" t="s">
        <v>268</v>
      </c>
      <c r="C14" s="1" t="s">
        <v>47</v>
      </c>
      <c r="D14" s="1">
        <f>VLOOKUP(E14,BYEs!$A$2:$B$34,2)</f>
        <v>7</v>
      </c>
      <c r="E14" s="1" t="s">
        <v>362</v>
      </c>
      <c r="F14" s="245">
        <v>0</v>
      </c>
      <c r="G14" s="246">
        <v>0</v>
      </c>
      <c r="H14" s="247">
        <v>0</v>
      </c>
      <c r="I14" s="247">
        <v>0</v>
      </c>
      <c r="J14" s="247">
        <v>0</v>
      </c>
      <c r="K14" s="249">
        <v>63.8</v>
      </c>
      <c r="L14" s="247">
        <v>720.7</v>
      </c>
      <c r="M14" s="250">
        <v>4.0999999999999996</v>
      </c>
      <c r="N14" s="251">
        <v>0.6</v>
      </c>
      <c r="O14" s="12">
        <f>(I14*TERushYd)+(J14*TERushTD)+(K14*TERec)+(L14*TERecYd)+(M14*TERecTD)+(N14*TEFuml)+(H14*TERushAtt)</f>
        <v>95.47</v>
      </c>
      <c r="P14" s="1" t="str">
        <f ca="1">IF(A14&lt;=TEStarters,"Starter",IF(A14&gt;TEStarters+TEBench,"Undrafted","Bench"))</f>
        <v>Starter</v>
      </c>
      <c r="Q14" s="47">
        <f ca="1">IFERROR(MAX(O14-LARGE(O$3:O$129,TEStarters),0),0)</f>
        <v>0</v>
      </c>
      <c r="R14" s="47">
        <f ca="1">IFERROR(IF(AllowNegative="Yes",O14-LARGE(O$3:O$129,TECount),MAX(O14-LARGE(O$3:O$129,TECount),0)),0)</f>
        <v>28.67</v>
      </c>
      <c r="S14" s="47">
        <f ca="1">IF(TEStarters&gt;0,(R14-Q14)*BenchPF+Q14*StarterPF,0)</f>
        <v>6.8663459948955952</v>
      </c>
      <c r="T14" s="47">
        <f ca="1">S14*Auction!$A$2</f>
        <v>6.8663459948955952</v>
      </c>
      <c r="U14" s="47" t="str">
        <f>IF(OR(INDEX(Auction!$H$13:$H$683,MATCH(B14,Auction!$A$13:$A$683,0))&gt;0,IFERROR(INDEX(CheatSheet!$D$37:$D$64,MATCH(B14,CheatSheet!$A$37:$A$64,0)),"")&lt;&gt;""),"Yes","No")</f>
        <v>No</v>
      </c>
      <c r="V14" s="219"/>
      <c r="W14" s="1"/>
      <c r="X14" s="100">
        <f ca="1">IFERROR(SUMIFS($Y$3:$Y$129,$Y$3:$Y$129,"&gt;0",$U$3:$U$129,"No")/SUMIF($Y$3:$Y$129,"&gt;0"),0)</f>
        <v>1</v>
      </c>
      <c r="Y14" s="1">
        <f t="shared" ca="1" si="0"/>
        <v>14.335000000000001</v>
      </c>
      <c r="Z14" s="145" t="str">
        <f ca="1">CONCATENATE("TE",ROUND((LARGE($Y$3:$Y$129,1)-$Y14)/(STDEVP($Y$3:$Y$129)/2)+1,0))</f>
        <v>TE7</v>
      </c>
      <c r="AA14" s="1">
        <f ca="1">Y14*LeagueInfo!$H$5</f>
        <v>6.5559822060501816</v>
      </c>
    </row>
    <row r="15" spans="1:27" x14ac:dyDescent="0.25">
      <c r="A15" s="47">
        <f>RANK(O15,O$3:O$129)</f>
        <v>13</v>
      </c>
      <c r="B15" s="1" t="s">
        <v>257</v>
      </c>
      <c r="C15" s="1" t="s">
        <v>47</v>
      </c>
      <c r="D15" s="1">
        <f>VLOOKUP(E15,BYEs!$A$2:$B$34,2)</f>
        <v>5</v>
      </c>
      <c r="E15" s="1" t="s">
        <v>352</v>
      </c>
      <c r="F15" s="245">
        <v>0</v>
      </c>
      <c r="G15" s="246">
        <v>0</v>
      </c>
      <c r="H15" s="247">
        <v>0</v>
      </c>
      <c r="I15" s="247">
        <v>0</v>
      </c>
      <c r="J15" s="247">
        <v>0</v>
      </c>
      <c r="K15" s="249">
        <v>51.2</v>
      </c>
      <c r="L15" s="247">
        <v>617.29999999999995</v>
      </c>
      <c r="M15" s="250">
        <v>4.5999999999999996</v>
      </c>
      <c r="N15" s="251">
        <v>0.2</v>
      </c>
      <c r="O15" s="12">
        <f>(I15*TERushYd)+(J15*TERushTD)+(K15*TERec)+(L15*TERecYd)+(M15*TERecTD)+(N15*TEFuml)+(H15*TERushAtt)</f>
        <v>88.929999999999993</v>
      </c>
      <c r="P15" s="1" t="str">
        <f ca="1">IF(A15&lt;=TEStarters,"Starter",IF(A15&gt;TEStarters+TEBench,"Undrafted","Bench"))</f>
        <v>Bench</v>
      </c>
      <c r="Q15" s="47">
        <f ca="1">IFERROR(MAX(O15-LARGE(O$3:O$129,TEStarters),0),0)</f>
        <v>0</v>
      </c>
      <c r="R15" s="47">
        <f ca="1">IFERROR(IF(AllowNegative="Yes",O15-LARGE(O$3:O$129,TECount),MAX(O15-LARGE(O$3:O$129,TECount),0)),0)</f>
        <v>22.129999999999995</v>
      </c>
      <c r="S15" s="47">
        <f ca="1">IF(TEStarters&gt;0,(R15-Q15)*BenchPF+Q15*StarterPF,0)</f>
        <v>5.3000431415081781</v>
      </c>
      <c r="T15" s="47">
        <f ca="1">S15*Auction!$A$2</f>
        <v>5.3000431415081781</v>
      </c>
      <c r="U15" s="47" t="str">
        <f>IF(OR(INDEX(Auction!$H$13:$H$683,MATCH(B15,Auction!$A$13:$A$683,0))&gt;0,IFERROR(INDEX(CheatSheet!$D$37:$D$64,MATCH(B15,CheatSheet!$A$37:$A$64,0)),"")&lt;&gt;""),"Yes","No")</f>
        <v>No</v>
      </c>
      <c r="V15" s="219"/>
      <c r="W15" s="1"/>
      <c r="X15" s="100">
        <f ca="1">IFERROR(SUMIFS($Y$3:$Y$129,$Y$3:$Y$129,"&gt;0",$U$3:$U$129,"No")/SUMIF($Y$3:$Y$129,"&gt;0"),0)</f>
        <v>1</v>
      </c>
      <c r="Y15" s="1">
        <f t="shared" ca="1" si="0"/>
        <v>11.064999999999998</v>
      </c>
      <c r="Z15" s="145" t="str">
        <f ca="1">CONCATENATE("TE",ROUND((LARGE($Y$3:$Y$129,1)-$Y15)/(STDEVP($Y$3:$Y$129)/2)+1,0))</f>
        <v>TE8</v>
      </c>
      <c r="AA15" s="1">
        <f ca="1">Y15*LeagueInfo!$H$5</f>
        <v>5.0604773707670212</v>
      </c>
    </row>
    <row r="16" spans="1:27" x14ac:dyDescent="0.25">
      <c r="A16" s="47">
        <f>RANK(O16,O$3:O$129)</f>
        <v>14</v>
      </c>
      <c r="B16" s="47" t="s">
        <v>247</v>
      </c>
      <c r="C16" s="1" t="s">
        <v>47</v>
      </c>
      <c r="D16" s="1">
        <f>VLOOKUP(E16,BYEs!$A$2:$B$34,2)</f>
        <v>11</v>
      </c>
      <c r="E16" s="1" t="s">
        <v>355</v>
      </c>
      <c r="F16" s="245">
        <v>0</v>
      </c>
      <c r="G16" s="246">
        <v>0</v>
      </c>
      <c r="H16" s="247">
        <v>0</v>
      </c>
      <c r="I16" s="247">
        <v>0</v>
      </c>
      <c r="J16" s="247">
        <v>0</v>
      </c>
      <c r="K16" s="249">
        <v>59</v>
      </c>
      <c r="L16" s="247">
        <v>590.4</v>
      </c>
      <c r="M16" s="250">
        <v>5.2</v>
      </c>
      <c r="N16" s="251">
        <v>0.7</v>
      </c>
      <c r="O16" s="12">
        <f>(I16*TERushYd)+(J16*TERushTD)+(K16*TERec)+(L16*TERecYd)+(M16*TERecTD)+(N16*TEFuml)+(H16*TERushAtt)</f>
        <v>88.84</v>
      </c>
      <c r="P16" s="1" t="str">
        <f ca="1">IF(A16&lt;=TEStarters,"Starter",IF(A16&gt;TEStarters+TEBench,"Undrafted","Bench"))</f>
        <v>Bench</v>
      </c>
      <c r="Q16" s="47">
        <f ca="1">IFERROR(MAX(O16-LARGE(O$3:O$129,TEStarters),0),0)</f>
        <v>0</v>
      </c>
      <c r="R16" s="47">
        <f ca="1">IFERROR(IF(AllowNegative="Yes",O16-LARGE(O$3:O$129,TECount),MAX(O16-LARGE(O$3:O$129,TECount),0)),0)</f>
        <v>22.040000000000006</v>
      </c>
      <c r="S16" s="47">
        <f ca="1">IF(TEStarters&gt;0,(R16-Q16)*BenchPF+Q16*StarterPF,0)</f>
        <v>5.2784885150854182</v>
      </c>
      <c r="T16" s="47">
        <f ca="1">S16*Auction!$A$2</f>
        <v>5.2784885150854182</v>
      </c>
      <c r="U16" s="47" t="str">
        <f>IF(OR(INDEX(Auction!$H$13:$H$683,MATCH(B16,Auction!$A$13:$A$683,0))&gt;0,IFERROR(INDEX(CheatSheet!$D$37:$D$64,MATCH(B16,CheatSheet!$A$37:$A$64,0)),"")&lt;&gt;""),"Yes","No")</f>
        <v>No</v>
      </c>
      <c r="V16" s="219"/>
      <c r="W16" s="1"/>
      <c r="X16" s="100">
        <f ca="1">IFERROR(SUMIFS($Y$3:$Y$129,$Y$3:$Y$129,"&gt;0",$U$3:$U$129,"No")/SUMIF($Y$3:$Y$129,"&gt;0"),0)</f>
        <v>1</v>
      </c>
      <c r="Y16" s="1">
        <f t="shared" ca="1" si="0"/>
        <v>11.020000000000003</v>
      </c>
      <c r="Z16" s="145" t="str">
        <f ca="1">CONCATENATE("TE",ROUND((LARGE($Y$3:$Y$129,1)-$Y16)/(STDEVP($Y$3:$Y$129)/2)+1,0))</f>
        <v>TE8</v>
      </c>
      <c r="AA16" s="1">
        <f ca="1">Y16*LeagueInfo!$H$5</f>
        <v>5.0398970289970713</v>
      </c>
    </row>
    <row r="17" spans="1:27" x14ac:dyDescent="0.25">
      <c r="A17" s="47">
        <f>RANK(O17,O$3:O$129)</f>
        <v>15</v>
      </c>
      <c r="B17" s="1" t="s">
        <v>294</v>
      </c>
      <c r="C17" s="1" t="s">
        <v>47</v>
      </c>
      <c r="D17" s="1">
        <f>VLOOKUP(E17,BYEs!$A$2:$B$34,2)</f>
        <v>5</v>
      </c>
      <c r="E17" s="1" t="s">
        <v>353</v>
      </c>
      <c r="F17" s="245">
        <v>0</v>
      </c>
      <c r="G17" s="246">
        <v>0</v>
      </c>
      <c r="H17" s="247">
        <v>0</v>
      </c>
      <c r="I17" s="247">
        <v>0</v>
      </c>
      <c r="J17" s="247">
        <v>0</v>
      </c>
      <c r="K17" s="249">
        <v>43.7</v>
      </c>
      <c r="L17" s="247">
        <v>534.70000000000005</v>
      </c>
      <c r="M17" s="250">
        <v>5.0999999999999996</v>
      </c>
      <c r="N17" s="251">
        <v>0.1</v>
      </c>
      <c r="O17" s="12">
        <f>(I17*TERushYd)+(J17*TERushTD)+(K17*TERec)+(L17*TERecYd)+(M17*TERecTD)+(N17*TEFuml)+(H17*TERushAtt)</f>
        <v>83.87</v>
      </c>
      <c r="P17" s="1" t="str">
        <f ca="1">IF(A17&lt;=TEStarters,"Starter",IF(A17&gt;TEStarters+TEBench,"Undrafted","Bench"))</f>
        <v>Bench</v>
      </c>
      <c r="Q17" s="47">
        <f ca="1">IFERROR(MAX(O17-LARGE(O$3:O$129,TEStarters),0),0)</f>
        <v>0</v>
      </c>
      <c r="R17" s="47">
        <f ca="1">IFERROR(IF(AllowNegative="Yes",O17-LARGE(O$3:O$129,TECount),MAX(O17-LARGE(O$3:O$129,TECount),0)),0)</f>
        <v>17.070000000000007</v>
      </c>
      <c r="S17" s="47">
        <f ca="1">IF(TEStarters&gt;0,(R17-Q17)*BenchPF+Q17*StarterPF,0)</f>
        <v>4.0881941448506405</v>
      </c>
      <c r="T17" s="47">
        <f ca="1">S17*Auction!$A$2</f>
        <v>4.0881941448506405</v>
      </c>
      <c r="U17" s="47" t="str">
        <f>IF(OR(INDEX(Auction!$H$13:$H$683,MATCH(B17,Auction!$A$13:$A$683,0))&gt;0,IFERROR(INDEX(CheatSheet!$D$37:$D$64,MATCH(B17,CheatSheet!$A$37:$A$64,0)),"")&lt;&gt;""),"Yes","No")</f>
        <v>No</v>
      </c>
      <c r="V17" s="219"/>
      <c r="W17" s="1"/>
      <c r="X17" s="100">
        <f ca="1">IFERROR(SUMIFS($Y$3:$Y$129,$Y$3:$Y$129,"&gt;0",$U$3:$U$129,"No")/SUMIF($Y$3:$Y$129,"&gt;0"),0)</f>
        <v>1</v>
      </c>
      <c r="Y17" s="1">
        <f t="shared" ca="1" si="0"/>
        <v>8.5350000000000037</v>
      </c>
      <c r="Z17" s="145" t="str">
        <f ca="1">CONCATENATE("TE",ROUND((LARGE($Y$3:$Y$129,1)-$Y17)/(STDEVP($Y$3:$Y$129)/2)+1,0))</f>
        <v>TE8</v>
      </c>
      <c r="AA17" s="1">
        <f ca="1">Y17*LeagueInfo!$H$5</f>
        <v>3.9034048223675146</v>
      </c>
    </row>
    <row r="18" spans="1:27" x14ac:dyDescent="0.25">
      <c r="A18" s="47">
        <f>RANK(O18,O$3:O$129)</f>
        <v>16</v>
      </c>
      <c r="B18" s="1" t="s">
        <v>293</v>
      </c>
      <c r="C18" s="1" t="s">
        <v>47</v>
      </c>
      <c r="D18" s="1">
        <f>VLOOKUP(E18,BYEs!$A$2:$B$34,2)</f>
        <v>6</v>
      </c>
      <c r="E18" s="1" t="s">
        <v>360</v>
      </c>
      <c r="F18" s="245">
        <v>0</v>
      </c>
      <c r="G18" s="246">
        <v>0</v>
      </c>
      <c r="H18" s="247">
        <v>0</v>
      </c>
      <c r="I18" s="247">
        <v>0</v>
      </c>
      <c r="J18" s="247">
        <v>0</v>
      </c>
      <c r="K18" s="249">
        <v>63.9</v>
      </c>
      <c r="L18" s="247">
        <v>627</v>
      </c>
      <c r="M18" s="250">
        <v>3.7</v>
      </c>
      <c r="N18" s="251">
        <v>1.4</v>
      </c>
      <c r="O18" s="12">
        <f>(I18*TERushYd)+(J18*TERushTD)+(K18*TERec)+(L18*TERecYd)+(M18*TERecTD)+(N18*TEFuml)+(H18*TERushAtt)</f>
        <v>82.100000000000009</v>
      </c>
      <c r="P18" s="1" t="str">
        <f ca="1">IF(A18&lt;=TEStarters,"Starter",IF(A18&gt;TEStarters+TEBench,"Undrafted","Bench"))</f>
        <v>Bench</v>
      </c>
      <c r="Q18" s="47">
        <f ca="1">IFERROR(MAX(O18-LARGE(O$3:O$129,TEStarters),0),0)</f>
        <v>0</v>
      </c>
      <c r="R18" s="47">
        <f ca="1">IFERROR(IF(AllowNegative="Yes",O18-LARGE(O$3:O$129,TECount),MAX(O18-LARGE(O$3:O$129,TECount),0)),0)</f>
        <v>15.300000000000011</v>
      </c>
      <c r="S18" s="47">
        <f ca="1">IF(TEStarters&gt;0,(R18-Q18)*BenchPF+Q18*StarterPF,0)</f>
        <v>3.6642864918696434</v>
      </c>
      <c r="T18" s="47">
        <f ca="1">S18*Auction!$A$2</f>
        <v>3.6642864918696434</v>
      </c>
      <c r="U18" s="47" t="str">
        <f>IF(OR(INDEX(Auction!$H$13:$H$683,MATCH(B18,Auction!$A$13:$A$683,0))&gt;0,IFERROR(INDEX(CheatSheet!$D$37:$D$64,MATCH(B18,CheatSheet!$A$37:$A$64,0)),"")&lt;&gt;""),"Yes","No")</f>
        <v>No</v>
      </c>
      <c r="V18" s="219"/>
      <c r="W18" s="1"/>
      <c r="X18" s="100">
        <f ca="1">IFERROR(SUMIFS($Y$3:$Y$129,$Y$3:$Y$129,"&gt;0",$U$3:$U$129,"No")/SUMIF($Y$3:$Y$129,"&gt;0"),0)</f>
        <v>1</v>
      </c>
      <c r="Y18" s="1">
        <f t="shared" ca="1" si="0"/>
        <v>7.6500000000000057</v>
      </c>
      <c r="Z18" s="145" t="str">
        <f ca="1">CONCATENATE("TE",ROUND((LARGE($Y$3:$Y$129,1)-$Y18)/(STDEVP($Y$3:$Y$129)/2)+1,0))</f>
        <v>TE8</v>
      </c>
      <c r="AA18" s="1">
        <f ca="1">Y18*LeagueInfo!$H$5</f>
        <v>3.4986581008917983</v>
      </c>
    </row>
    <row r="19" spans="1:27" x14ac:dyDescent="0.25">
      <c r="A19" s="47">
        <f>RANK(O19,O$3:O$129)</f>
        <v>17</v>
      </c>
      <c r="B19" s="1" t="s">
        <v>291</v>
      </c>
      <c r="C19" s="1" t="s">
        <v>47</v>
      </c>
      <c r="D19" s="1">
        <f>VLOOKUP(E19,BYEs!$A$2:$B$34,2)</f>
        <v>11</v>
      </c>
      <c r="E19" s="1" t="s">
        <v>356</v>
      </c>
      <c r="F19" s="245">
        <v>0</v>
      </c>
      <c r="G19" s="246">
        <v>0</v>
      </c>
      <c r="H19" s="247">
        <v>0</v>
      </c>
      <c r="I19" s="247">
        <v>0</v>
      </c>
      <c r="J19" s="247">
        <v>0</v>
      </c>
      <c r="K19" s="249">
        <v>45.9</v>
      </c>
      <c r="L19" s="247">
        <v>527.6</v>
      </c>
      <c r="M19" s="250">
        <v>4.5</v>
      </c>
      <c r="N19" s="251">
        <v>0.2</v>
      </c>
      <c r="O19" s="12">
        <f>(I19*TERushYd)+(J19*TERushTD)+(K19*TERec)+(L19*TERecYd)+(M19*TERecTD)+(N19*TEFuml)+(H19*TERushAtt)</f>
        <v>79.36</v>
      </c>
      <c r="P19" s="1" t="str">
        <f ca="1">IF(A19&lt;=TEStarters,"Starter",IF(A19&gt;TEStarters+TEBench,"Undrafted","Bench"))</f>
        <v>Bench</v>
      </c>
      <c r="Q19" s="47">
        <f ca="1">IFERROR(MAX(O19-LARGE(O$3:O$129,TEStarters),0),0)</f>
        <v>0</v>
      </c>
      <c r="R19" s="47">
        <f ca="1">IFERROR(IF(AllowNegative="Yes",O19-LARGE(O$3:O$129,TECount),MAX(O19-LARGE(O$3:O$129,TECount),0)),0)</f>
        <v>12.560000000000002</v>
      </c>
      <c r="S19" s="47">
        <f ca="1">IF(TEStarters&gt;0,(R19-Q19)*BenchPF+Q19*StarterPF,0)</f>
        <v>3.0080678652210913</v>
      </c>
      <c r="T19" s="47">
        <f ca="1">S19*Auction!$A$2</f>
        <v>3.0080678652210913</v>
      </c>
      <c r="U19" s="47" t="str">
        <f>IF(OR(INDEX(Auction!$H$13:$H$683,MATCH(B19,Auction!$A$13:$A$683,0))&gt;0,IFERROR(INDEX(CheatSheet!$D$37:$D$64,MATCH(B19,CheatSheet!$A$37:$A$64,0)),"")&lt;&gt;""),"Yes","No")</f>
        <v>No</v>
      </c>
      <c r="V19" s="219"/>
      <c r="W19" s="1"/>
      <c r="X19" s="100">
        <f ca="1">IFERROR(SUMIFS($Y$3:$Y$129,$Y$3:$Y$129,"&gt;0",$U$3:$U$129,"No")/SUMIF($Y$3:$Y$129,"&gt;0"),0)</f>
        <v>1</v>
      </c>
      <c r="Y19" s="1">
        <f t="shared" ca="1" si="0"/>
        <v>6.2800000000000011</v>
      </c>
      <c r="Z19" s="145" t="str">
        <f ca="1">CONCATENATE("TE",ROUND((LARGE($Y$3:$Y$129,1)-$Y19)/(STDEVP($Y$3:$Y$129)/2)+1,0))</f>
        <v>TE8</v>
      </c>
      <c r="AA19" s="1">
        <f ca="1">Y19*LeagueInfo!$H$5</f>
        <v>2.8721010292288209</v>
      </c>
    </row>
    <row r="20" spans="1:27" x14ac:dyDescent="0.25">
      <c r="A20" s="47">
        <f>RANK(O20,O$3:O$129)</f>
        <v>18</v>
      </c>
      <c r="B20" s="47" t="s">
        <v>715</v>
      </c>
      <c r="C20" s="1" t="s">
        <v>47</v>
      </c>
      <c r="D20" s="1">
        <f>VLOOKUP(E20,BYEs!$A$2:$B$34,2)</f>
        <v>6</v>
      </c>
      <c r="E20" s="1" t="s">
        <v>364</v>
      </c>
      <c r="F20" s="245">
        <v>0</v>
      </c>
      <c r="G20" s="246">
        <v>0</v>
      </c>
      <c r="H20" s="247">
        <v>0</v>
      </c>
      <c r="I20" s="247">
        <v>0</v>
      </c>
      <c r="J20" s="247">
        <v>0</v>
      </c>
      <c r="K20" s="249">
        <v>52.4</v>
      </c>
      <c r="L20" s="247">
        <v>549</v>
      </c>
      <c r="M20" s="250">
        <v>4</v>
      </c>
      <c r="N20" s="251">
        <v>0.2</v>
      </c>
      <c r="O20" s="12">
        <f>(I20*TERushYd)+(J20*TERushTD)+(K20*TERec)+(L20*TERecYd)+(M20*TERecTD)+(N20*TEFuml)+(H20*TERushAtt)</f>
        <v>78.5</v>
      </c>
      <c r="P20" s="1" t="str">
        <f ca="1">IF(A20&lt;=TEStarters,"Starter",IF(A20&gt;TEStarters+TEBench,"Undrafted","Bench"))</f>
        <v>Bench</v>
      </c>
      <c r="Q20" s="47">
        <f ca="1">IFERROR(MAX(O20-LARGE(O$3:O$129,TEStarters),0),0)</f>
        <v>0</v>
      </c>
      <c r="R20" s="47">
        <f ca="1">IFERROR(IF(AllowNegative="Yes",O20-LARGE(O$3:O$129,TECount),MAX(O20-LARGE(O$3:O$129,TECount),0)),0)</f>
        <v>11.700000000000003</v>
      </c>
      <c r="S20" s="47">
        <f ca="1">IF(TEStarters&gt;0,(R20-Q20)*BenchPF+Q20*StarterPF,0)</f>
        <v>2.8021014349591375</v>
      </c>
      <c r="T20" s="47">
        <f ca="1">S20*Auction!$A$2</f>
        <v>2.8021014349591375</v>
      </c>
      <c r="U20" s="47" t="str">
        <f>IF(OR(INDEX(Auction!$H$13:$H$683,MATCH(B20,Auction!$A$13:$A$683,0))&gt;0,IFERROR(INDEX(CheatSheet!$D$37:$D$64,MATCH(B20,CheatSheet!$A$37:$A$64,0)),"")&lt;&gt;""),"Yes","No")</f>
        <v>No</v>
      </c>
      <c r="V20" s="219"/>
      <c r="W20" s="1"/>
      <c r="X20" s="100">
        <f ca="1">IFERROR(SUMIFS($Y$3:$Y$129,$Y$3:$Y$129,"&gt;0",$U$3:$U$129,"No")/SUMIF($Y$3:$Y$129,"&gt;0"),0)</f>
        <v>1</v>
      </c>
      <c r="Y20" s="1">
        <f t="shared" ca="1" si="0"/>
        <v>5.8500000000000014</v>
      </c>
      <c r="Z20" s="145" t="str">
        <f ca="1">CONCATENATE("TE",ROUND((LARGE($Y$3:$Y$129,1)-$Y20)/(STDEVP($Y$3:$Y$129)/2)+1,0))</f>
        <v>TE8</v>
      </c>
      <c r="AA20" s="1">
        <f ca="1">Y20*LeagueInfo!$H$5</f>
        <v>2.6754444300937266</v>
      </c>
    </row>
    <row r="21" spans="1:27" x14ac:dyDescent="0.25">
      <c r="A21" s="47">
        <f>RANK(O21,O$3:O$129)</f>
        <v>19</v>
      </c>
      <c r="B21" s="1" t="s">
        <v>301</v>
      </c>
      <c r="C21" s="1" t="s">
        <v>47</v>
      </c>
      <c r="D21" s="1">
        <f>VLOOKUP(E21,BYEs!$A$2:$B$34,2)</f>
        <v>10</v>
      </c>
      <c r="E21" s="1" t="s">
        <v>365</v>
      </c>
      <c r="F21" s="245">
        <v>0</v>
      </c>
      <c r="G21" s="246">
        <v>0</v>
      </c>
      <c r="H21" s="247">
        <v>0</v>
      </c>
      <c r="I21" s="247">
        <v>0</v>
      </c>
      <c r="J21" s="247">
        <v>0</v>
      </c>
      <c r="K21" s="249">
        <v>47.6</v>
      </c>
      <c r="L21" s="247">
        <v>549.6</v>
      </c>
      <c r="M21" s="250">
        <v>4</v>
      </c>
      <c r="N21" s="251">
        <v>1</v>
      </c>
      <c r="O21" s="12">
        <f>(I21*TERushYd)+(J21*TERushTD)+(K21*TERec)+(L21*TERecYd)+(M21*TERecTD)+(N21*TEFuml)+(H21*TERushAtt)</f>
        <v>76.960000000000008</v>
      </c>
      <c r="P21" s="1" t="str">
        <f ca="1">IF(A21&lt;=TEStarters,"Starter",IF(A21&gt;TEStarters+TEBench,"Undrafted","Bench"))</f>
        <v>Bench</v>
      </c>
      <c r="Q21" s="47">
        <f ca="1">IFERROR(MAX(O21-LARGE(O$3:O$129,TEStarters),0),0)</f>
        <v>0</v>
      </c>
      <c r="R21" s="47">
        <f ca="1">IFERROR(IF(AllowNegative="Yes",O21-LARGE(O$3:O$129,TECount),MAX(O21-LARGE(O$3:O$129,TECount),0)),0)</f>
        <v>10.160000000000011</v>
      </c>
      <c r="S21" s="47">
        <f ca="1">IF(TEStarters&gt;0,(R21-Q21)*BenchPF+Q21*StarterPF,0)</f>
        <v>2.4332778272807576</v>
      </c>
      <c r="T21" s="47">
        <f ca="1">S21*Auction!$A$2</f>
        <v>2.4332778272807576</v>
      </c>
      <c r="U21" s="47" t="str">
        <f>IF(OR(INDEX(Auction!$H$13:$H$683,MATCH(B21,Auction!$A$13:$A$683,0))&gt;0,IFERROR(INDEX(CheatSheet!$D$37:$D$64,MATCH(B21,CheatSheet!$A$37:$A$64,0)),"")&lt;&gt;""),"Yes","No")</f>
        <v>No</v>
      </c>
      <c r="V21" s="219"/>
      <c r="W21" s="1"/>
      <c r="X21" s="100">
        <f ca="1">IFERROR(SUMIFS($Y$3:$Y$129,$Y$3:$Y$129,"&gt;0",$U$3:$U$129,"No")/SUMIF($Y$3:$Y$129,"&gt;0"),0)</f>
        <v>1</v>
      </c>
      <c r="Y21" s="1">
        <f t="shared" ca="1" si="0"/>
        <v>5.0800000000000054</v>
      </c>
      <c r="Z21" s="145" t="str">
        <f ca="1">CONCATENATE("TE",ROUND((LARGE($Y$3:$Y$129,1)-$Y21)/(STDEVP($Y$3:$Y$129)/2)+1,0))</f>
        <v>TE8</v>
      </c>
      <c r="AA21" s="1">
        <f ca="1">Y21*LeagueInfo!$H$5</f>
        <v>2.323291915363443</v>
      </c>
    </row>
    <row r="22" spans="1:27" x14ac:dyDescent="0.25">
      <c r="A22" s="47">
        <f>RANK(O22,O$3:O$129)</f>
        <v>20</v>
      </c>
      <c r="B22" s="1" t="s">
        <v>274</v>
      </c>
      <c r="C22" s="1" t="s">
        <v>47</v>
      </c>
      <c r="D22" s="1">
        <f>VLOOKUP(E22,BYEs!$A$2:$B$34,2)</f>
        <v>11</v>
      </c>
      <c r="E22" s="1" t="s">
        <v>374</v>
      </c>
      <c r="F22" s="245">
        <v>0</v>
      </c>
      <c r="G22" s="246">
        <v>0</v>
      </c>
      <c r="H22" s="247">
        <v>0</v>
      </c>
      <c r="I22" s="247">
        <v>0</v>
      </c>
      <c r="J22" s="247">
        <v>0</v>
      </c>
      <c r="K22" s="249">
        <v>45.3</v>
      </c>
      <c r="L22" s="247">
        <v>471.9</v>
      </c>
      <c r="M22" s="250">
        <v>5</v>
      </c>
      <c r="N22" s="251">
        <v>0.2</v>
      </c>
      <c r="O22" s="12">
        <f>(I22*TERushYd)+(J22*TERushTD)+(K22*TERec)+(L22*TERecYd)+(M22*TERecTD)+(N22*TEFuml)+(H22*TERushAtt)</f>
        <v>76.789999999999992</v>
      </c>
      <c r="P22" s="1" t="str">
        <f ca="1">IF(A22&lt;=TEStarters,"Starter",IF(A22&gt;TEStarters+TEBench,"Undrafted","Bench"))</f>
        <v>Bench</v>
      </c>
      <c r="Q22" s="47">
        <f ca="1">IFERROR(MAX(O22-LARGE(O$3:O$129,TEStarters),0),0)</f>
        <v>0</v>
      </c>
      <c r="R22" s="47">
        <f ca="1">IFERROR(IF(AllowNegative="Yes",O22-LARGE(O$3:O$129,TECount),MAX(O22-LARGE(O$3:O$129,TECount),0)),0)</f>
        <v>9.9899999999999949</v>
      </c>
      <c r="S22" s="47">
        <f ca="1">IF(TEStarters&gt;0,(R22-Q22)*BenchPF+Q22*StarterPF,0)</f>
        <v>2.3925635329266464</v>
      </c>
      <c r="T22" s="47">
        <f ca="1">S22*Auction!$A$2</f>
        <v>2.3925635329266464</v>
      </c>
      <c r="U22" s="47" t="str">
        <f>IF(OR(INDEX(Auction!$H$13:$H$683,MATCH(B22,Auction!$A$13:$A$683,0))&gt;0,IFERROR(INDEX(CheatSheet!$D$37:$D$64,MATCH(B22,CheatSheet!$A$37:$A$64,0)),"")&lt;&gt;""),"Yes","No")</f>
        <v>No</v>
      </c>
      <c r="V22" s="219"/>
      <c r="W22" s="1"/>
      <c r="X22" s="100">
        <f ca="1">IFERROR(SUMIFS($Y$3:$Y$129,$Y$3:$Y$129,"&gt;0",$U$3:$U$129,"No")/SUMIF($Y$3:$Y$129,"&gt;0"),0)</f>
        <v>1</v>
      </c>
      <c r="Y22" s="1">
        <f t="shared" ca="1" si="0"/>
        <v>4.9949999999999974</v>
      </c>
      <c r="Z22" s="145" t="str">
        <f ca="1">CONCATENATE("TE",ROUND((LARGE($Y$3:$Y$129,1)-$Y22)/(STDEVP($Y$3:$Y$129)/2)+1,0))</f>
        <v>TE8</v>
      </c>
      <c r="AA22" s="1">
        <f ca="1">Y22*LeagueInfo!$H$5</f>
        <v>2.2844179364646418</v>
      </c>
    </row>
    <row r="23" spans="1:27" x14ac:dyDescent="0.25">
      <c r="A23" s="47">
        <f>RANK(O23,O$3:O$129)</f>
        <v>21</v>
      </c>
      <c r="B23" s="1" t="s">
        <v>292</v>
      </c>
      <c r="C23" s="1" t="s">
        <v>47</v>
      </c>
      <c r="D23" s="1">
        <f>VLOOKUP(E23,BYEs!$A$2:$B$34,2)</f>
        <v>7</v>
      </c>
      <c r="E23" s="1" t="s">
        <v>385</v>
      </c>
      <c r="F23" s="245">
        <v>0</v>
      </c>
      <c r="G23" s="246">
        <v>0</v>
      </c>
      <c r="H23" s="247">
        <v>0</v>
      </c>
      <c r="I23" s="247">
        <v>0</v>
      </c>
      <c r="J23" s="247">
        <v>0</v>
      </c>
      <c r="K23" s="249">
        <v>51.8</v>
      </c>
      <c r="L23" s="247">
        <v>538.1</v>
      </c>
      <c r="M23" s="250">
        <v>3.8</v>
      </c>
      <c r="N23" s="251">
        <v>0.5</v>
      </c>
      <c r="O23" s="12">
        <f>(I23*TERushYd)+(J23*TERushTD)+(K23*TERec)+(L23*TERecYd)+(M23*TERecTD)+(N23*TEFuml)+(H23*TERushAtt)</f>
        <v>75.61</v>
      </c>
      <c r="P23" s="1" t="str">
        <f ca="1">IF(A23&lt;=TEStarters,"Starter",IF(A23&gt;TEStarters+TEBench,"Undrafted","Bench"))</f>
        <v>Bench</v>
      </c>
      <c r="Q23" s="47">
        <f ca="1">IFERROR(MAX(O23-LARGE(O$3:O$129,TEStarters),0),0)</f>
        <v>0</v>
      </c>
      <c r="R23" s="47">
        <f ca="1">IFERROR(IF(AllowNegative="Yes",O23-LARGE(O$3:O$129,TECount),MAX(O23-LARGE(O$3:O$129,TECount),0)),0)</f>
        <v>8.8100000000000023</v>
      </c>
      <c r="S23" s="47">
        <f ca="1">IF(TEStarters&gt;0,(R23-Q23)*BenchPF+Q23*StarterPF,0)</f>
        <v>2.1099584309393165</v>
      </c>
      <c r="T23" s="47">
        <f ca="1">S23*Auction!$A$2</f>
        <v>2.1099584309393165</v>
      </c>
      <c r="U23" s="47" t="str">
        <f>IF(OR(INDEX(Auction!$H$13:$H$683,MATCH(B23,Auction!$A$13:$A$683,0))&gt;0,IFERROR(INDEX(CheatSheet!$D$37:$D$64,MATCH(B23,CheatSheet!$A$37:$A$64,0)),"")&lt;&gt;""),"Yes","No")</f>
        <v>No</v>
      </c>
      <c r="V23" s="219"/>
      <c r="W23" s="1"/>
      <c r="X23" s="100">
        <f ca="1">IFERROR(SUMIFS($Y$3:$Y$129,$Y$3:$Y$129,"&gt;0",$U$3:$U$129,"No")/SUMIF($Y$3:$Y$129,"&gt;0"),0)</f>
        <v>1</v>
      </c>
      <c r="Y23" s="1">
        <f t="shared" ca="1" si="0"/>
        <v>4.4050000000000011</v>
      </c>
      <c r="Z23" s="145" t="str">
        <f ca="1">CONCATENATE("TE",ROUND((LARGE($Y$3:$Y$129,1)-$Y23)/(STDEVP($Y$3:$Y$129)/2)+1,0))</f>
        <v>TE8</v>
      </c>
      <c r="AA23" s="1">
        <f ca="1">Y23*LeagueInfo!$H$5</f>
        <v>2.0145867888141651</v>
      </c>
    </row>
    <row r="24" spans="1:27" x14ac:dyDescent="0.25">
      <c r="A24" s="47">
        <f>RANK(O24,O$3:O$129)</f>
        <v>22</v>
      </c>
      <c r="B24" s="1" t="s">
        <v>290</v>
      </c>
      <c r="C24" s="1" t="s">
        <v>47</v>
      </c>
      <c r="D24" s="1">
        <f>VLOOKUP(E24,BYEs!$A$2:$B$34,2)</f>
        <v>10</v>
      </c>
      <c r="E24" s="1" t="s">
        <v>361</v>
      </c>
      <c r="F24" s="245">
        <v>0</v>
      </c>
      <c r="G24" s="246">
        <v>0</v>
      </c>
      <c r="H24" s="247">
        <v>0</v>
      </c>
      <c r="I24" s="247">
        <v>0</v>
      </c>
      <c r="J24" s="247">
        <v>0</v>
      </c>
      <c r="K24" s="249">
        <v>42.9</v>
      </c>
      <c r="L24" s="247">
        <v>464.3</v>
      </c>
      <c r="M24" s="250">
        <v>4.5999999999999996</v>
      </c>
      <c r="N24" s="251">
        <v>0.8</v>
      </c>
      <c r="O24" s="12">
        <f>(I24*TERushYd)+(J24*TERushTD)+(K24*TERec)+(L24*TERecYd)+(M24*TERecTD)+(N24*TEFuml)+(H24*TERushAtt)</f>
        <v>72.430000000000007</v>
      </c>
      <c r="P24" s="1" t="str">
        <f ca="1">IF(A24&lt;=TEStarters,"Starter",IF(A24&gt;TEStarters+TEBench,"Undrafted","Bench"))</f>
        <v>Bench</v>
      </c>
      <c r="Q24" s="47">
        <f ca="1">IFERROR(MAX(O24-LARGE(O$3:O$129,TEStarters),0),0)</f>
        <v>0</v>
      </c>
      <c r="R24" s="47">
        <f ca="1">IFERROR(IF(AllowNegative="Yes",O24-LARGE(O$3:O$129,TECount),MAX(O24-LARGE(O$3:O$129,TECount),0)),0)</f>
        <v>5.6300000000000097</v>
      </c>
      <c r="S24" s="47">
        <f ca="1">IF(TEStarters&gt;0,(R24-Q24)*BenchPF+Q24*StarterPF,0)</f>
        <v>1.3483616306683734</v>
      </c>
      <c r="T24" s="47">
        <f ca="1">S24*Auction!$A$2</f>
        <v>1.3483616306683734</v>
      </c>
      <c r="U24" s="47" t="str">
        <f>IF(OR(INDEX(Auction!$H$13:$H$683,MATCH(B24,Auction!$A$13:$A$683,0))&gt;0,IFERROR(INDEX(CheatSheet!$D$37:$D$64,MATCH(B24,CheatSheet!$A$37:$A$64,0)),"")&lt;&gt;""),"Yes","No")</f>
        <v>No</v>
      </c>
      <c r="V24" s="219"/>
      <c r="W24" s="1"/>
      <c r="X24" s="100">
        <f ca="1">IFERROR(SUMIFS($Y$3:$Y$129,$Y$3:$Y$129,"&gt;0",$U$3:$U$129,"No")/SUMIF($Y$3:$Y$129,"&gt;0"),0)</f>
        <v>1</v>
      </c>
      <c r="Y24" s="1">
        <f t="shared" ca="1" si="0"/>
        <v>2.8150000000000048</v>
      </c>
      <c r="Z24" s="145" t="str">
        <f ca="1">CONCATENATE("TE",ROUND((LARGE($Y$3:$Y$129,1)-$Y24)/(STDEVP($Y$3:$Y$129)/2)+1,0))</f>
        <v>TE9</v>
      </c>
      <c r="AA24" s="1">
        <f ca="1">Y24*LeagueInfo!$H$5</f>
        <v>1.2874147129425388</v>
      </c>
    </row>
    <row r="25" spans="1:27" x14ac:dyDescent="0.25">
      <c r="A25" s="47">
        <f>RANK(O25,O$3:O$129)</f>
        <v>23</v>
      </c>
      <c r="B25" s="47" t="s">
        <v>297</v>
      </c>
      <c r="C25" s="1" t="s">
        <v>47</v>
      </c>
      <c r="D25" s="1">
        <f>VLOOKUP(E25,BYEs!$A$2:$B$34,2)</f>
        <v>9</v>
      </c>
      <c r="E25" s="1" t="s">
        <v>376</v>
      </c>
      <c r="F25" s="245">
        <v>0</v>
      </c>
      <c r="G25" s="246">
        <v>0</v>
      </c>
      <c r="H25" s="247">
        <v>0</v>
      </c>
      <c r="I25" s="247">
        <v>0</v>
      </c>
      <c r="J25" s="247">
        <v>0</v>
      </c>
      <c r="K25" s="249">
        <v>42.7</v>
      </c>
      <c r="L25" s="247">
        <v>456</v>
      </c>
      <c r="M25" s="250">
        <v>3.6</v>
      </c>
      <c r="N25" s="251">
        <v>0.2</v>
      </c>
      <c r="O25" s="12">
        <f>(I25*TERushYd)+(J25*TERushTD)+(K25*TERec)+(L25*TERecYd)+(M25*TERecTD)+(N25*TEFuml)+(H25*TERushAtt)</f>
        <v>66.8</v>
      </c>
      <c r="P25" s="1" t="str">
        <f ca="1">IF(A25&lt;=TEStarters,"Starter",IF(A25&gt;TEStarters+TEBench,"Undrafted","Bench"))</f>
        <v>Undrafted</v>
      </c>
      <c r="Q25" s="47">
        <f ca="1">IFERROR(MAX(O25-LARGE(O$3:O$129,TEStarters),0),0)</f>
        <v>0</v>
      </c>
      <c r="R25" s="47">
        <f ca="1">IFERROR(IF(AllowNegative="Yes",O25-LARGE(O$3:O$129,TECount),MAX(O25-LARGE(O$3:O$129,TECount),0)),0)</f>
        <v>0</v>
      </c>
      <c r="S25" s="47">
        <f ca="1">IF(TEStarters&gt;0,(R25-Q25)*BenchPF+Q25*StarterPF,0)</f>
        <v>0</v>
      </c>
      <c r="T25" s="47">
        <f ca="1">S25*Auction!$A$2</f>
        <v>0</v>
      </c>
      <c r="U25" s="47" t="str">
        <f>IF(OR(INDEX(Auction!$H$13:$H$683,MATCH(B25,Auction!$A$13:$A$683,0))&gt;0,IFERROR(INDEX(CheatSheet!$D$37:$D$64,MATCH(B25,CheatSheet!$A$37:$A$64,0)),"")&lt;&gt;""),"Yes","No")</f>
        <v>No</v>
      </c>
      <c r="V25" s="219"/>
      <c r="W25" s="1"/>
      <c r="X25" s="100">
        <f ca="1">IFERROR(SUMIFS($Y$3:$Y$129,$Y$3:$Y$129,"&gt;0",$U$3:$U$129,"No")/SUMIF($Y$3:$Y$129,"&gt;0"),0)</f>
        <v>1</v>
      </c>
      <c r="Y25" s="1">
        <f t="shared" ca="1" si="0"/>
        <v>0</v>
      </c>
      <c r="Z25" s="145" t="str">
        <f ca="1">CONCATENATE("TE",ROUND((LARGE($Y$3:$Y$129,1)-$Y25)/(STDEVP($Y$3:$Y$129)/2)+1,0))</f>
        <v>TE9</v>
      </c>
      <c r="AA25" s="1">
        <f ca="1">Y25*LeagueInfo!$H$5</f>
        <v>0</v>
      </c>
    </row>
    <row r="26" spans="1:27" x14ac:dyDescent="0.25">
      <c r="A26" s="47">
        <f>RANK(O26,O$3:O$129)</f>
        <v>24</v>
      </c>
      <c r="B26" s="1" t="s">
        <v>283</v>
      </c>
      <c r="C26" s="1" t="s">
        <v>47</v>
      </c>
      <c r="D26" s="1">
        <f>VLOOKUP(E26,BYEs!$A$2:$B$34,2)</f>
        <v>8</v>
      </c>
      <c r="E26" s="1" t="s">
        <v>368</v>
      </c>
      <c r="F26" s="245">
        <v>0</v>
      </c>
      <c r="G26" s="246">
        <v>0</v>
      </c>
      <c r="H26" s="247">
        <v>0</v>
      </c>
      <c r="I26" s="247">
        <v>0</v>
      </c>
      <c r="J26" s="247">
        <v>0</v>
      </c>
      <c r="K26" s="249">
        <v>44.3</v>
      </c>
      <c r="L26" s="247">
        <v>468.8</v>
      </c>
      <c r="M26" s="250">
        <v>3.3</v>
      </c>
      <c r="N26" s="251">
        <v>0.3</v>
      </c>
      <c r="O26" s="12">
        <f>(I26*TERushYd)+(J26*TERushTD)+(K26*TERec)+(L26*TERecYd)+(M26*TERecTD)+(N26*TEFuml)+(H26*TERushAtt)</f>
        <v>66.080000000000013</v>
      </c>
      <c r="P26" s="1" t="str">
        <f ca="1">IF(A26&lt;=TEStarters,"Starter",IF(A26&gt;TEStarters+TEBench,"Undrafted","Bench"))</f>
        <v>Undrafted</v>
      </c>
      <c r="Q26" s="47">
        <f ca="1">IFERROR(MAX(O26-LARGE(O$3:O$129,TEStarters),0),0)</f>
        <v>0</v>
      </c>
      <c r="R26" s="47">
        <f ca="1">IFERROR(IF(AllowNegative="Yes",O26-LARGE(O$3:O$129,TECount),MAX(O26-LARGE(O$3:O$129,TECount),0)),0)</f>
        <v>-0.71999999999998465</v>
      </c>
      <c r="S26" s="47">
        <f ca="1">IF(TEStarters&gt;0,(R26-Q26)*BenchPF+Q26*StarterPF,0)</f>
        <v>-0.17243701138209705</v>
      </c>
      <c r="T26" s="47">
        <f ca="1">S26*Auction!$A$2</f>
        <v>-0.17243701138209705</v>
      </c>
      <c r="U26" s="47" t="str">
        <f>IF(OR(INDEX(Auction!$H$13:$H$683,MATCH(B26,Auction!$A$13:$A$683,0))&gt;0,IFERROR(INDEX(CheatSheet!$D$37:$D$64,MATCH(B26,CheatSheet!$A$37:$A$64,0)),"")&lt;&gt;""),"Yes","No")</f>
        <v>No</v>
      </c>
      <c r="V26" s="219"/>
      <c r="W26" s="1"/>
      <c r="X26" s="100">
        <f ca="1">IFERROR(SUMIFS($Y$3:$Y$129,$Y$3:$Y$129,"&gt;0",$U$3:$U$129,"No")/SUMIF($Y$3:$Y$129,"&gt;0"),0)</f>
        <v>1</v>
      </c>
      <c r="Y26" s="1">
        <f t="shared" ca="1" si="0"/>
        <v>-0.35999999999999233</v>
      </c>
      <c r="Z26" s="145" t="str">
        <f ca="1">CONCATENATE("TE",ROUND((LARGE($Y$3:$Y$129,1)-$Y26)/(STDEVP($Y$3:$Y$129)/2)+1,0))</f>
        <v>TE9</v>
      </c>
      <c r="AA26" s="1">
        <f ca="1">Y26*LeagueInfo!$H$5</f>
        <v>-0.16464273415961039</v>
      </c>
    </row>
    <row r="27" spans="1:27" x14ac:dyDescent="0.25">
      <c r="A27" s="47">
        <f>RANK(O27,O$3:O$129)</f>
        <v>25</v>
      </c>
      <c r="B27" s="1" t="s">
        <v>277</v>
      </c>
      <c r="C27" s="1" t="s">
        <v>47</v>
      </c>
      <c r="D27" s="1">
        <f>VLOOKUP(E27,BYEs!$A$2:$B$34,2)</f>
        <v>9</v>
      </c>
      <c r="E27" s="1" t="s">
        <v>387</v>
      </c>
      <c r="F27" s="245">
        <v>0</v>
      </c>
      <c r="G27" s="246">
        <v>0</v>
      </c>
      <c r="H27" s="247">
        <v>0</v>
      </c>
      <c r="I27" s="247">
        <v>0</v>
      </c>
      <c r="J27" s="247">
        <v>0</v>
      </c>
      <c r="K27" s="249">
        <v>44.5</v>
      </c>
      <c r="L27" s="247">
        <v>469.7</v>
      </c>
      <c r="M27" s="250">
        <v>2.9</v>
      </c>
      <c r="N27" s="251">
        <v>0.3</v>
      </c>
      <c r="O27" s="12">
        <f>(I27*TERushYd)+(J27*TERushTD)+(K27*TERec)+(L27*TERecYd)+(M27*TERecTD)+(N27*TEFuml)+(H27*TERushAtt)</f>
        <v>63.77</v>
      </c>
      <c r="P27" s="1" t="str">
        <f ca="1">IF(A27&lt;=TEStarters,"Starter",IF(A27&gt;TEStarters+TEBench,"Undrafted","Bench"))</f>
        <v>Undrafted</v>
      </c>
      <c r="Q27" s="47">
        <f ca="1">IFERROR(MAX(O27-LARGE(O$3:O$129,TEStarters),0),0)</f>
        <v>0</v>
      </c>
      <c r="R27" s="47">
        <f ca="1">IFERROR(IF(AllowNegative="Yes",O27-LARGE(O$3:O$129,TECount),MAX(O27-LARGE(O$3:O$129,TECount),0)),0)</f>
        <v>-3.029999999999994</v>
      </c>
      <c r="S27" s="47">
        <f ca="1">IF(TEStarters&gt;0,(R27-Q27)*BenchPF+Q27*StarterPF,0)</f>
        <v>-0.72567242289967249</v>
      </c>
      <c r="T27" s="47">
        <f ca="1">S27*Auction!$A$2</f>
        <v>-0.72567242289967249</v>
      </c>
      <c r="U27" s="47" t="str">
        <f>IF(OR(INDEX(Auction!$H$13:$H$683,MATCH(B27,Auction!$A$13:$A$683,0))&gt;0,IFERROR(INDEX(CheatSheet!$D$37:$D$64,MATCH(B27,CheatSheet!$A$37:$A$64,0)),"")&lt;&gt;""),"Yes","No")</f>
        <v>No</v>
      </c>
      <c r="V27" s="219"/>
      <c r="W27" s="1"/>
      <c r="X27" s="100">
        <f ca="1">IFERROR(SUMIFS($Y$3:$Y$129,$Y$3:$Y$129,"&gt;0",$U$3:$U$129,"No")/SUMIF($Y$3:$Y$129,"&gt;0"),0)</f>
        <v>1</v>
      </c>
      <c r="Y27" s="1">
        <f t="shared" ca="1" si="0"/>
        <v>-1.514999999999997</v>
      </c>
      <c r="Z27" s="145" t="str">
        <f ca="1">CONCATENATE("TE",ROUND((LARGE($Y$3:$Y$129,1)-$Y27)/(STDEVP($Y$3:$Y$129)/2)+1,0))</f>
        <v>TE9</v>
      </c>
      <c r="AA27" s="1">
        <f ca="1">Y27*LeagueInfo!$H$5</f>
        <v>-0.69287150625504046</v>
      </c>
    </row>
    <row r="28" spans="1:27" x14ac:dyDescent="0.25">
      <c r="A28" s="47">
        <f>RANK(O28,O$3:O$129)</f>
        <v>26</v>
      </c>
      <c r="B28" s="1" t="s">
        <v>235</v>
      </c>
      <c r="C28" s="1" t="s">
        <v>47</v>
      </c>
      <c r="D28" s="1">
        <f>VLOOKUP(E28,BYEs!$A$2:$B$34,2)</f>
        <v>11</v>
      </c>
      <c r="E28" s="1" t="s">
        <v>356</v>
      </c>
      <c r="F28" s="245">
        <v>0</v>
      </c>
      <c r="G28" s="246">
        <v>0</v>
      </c>
      <c r="H28" s="247">
        <v>0</v>
      </c>
      <c r="I28" s="247">
        <v>0</v>
      </c>
      <c r="J28" s="247">
        <v>0</v>
      </c>
      <c r="K28" s="249">
        <v>38.200000000000003</v>
      </c>
      <c r="L28" s="247">
        <v>407.8</v>
      </c>
      <c r="M28" s="250">
        <v>3.3</v>
      </c>
      <c r="N28" s="251">
        <v>0.3</v>
      </c>
      <c r="O28" s="12">
        <f>(I28*TERushYd)+(J28*TERushTD)+(K28*TERec)+(L28*TERecYd)+(M28*TERecTD)+(N28*TEFuml)+(H28*TERushAtt)</f>
        <v>59.98</v>
      </c>
      <c r="P28" s="1" t="str">
        <f ca="1">IF(A28&lt;=TEStarters,"Starter",IF(A28&gt;TEStarters+TEBench,"Undrafted","Bench"))</f>
        <v>Undrafted</v>
      </c>
      <c r="Q28" s="47">
        <f ca="1">IFERROR(MAX(O28-LARGE(O$3:O$129,TEStarters),0),0)</f>
        <v>0</v>
      </c>
      <c r="R28" s="47">
        <f ca="1">IFERROR(IF(AllowNegative="Yes",O28-LARGE(O$3:O$129,TECount),MAX(O28-LARGE(O$3:O$129,TECount),0)),0)</f>
        <v>-6.82</v>
      </c>
      <c r="S28" s="47">
        <f ca="1">IF(TEStarters&gt;0,(R28-Q28)*BenchPF+Q28*StarterPF,0)</f>
        <v>-1.6333616911471209</v>
      </c>
      <c r="T28" s="47">
        <f ca="1">S28*Auction!$A$2</f>
        <v>-1.6333616911471209</v>
      </c>
      <c r="U28" s="47" t="str">
        <f>IF(OR(INDEX(Auction!$H$13:$H$683,MATCH(B28,Auction!$A$13:$A$683,0))&gt;0,IFERROR(INDEX(CheatSheet!$D$37:$D$64,MATCH(B28,CheatSheet!$A$37:$A$64,0)),"")&lt;&gt;""),"Yes","No")</f>
        <v>No</v>
      </c>
      <c r="V28" s="219"/>
      <c r="W28" s="1"/>
      <c r="X28" s="100">
        <f ca="1">IFERROR(SUMIFS($Y$3:$Y$129,$Y$3:$Y$129,"&gt;0",$U$3:$U$129,"No")/SUMIF($Y$3:$Y$129,"&gt;0"),0)</f>
        <v>1</v>
      </c>
      <c r="Y28" s="1">
        <f t="shared" ca="1" si="0"/>
        <v>-3.41</v>
      </c>
      <c r="Z28" s="145" t="str">
        <f ca="1">CONCATENATE("TE",ROUND((LARGE($Y$3:$Y$129,1)-$Y28)/(STDEVP($Y$3:$Y$129)/2)+1,0))</f>
        <v>TE9</v>
      </c>
      <c r="AA28" s="1">
        <f ca="1">Y28*LeagueInfo!$H$5</f>
        <v>-1.5595325652341208</v>
      </c>
    </row>
    <row r="29" spans="1:27" x14ac:dyDescent="0.25">
      <c r="A29" s="47">
        <f>RANK(O29,O$3:O$129)</f>
        <v>27</v>
      </c>
      <c r="B29" s="1" t="s">
        <v>716</v>
      </c>
      <c r="C29" s="1" t="s">
        <v>47</v>
      </c>
      <c r="D29" s="1">
        <f>VLOOKUP(E29,BYEs!$A$2:$B$34,2)</f>
        <v>8</v>
      </c>
      <c r="E29" s="1" t="s">
        <v>370</v>
      </c>
      <c r="F29" s="245">
        <v>0</v>
      </c>
      <c r="G29" s="246">
        <v>0</v>
      </c>
      <c r="H29" s="247">
        <v>0</v>
      </c>
      <c r="I29" s="247">
        <v>0</v>
      </c>
      <c r="J29" s="247">
        <v>0</v>
      </c>
      <c r="K29" s="249">
        <v>39.4</v>
      </c>
      <c r="L29" s="247">
        <v>416.8</v>
      </c>
      <c r="M29" s="250">
        <v>3</v>
      </c>
      <c r="N29" s="251">
        <v>0.2</v>
      </c>
      <c r="O29" s="12">
        <f>(I29*TERushYd)+(J29*TERushTD)+(K29*TERec)+(L29*TERecYd)+(M29*TERecTD)+(N29*TEFuml)+(H29*TERushAtt)</f>
        <v>59.280000000000008</v>
      </c>
      <c r="P29" s="1" t="str">
        <f ca="1">IF(A29&lt;=TEStarters,"Starter",IF(A29&gt;TEStarters+TEBench,"Undrafted","Bench"))</f>
        <v>Undrafted</v>
      </c>
      <c r="Q29" s="47">
        <f ca="1">IFERROR(MAX(O29-LARGE(O$3:O$129,TEStarters),0),0)</f>
        <v>0</v>
      </c>
      <c r="R29" s="47">
        <f ca="1">IFERROR(IF(AllowNegative="Yes",O29-LARGE(O$3:O$129,TECount),MAX(O29-LARGE(O$3:O$129,TECount),0)),0)</f>
        <v>-7.5199999999999889</v>
      </c>
      <c r="S29" s="47">
        <f ca="1">IF(TEStarters&gt;0,(R29-Q29)*BenchPF+Q29*StarterPF,0)</f>
        <v>-1.8010087855463828</v>
      </c>
      <c r="T29" s="47">
        <f ca="1">S29*Auction!$A$2</f>
        <v>-1.8010087855463828</v>
      </c>
      <c r="U29" s="47" t="str">
        <f>IF(OR(INDEX(Auction!$H$13:$H$683,MATCH(B29,Auction!$A$13:$A$683,0))&gt;0,IFERROR(INDEX(CheatSheet!$D$37:$D$64,MATCH(B29,CheatSheet!$A$37:$A$64,0)),"")&lt;&gt;""),"Yes","No")</f>
        <v>No</v>
      </c>
      <c r="V29" s="219"/>
      <c r="W29" s="1"/>
      <c r="X29" s="100">
        <f ca="1">IFERROR(SUMIFS($Y$3:$Y$129,$Y$3:$Y$129,"&gt;0",$U$3:$U$129,"No")/SUMIF($Y$3:$Y$129,"&gt;0"),0)</f>
        <v>1</v>
      </c>
      <c r="Y29" s="1">
        <f t="shared" ca="1" si="0"/>
        <v>-3.7599999999999945</v>
      </c>
      <c r="Z29" s="145" t="str">
        <f ca="1">CONCATENATE("TE",ROUND((LARGE($Y$3:$Y$129,1)-$Y29)/(STDEVP($Y$3:$Y$129)/2)+1,0))</f>
        <v>TE9</v>
      </c>
      <c r="AA29" s="1">
        <f ca="1">Y29*LeagueInfo!$H$5</f>
        <v>-1.7196018901115204</v>
      </c>
    </row>
    <row r="30" spans="1:27" x14ac:dyDescent="0.25">
      <c r="A30" s="47">
        <f>RANK(O30,O$3:O$129)</f>
        <v>28</v>
      </c>
      <c r="B30" s="1" t="s">
        <v>317</v>
      </c>
      <c r="C30" s="1" t="s">
        <v>47</v>
      </c>
      <c r="D30" s="1">
        <f>VLOOKUP(E30,BYEs!$A$2:$B$34,2)</f>
        <v>9</v>
      </c>
      <c r="E30" s="1" t="s">
        <v>363</v>
      </c>
      <c r="F30" s="245">
        <v>0</v>
      </c>
      <c r="G30" s="246">
        <v>0</v>
      </c>
      <c r="H30" s="247">
        <v>0</v>
      </c>
      <c r="I30" s="247">
        <v>0</v>
      </c>
      <c r="J30" s="247">
        <v>0</v>
      </c>
      <c r="K30" s="249">
        <v>41.2</v>
      </c>
      <c r="L30" s="247">
        <v>395.8</v>
      </c>
      <c r="M30" s="250">
        <v>3.2</v>
      </c>
      <c r="N30" s="251">
        <v>0.1</v>
      </c>
      <c r="O30" s="12">
        <f>(I30*TERushYd)+(J30*TERushTD)+(K30*TERec)+(L30*TERecYd)+(M30*TERecTD)+(N30*TEFuml)+(H30*TERushAtt)</f>
        <v>58.580000000000005</v>
      </c>
      <c r="P30" s="1" t="str">
        <f ca="1">IF(A30&lt;=TEStarters,"Starter",IF(A30&gt;TEStarters+TEBench,"Undrafted","Bench"))</f>
        <v>Undrafted</v>
      </c>
      <c r="Q30" s="47">
        <f ca="1">IFERROR(MAX(O30-LARGE(O$3:O$129,TEStarters),0),0)</f>
        <v>0</v>
      </c>
      <c r="R30" s="47">
        <f ca="1">IFERROR(IF(AllowNegative="Yes",O30-LARGE(O$3:O$129,TECount),MAX(O30-LARGE(O$3:O$129,TECount),0)),0)</f>
        <v>-8.2199999999999918</v>
      </c>
      <c r="S30" s="47">
        <f ca="1">IF(TEStarters&gt;0,(R30-Q30)*BenchPF+Q30*StarterPF,0)</f>
        <v>-1.9686558799456482</v>
      </c>
      <c r="T30" s="47">
        <f ca="1">S30*Auction!$A$2</f>
        <v>-1.9686558799456482</v>
      </c>
      <c r="U30" s="47" t="str">
        <f>IF(OR(INDEX(Auction!$H$13:$H$683,MATCH(B30,Auction!$A$13:$A$683,0))&gt;0,IFERROR(INDEX(CheatSheet!$D$37:$D$64,MATCH(B30,CheatSheet!$A$37:$A$64,0)),"")&lt;&gt;""),"Yes","No")</f>
        <v>No</v>
      </c>
      <c r="V30" s="219"/>
      <c r="W30" s="1"/>
      <c r="X30" s="100">
        <f ca="1">IFERROR(SUMIFS($Y$3:$Y$129,$Y$3:$Y$129,"&gt;0",$U$3:$U$129,"No")/SUMIF($Y$3:$Y$129,"&gt;0"),0)</f>
        <v>1</v>
      </c>
      <c r="Y30" s="1">
        <f t="shared" ca="1" si="0"/>
        <v>-4.1099999999999959</v>
      </c>
      <c r="Z30" s="145" t="str">
        <f ca="1">CONCATENATE("TE",ROUND((LARGE($Y$3:$Y$129,1)-$Y30)/(STDEVP($Y$3:$Y$129)/2)+1,0))</f>
        <v>TE9</v>
      </c>
      <c r="AA30" s="1">
        <f ca="1">Y30*LeagueInfo!$H$5</f>
        <v>-1.8796712149889236</v>
      </c>
    </row>
    <row r="31" spans="1:27" x14ac:dyDescent="0.25">
      <c r="A31" s="47">
        <f>RANK(O31,O$3:O$129)</f>
        <v>29</v>
      </c>
      <c r="B31" s="1" t="s">
        <v>722</v>
      </c>
      <c r="C31" s="1" t="s">
        <v>47</v>
      </c>
      <c r="D31" s="1">
        <f>VLOOKUP(E31,BYEs!$A$2:$B$34,2)</f>
        <v>11</v>
      </c>
      <c r="E31" s="1" t="s">
        <v>382</v>
      </c>
      <c r="F31" s="245">
        <v>0</v>
      </c>
      <c r="G31" s="246">
        <v>0</v>
      </c>
      <c r="H31" s="247">
        <v>0</v>
      </c>
      <c r="I31" s="247">
        <v>0</v>
      </c>
      <c r="J31" s="247">
        <v>0</v>
      </c>
      <c r="K31" s="249">
        <v>36.5</v>
      </c>
      <c r="L31" s="247">
        <v>430.1</v>
      </c>
      <c r="M31" s="250">
        <v>2.6</v>
      </c>
      <c r="N31" s="251">
        <v>0.2</v>
      </c>
      <c r="O31" s="12">
        <f>(I31*TERushYd)+(J31*TERushTD)+(K31*TERec)+(L31*TERecYd)+(M31*TERecTD)+(N31*TEFuml)+(H31*TERushAtt)</f>
        <v>58.210000000000008</v>
      </c>
      <c r="P31" s="1" t="str">
        <f ca="1">IF(A31&lt;=TEStarters,"Starter",IF(A31&gt;TEStarters+TEBench,"Undrafted","Bench"))</f>
        <v>Undrafted</v>
      </c>
      <c r="Q31" s="47">
        <f ca="1">IFERROR(MAX(O31-LARGE(O$3:O$129,TEStarters),0),0)</f>
        <v>0</v>
      </c>
      <c r="R31" s="47">
        <f ca="1">IFERROR(IF(AllowNegative="Yes",O31-LARGE(O$3:O$129,TECount),MAX(O31-LARGE(O$3:O$129,TECount),0)),0)</f>
        <v>-8.5899999999999892</v>
      </c>
      <c r="S31" s="47">
        <f ca="1">IF(TEStarters&gt;0,(R31-Q31)*BenchPF+Q31*StarterPF,0)</f>
        <v>-2.057269344128116</v>
      </c>
      <c r="T31" s="47">
        <f ca="1">S31*Auction!$A$2</f>
        <v>-2.057269344128116</v>
      </c>
      <c r="U31" s="47" t="str">
        <f>IF(OR(INDEX(Auction!$H$13:$H$683,MATCH(B31,Auction!$A$13:$A$683,0))&gt;0,IFERROR(INDEX(CheatSheet!$D$37:$D$64,MATCH(B31,CheatSheet!$A$37:$A$64,0)),"")&lt;&gt;""),"Yes","No")</f>
        <v>No</v>
      </c>
      <c r="V31" s="219"/>
      <c r="W31" s="1"/>
      <c r="X31" s="100">
        <f ca="1">IFERROR(SUMIFS($Y$3:$Y$129,$Y$3:$Y$129,"&gt;0",$U$3:$U$129,"No")/SUMIF($Y$3:$Y$129,"&gt;0"),0)</f>
        <v>1</v>
      </c>
      <c r="Y31" s="1">
        <f t="shared" ca="1" si="0"/>
        <v>-4.2949999999999946</v>
      </c>
      <c r="Z31" s="145" t="str">
        <f ca="1">CONCATENATE("TE",ROUND((LARGE($Y$3:$Y$129,1)-$Y31)/(STDEVP($Y$3:$Y$129)/2)+1,0))</f>
        <v>TE9</v>
      </c>
      <c r="AA31" s="1">
        <f ca="1">Y31*LeagueInfo!$H$5</f>
        <v>-1.9642792867098358</v>
      </c>
    </row>
    <row r="32" spans="1:27" x14ac:dyDescent="0.25">
      <c r="A32" s="47">
        <f>RANK(O32,O$3:O$129)</f>
        <v>30</v>
      </c>
      <c r="B32" s="1" t="s">
        <v>719</v>
      </c>
      <c r="C32" s="1" t="s">
        <v>47</v>
      </c>
      <c r="D32" s="1">
        <f>VLOOKUP(E32,BYEs!$A$2:$B$34,2)</f>
        <v>11</v>
      </c>
      <c r="E32" s="1" t="s">
        <v>355</v>
      </c>
      <c r="F32" s="245">
        <v>0</v>
      </c>
      <c r="G32" s="246">
        <v>0</v>
      </c>
      <c r="H32" s="247">
        <v>0</v>
      </c>
      <c r="I32" s="247">
        <v>0</v>
      </c>
      <c r="J32" s="247">
        <v>0</v>
      </c>
      <c r="K32" s="249">
        <v>28.6</v>
      </c>
      <c r="L32" s="247">
        <v>354.1</v>
      </c>
      <c r="M32" s="250">
        <v>3.1</v>
      </c>
      <c r="N32" s="251">
        <v>0.2</v>
      </c>
      <c r="O32" s="12">
        <f>(I32*TERushYd)+(J32*TERushTD)+(K32*TERec)+(L32*TERecYd)+(M32*TERecTD)+(N32*TEFuml)+(H32*TERushAtt)</f>
        <v>53.610000000000007</v>
      </c>
      <c r="P32" s="1" t="str">
        <f ca="1">IF(A32&lt;=TEStarters,"Starter",IF(A32&gt;TEStarters+TEBench,"Undrafted","Bench"))</f>
        <v>Undrafted</v>
      </c>
      <c r="Q32" s="47">
        <f ca="1">IFERROR(MAX(O32-LARGE(O$3:O$129,TEStarters),0),0)</f>
        <v>0</v>
      </c>
      <c r="R32" s="47">
        <f ca="1">IFERROR(IF(AllowNegative="Yes",O32-LARGE(O$3:O$129,TECount),MAX(O32-LARGE(O$3:O$129,TECount),0)),0)</f>
        <v>-13.189999999999991</v>
      </c>
      <c r="S32" s="47">
        <f ca="1">IF(TEStarters&gt;0,(R32-Q32)*BenchPF+Q32*StarterPF,0)</f>
        <v>-3.1589502501804265</v>
      </c>
      <c r="T32" s="47">
        <f ca="1">S32*Auction!$A$2</f>
        <v>-3.1589502501804265</v>
      </c>
      <c r="U32" s="47" t="str">
        <f>IF(OR(INDEX(Auction!$H$13:$H$683,MATCH(B32,Auction!$A$13:$A$683,0))&gt;0,IFERROR(INDEX(CheatSheet!$D$37:$D$64,MATCH(B32,CheatSheet!$A$37:$A$64,0)),"")&lt;&gt;""),"Yes","No")</f>
        <v>No</v>
      </c>
      <c r="V32" s="219"/>
      <c r="W32" s="1"/>
      <c r="X32" s="100">
        <f ca="1">IFERROR(SUMIFS($Y$3:$Y$129,$Y$3:$Y$129,"&gt;0",$U$3:$U$129,"No")/SUMIF($Y$3:$Y$129,"&gt;0"),0)</f>
        <v>1</v>
      </c>
      <c r="Y32" s="1">
        <f t="shared" ca="1" si="0"/>
        <v>-6.5949999999999953</v>
      </c>
      <c r="Z32" s="145" t="str">
        <f ca="1">CONCATENATE("TE",ROUND((LARGE($Y$3:$Y$129,1)-$Y32)/(STDEVP($Y$3:$Y$129)/2)+1,0))</f>
        <v>TE9</v>
      </c>
      <c r="AA32" s="1">
        <f ca="1">Y32*LeagueInfo!$H$5</f>
        <v>-3.0161634216184803</v>
      </c>
    </row>
    <row r="33" spans="1:27" x14ac:dyDescent="0.25">
      <c r="A33" s="47">
        <f>RANK(O33,O$3:O$129)</f>
        <v>31</v>
      </c>
      <c r="B33" s="1" t="s">
        <v>717</v>
      </c>
      <c r="C33" s="1" t="s">
        <v>47</v>
      </c>
      <c r="D33" s="1">
        <f>VLOOKUP(E33,BYEs!$A$2:$B$34,2)</f>
        <v>8</v>
      </c>
      <c r="E33" s="1" t="s">
        <v>380</v>
      </c>
      <c r="F33" s="245">
        <v>0</v>
      </c>
      <c r="G33" s="246">
        <v>0</v>
      </c>
      <c r="H33" s="247">
        <v>0</v>
      </c>
      <c r="I33" s="247">
        <v>0</v>
      </c>
      <c r="J33" s="247">
        <v>0</v>
      </c>
      <c r="K33" s="249">
        <v>34.200000000000003</v>
      </c>
      <c r="L33" s="247">
        <v>338.7</v>
      </c>
      <c r="M33" s="250">
        <v>2.7</v>
      </c>
      <c r="N33" s="251">
        <v>0.2</v>
      </c>
      <c r="O33" s="12">
        <f>(I33*TERushYd)+(J33*TERushTD)+(K33*TERec)+(L33*TERecYd)+(M33*TERecTD)+(N33*TEFuml)+(H33*TERushAtt)</f>
        <v>49.67</v>
      </c>
      <c r="P33" s="1" t="str">
        <f ca="1">IF(A33&lt;=TEStarters,"Starter",IF(A33&gt;TEStarters+TEBench,"Undrafted","Bench"))</f>
        <v>Undrafted</v>
      </c>
      <c r="Q33" s="47">
        <f ca="1">IFERROR(MAX(O33-LARGE(O$3:O$129,TEStarters),0),0)</f>
        <v>0</v>
      </c>
      <c r="R33" s="47">
        <f ca="1">IFERROR(IF(AllowNegative="Yes",O33-LARGE(O$3:O$129,TECount),MAX(O33-LARGE(O$3:O$129,TECount),0)),0)</f>
        <v>-17.129999999999995</v>
      </c>
      <c r="S33" s="47">
        <f ca="1">IF(TEStarters&gt;0,(R33-Q33)*BenchPF+Q33*StarterPF,0)</f>
        <v>-4.1025638957991459</v>
      </c>
      <c r="T33" s="47">
        <f ca="1">S33*Auction!$A$2</f>
        <v>-4.1025638957991459</v>
      </c>
      <c r="U33" s="47" t="str">
        <f>IF(OR(INDEX(Auction!$H$13:$H$683,MATCH(B33,Auction!$A$13:$A$683,0))&gt;0,IFERROR(INDEX(CheatSheet!$D$37:$D$64,MATCH(B33,CheatSheet!$A$37:$A$64,0)),"")&lt;&gt;""),"Yes","No")</f>
        <v>No</v>
      </c>
      <c r="V33" s="219"/>
      <c r="W33" s="1"/>
      <c r="X33" s="100">
        <f ca="1">IFERROR(SUMIFS($Y$3:$Y$129,$Y$3:$Y$129,"&gt;0",$U$3:$U$129,"No")/SUMIF($Y$3:$Y$129,"&gt;0"),0)</f>
        <v>1</v>
      </c>
      <c r="Y33" s="1">
        <f t="shared" ca="1" si="0"/>
        <v>-8.5649999999999977</v>
      </c>
      <c r="Z33" s="145" t="str">
        <f ca="1">CONCATENATE("TE",ROUND((LARGE($Y$3:$Y$129,1)-$Y33)/(STDEVP($Y$3:$Y$129)/2)+1,0))</f>
        <v>TE10</v>
      </c>
      <c r="AA33" s="1">
        <f ca="1">Y33*LeagueInfo!$H$5</f>
        <v>-3.9171250502141466</v>
      </c>
    </row>
    <row r="34" spans="1:27" x14ac:dyDescent="0.25">
      <c r="A34" s="47">
        <f>RANK(O34,O$3:O$129)</f>
        <v>32</v>
      </c>
      <c r="B34" s="1" t="s">
        <v>718</v>
      </c>
      <c r="C34" s="1" t="s">
        <v>47</v>
      </c>
      <c r="D34" s="1">
        <f>VLOOKUP(E34,BYEs!$A$2:$B$34,2)</f>
        <v>9</v>
      </c>
      <c r="E34" s="1" t="s">
        <v>363</v>
      </c>
      <c r="F34" s="245">
        <v>0</v>
      </c>
      <c r="G34" s="246">
        <v>0</v>
      </c>
      <c r="H34" s="247">
        <v>0</v>
      </c>
      <c r="I34" s="247">
        <v>0</v>
      </c>
      <c r="J34" s="247">
        <v>0</v>
      </c>
      <c r="K34" s="249">
        <v>26.2</v>
      </c>
      <c r="L34" s="247">
        <v>322.8</v>
      </c>
      <c r="M34" s="250">
        <v>2.7</v>
      </c>
      <c r="N34" s="251">
        <v>0.1</v>
      </c>
      <c r="O34" s="12">
        <f>(I34*TERushYd)+(J34*TERushTD)+(K34*TERec)+(L34*TERecYd)+(M34*TERecTD)+(N34*TEFuml)+(H34*TERushAtt)</f>
        <v>48.28</v>
      </c>
      <c r="P34" s="1" t="str">
        <f ca="1">IF(A34&lt;=TEStarters,"Starter",IF(A34&gt;TEStarters+TEBench,"Undrafted","Bench"))</f>
        <v>Undrafted</v>
      </c>
      <c r="Q34" s="47">
        <f ca="1">IFERROR(MAX(O34-LARGE(O$3:O$129,TEStarters),0),0)</f>
        <v>0</v>
      </c>
      <c r="R34" s="47">
        <f ca="1">IFERROR(IF(AllowNegative="Yes",O34-LARGE(O$3:O$129,TECount),MAX(O34-LARGE(O$3:O$129,TECount),0)),0)</f>
        <v>-18.519999999999996</v>
      </c>
      <c r="S34" s="47">
        <f ca="1">IF(TEStarters&gt;0,(R34-Q34)*BenchPF+Q34*StarterPF,0)</f>
        <v>-4.4354631261062565</v>
      </c>
      <c r="T34" s="47">
        <f ca="1">S34*Auction!$A$2</f>
        <v>-4.4354631261062565</v>
      </c>
      <c r="U34" s="47" t="str">
        <f>IF(OR(INDEX(Auction!$H$13:$H$683,MATCH(B34,Auction!$A$13:$A$683,0))&gt;0,IFERROR(INDEX(CheatSheet!$D$37:$D$64,MATCH(B34,CheatSheet!$A$37:$A$64,0)),"")&lt;&gt;""),"Yes","No")</f>
        <v>No</v>
      </c>
      <c r="V34" s="219"/>
      <c r="W34" s="1"/>
      <c r="X34" s="100">
        <f ca="1">IFERROR(SUMIFS($Y$3:$Y$129,$Y$3:$Y$129,"&gt;0",$U$3:$U$129,"No")/SUMIF($Y$3:$Y$129,"&gt;0"),0)</f>
        <v>1</v>
      </c>
      <c r="Y34" s="1">
        <f t="shared" ca="1" si="0"/>
        <v>-9.259999999999998</v>
      </c>
      <c r="Z34" s="145" t="str">
        <f ca="1">CONCATENATE("TE",ROUND((LARGE($Y$3:$Y$129,1)-$Y34)/(STDEVP($Y$3:$Y$129)/2)+1,0))</f>
        <v>TE10</v>
      </c>
      <c r="AA34" s="1">
        <f ca="1">Y34*LeagueInfo!$H$5</f>
        <v>-4.2349769953278456</v>
      </c>
    </row>
    <row r="35" spans="1:27" x14ac:dyDescent="0.25">
      <c r="A35" s="47">
        <f>RANK(O35,O$3:O$129)</f>
        <v>33</v>
      </c>
      <c r="B35" s="1" t="s">
        <v>720</v>
      </c>
      <c r="C35" s="1" t="s">
        <v>47</v>
      </c>
      <c r="D35" s="1">
        <f>VLOOKUP(E35,BYEs!$A$2:$B$34,2)</f>
        <v>10</v>
      </c>
      <c r="E35" s="1" t="s">
        <v>371</v>
      </c>
      <c r="F35" s="245">
        <v>0</v>
      </c>
      <c r="G35" s="246">
        <v>0</v>
      </c>
      <c r="H35" s="247">
        <v>0</v>
      </c>
      <c r="I35" s="247">
        <v>0</v>
      </c>
      <c r="J35" s="247">
        <v>0</v>
      </c>
      <c r="K35" s="249">
        <v>34.9</v>
      </c>
      <c r="L35" s="247">
        <v>350.6</v>
      </c>
      <c r="M35" s="250">
        <v>2.4</v>
      </c>
      <c r="N35" s="251">
        <v>0.6</v>
      </c>
      <c r="O35" s="12">
        <f>(I35*TERushYd)+(J35*TERushTD)+(K35*TERec)+(L35*TERecYd)+(M35*TERecTD)+(N35*TEFuml)+(H35*TERushAtt)</f>
        <v>48.26</v>
      </c>
      <c r="P35" s="1" t="str">
        <f ca="1">IF(A35&lt;=TEStarters,"Starter",IF(A35&gt;TEStarters+TEBench,"Undrafted","Bench"))</f>
        <v>Undrafted</v>
      </c>
      <c r="Q35" s="47">
        <f ca="1">IFERROR(MAX(O35-LARGE(O$3:O$129,TEStarters),0),0)</f>
        <v>0</v>
      </c>
      <c r="R35" s="47">
        <f ca="1">IFERROR(IF(AllowNegative="Yes",O35-LARGE(O$3:O$129,TECount),MAX(O35-LARGE(O$3:O$129,TECount),0)),0)</f>
        <v>-18.54</v>
      </c>
      <c r="S35" s="47">
        <f ca="1">IF(TEStarters&gt;0,(R35-Q35)*BenchPF+Q35*StarterPF,0)</f>
        <v>-4.4402530430890934</v>
      </c>
      <c r="T35" s="47">
        <f ca="1">S35*Auction!$A$2</f>
        <v>-4.4402530430890934</v>
      </c>
      <c r="U35" s="47" t="str">
        <f>IF(OR(INDEX(Auction!$H$13:$H$683,MATCH(B35,Auction!$A$13:$A$683,0))&gt;0,IFERROR(INDEX(CheatSheet!$D$37:$D$64,MATCH(B35,CheatSheet!$A$37:$A$64,0)),"")&lt;&gt;""),"Yes","No")</f>
        <v>No</v>
      </c>
      <c r="V35" s="219"/>
      <c r="W35" s="1"/>
      <c r="X35" s="100">
        <f ca="1">IFERROR(SUMIFS($Y$3:$Y$129,$Y$3:$Y$129,"&gt;0",$U$3:$U$129,"No")/SUMIF($Y$3:$Y$129,"&gt;0"),0)</f>
        <v>1</v>
      </c>
      <c r="Y35" s="1">
        <f t="shared" ca="1" si="0"/>
        <v>-9.27</v>
      </c>
      <c r="Z35" s="145" t="str">
        <f ca="1">CONCATENATE("TE",ROUND((LARGE($Y$3:$Y$129,1)-$Y35)/(STDEVP($Y$3:$Y$129)/2)+1,0))</f>
        <v>TE10</v>
      </c>
      <c r="AA35" s="1">
        <f ca="1">Y35*LeagueInfo!$H$5</f>
        <v>-4.2395504046100578</v>
      </c>
    </row>
    <row r="36" spans="1:27" x14ac:dyDescent="0.25">
      <c r="A36" s="47">
        <f>RANK(O36,O$3:O$129)</f>
        <v>34</v>
      </c>
      <c r="B36" s="1" t="s">
        <v>287</v>
      </c>
      <c r="C36" s="1" t="s">
        <v>47</v>
      </c>
      <c r="D36" s="1">
        <f>VLOOKUP(E36,BYEs!$A$2:$B$34,2)</f>
        <v>9</v>
      </c>
      <c r="E36" s="1" t="s">
        <v>351</v>
      </c>
      <c r="F36" s="245">
        <v>0</v>
      </c>
      <c r="G36" s="246">
        <v>0</v>
      </c>
      <c r="H36" s="247">
        <v>0</v>
      </c>
      <c r="I36" s="247">
        <v>0</v>
      </c>
      <c r="J36" s="247">
        <v>0</v>
      </c>
      <c r="K36" s="249">
        <v>24.5</v>
      </c>
      <c r="L36" s="247">
        <v>284.39999999999998</v>
      </c>
      <c r="M36" s="250">
        <v>3.3</v>
      </c>
      <c r="N36" s="251">
        <v>0.1</v>
      </c>
      <c r="O36" s="12">
        <f>(I36*TERushYd)+(J36*TERushTD)+(K36*TERec)+(L36*TERecYd)+(M36*TERecTD)+(N36*TEFuml)+(H36*TERushAtt)</f>
        <v>48.039999999999992</v>
      </c>
      <c r="P36" s="1" t="str">
        <f ca="1">IF(A36&lt;=TEStarters,"Starter",IF(A36&gt;TEStarters+TEBench,"Undrafted","Bench"))</f>
        <v>Undrafted</v>
      </c>
      <c r="Q36" s="47">
        <f ca="1">IFERROR(MAX(O36-LARGE(O$3:O$129,TEStarters),0),0)</f>
        <v>0</v>
      </c>
      <c r="R36" s="47">
        <f ca="1">IFERROR(IF(AllowNegative="Yes",O36-LARGE(O$3:O$129,TECount),MAX(O36-LARGE(O$3:O$129,TECount),0)),0)</f>
        <v>-18.760000000000005</v>
      </c>
      <c r="S36" s="47">
        <f ca="1">IF(TEStarters&gt;0,(R36-Q36)*BenchPF+Q36*StarterPF,0)</f>
        <v>-4.4929421299002925</v>
      </c>
      <c r="T36" s="47">
        <f ca="1">S36*Auction!$A$2</f>
        <v>-4.4929421299002925</v>
      </c>
      <c r="U36" s="47" t="str">
        <f>IF(OR(INDEX(Auction!$H$13:$H$683,MATCH(B36,Auction!$A$13:$A$683,0))&gt;0,IFERROR(INDEX(CheatSheet!$D$37:$D$64,MATCH(B36,CheatSheet!$A$37:$A$64,0)),"")&lt;&gt;""),"Yes","No")</f>
        <v>No</v>
      </c>
      <c r="V36" s="219"/>
      <c r="W36" s="1"/>
      <c r="X36" s="100">
        <f ca="1">IFERROR(SUMIFS($Y$3:$Y$129,$Y$3:$Y$129,"&gt;0",$U$3:$U$129,"No")/SUMIF($Y$3:$Y$129,"&gt;0"),0)</f>
        <v>1</v>
      </c>
      <c r="Y36" s="1">
        <f t="shared" ca="1" si="0"/>
        <v>-9.3800000000000026</v>
      </c>
      <c r="Z36" s="145" t="str">
        <f ca="1">CONCATENATE("TE",ROUND((LARGE($Y$3:$Y$129,1)-$Y36)/(STDEVP($Y$3:$Y$129)/2)+1,0))</f>
        <v>TE10</v>
      </c>
      <c r="AA36" s="1">
        <f ca="1">Y36*LeagueInfo!$H$5</f>
        <v>-4.2898579067143858</v>
      </c>
    </row>
    <row r="37" spans="1:27" x14ac:dyDescent="0.25">
      <c r="A37" s="47">
        <f>RANK(O37,O$3:O$129)</f>
        <v>35</v>
      </c>
      <c r="B37" s="1" t="s">
        <v>721</v>
      </c>
      <c r="C37" s="1" t="s">
        <v>47</v>
      </c>
      <c r="D37" s="1">
        <f>VLOOKUP(E37,BYEs!$A$2:$B$34,2)</f>
        <v>5</v>
      </c>
      <c r="E37" s="1" t="s">
        <v>358</v>
      </c>
      <c r="F37" s="245">
        <v>0</v>
      </c>
      <c r="G37" s="246">
        <v>0</v>
      </c>
      <c r="H37" s="247">
        <v>0</v>
      </c>
      <c r="I37" s="247">
        <v>0</v>
      </c>
      <c r="J37" s="247">
        <v>0</v>
      </c>
      <c r="K37" s="249">
        <v>27.5</v>
      </c>
      <c r="L37" s="247">
        <v>335.5</v>
      </c>
      <c r="M37" s="250">
        <v>2.1</v>
      </c>
      <c r="N37" s="251">
        <v>0.2</v>
      </c>
      <c r="O37" s="12">
        <f>(I37*TERushYd)+(J37*TERushTD)+(K37*TERec)+(L37*TERecYd)+(M37*TERecTD)+(N37*TEFuml)+(H37*TERushAtt)</f>
        <v>45.750000000000007</v>
      </c>
      <c r="P37" s="1" t="str">
        <f ca="1">IF(A37&lt;=TEStarters,"Starter",IF(A37&gt;TEStarters+TEBench,"Undrafted","Bench"))</f>
        <v>Undrafted</v>
      </c>
      <c r="Q37" s="47">
        <f ca="1">IFERROR(MAX(O37-LARGE(O$3:O$129,TEStarters),0),0)</f>
        <v>0</v>
      </c>
      <c r="R37" s="47">
        <f ca="1">IFERROR(IF(AllowNegative="Yes",O37-LARGE(O$3:O$129,TECount),MAX(O37-LARGE(O$3:O$129,TECount),0)),0)</f>
        <v>-21.04999999999999</v>
      </c>
      <c r="S37" s="47">
        <f ca="1">IF(TEStarters&gt;0,(R37-Q37)*BenchPF+Q37*StarterPF,0)</f>
        <v>-5.0413876244350257</v>
      </c>
      <c r="T37" s="47">
        <f ca="1">S37*Auction!$A$2</f>
        <v>-5.0413876244350257</v>
      </c>
      <c r="U37" s="47" t="str">
        <f>IF(OR(INDEX(Auction!$H$13:$H$683,MATCH(B37,Auction!$A$13:$A$683,0))&gt;0,IFERROR(INDEX(CheatSheet!$D$37:$D$64,MATCH(B37,CheatSheet!$A$37:$A$64,0)),"")&lt;&gt;""),"Yes","No")</f>
        <v>No</v>
      </c>
      <c r="V37" s="219"/>
      <c r="W37" s="1"/>
      <c r="X37" s="100">
        <f ca="1">IFERROR(SUMIFS($Y$3:$Y$129,$Y$3:$Y$129,"&gt;0",$U$3:$U$129,"No")/SUMIF($Y$3:$Y$129,"&gt;0"),0)</f>
        <v>1</v>
      </c>
      <c r="Y37" s="1">
        <f t="shared" ca="1" si="0"/>
        <v>-10.524999999999995</v>
      </c>
      <c r="Z37" s="145" t="str">
        <f ca="1">CONCATENATE("TE",ROUND((LARGE($Y$3:$Y$129,1)-$Y37)/(STDEVP($Y$3:$Y$129)/2)+1,0))</f>
        <v>TE10</v>
      </c>
      <c r="AA37" s="1">
        <f ca="1">Y37*LeagueInfo!$H$5</f>
        <v>-4.8135132695275988</v>
      </c>
    </row>
    <row r="38" spans="1:27" x14ac:dyDescent="0.25">
      <c r="A38" s="47">
        <f>RANK(O38,O$3:O$129)</f>
        <v>36</v>
      </c>
      <c r="B38" s="1" t="s">
        <v>732</v>
      </c>
      <c r="C38" s="1" t="s">
        <v>47</v>
      </c>
      <c r="D38" s="1">
        <f>VLOOKUP(E38,BYEs!$A$2:$B$34,2)</f>
        <v>11</v>
      </c>
      <c r="E38" s="1" t="s">
        <v>378</v>
      </c>
      <c r="F38" s="245">
        <v>0</v>
      </c>
      <c r="G38" s="246">
        <v>0</v>
      </c>
      <c r="H38" s="247">
        <v>0</v>
      </c>
      <c r="I38" s="247">
        <v>0</v>
      </c>
      <c r="J38" s="247">
        <v>0</v>
      </c>
      <c r="K38" s="249">
        <v>26.1</v>
      </c>
      <c r="L38" s="247">
        <v>285.8</v>
      </c>
      <c r="M38" s="250">
        <v>2.2000000000000002</v>
      </c>
      <c r="N38" s="251">
        <v>0.3</v>
      </c>
      <c r="O38" s="12">
        <f>(I38*TERushYd)+(J38*TERushTD)+(K38*TERec)+(L38*TERecYd)+(M38*TERecTD)+(N38*TEFuml)+(H38*TERushAtt)</f>
        <v>41.18</v>
      </c>
      <c r="P38" s="1" t="str">
        <f ca="1">IF(A38&lt;=TEStarters,"Starter",IF(A38&gt;TEStarters+TEBench,"Undrafted","Bench"))</f>
        <v>Undrafted</v>
      </c>
      <c r="Q38" s="47">
        <f ca="1">IFERROR(MAX(O38-LARGE(O$3:O$129,TEStarters),0),0)</f>
        <v>0</v>
      </c>
      <c r="R38" s="47">
        <f ca="1">IFERROR(IF(AllowNegative="Yes",O38-LARGE(O$3:O$129,TECount),MAX(O38-LARGE(O$3:O$129,TECount),0)),0)</f>
        <v>-25.619999999999997</v>
      </c>
      <c r="S38" s="47">
        <f ca="1">IF(TEStarters&gt;0,(R38-Q38)*BenchPF+Q38*StarterPF,0)</f>
        <v>-6.1358836550130835</v>
      </c>
      <c r="T38" s="47">
        <f ca="1">S38*Auction!$A$2</f>
        <v>-6.1358836550130835</v>
      </c>
      <c r="U38" s="47" t="str">
        <f>IF(OR(INDEX(Auction!$H$13:$H$683,MATCH(B38,Auction!$A$13:$A$683,0))&gt;0,IFERROR(INDEX(CheatSheet!$D$37:$D$64,MATCH(B38,CheatSheet!$A$37:$A$64,0)),"")&lt;&gt;""),"Yes","No")</f>
        <v>No</v>
      </c>
      <c r="V38" s="219"/>
      <c r="W38" s="1"/>
      <c r="X38" s="100">
        <f ca="1">IFERROR(SUMIFS($Y$3:$Y$129,$Y$3:$Y$129,"&gt;0",$U$3:$U$129,"No")/SUMIF($Y$3:$Y$129,"&gt;0"),0)</f>
        <v>1</v>
      </c>
      <c r="Y38" s="1">
        <f t="shared" ca="1" si="0"/>
        <v>-12.809999999999999</v>
      </c>
      <c r="Z38" s="145" t="str">
        <f ca="1">CONCATENATE("TE",ROUND((LARGE($Y$3:$Y$129,1)-$Y38)/(STDEVP($Y$3:$Y$129)/2)+1,0))</f>
        <v>TE10</v>
      </c>
      <c r="AA38" s="1">
        <f ca="1">Y38*LeagueInfo!$H$5</f>
        <v>-5.8585372905129276</v>
      </c>
    </row>
    <row r="39" spans="1:27" x14ac:dyDescent="0.25">
      <c r="A39" s="47">
        <f>RANK(O39,O$3:O$129)</f>
        <v>37</v>
      </c>
      <c r="B39" s="1" t="s">
        <v>423</v>
      </c>
      <c r="C39" s="1" t="s">
        <v>47</v>
      </c>
      <c r="D39" s="1">
        <f>VLOOKUP(E39,BYEs!$A$2:$B$34,2)</f>
        <v>7</v>
      </c>
      <c r="E39" s="1" t="s">
        <v>385</v>
      </c>
      <c r="F39" s="245">
        <v>0</v>
      </c>
      <c r="G39" s="246">
        <v>0</v>
      </c>
      <c r="H39" s="247">
        <v>0</v>
      </c>
      <c r="I39" s="247">
        <v>0</v>
      </c>
      <c r="J39" s="247">
        <v>0</v>
      </c>
      <c r="K39" s="249">
        <v>29.9</v>
      </c>
      <c r="L39" s="247">
        <v>292.89999999999998</v>
      </c>
      <c r="M39" s="250">
        <v>1.8</v>
      </c>
      <c r="N39" s="251">
        <v>0.6</v>
      </c>
      <c r="O39" s="12">
        <f>(I39*TERushYd)+(J39*TERushTD)+(K39*TERec)+(L39*TERecYd)+(M39*TERecTD)+(N39*TEFuml)+(H39*TERushAtt)</f>
        <v>38.89</v>
      </c>
      <c r="P39" s="1" t="str">
        <f ca="1">IF(A39&lt;=TEStarters,"Starter",IF(A39&gt;TEStarters+TEBench,"Undrafted","Bench"))</f>
        <v>Undrafted</v>
      </c>
      <c r="Q39" s="47">
        <f ca="1">IFERROR(MAX(O39-LARGE(O$3:O$129,TEStarters),0),0)</f>
        <v>0</v>
      </c>
      <c r="R39" s="47">
        <f ca="1">IFERROR(IF(AllowNegative="Yes",O39-LARGE(O$3:O$129,TECount),MAX(O39-LARGE(O$3:O$129,TECount),0)),0)</f>
        <v>-27.909999999999997</v>
      </c>
      <c r="S39" s="47">
        <f ca="1">IF(TEStarters&gt;0,(R39-Q39)*BenchPF+Q39*StarterPF,0)</f>
        <v>-6.6843291495478203</v>
      </c>
      <c r="T39" s="47">
        <f ca="1">S39*Auction!$A$2</f>
        <v>-6.6843291495478203</v>
      </c>
      <c r="U39" s="47" t="str">
        <f>IF(OR(INDEX(Auction!$H$13:$H$683,MATCH(B39,Auction!$A$13:$A$683,0))&gt;0,IFERROR(INDEX(CheatSheet!$D$37:$D$64,MATCH(B39,CheatSheet!$A$37:$A$64,0)),"")&lt;&gt;""),"Yes","No")</f>
        <v>No</v>
      </c>
      <c r="V39" s="219"/>
      <c r="W39" s="1"/>
      <c r="X39" s="100">
        <f ca="1">IFERROR(SUMIFS($Y$3:$Y$129,$Y$3:$Y$129,"&gt;0",$U$3:$U$129,"No")/SUMIF($Y$3:$Y$129,"&gt;0"),0)</f>
        <v>1</v>
      </c>
      <c r="Y39" s="1">
        <f t="shared" ca="1" si="0"/>
        <v>-13.954999999999998</v>
      </c>
      <c r="Z39" s="145" t="str">
        <f ca="1">CONCATENATE("TE",ROUND((LARGE($Y$3:$Y$129,1)-$Y39)/(STDEVP($Y$3:$Y$129)/2)+1,0))</f>
        <v>TE10</v>
      </c>
      <c r="AA39" s="1">
        <f ca="1">Y39*LeagueInfo!$H$5</f>
        <v>-6.3821926533261442</v>
      </c>
    </row>
    <row r="40" spans="1:27" x14ac:dyDescent="0.25">
      <c r="A40" s="47">
        <f>RANK(O40,O$3:O$129)</f>
        <v>38</v>
      </c>
      <c r="B40" s="1" t="s">
        <v>724</v>
      </c>
      <c r="C40" s="1" t="s">
        <v>47</v>
      </c>
      <c r="D40" s="1">
        <f>VLOOKUP(E40,BYEs!$A$2:$B$34,2)</f>
        <v>5</v>
      </c>
      <c r="E40" s="1" t="s">
        <v>384</v>
      </c>
      <c r="F40" s="245">
        <v>0</v>
      </c>
      <c r="G40" s="246">
        <v>0</v>
      </c>
      <c r="H40" s="247">
        <v>0</v>
      </c>
      <c r="I40" s="247">
        <v>0</v>
      </c>
      <c r="J40" s="247">
        <v>0</v>
      </c>
      <c r="K40" s="249">
        <v>24.6</v>
      </c>
      <c r="L40" s="247">
        <v>268.7</v>
      </c>
      <c r="M40" s="250">
        <v>1.6</v>
      </c>
      <c r="N40" s="251">
        <v>0.2</v>
      </c>
      <c r="O40" s="12">
        <f>(I40*TERushYd)+(J40*TERushTD)+(K40*TERec)+(L40*TERecYd)+(M40*TERecTD)+(N40*TEFuml)+(H40*TERushAtt)</f>
        <v>36.07</v>
      </c>
      <c r="P40" s="1" t="str">
        <f ca="1">IF(A40&lt;=TEStarters,"Starter",IF(A40&gt;TEStarters+TEBench,"Undrafted","Bench"))</f>
        <v>Undrafted</v>
      </c>
      <c r="Q40" s="47">
        <f ca="1">IFERROR(MAX(O40-LARGE(O$3:O$129,TEStarters),0),0)</f>
        <v>0</v>
      </c>
      <c r="R40" s="47">
        <f ca="1">IFERROR(IF(AllowNegative="Yes",O40-LARGE(O$3:O$129,TECount),MAX(O40-LARGE(O$3:O$129,TECount),0)),0)</f>
        <v>-30.729999999999997</v>
      </c>
      <c r="S40" s="47">
        <f ca="1">IF(TEStarters&gt;0,(R40-Q40)*BenchPF+Q40*StarterPF,0)</f>
        <v>-7.3597074441277153</v>
      </c>
      <c r="T40" s="47">
        <f ca="1">S40*Auction!$A$2</f>
        <v>-7.3597074441277153</v>
      </c>
      <c r="U40" s="47" t="str">
        <f>IF(OR(INDEX(Auction!$H$13:$H$683,MATCH(B40,Auction!$A$13:$A$683,0))&gt;0,IFERROR(INDEX(CheatSheet!$D$37:$D$64,MATCH(B40,CheatSheet!$A$37:$A$64,0)),"")&lt;&gt;""),"Yes","No")</f>
        <v>No</v>
      </c>
      <c r="V40" s="219"/>
      <c r="W40" s="1"/>
      <c r="X40" s="100">
        <f ca="1">IFERROR(SUMIFS($Y$3:$Y$129,$Y$3:$Y$129,"&gt;0",$U$3:$U$129,"No")/SUMIF($Y$3:$Y$129,"&gt;0"),0)</f>
        <v>1</v>
      </c>
      <c r="Y40" s="1">
        <f t="shared" ca="1" si="0"/>
        <v>-15.364999999999998</v>
      </c>
      <c r="Z40" s="145" t="str">
        <f ca="1">CONCATENATE("TE",ROUND((LARGE($Y$3:$Y$129,1)-$Y40)/(STDEVP($Y$3:$Y$129)/2)+1,0))</f>
        <v>TE10</v>
      </c>
      <c r="AA40" s="1">
        <f ca="1">Y40*LeagueInfo!$H$5</f>
        <v>-7.0270433621179649</v>
      </c>
    </row>
    <row r="41" spans="1:27" x14ac:dyDescent="0.25">
      <c r="A41" s="47">
        <f>RANK(O41,O$3:O$129)</f>
        <v>39</v>
      </c>
      <c r="B41" s="1" t="s">
        <v>729</v>
      </c>
      <c r="C41" s="1" t="s">
        <v>47</v>
      </c>
      <c r="D41" s="1">
        <f>VLOOKUP(E41,BYEs!$A$2:$B$34,2)</f>
        <v>9</v>
      </c>
      <c r="E41" s="1" t="s">
        <v>387</v>
      </c>
      <c r="F41" s="245">
        <v>0</v>
      </c>
      <c r="G41" s="246">
        <v>0</v>
      </c>
      <c r="H41" s="247">
        <v>0</v>
      </c>
      <c r="I41" s="247">
        <v>0</v>
      </c>
      <c r="J41" s="247">
        <v>0</v>
      </c>
      <c r="K41" s="249">
        <v>21.9</v>
      </c>
      <c r="L41" s="247">
        <v>222.2</v>
      </c>
      <c r="M41" s="250">
        <v>1.9</v>
      </c>
      <c r="N41" s="251">
        <v>0.2</v>
      </c>
      <c r="O41" s="12">
        <f>(I41*TERushYd)+(J41*TERushTD)+(K41*TERec)+(L41*TERecYd)+(M41*TERecTD)+(N41*TEFuml)+(H41*TERushAtt)</f>
        <v>33.22</v>
      </c>
      <c r="P41" s="1" t="str">
        <f ca="1">IF(A41&lt;=TEStarters,"Starter",IF(A41&gt;TEStarters+TEBench,"Undrafted","Bench"))</f>
        <v>Undrafted</v>
      </c>
      <c r="Q41" s="47">
        <f ca="1">IFERROR(MAX(O41-LARGE(O$3:O$129,TEStarters),0),0)</f>
        <v>0</v>
      </c>
      <c r="R41" s="47">
        <f ca="1">IFERROR(IF(AllowNegative="Yes",O41-LARGE(O$3:O$129,TECount),MAX(O41-LARGE(O$3:O$129,TECount),0)),0)</f>
        <v>-33.58</v>
      </c>
      <c r="S41" s="47">
        <f ca="1">IF(TEStarters&gt;0,(R41-Q41)*BenchPF+Q41*StarterPF,0)</f>
        <v>-8.0422706141818647</v>
      </c>
      <c r="T41" s="47">
        <f ca="1">S41*Auction!$A$2</f>
        <v>-8.0422706141818647</v>
      </c>
      <c r="U41" s="47" t="str">
        <f>IF(OR(INDEX(Auction!$H$13:$H$683,MATCH(B41,Auction!$A$13:$A$683,0))&gt;0,IFERROR(INDEX(CheatSheet!$D$37:$D$64,MATCH(B41,CheatSheet!$A$37:$A$64,0)),"")&lt;&gt;""),"Yes","No")</f>
        <v>No</v>
      </c>
      <c r="V41" s="219"/>
      <c r="W41" s="1"/>
      <c r="X41" s="100">
        <f ca="1">IFERROR(SUMIFS($Y$3:$Y$129,$Y$3:$Y$129,"&gt;0",$U$3:$U$129,"No")/SUMIF($Y$3:$Y$129,"&gt;0"),0)</f>
        <v>1</v>
      </c>
      <c r="Y41" s="1">
        <f t="shared" ca="1" si="0"/>
        <v>-16.79</v>
      </c>
      <c r="Z41" s="145" t="str">
        <f ca="1">CONCATENATE("TE",ROUND((LARGE($Y$3:$Y$129,1)-$Y41)/(STDEVP($Y$3:$Y$129)/2)+1,0))</f>
        <v>TE10</v>
      </c>
      <c r="AA41" s="1">
        <f ca="1">Y41*LeagueInfo!$H$5</f>
        <v>-7.678754184833104</v>
      </c>
    </row>
    <row r="42" spans="1:27" x14ac:dyDescent="0.25">
      <c r="A42" s="47">
        <f>RANK(O42,O$3:O$129)</f>
        <v>40</v>
      </c>
      <c r="B42" s="1" t="s">
        <v>730</v>
      </c>
      <c r="C42" s="1" t="s">
        <v>47</v>
      </c>
      <c r="D42" s="1">
        <f>VLOOKUP(E42,BYEs!$A$2:$B$34,2)</f>
        <v>11</v>
      </c>
      <c r="E42" s="1" t="s">
        <v>378</v>
      </c>
      <c r="F42" s="245">
        <v>0</v>
      </c>
      <c r="G42" s="246">
        <v>0</v>
      </c>
      <c r="H42" s="247">
        <v>0</v>
      </c>
      <c r="I42" s="247">
        <v>0</v>
      </c>
      <c r="J42" s="247">
        <v>0</v>
      </c>
      <c r="K42" s="249">
        <v>21.2</v>
      </c>
      <c r="L42" s="247">
        <v>240</v>
      </c>
      <c r="M42" s="250">
        <v>1.7</v>
      </c>
      <c r="N42" s="251">
        <v>0.6</v>
      </c>
      <c r="O42" s="12">
        <f>(I42*TERushYd)+(J42*TERushTD)+(K42*TERec)+(L42*TERecYd)+(M42*TERecTD)+(N42*TEFuml)+(H42*TERushAtt)</f>
        <v>33</v>
      </c>
      <c r="P42" s="1" t="str">
        <f ca="1">IF(A42&lt;=TEStarters,"Starter",IF(A42&gt;TEStarters+TEBench,"Undrafted","Bench"))</f>
        <v>Undrafted</v>
      </c>
      <c r="Q42" s="47">
        <f ca="1">IFERROR(MAX(O42-LARGE(O$3:O$129,TEStarters),0),0)</f>
        <v>0</v>
      </c>
      <c r="R42" s="47">
        <f ca="1">IFERROR(IF(AllowNegative="Yes",O42-LARGE(O$3:O$129,TECount),MAX(O42-LARGE(O$3:O$129,TECount),0)),0)</f>
        <v>-33.799999999999997</v>
      </c>
      <c r="S42" s="47">
        <f ca="1">IF(TEStarters&gt;0,(R42-Q42)*BenchPF+Q42*StarterPF,0)</f>
        <v>-8.0949597009930621</v>
      </c>
      <c r="T42" s="47">
        <f ca="1">S42*Auction!$A$2</f>
        <v>-8.0949597009930621</v>
      </c>
      <c r="U42" s="47" t="str">
        <f>IF(OR(INDEX(Auction!$H$13:$H$683,MATCH(B42,Auction!$A$13:$A$683,0))&gt;0,IFERROR(INDEX(CheatSheet!$D$37:$D$64,MATCH(B42,CheatSheet!$A$37:$A$64,0)),"")&lt;&gt;""),"Yes","No")</f>
        <v>No</v>
      </c>
      <c r="V42" s="219"/>
      <c r="W42" s="1"/>
      <c r="X42" s="100">
        <f ca="1">IFERROR(SUMIFS($Y$3:$Y$129,$Y$3:$Y$129,"&gt;0",$U$3:$U$129,"No")/SUMIF($Y$3:$Y$129,"&gt;0"),0)</f>
        <v>1</v>
      </c>
      <c r="Y42" s="1">
        <f t="shared" ca="1" si="0"/>
        <v>-16.899999999999999</v>
      </c>
      <c r="Z42" s="145" t="str">
        <f ca="1">CONCATENATE("TE",ROUND((LARGE($Y$3:$Y$129,1)-$Y42)/(STDEVP($Y$3:$Y$129)/2)+1,0))</f>
        <v>TE10</v>
      </c>
      <c r="AA42" s="1">
        <f ca="1">Y42*LeagueInfo!$H$5</f>
        <v>-7.7290616869374302</v>
      </c>
    </row>
    <row r="43" spans="1:27" x14ac:dyDescent="0.25">
      <c r="A43" s="47">
        <f>RANK(O43,O$3:O$129)</f>
        <v>41</v>
      </c>
      <c r="B43" s="1" t="s">
        <v>723</v>
      </c>
      <c r="C43" s="1" t="s">
        <v>47</v>
      </c>
      <c r="D43" s="1">
        <f>VLOOKUP(E43,BYEs!$A$2:$B$34,2)</f>
        <v>8</v>
      </c>
      <c r="E43" s="1" t="s">
        <v>367</v>
      </c>
      <c r="F43" s="245">
        <v>0</v>
      </c>
      <c r="G43" s="246">
        <v>0</v>
      </c>
      <c r="H43" s="247">
        <v>0</v>
      </c>
      <c r="I43" s="247">
        <v>0</v>
      </c>
      <c r="J43" s="247">
        <v>0</v>
      </c>
      <c r="K43" s="249">
        <v>24</v>
      </c>
      <c r="L43" s="247">
        <v>237.2</v>
      </c>
      <c r="M43" s="250">
        <v>1.6</v>
      </c>
      <c r="N43" s="251">
        <v>0.2</v>
      </c>
      <c r="O43" s="12">
        <f>(I43*TERushYd)+(J43*TERushTD)+(K43*TERec)+(L43*TERecYd)+(M43*TERecTD)+(N43*TEFuml)+(H43*TERushAtt)</f>
        <v>32.92</v>
      </c>
      <c r="P43" s="1" t="str">
        <f ca="1">IF(A43&lt;=TEStarters,"Starter",IF(A43&gt;TEStarters+TEBench,"Undrafted","Bench"))</f>
        <v>Undrafted</v>
      </c>
      <c r="Q43" s="47">
        <f ca="1">IFERROR(MAX(O43-LARGE(O$3:O$129,TEStarters),0),0)</f>
        <v>0</v>
      </c>
      <c r="R43" s="47">
        <f ca="1">IFERROR(IF(AllowNegative="Yes",O43-LARGE(O$3:O$129,TECount),MAX(O43-LARGE(O$3:O$129,TECount),0)),0)</f>
        <v>-33.879999999999995</v>
      </c>
      <c r="S43" s="47">
        <f ca="1">IF(TEStarters&gt;0,(R43-Q43)*BenchPF+Q43*StarterPF,0)</f>
        <v>-8.1141193689244062</v>
      </c>
      <c r="T43" s="47">
        <f ca="1">S43*Auction!$A$2</f>
        <v>-8.1141193689244062</v>
      </c>
      <c r="U43" s="47" t="str">
        <f>IF(OR(INDEX(Auction!$H$13:$H$683,MATCH(B43,Auction!$A$13:$A$683,0))&gt;0,IFERROR(INDEX(CheatSheet!$D$37:$D$64,MATCH(B43,CheatSheet!$A$37:$A$64,0)),"")&lt;&gt;""),"Yes","No")</f>
        <v>No</v>
      </c>
      <c r="V43" s="219"/>
      <c r="W43" s="1"/>
      <c r="X43" s="100">
        <f ca="1">IFERROR(SUMIFS($Y$3:$Y$129,$Y$3:$Y$129,"&gt;0",$U$3:$U$129,"No")/SUMIF($Y$3:$Y$129,"&gt;0"),0)</f>
        <v>1</v>
      </c>
      <c r="Y43" s="1">
        <f t="shared" ca="1" si="0"/>
        <v>-16.939999999999998</v>
      </c>
      <c r="Z43" s="145" t="str">
        <f ca="1">CONCATENATE("TE",ROUND((LARGE($Y$3:$Y$129,1)-$Y43)/(STDEVP($Y$3:$Y$129)/2)+1,0))</f>
        <v>TE10</v>
      </c>
      <c r="AA43" s="1">
        <f ca="1">Y43*LeagueInfo!$H$5</f>
        <v>-7.7473553240662758</v>
      </c>
    </row>
    <row r="44" spans="1:27" x14ac:dyDescent="0.25">
      <c r="A44" s="47">
        <f>RANK(O44,O$3:O$129)</f>
        <v>42</v>
      </c>
      <c r="B44" s="1" t="s">
        <v>727</v>
      </c>
      <c r="C44" s="1" t="s">
        <v>47</v>
      </c>
      <c r="D44" s="1">
        <f>VLOOKUP(E44,BYEs!$A$2:$B$34,2)</f>
        <v>10</v>
      </c>
      <c r="E44" s="1" t="s">
        <v>365</v>
      </c>
      <c r="F44" s="245">
        <v>0</v>
      </c>
      <c r="G44" s="246">
        <v>0</v>
      </c>
      <c r="H44" s="247">
        <v>0</v>
      </c>
      <c r="I44" s="247">
        <v>0</v>
      </c>
      <c r="J44" s="247">
        <v>0</v>
      </c>
      <c r="K44" s="249">
        <v>21.2</v>
      </c>
      <c r="L44" s="247">
        <v>230.1</v>
      </c>
      <c r="M44" s="250">
        <v>1.7</v>
      </c>
      <c r="N44" s="251">
        <v>0.2</v>
      </c>
      <c r="O44" s="12">
        <f>(I44*TERushYd)+(J44*TERushTD)+(K44*TERec)+(L44*TERecYd)+(M44*TERecTD)+(N44*TEFuml)+(H44*TERushAtt)</f>
        <v>32.81</v>
      </c>
      <c r="P44" s="1" t="str">
        <f ca="1">IF(A44&lt;=TEStarters,"Starter",IF(A44&gt;TEStarters+TEBench,"Undrafted","Bench"))</f>
        <v>Undrafted</v>
      </c>
      <c r="Q44" s="47">
        <f ca="1">IFERROR(MAX(O44-LARGE(O$3:O$129,TEStarters),0),0)</f>
        <v>0</v>
      </c>
      <c r="R44" s="47">
        <f ca="1">IFERROR(IF(AllowNegative="Yes",O44-LARGE(O$3:O$129,TECount),MAX(O44-LARGE(O$3:O$129,TECount),0)),0)</f>
        <v>-33.989999999999995</v>
      </c>
      <c r="S44" s="47">
        <f ca="1">IF(TEStarters&gt;0,(R44-Q44)*BenchPF+Q44*StarterPF,0)</f>
        <v>-8.140463912330004</v>
      </c>
      <c r="T44" s="47">
        <f ca="1">S44*Auction!$A$2</f>
        <v>-8.140463912330004</v>
      </c>
      <c r="U44" s="47" t="str">
        <f>IF(OR(INDEX(Auction!$H$13:$H$683,MATCH(B44,Auction!$A$13:$A$683,0))&gt;0,IFERROR(INDEX(CheatSheet!$D$37:$D$64,MATCH(B44,CheatSheet!$A$37:$A$64,0)),"")&lt;&gt;""),"Yes","No")</f>
        <v>No</v>
      </c>
      <c r="V44" s="219"/>
      <c r="W44" s="1"/>
      <c r="X44" s="100">
        <f ca="1">IFERROR(SUMIFS($Y$3:$Y$129,$Y$3:$Y$129,"&gt;0",$U$3:$U$129,"No")/SUMIF($Y$3:$Y$129,"&gt;0"),0)</f>
        <v>1</v>
      </c>
      <c r="Y44" s="1">
        <f t="shared" ca="1" si="0"/>
        <v>-16.994999999999997</v>
      </c>
      <c r="Z44" s="145" t="str">
        <f ca="1">CONCATENATE("TE",ROUND((LARGE($Y$3:$Y$129,1)-$Y44)/(STDEVP($Y$3:$Y$129)/2)+1,0))</f>
        <v>TE10</v>
      </c>
      <c r="AA44" s="1">
        <f ca="1">Y44*LeagueInfo!$H$5</f>
        <v>-7.7725090751184389</v>
      </c>
    </row>
    <row r="45" spans="1:27" x14ac:dyDescent="0.25">
      <c r="A45" s="47">
        <f>RANK(O45,O$3:O$129)</f>
        <v>43</v>
      </c>
      <c r="B45" s="1" t="s">
        <v>740</v>
      </c>
      <c r="C45" s="1" t="s">
        <v>47</v>
      </c>
      <c r="D45" s="1">
        <f>VLOOKUP(E45,BYEs!$A$2:$B$34,2)</f>
        <v>5</v>
      </c>
      <c r="E45" s="1" t="s">
        <v>384</v>
      </c>
      <c r="F45" s="245">
        <v>0</v>
      </c>
      <c r="G45" s="246">
        <v>0</v>
      </c>
      <c r="H45" s="247">
        <v>0</v>
      </c>
      <c r="I45" s="247">
        <v>0</v>
      </c>
      <c r="J45" s="247">
        <v>0</v>
      </c>
      <c r="K45" s="249">
        <v>24.3</v>
      </c>
      <c r="L45" s="247">
        <v>245</v>
      </c>
      <c r="M45" s="250">
        <v>1.7</v>
      </c>
      <c r="N45" s="251">
        <v>1.3</v>
      </c>
      <c r="O45" s="12">
        <f>(I45*TERushYd)+(J45*TERushTD)+(K45*TERec)+(L45*TERecYd)+(M45*TERecTD)+(N45*TEFuml)+(H45*TERushAtt)</f>
        <v>32.1</v>
      </c>
      <c r="P45" s="1" t="str">
        <f ca="1">IF(A45&lt;=TEStarters,"Starter",IF(A45&gt;TEStarters+TEBench,"Undrafted","Bench"))</f>
        <v>Undrafted</v>
      </c>
      <c r="Q45" s="47">
        <f ca="1">IFERROR(MAX(O45-LARGE(O$3:O$129,TEStarters),0),0)</f>
        <v>0</v>
      </c>
      <c r="R45" s="47">
        <f ca="1">IFERROR(IF(AllowNegative="Yes",O45-LARGE(O$3:O$129,TECount),MAX(O45-LARGE(O$3:O$129,TECount),0)),0)</f>
        <v>-34.699999999999996</v>
      </c>
      <c r="S45" s="47">
        <f ca="1">IF(TEStarters&gt;0,(R45-Q45)*BenchPF+Q45*StarterPF,0)</f>
        <v>-8.3105059652206865</v>
      </c>
      <c r="T45" s="47">
        <f ca="1">S45*Auction!$A$2</f>
        <v>-8.3105059652206865</v>
      </c>
      <c r="U45" s="47" t="str">
        <f>IF(OR(INDEX(Auction!$H$13:$H$683,MATCH(B45,Auction!$A$13:$A$683,0))&gt;0,IFERROR(INDEX(CheatSheet!$D$37:$D$64,MATCH(B45,CheatSheet!$A$37:$A$64,0)),"")&lt;&gt;""),"Yes","No")</f>
        <v>No</v>
      </c>
      <c r="V45" s="219"/>
      <c r="W45" s="1"/>
      <c r="X45" s="100">
        <f ca="1">IFERROR(SUMIFS($Y$3:$Y$129,$Y$3:$Y$129,"&gt;0",$U$3:$U$129,"No")/SUMIF($Y$3:$Y$129,"&gt;0"),0)</f>
        <v>1</v>
      </c>
      <c r="Y45" s="1">
        <f t="shared" ca="1" si="0"/>
        <v>-17.349999999999998</v>
      </c>
      <c r="Z45" s="145" t="str">
        <f ca="1">CONCATENATE("TE",ROUND((LARGE($Y$3:$Y$129,1)-$Y45)/(STDEVP($Y$3:$Y$129)/2)+1,0))</f>
        <v>TE10</v>
      </c>
      <c r="AA45" s="1">
        <f ca="1">Y45*LeagueInfo!$H$5</f>
        <v>-7.9348651046369474</v>
      </c>
    </row>
    <row r="46" spans="1:27" x14ac:dyDescent="0.25">
      <c r="A46" s="47">
        <f>RANK(O46,O$3:O$129)</f>
        <v>44</v>
      </c>
      <c r="B46" s="1" t="s">
        <v>735</v>
      </c>
      <c r="C46" s="1" t="s">
        <v>47</v>
      </c>
      <c r="D46" s="1">
        <f>VLOOKUP(E46,BYEs!$A$2:$B$34,2)</f>
        <v>10</v>
      </c>
      <c r="E46" s="1" t="s">
        <v>369</v>
      </c>
      <c r="F46" s="245">
        <v>0</v>
      </c>
      <c r="G46" s="246">
        <v>0</v>
      </c>
      <c r="H46" s="247">
        <v>0</v>
      </c>
      <c r="I46" s="247">
        <v>0</v>
      </c>
      <c r="J46" s="247">
        <v>0</v>
      </c>
      <c r="K46" s="249">
        <v>23.2</v>
      </c>
      <c r="L46" s="247">
        <v>222.2</v>
      </c>
      <c r="M46" s="250">
        <v>1.7</v>
      </c>
      <c r="N46" s="251">
        <v>0.2</v>
      </c>
      <c r="O46" s="12">
        <f>(I46*TERushYd)+(J46*TERushTD)+(K46*TERec)+(L46*TERecYd)+(M46*TERecTD)+(N46*TEFuml)+(H46*TERushAtt)</f>
        <v>32.020000000000003</v>
      </c>
      <c r="P46" s="1" t="str">
        <f ca="1">IF(A46&lt;=TEStarters,"Starter",IF(A46&gt;TEStarters+TEBench,"Undrafted","Bench"))</f>
        <v>Undrafted</v>
      </c>
      <c r="Q46" s="47">
        <f ca="1">IFERROR(MAX(O46-LARGE(O$3:O$129,TEStarters),0),0)</f>
        <v>0</v>
      </c>
      <c r="R46" s="47">
        <f ca="1">IFERROR(IF(AllowNegative="Yes",O46-LARGE(O$3:O$129,TECount),MAX(O46-LARGE(O$3:O$129,TECount),0)),0)</f>
        <v>-34.779999999999994</v>
      </c>
      <c r="S46" s="47">
        <f ca="1">IF(TEStarters&gt;0,(R46-Q46)*BenchPF+Q46*StarterPF,0)</f>
        <v>-8.3296656331520307</v>
      </c>
      <c r="T46" s="47">
        <f ca="1">S46*Auction!$A$2</f>
        <v>-8.3296656331520307</v>
      </c>
      <c r="U46" s="47" t="str">
        <f>IF(OR(INDEX(Auction!$H$13:$H$683,MATCH(B46,Auction!$A$13:$A$683,0))&gt;0,IFERROR(INDEX(CheatSheet!$D$37:$D$64,MATCH(B46,CheatSheet!$A$37:$A$64,0)),"")&lt;&gt;""),"Yes","No")</f>
        <v>No</v>
      </c>
      <c r="V46" s="219"/>
      <c r="W46" s="1"/>
      <c r="X46" s="100">
        <f ca="1">IFERROR(SUMIFS($Y$3:$Y$129,$Y$3:$Y$129,"&gt;0",$U$3:$U$129,"No")/SUMIF($Y$3:$Y$129,"&gt;0"),0)</f>
        <v>1</v>
      </c>
      <c r="Y46" s="1">
        <f t="shared" ca="1" si="0"/>
        <v>-17.389999999999997</v>
      </c>
      <c r="Z46" s="145" t="str">
        <f ca="1">CONCATENATE("TE",ROUND((LARGE($Y$3:$Y$129,1)-$Y46)/(STDEVP($Y$3:$Y$129)/2)+1,0))</f>
        <v>TE10</v>
      </c>
      <c r="AA46" s="1">
        <f ca="1">Y46*LeagueInfo!$H$5</f>
        <v>-7.953158741765793</v>
      </c>
    </row>
    <row r="47" spans="1:27" x14ac:dyDescent="0.25">
      <c r="A47" s="47">
        <f>RANK(O47,O$3:O$129)</f>
        <v>45</v>
      </c>
      <c r="B47" s="1" t="s">
        <v>725</v>
      </c>
      <c r="C47" s="1" t="s">
        <v>47</v>
      </c>
      <c r="D47" s="1">
        <f>VLOOKUP(E47,BYEs!$A$2:$B$34,2)</f>
        <v>8</v>
      </c>
      <c r="E47" s="1" t="s">
        <v>380</v>
      </c>
      <c r="F47" s="245">
        <v>0</v>
      </c>
      <c r="G47" s="246">
        <v>0</v>
      </c>
      <c r="H47" s="247">
        <v>0</v>
      </c>
      <c r="I47" s="247">
        <v>0</v>
      </c>
      <c r="J47" s="247">
        <v>0</v>
      </c>
      <c r="K47" s="249">
        <v>22.9</v>
      </c>
      <c r="L47" s="247">
        <v>241.2</v>
      </c>
      <c r="M47" s="250">
        <v>1.3</v>
      </c>
      <c r="N47" s="251">
        <v>0.3</v>
      </c>
      <c r="O47" s="12">
        <f>(I47*TERushYd)+(J47*TERushTD)+(K47*TERec)+(L47*TERecYd)+(M47*TERecTD)+(N47*TEFuml)+(H47*TERushAtt)</f>
        <v>31.32</v>
      </c>
      <c r="P47" s="1" t="str">
        <f ca="1">IF(A47&lt;=TEStarters,"Starter",IF(A47&gt;TEStarters+TEBench,"Undrafted","Bench"))</f>
        <v>Undrafted</v>
      </c>
      <c r="Q47" s="47">
        <f ca="1">IFERROR(MAX(O47-LARGE(O$3:O$129,TEStarters),0),0)</f>
        <v>0</v>
      </c>
      <c r="R47" s="47">
        <f ca="1">IFERROR(IF(AllowNegative="Yes",O47-LARGE(O$3:O$129,TECount),MAX(O47-LARGE(O$3:O$129,TECount),0)),0)</f>
        <v>-35.479999999999997</v>
      </c>
      <c r="S47" s="47">
        <f ca="1">IF(TEStarters&gt;0,(R47-Q47)*BenchPF+Q47*StarterPF,0)</f>
        <v>-8.4973127275512965</v>
      </c>
      <c r="T47" s="47">
        <f ca="1">S47*Auction!$A$2</f>
        <v>-8.4973127275512965</v>
      </c>
      <c r="U47" s="47" t="str">
        <f>IF(OR(INDEX(Auction!$H$13:$H$683,MATCH(B47,Auction!$A$13:$A$683,0))&gt;0,IFERROR(INDEX(CheatSheet!$D$37:$D$64,MATCH(B47,CheatSheet!$A$37:$A$64,0)),"")&lt;&gt;""),"Yes","No")</f>
        <v>No</v>
      </c>
      <c r="V47" s="219"/>
      <c r="W47" s="1"/>
      <c r="X47" s="100">
        <f ca="1">IFERROR(SUMIFS($Y$3:$Y$129,$Y$3:$Y$129,"&gt;0",$U$3:$U$129,"No")/SUMIF($Y$3:$Y$129,"&gt;0"),0)</f>
        <v>1</v>
      </c>
      <c r="Y47" s="1">
        <f t="shared" ca="1" si="0"/>
        <v>-17.739999999999998</v>
      </c>
      <c r="Z47" s="145" t="str">
        <f ca="1">CONCATENATE("TE",ROUND((LARGE($Y$3:$Y$129,1)-$Y47)/(STDEVP($Y$3:$Y$129)/2)+1,0))</f>
        <v>TE10</v>
      </c>
      <c r="AA47" s="1">
        <f ca="1">Y47*LeagueInfo!$H$5</f>
        <v>-8.1132280666431953</v>
      </c>
    </row>
    <row r="48" spans="1:27" x14ac:dyDescent="0.25">
      <c r="A48" s="47">
        <f>RANK(O48,O$3:O$129)</f>
        <v>46</v>
      </c>
      <c r="B48" s="47" t="s">
        <v>736</v>
      </c>
      <c r="C48" s="1" t="s">
        <v>47</v>
      </c>
      <c r="D48" s="1">
        <f>VLOOKUP(E48,BYEs!$A$2:$B$34,2)</f>
        <v>9</v>
      </c>
      <c r="E48" s="1" t="s">
        <v>376</v>
      </c>
      <c r="F48" s="245">
        <v>0</v>
      </c>
      <c r="G48" s="246">
        <v>0</v>
      </c>
      <c r="H48" s="247">
        <v>0</v>
      </c>
      <c r="I48" s="247">
        <v>0</v>
      </c>
      <c r="J48" s="247">
        <v>0</v>
      </c>
      <c r="K48" s="249">
        <v>20.5</v>
      </c>
      <c r="L48" s="247">
        <v>214.7</v>
      </c>
      <c r="M48" s="250">
        <v>1.7</v>
      </c>
      <c r="N48" s="251">
        <v>0.3</v>
      </c>
      <c r="O48" s="12">
        <f>(I48*TERushYd)+(J48*TERushTD)+(K48*TERec)+(L48*TERecYd)+(M48*TERecTD)+(N48*TEFuml)+(H48*TERushAtt)</f>
        <v>31.069999999999997</v>
      </c>
      <c r="P48" s="1" t="str">
        <f ca="1">IF(A48&lt;=TEStarters,"Starter",IF(A48&gt;TEStarters+TEBench,"Undrafted","Bench"))</f>
        <v>Undrafted</v>
      </c>
      <c r="Q48" s="47">
        <f ca="1">IFERROR(MAX(O48-LARGE(O$3:O$129,TEStarters),0),0)</f>
        <v>0</v>
      </c>
      <c r="R48" s="47">
        <f ca="1">IFERROR(IF(AllowNegative="Yes",O48-LARGE(O$3:O$129,TECount),MAX(O48-LARGE(O$3:O$129,TECount),0)),0)</f>
        <v>-35.730000000000004</v>
      </c>
      <c r="S48" s="47">
        <f ca="1">IF(TEStarters&gt;0,(R48-Q48)*BenchPF+Q48*StarterPF,0)</f>
        <v>-8.5571866898367492</v>
      </c>
      <c r="T48" s="47">
        <f ca="1">S48*Auction!$A$2</f>
        <v>-8.5571866898367492</v>
      </c>
      <c r="U48" s="47" t="str">
        <f>IF(OR(INDEX(Auction!$H$13:$H$683,MATCH(B48,Auction!$A$13:$A$683,0))&gt;0,IFERROR(INDEX(CheatSheet!$D$37:$D$64,MATCH(B48,CheatSheet!$A$37:$A$64,0)),"")&lt;&gt;""),"Yes","No")</f>
        <v>No</v>
      </c>
      <c r="V48" s="219"/>
      <c r="W48" s="1"/>
      <c r="X48" s="100">
        <f ca="1">IFERROR(SUMIFS($Y$3:$Y$129,$Y$3:$Y$129,"&gt;0",$U$3:$U$129,"No")/SUMIF($Y$3:$Y$129,"&gt;0"),0)</f>
        <v>1</v>
      </c>
      <c r="Y48" s="1">
        <f t="shared" ca="1" si="0"/>
        <v>-17.865000000000002</v>
      </c>
      <c r="Z48" s="145" t="str">
        <f ca="1">CONCATENATE("TE",ROUND((LARGE($Y$3:$Y$129,1)-$Y48)/(STDEVP($Y$3:$Y$129)/2)+1,0))</f>
        <v>TE11</v>
      </c>
      <c r="AA48" s="1">
        <f ca="1">Y48*LeagueInfo!$H$5</f>
        <v>-8.1703956826708417</v>
      </c>
    </row>
    <row r="49" spans="1:27" x14ac:dyDescent="0.25">
      <c r="A49" s="47">
        <f>RANK(O49,O$3:O$129)</f>
        <v>47</v>
      </c>
      <c r="B49" s="1" t="s">
        <v>726</v>
      </c>
      <c r="C49" s="1" t="s">
        <v>47</v>
      </c>
      <c r="D49" s="1">
        <f>VLOOKUP(E49,BYEs!$A$2:$B$34,2)</f>
        <v>5</v>
      </c>
      <c r="E49" s="1" t="s">
        <v>352</v>
      </c>
      <c r="F49" s="245">
        <v>0</v>
      </c>
      <c r="G49" s="246">
        <v>0</v>
      </c>
      <c r="H49" s="247">
        <v>0</v>
      </c>
      <c r="I49" s="247">
        <v>0</v>
      </c>
      <c r="J49" s="247">
        <v>0</v>
      </c>
      <c r="K49" s="249">
        <v>21.6</v>
      </c>
      <c r="L49" s="247">
        <v>212.6</v>
      </c>
      <c r="M49" s="250">
        <v>1.5</v>
      </c>
      <c r="N49" s="251">
        <v>0.2</v>
      </c>
      <c r="O49" s="12">
        <f>(I49*TERushYd)+(J49*TERushTD)+(K49*TERec)+(L49*TERecYd)+(M49*TERecTD)+(N49*TEFuml)+(H49*TERushAtt)</f>
        <v>29.860000000000003</v>
      </c>
      <c r="P49" s="1" t="str">
        <f ca="1">IF(A49&lt;=TEStarters,"Starter",IF(A49&gt;TEStarters+TEBench,"Undrafted","Bench"))</f>
        <v>Undrafted</v>
      </c>
      <c r="Q49" s="47">
        <f ca="1">IFERROR(MAX(O49-LARGE(O$3:O$129,TEStarters),0),0)</f>
        <v>0</v>
      </c>
      <c r="R49" s="47">
        <f ca="1">IFERROR(IF(AllowNegative="Yes",O49-LARGE(O$3:O$129,TECount),MAX(O49-LARGE(O$3:O$129,TECount),0)),0)</f>
        <v>-36.94</v>
      </c>
      <c r="S49" s="47">
        <f ca="1">IF(TEStarters&gt;0,(R49-Q49)*BenchPF+Q49*StarterPF,0)</f>
        <v>-8.8469766672983337</v>
      </c>
      <c r="T49" s="47">
        <f ca="1">S49*Auction!$A$2</f>
        <v>-8.8469766672983337</v>
      </c>
      <c r="U49" s="47" t="str">
        <f>IF(OR(INDEX(Auction!$H$13:$H$683,MATCH(B49,Auction!$A$13:$A$683,0))&gt;0,IFERROR(INDEX(CheatSheet!$D$37:$D$64,MATCH(B49,CheatSheet!$A$37:$A$64,0)),"")&lt;&gt;""),"Yes","No")</f>
        <v>No</v>
      </c>
      <c r="V49" s="219"/>
      <c r="W49" s="1"/>
      <c r="X49" s="100">
        <f ca="1">IFERROR(SUMIFS($Y$3:$Y$129,$Y$3:$Y$129,"&gt;0",$U$3:$U$129,"No")/SUMIF($Y$3:$Y$129,"&gt;0"),0)</f>
        <v>1</v>
      </c>
      <c r="Y49" s="1">
        <f t="shared" ca="1" si="0"/>
        <v>-18.47</v>
      </c>
      <c r="Z49" s="145" t="str">
        <f ca="1">CONCATENATE("TE",ROUND((LARGE($Y$3:$Y$129,1)-$Y49)/(STDEVP($Y$3:$Y$129)/2)+1,0))</f>
        <v>TE11</v>
      </c>
      <c r="AA49" s="1">
        <f ca="1">Y49*LeagueInfo!$H$5</f>
        <v>-8.447086944244635</v>
      </c>
    </row>
    <row r="50" spans="1:27" x14ac:dyDescent="0.25">
      <c r="A50" s="47">
        <f>RANK(O50,O$3:O$129)</f>
        <v>48</v>
      </c>
      <c r="B50" s="1" t="s">
        <v>734</v>
      </c>
      <c r="C50" s="1" t="s">
        <v>47</v>
      </c>
      <c r="D50" s="1">
        <f>VLOOKUP(E50,BYEs!$A$2:$B$34,2)</f>
        <v>8</v>
      </c>
      <c r="E50" s="1" t="s">
        <v>367</v>
      </c>
      <c r="F50" s="245">
        <v>0</v>
      </c>
      <c r="G50" s="246">
        <v>0</v>
      </c>
      <c r="H50" s="247">
        <v>0</v>
      </c>
      <c r="I50" s="247">
        <v>0</v>
      </c>
      <c r="J50" s="247">
        <v>0</v>
      </c>
      <c r="K50" s="249">
        <v>23.5</v>
      </c>
      <c r="L50" s="247">
        <v>229.2</v>
      </c>
      <c r="M50" s="250">
        <v>1.2</v>
      </c>
      <c r="N50" s="251">
        <v>0.2</v>
      </c>
      <c r="O50" s="12">
        <f>(I50*TERushYd)+(J50*TERushTD)+(K50*TERec)+(L50*TERecYd)+(M50*TERecTD)+(N50*TEFuml)+(H50*TERushAtt)</f>
        <v>29.720000000000002</v>
      </c>
      <c r="P50" s="1" t="str">
        <f ca="1">IF(A50&lt;=TEStarters,"Starter",IF(A50&gt;TEStarters+TEBench,"Undrafted","Bench"))</f>
        <v>Undrafted</v>
      </c>
      <c r="Q50" s="47">
        <f ca="1">IFERROR(MAX(O50-LARGE(O$3:O$129,TEStarters),0),0)</f>
        <v>0</v>
      </c>
      <c r="R50" s="47">
        <f ca="1">IFERROR(IF(AllowNegative="Yes",O50-LARGE(O$3:O$129,TECount),MAX(O50-LARGE(O$3:O$129,TECount),0)),0)</f>
        <v>-37.08</v>
      </c>
      <c r="S50" s="47">
        <f ca="1">IF(TEStarters&gt;0,(R50-Q50)*BenchPF+Q50*StarterPF,0)</f>
        <v>-8.8805060861781868</v>
      </c>
      <c r="T50" s="47">
        <f ca="1">S50*Auction!$A$2</f>
        <v>-8.8805060861781868</v>
      </c>
      <c r="U50" s="47" t="str">
        <f>IF(OR(INDEX(Auction!$H$13:$H$683,MATCH(B50,Auction!$A$13:$A$683,0))&gt;0,IFERROR(INDEX(CheatSheet!$D$37:$D$64,MATCH(B50,CheatSheet!$A$37:$A$64,0)),"")&lt;&gt;""),"Yes","No")</f>
        <v>No</v>
      </c>
      <c r="V50" s="219"/>
      <c r="W50" s="1"/>
      <c r="X50" s="100">
        <f ca="1">IFERROR(SUMIFS($Y$3:$Y$129,$Y$3:$Y$129,"&gt;0",$U$3:$U$129,"No")/SUMIF($Y$3:$Y$129,"&gt;0"),0)</f>
        <v>1</v>
      </c>
      <c r="Y50" s="1">
        <f t="shared" ca="1" si="0"/>
        <v>-18.54</v>
      </c>
      <c r="Z50" s="145" t="str">
        <f ca="1">CONCATENATE("TE",ROUND((LARGE($Y$3:$Y$129,1)-$Y50)/(STDEVP($Y$3:$Y$129)/2)+1,0))</f>
        <v>TE11</v>
      </c>
      <c r="AA50" s="1">
        <f ca="1">Y50*LeagueInfo!$H$5</f>
        <v>-8.4791008092201157</v>
      </c>
    </row>
    <row r="51" spans="1:27" x14ac:dyDescent="0.25">
      <c r="A51" s="47">
        <f>RANK(O51,O$3:O$129)</f>
        <v>49</v>
      </c>
      <c r="B51" s="1" t="s">
        <v>738</v>
      </c>
      <c r="C51" s="1" t="s">
        <v>47</v>
      </c>
      <c r="D51" s="1">
        <f>VLOOKUP(E51,BYEs!$A$2:$B$34,2)</f>
        <v>10</v>
      </c>
      <c r="E51" s="1" t="s">
        <v>371</v>
      </c>
      <c r="F51" s="245">
        <v>0</v>
      </c>
      <c r="G51" s="246">
        <v>0</v>
      </c>
      <c r="H51" s="247">
        <v>0</v>
      </c>
      <c r="I51" s="247">
        <v>0</v>
      </c>
      <c r="J51" s="247">
        <v>0</v>
      </c>
      <c r="K51" s="249">
        <v>22.1</v>
      </c>
      <c r="L51" s="247">
        <v>215.9</v>
      </c>
      <c r="M51" s="250">
        <v>1.3</v>
      </c>
      <c r="N51" s="251">
        <v>0.1</v>
      </c>
      <c r="O51" s="12">
        <f>(I51*TERushYd)+(J51*TERushTD)+(K51*TERec)+(L51*TERecYd)+(M51*TERecTD)+(N51*TEFuml)+(H51*TERushAtt)</f>
        <v>29.190000000000005</v>
      </c>
      <c r="P51" s="1" t="str">
        <f ca="1">IF(A51&lt;=TEStarters,"Starter",IF(A51&gt;TEStarters+TEBench,"Undrafted","Bench"))</f>
        <v>Undrafted</v>
      </c>
      <c r="Q51" s="47">
        <f ca="1">IFERROR(MAX(O51-LARGE(O$3:O$129,TEStarters),0),0)</f>
        <v>0</v>
      </c>
      <c r="R51" s="47">
        <f ca="1">IFERROR(IF(AllowNegative="Yes",O51-LARGE(O$3:O$129,TECount),MAX(O51-LARGE(O$3:O$129,TECount),0)),0)</f>
        <v>-37.609999999999992</v>
      </c>
      <c r="S51" s="47">
        <f ca="1">IF(TEStarters&gt;0,(R51-Q51)*BenchPF+Q51*StarterPF,0)</f>
        <v>-9.0074388862233441</v>
      </c>
      <c r="T51" s="47">
        <f ca="1">S51*Auction!$A$2</f>
        <v>-9.0074388862233441</v>
      </c>
      <c r="U51" s="47" t="str">
        <f>IF(OR(INDEX(Auction!$H$13:$H$683,MATCH(B51,Auction!$A$13:$A$683,0))&gt;0,IFERROR(INDEX(CheatSheet!$D$37:$D$64,MATCH(B51,CheatSheet!$A$37:$A$64,0)),"")&lt;&gt;""),"Yes","No")</f>
        <v>No</v>
      </c>
      <c r="V51" s="219"/>
      <c r="W51" s="1"/>
      <c r="X51" s="100">
        <f ca="1">IFERROR(SUMIFS($Y$3:$Y$129,$Y$3:$Y$129,"&gt;0",$U$3:$U$129,"No")/SUMIF($Y$3:$Y$129,"&gt;0"),0)</f>
        <v>1</v>
      </c>
      <c r="Y51" s="1">
        <f t="shared" ca="1" si="0"/>
        <v>-18.804999999999996</v>
      </c>
      <c r="Z51" s="145" t="str">
        <f ca="1">CONCATENATE("TE",ROUND((LARGE($Y$3:$Y$129,1)-$Y51)/(STDEVP($Y$3:$Y$129)/2)+1,0))</f>
        <v>TE11</v>
      </c>
      <c r="AA51" s="1">
        <f ca="1">Y51*LeagueInfo!$H$5</f>
        <v>-8.6002961551987198</v>
      </c>
    </row>
    <row r="52" spans="1:27" x14ac:dyDescent="0.25">
      <c r="A52" s="47">
        <f>RANK(O52,O$3:O$129)</f>
        <v>50</v>
      </c>
      <c r="B52" s="1" t="s">
        <v>737</v>
      </c>
      <c r="C52" s="1" t="s">
        <v>47</v>
      </c>
      <c r="D52" s="1">
        <f>VLOOKUP(E52,BYEs!$A$2:$B$34,2)</f>
        <v>9</v>
      </c>
      <c r="E52" s="1" t="s">
        <v>376</v>
      </c>
      <c r="F52" s="245">
        <v>0</v>
      </c>
      <c r="G52" s="246">
        <v>0</v>
      </c>
      <c r="H52" s="247">
        <v>0</v>
      </c>
      <c r="I52" s="247">
        <v>0</v>
      </c>
      <c r="J52" s="247">
        <v>0</v>
      </c>
      <c r="K52" s="249">
        <v>17.899999999999999</v>
      </c>
      <c r="L52" s="247">
        <v>172.3</v>
      </c>
      <c r="M52" s="250">
        <v>1.5</v>
      </c>
      <c r="N52" s="251">
        <v>0.1</v>
      </c>
      <c r="O52" s="12">
        <f>(I52*TERushYd)+(J52*TERushTD)+(K52*TERec)+(L52*TERecYd)+(M52*TERecTD)+(N52*TEFuml)+(H52*TERushAtt)</f>
        <v>26.03</v>
      </c>
      <c r="P52" s="1" t="str">
        <f ca="1">IF(A52&lt;=TEStarters,"Starter",IF(A52&gt;TEStarters+TEBench,"Undrafted","Bench"))</f>
        <v>Undrafted</v>
      </c>
      <c r="Q52" s="47">
        <f ca="1">IFERROR(MAX(O52-LARGE(O$3:O$129,TEStarters),0),0)</f>
        <v>0</v>
      </c>
      <c r="R52" s="47">
        <f ca="1">IFERROR(IF(AllowNegative="Yes",O52-LARGE(O$3:O$129,TECount),MAX(O52-LARGE(O$3:O$129,TECount),0)),0)</f>
        <v>-40.769999999999996</v>
      </c>
      <c r="S52" s="47">
        <f ca="1">IF(TEStarters&gt;0,(R52-Q52)*BenchPF+Q52*StarterPF,0)</f>
        <v>-9.7642457695114526</v>
      </c>
      <c r="T52" s="47">
        <f ca="1">S52*Auction!$A$2</f>
        <v>-9.7642457695114526</v>
      </c>
      <c r="U52" s="47" t="str">
        <f>IF(OR(INDEX(Auction!$H$13:$H$683,MATCH(B52,Auction!$A$13:$A$683,0))&gt;0,IFERROR(INDEX(CheatSheet!$D$37:$D$64,MATCH(B52,CheatSheet!$A$37:$A$64,0)),"")&lt;&gt;""),"Yes","No")</f>
        <v>No</v>
      </c>
      <c r="V52" s="219"/>
      <c r="W52" s="1"/>
      <c r="X52" s="100">
        <f ca="1">IFERROR(SUMIFS($Y$3:$Y$129,$Y$3:$Y$129,"&gt;0",$U$3:$U$129,"No")/SUMIF($Y$3:$Y$129,"&gt;0"),0)</f>
        <v>1</v>
      </c>
      <c r="Y52" s="1">
        <f t="shared" ca="1" si="0"/>
        <v>-20.384999999999998</v>
      </c>
      <c r="Z52" s="145" t="str">
        <f ca="1">CONCATENATE("TE",ROUND((LARGE($Y$3:$Y$129,1)-$Y52)/(STDEVP($Y$3:$Y$129)/2)+1,0))</f>
        <v>TE11</v>
      </c>
      <c r="AA52" s="1">
        <f ca="1">Y52*LeagueInfo!$H$5</f>
        <v>-9.322894821788136</v>
      </c>
    </row>
    <row r="53" spans="1:27" x14ac:dyDescent="0.25">
      <c r="A53" s="47">
        <f>RANK(O53,O$3:O$129)</f>
        <v>51</v>
      </c>
      <c r="B53" s="1" t="s">
        <v>741</v>
      </c>
      <c r="C53" s="1" t="s">
        <v>47</v>
      </c>
      <c r="D53" s="1">
        <f>VLOOKUP(E53,BYEs!$A$2:$B$34,2)</f>
        <v>10</v>
      </c>
      <c r="E53" s="1" t="s">
        <v>371</v>
      </c>
      <c r="F53" s="245">
        <v>0</v>
      </c>
      <c r="G53" s="246">
        <v>0</v>
      </c>
      <c r="H53" s="247">
        <v>0</v>
      </c>
      <c r="I53" s="247">
        <v>0</v>
      </c>
      <c r="J53" s="247">
        <v>0</v>
      </c>
      <c r="K53" s="249">
        <v>21.7</v>
      </c>
      <c r="L53" s="247">
        <v>185.4</v>
      </c>
      <c r="M53" s="250">
        <v>1</v>
      </c>
      <c r="N53" s="251">
        <v>0.2</v>
      </c>
      <c r="O53" s="12">
        <f>(I53*TERushYd)+(J53*TERushTD)+(K53*TERec)+(L53*TERecYd)+(M53*TERecTD)+(N53*TEFuml)+(H53*TERushAtt)</f>
        <v>24.140000000000004</v>
      </c>
      <c r="P53" s="1" t="str">
        <f ca="1">IF(A53&lt;=TEStarters,"Starter",IF(A53&gt;TEStarters+TEBench,"Undrafted","Bench"))</f>
        <v>Undrafted</v>
      </c>
      <c r="Q53" s="47">
        <f ca="1">IFERROR(MAX(O53-LARGE(O$3:O$129,TEStarters),0),0)</f>
        <v>0</v>
      </c>
      <c r="R53" s="47">
        <f ca="1">IFERROR(IF(AllowNegative="Yes",O53-LARGE(O$3:O$129,TECount),MAX(O53-LARGE(O$3:O$129,TECount),0)),0)</f>
        <v>-42.66</v>
      </c>
      <c r="S53" s="47">
        <f ca="1">IF(TEStarters&gt;0,(R53-Q53)*BenchPF+Q53*StarterPF,0)</f>
        <v>-10.216892924389468</v>
      </c>
      <c r="T53" s="47">
        <f ca="1">S53*Auction!$A$2</f>
        <v>-10.216892924389468</v>
      </c>
      <c r="U53" s="47" t="str">
        <f>IF(OR(INDEX(Auction!$H$13:$H$683,MATCH(B53,Auction!$A$13:$A$683,0))&gt;0,IFERROR(INDEX(CheatSheet!$D$37:$D$64,MATCH(B53,CheatSheet!$A$37:$A$64,0)),"")&lt;&gt;""),"Yes","No")</f>
        <v>No</v>
      </c>
      <c r="V53" s="219"/>
      <c r="W53" s="1"/>
      <c r="X53" s="100">
        <f ca="1">IFERROR(SUMIFS($Y$3:$Y$129,$Y$3:$Y$129,"&gt;0",$U$3:$U$129,"No")/SUMIF($Y$3:$Y$129,"&gt;0"),0)</f>
        <v>1</v>
      </c>
      <c r="Y53" s="1">
        <f t="shared" ca="1" si="0"/>
        <v>-21.33</v>
      </c>
      <c r="Z53" s="145" t="str">
        <f ca="1">CONCATENATE("TE",ROUND((LARGE($Y$3:$Y$129,1)-$Y53)/(STDEVP($Y$3:$Y$129)/2)+1,0))</f>
        <v>TE11</v>
      </c>
      <c r="AA53" s="1">
        <f ca="1">Y53*LeagueInfo!$H$5</f>
        <v>-9.7550819989571238</v>
      </c>
    </row>
    <row r="54" spans="1:27" x14ac:dyDescent="0.25">
      <c r="A54" s="47">
        <f>RANK(O54,O$3:O$129)</f>
        <v>52</v>
      </c>
      <c r="B54" s="1" t="s">
        <v>731</v>
      </c>
      <c r="C54" s="1" t="s">
        <v>47</v>
      </c>
      <c r="D54" s="1">
        <f>VLOOKUP(E54,BYEs!$A$2:$B$34,2)</f>
        <v>9</v>
      </c>
      <c r="E54" s="1" t="s">
        <v>363</v>
      </c>
      <c r="F54" s="245">
        <v>0</v>
      </c>
      <c r="G54" s="246">
        <v>0</v>
      </c>
      <c r="H54" s="247">
        <v>0</v>
      </c>
      <c r="I54" s="247">
        <v>0</v>
      </c>
      <c r="J54" s="247">
        <v>0</v>
      </c>
      <c r="K54" s="249">
        <v>14.5</v>
      </c>
      <c r="L54" s="247">
        <v>158</v>
      </c>
      <c r="M54" s="250">
        <v>1.3</v>
      </c>
      <c r="N54" s="251">
        <v>0</v>
      </c>
      <c r="O54" s="12">
        <f>(I54*TERushYd)+(J54*TERushTD)+(K54*TERec)+(L54*TERecYd)+(M54*TERecTD)+(N54*TEFuml)+(H54*TERushAtt)</f>
        <v>23.6</v>
      </c>
      <c r="P54" s="1" t="str">
        <f ca="1">IF(A54&lt;=TEStarters,"Starter",IF(A54&gt;TEStarters+TEBench,"Undrafted","Bench"))</f>
        <v>Undrafted</v>
      </c>
      <c r="Q54" s="47">
        <f ca="1">IFERROR(MAX(O54-LARGE(O$3:O$129,TEStarters),0),0)</f>
        <v>0</v>
      </c>
      <c r="R54" s="47">
        <f ca="1">IFERROR(IF(AllowNegative="Yes",O54-LARGE(O$3:O$129,TECount),MAX(O54-LARGE(O$3:O$129,TECount),0)),0)</f>
        <v>-43.199999999999996</v>
      </c>
      <c r="S54" s="47">
        <f ca="1">IF(TEStarters&gt;0,(R54-Q54)*BenchPF+Q54*StarterPF,0)</f>
        <v>-10.346220682926043</v>
      </c>
      <c r="T54" s="47">
        <f ca="1">S54*Auction!$A$2</f>
        <v>-10.346220682926043</v>
      </c>
      <c r="U54" s="47" t="str">
        <f>IF(OR(INDEX(Auction!$H$13:$H$683,MATCH(B54,Auction!$A$13:$A$683,0))&gt;0,IFERROR(INDEX(CheatSheet!$D$37:$D$64,MATCH(B54,CheatSheet!$A$37:$A$64,0)),"")&lt;&gt;""),"Yes","No")</f>
        <v>No</v>
      </c>
      <c r="V54" s="219"/>
      <c r="W54" s="1"/>
      <c r="X54" s="100">
        <f ca="1">IFERROR(SUMIFS($Y$3:$Y$129,$Y$3:$Y$129,"&gt;0",$U$3:$U$129,"No")/SUMIF($Y$3:$Y$129,"&gt;0"),0)</f>
        <v>1</v>
      </c>
      <c r="Y54" s="1">
        <f t="shared" ca="1" si="0"/>
        <v>-21.599999999999998</v>
      </c>
      <c r="Z54" s="145" t="str">
        <f ca="1">CONCATENATE("TE",ROUND((LARGE($Y$3:$Y$129,1)-$Y54)/(STDEVP($Y$3:$Y$129)/2)+1,0))</f>
        <v>TE11</v>
      </c>
      <c r="AA54" s="1">
        <f ca="1">Y54*LeagueInfo!$H$5</f>
        <v>-9.8785640495768341</v>
      </c>
    </row>
    <row r="55" spans="1:27" x14ac:dyDescent="0.25">
      <c r="A55" s="47">
        <f>RANK(O55,O$3:O$129)</f>
        <v>53</v>
      </c>
      <c r="B55" s="1" t="s">
        <v>744</v>
      </c>
      <c r="C55" s="1" t="s">
        <v>47</v>
      </c>
      <c r="D55" s="1">
        <f>VLOOKUP(E55,BYEs!$A$2:$B$34,2)</f>
        <v>10</v>
      </c>
      <c r="E55" s="1" t="s">
        <v>372</v>
      </c>
      <c r="F55" s="245">
        <v>0</v>
      </c>
      <c r="G55" s="246">
        <v>0</v>
      </c>
      <c r="H55" s="247">
        <v>0</v>
      </c>
      <c r="I55" s="247">
        <v>0</v>
      </c>
      <c r="J55" s="247">
        <v>0</v>
      </c>
      <c r="K55" s="249">
        <v>17.7</v>
      </c>
      <c r="L55" s="247">
        <v>171.3</v>
      </c>
      <c r="M55" s="250">
        <v>1</v>
      </c>
      <c r="N55" s="251">
        <v>0.2</v>
      </c>
      <c r="O55" s="12">
        <f>(I55*TERushYd)+(J55*TERushTD)+(K55*TERec)+(L55*TERecYd)+(M55*TERecTD)+(N55*TEFuml)+(H55*TERushAtt)</f>
        <v>22.730000000000004</v>
      </c>
      <c r="P55" s="1" t="str">
        <f ca="1">IF(A55&lt;=TEStarters,"Starter",IF(A55&gt;TEStarters+TEBench,"Undrafted","Bench"))</f>
        <v>Undrafted</v>
      </c>
      <c r="Q55" s="47">
        <f ca="1">IFERROR(MAX(O55-LARGE(O$3:O$129,TEStarters),0),0)</f>
        <v>0</v>
      </c>
      <c r="R55" s="47">
        <f ca="1">IFERROR(IF(AllowNegative="Yes",O55-LARGE(O$3:O$129,TECount),MAX(O55-LARGE(O$3:O$129,TECount),0)),0)</f>
        <v>-44.069999999999993</v>
      </c>
      <c r="S55" s="47">
        <f ca="1">IF(TEStarters&gt;0,(R55-Q55)*BenchPF+Q55*StarterPF,0)</f>
        <v>-10.554582071679414</v>
      </c>
      <c r="T55" s="47">
        <f ca="1">S55*Auction!$A$2</f>
        <v>-10.554582071679414</v>
      </c>
      <c r="U55" s="47" t="str">
        <f>IF(OR(INDEX(Auction!$H$13:$H$683,MATCH(B55,Auction!$A$13:$A$683,0))&gt;0,IFERROR(INDEX(CheatSheet!$D$37:$D$64,MATCH(B55,CheatSheet!$A$37:$A$64,0)),"")&lt;&gt;""),"Yes","No")</f>
        <v>No</v>
      </c>
      <c r="V55" s="219"/>
      <c r="W55" s="1"/>
      <c r="X55" s="100">
        <f ca="1">IFERROR(SUMIFS($Y$3:$Y$129,$Y$3:$Y$129,"&gt;0",$U$3:$U$129,"No")/SUMIF($Y$3:$Y$129,"&gt;0"),0)</f>
        <v>1</v>
      </c>
      <c r="Y55" s="1">
        <f t="shared" ca="1" si="0"/>
        <v>-22.034999999999997</v>
      </c>
      <c r="Z55" s="145" t="str">
        <f ca="1">CONCATENATE("TE",ROUND((LARGE($Y$3:$Y$129,1)-$Y55)/(STDEVP($Y$3:$Y$129)/2)+1,0))</f>
        <v>TE11</v>
      </c>
      <c r="AA55" s="1">
        <f ca="1">Y55*LeagueInfo!$H$5</f>
        <v>-10.077507353353033</v>
      </c>
    </row>
    <row r="56" spans="1:27" x14ac:dyDescent="0.25">
      <c r="A56" s="47">
        <f>RANK(O56,O$3:O$129)</f>
        <v>54</v>
      </c>
      <c r="B56" s="1" t="s">
        <v>743</v>
      </c>
      <c r="C56" s="1" t="s">
        <v>47</v>
      </c>
      <c r="D56" s="1">
        <f>VLOOKUP(E56,BYEs!$A$2:$B$34,2)</f>
        <v>8</v>
      </c>
      <c r="E56" s="1" t="s">
        <v>359</v>
      </c>
      <c r="F56" s="245">
        <v>0</v>
      </c>
      <c r="G56" s="246">
        <v>0</v>
      </c>
      <c r="H56" s="247">
        <v>0</v>
      </c>
      <c r="I56" s="247">
        <v>0</v>
      </c>
      <c r="J56" s="247">
        <v>0</v>
      </c>
      <c r="K56" s="249">
        <v>14.7</v>
      </c>
      <c r="L56" s="247">
        <v>158.5</v>
      </c>
      <c r="M56" s="250">
        <v>1.2</v>
      </c>
      <c r="N56" s="251">
        <v>0.2</v>
      </c>
      <c r="O56" s="12">
        <f>(I56*TERushYd)+(J56*TERushTD)+(K56*TERec)+(L56*TERecYd)+(M56*TERecTD)+(N56*TEFuml)+(H56*TERushAtt)</f>
        <v>22.650000000000002</v>
      </c>
      <c r="P56" s="1" t="str">
        <f ca="1">IF(A56&lt;=TEStarters,"Starter",IF(A56&gt;TEStarters+TEBench,"Undrafted","Bench"))</f>
        <v>Undrafted</v>
      </c>
      <c r="Q56" s="47">
        <f ca="1">IFERROR(MAX(O56-LARGE(O$3:O$129,TEStarters),0),0)</f>
        <v>0</v>
      </c>
      <c r="R56" s="47">
        <f ca="1">IFERROR(IF(AllowNegative="Yes",O56-LARGE(O$3:O$129,TECount),MAX(O56-LARGE(O$3:O$129,TECount),0)),0)</f>
        <v>-44.149999999999991</v>
      </c>
      <c r="S56" s="47">
        <f ca="1">IF(TEStarters&gt;0,(R56-Q56)*BenchPF+Q56*StarterPF,0)</f>
        <v>-10.573741739610758</v>
      </c>
      <c r="T56" s="47">
        <f ca="1">S56*Auction!$A$2</f>
        <v>-10.573741739610758</v>
      </c>
      <c r="U56" s="47" t="str">
        <f>IF(OR(INDEX(Auction!$H$13:$H$683,MATCH(B56,Auction!$A$13:$A$683,0))&gt;0,IFERROR(INDEX(CheatSheet!$D$37:$D$64,MATCH(B56,CheatSheet!$A$37:$A$64,0)),"")&lt;&gt;""),"Yes","No")</f>
        <v>No</v>
      </c>
      <c r="V56" s="219"/>
      <c r="W56" s="1"/>
      <c r="X56" s="100">
        <f ca="1">IFERROR(SUMIFS($Y$3:$Y$129,$Y$3:$Y$129,"&gt;0",$U$3:$U$129,"No")/SUMIF($Y$3:$Y$129,"&gt;0"),0)</f>
        <v>1</v>
      </c>
      <c r="Y56" s="1">
        <f t="shared" ca="1" si="0"/>
        <v>-22.074999999999996</v>
      </c>
      <c r="Z56" s="145" t="str">
        <f ca="1">CONCATENATE("TE",ROUND((LARGE($Y$3:$Y$129,1)-$Y56)/(STDEVP($Y$3:$Y$129)/2)+1,0))</f>
        <v>TE11</v>
      </c>
      <c r="AA56" s="1">
        <f ca="1">Y56*LeagueInfo!$H$5</f>
        <v>-10.095800990481878</v>
      </c>
    </row>
    <row r="57" spans="1:27" x14ac:dyDescent="0.25">
      <c r="A57" s="47">
        <f>RANK(O57,O$3:O$129)</f>
        <v>55</v>
      </c>
      <c r="B57" s="1" t="s">
        <v>739</v>
      </c>
      <c r="C57" s="1" t="s">
        <v>47</v>
      </c>
      <c r="D57" s="1">
        <f>VLOOKUP(E57,BYEs!$A$2:$B$34,2)</f>
        <v>5</v>
      </c>
      <c r="E57" s="1" t="s">
        <v>353</v>
      </c>
      <c r="F57" s="245">
        <v>0</v>
      </c>
      <c r="G57" s="246">
        <v>0</v>
      </c>
      <c r="H57" s="247">
        <v>0</v>
      </c>
      <c r="I57" s="247">
        <v>0</v>
      </c>
      <c r="J57" s="247">
        <v>0</v>
      </c>
      <c r="K57" s="249">
        <v>14.1</v>
      </c>
      <c r="L57" s="247">
        <v>160</v>
      </c>
      <c r="M57" s="250">
        <v>1.1000000000000001</v>
      </c>
      <c r="N57" s="251">
        <v>0.1</v>
      </c>
      <c r="O57" s="12">
        <f>(I57*TERushYd)+(J57*TERushTD)+(K57*TERec)+(L57*TERecYd)+(M57*TERecTD)+(N57*TEFuml)+(H57*TERushAtt)</f>
        <v>22.400000000000002</v>
      </c>
      <c r="P57" s="1" t="str">
        <f ca="1">IF(A57&lt;=TEStarters,"Starter",IF(A57&gt;TEStarters+TEBench,"Undrafted","Bench"))</f>
        <v>Undrafted</v>
      </c>
      <c r="Q57" s="47">
        <f ca="1">IFERROR(MAX(O57-LARGE(O$3:O$129,TEStarters),0),0)</f>
        <v>0</v>
      </c>
      <c r="R57" s="47">
        <f ca="1">IFERROR(IF(AllowNegative="Yes",O57-LARGE(O$3:O$129,TECount),MAX(O57-LARGE(O$3:O$129,TECount),0)),0)</f>
        <v>-44.399999999999991</v>
      </c>
      <c r="S57" s="47">
        <f ca="1">IF(TEStarters&gt;0,(R57-Q57)*BenchPF+Q57*StarterPF,0)</f>
        <v>-10.633615701896209</v>
      </c>
      <c r="T57" s="47">
        <f ca="1">S57*Auction!$A$2</f>
        <v>-10.633615701896209</v>
      </c>
      <c r="U57" s="47" t="str">
        <f>IF(OR(INDEX(Auction!$H$13:$H$683,MATCH(B57,Auction!$A$13:$A$683,0))&gt;0,IFERROR(INDEX(CheatSheet!$D$37:$D$64,MATCH(B57,CheatSheet!$A$37:$A$64,0)),"")&lt;&gt;""),"Yes","No")</f>
        <v>No</v>
      </c>
      <c r="V57" s="219"/>
      <c r="W57" s="1"/>
      <c r="X57" s="100">
        <f ca="1">IFERROR(SUMIFS($Y$3:$Y$129,$Y$3:$Y$129,"&gt;0",$U$3:$U$129,"No")/SUMIF($Y$3:$Y$129,"&gt;0"),0)</f>
        <v>1</v>
      </c>
      <c r="Y57" s="1">
        <f t="shared" ca="1" si="0"/>
        <v>-22.199999999999996</v>
      </c>
      <c r="Z57" s="145" t="str">
        <f ca="1">CONCATENATE("TE",ROUND((LARGE($Y$3:$Y$129,1)-$Y57)/(STDEVP($Y$3:$Y$129)/2)+1,0))</f>
        <v>TE11</v>
      </c>
      <c r="AA57" s="1">
        <f ca="1">Y57*LeagueInfo!$H$5</f>
        <v>-10.152968606509523</v>
      </c>
    </row>
    <row r="58" spans="1:27" x14ac:dyDescent="0.25">
      <c r="A58" s="47">
        <f>RANK(O58,O$3:O$129)</f>
        <v>56</v>
      </c>
      <c r="B58" s="1" t="s">
        <v>742</v>
      </c>
      <c r="C58" s="1" t="s">
        <v>47</v>
      </c>
      <c r="D58" s="1">
        <f>VLOOKUP(E58,BYEs!$A$2:$B$34,2)</f>
        <v>6</v>
      </c>
      <c r="E58" s="1" t="s">
        <v>354</v>
      </c>
      <c r="F58" s="245">
        <v>0</v>
      </c>
      <c r="G58" s="246">
        <v>0</v>
      </c>
      <c r="H58" s="247">
        <v>0</v>
      </c>
      <c r="I58" s="247">
        <v>0</v>
      </c>
      <c r="J58" s="247">
        <v>0</v>
      </c>
      <c r="K58" s="249">
        <v>13.6</v>
      </c>
      <c r="L58" s="247">
        <v>149.80000000000001</v>
      </c>
      <c r="M58" s="250">
        <v>1</v>
      </c>
      <c r="N58" s="251">
        <v>0.1</v>
      </c>
      <c r="O58" s="12">
        <f>(I58*TERushYd)+(J58*TERushTD)+(K58*TERec)+(L58*TERecYd)+(M58*TERecTD)+(N58*TEFuml)+(H58*TERushAtt)</f>
        <v>20.780000000000005</v>
      </c>
      <c r="P58" s="1" t="str">
        <f ca="1">IF(A58&lt;=TEStarters,"Starter",IF(A58&gt;TEStarters+TEBench,"Undrafted","Bench"))</f>
        <v>Undrafted</v>
      </c>
      <c r="Q58" s="47">
        <f ca="1">IFERROR(MAX(O58-LARGE(O$3:O$129,TEStarters),0),0)</f>
        <v>0</v>
      </c>
      <c r="R58" s="47">
        <f ca="1">IFERROR(IF(AllowNegative="Yes",O58-LARGE(O$3:O$129,TECount),MAX(O58-LARGE(O$3:O$129,TECount),0)),0)</f>
        <v>-46.019999999999996</v>
      </c>
      <c r="S58" s="47">
        <f ca="1">IF(TEStarters&gt;0,(R58-Q58)*BenchPF+Q58*StarterPF,0)</f>
        <v>-11.021598977505938</v>
      </c>
      <c r="T58" s="47">
        <f ca="1">S58*Auction!$A$2</f>
        <v>-11.021598977505938</v>
      </c>
      <c r="U58" s="47" t="str">
        <f>IF(OR(INDEX(Auction!$H$13:$H$683,MATCH(B58,Auction!$A$13:$A$683,0))&gt;0,IFERROR(INDEX(CheatSheet!$D$37:$D$64,MATCH(B58,CheatSheet!$A$37:$A$64,0)),"")&lt;&gt;""),"Yes","No")</f>
        <v>No</v>
      </c>
      <c r="V58" s="219"/>
      <c r="W58" s="1"/>
      <c r="X58" s="100">
        <f ca="1">IFERROR(SUMIFS($Y$3:$Y$129,$Y$3:$Y$129,"&gt;0",$U$3:$U$129,"No")/SUMIF($Y$3:$Y$129,"&gt;0"),0)</f>
        <v>1</v>
      </c>
      <c r="Y58" s="1">
        <f t="shared" ca="1" si="0"/>
        <v>-23.009999999999998</v>
      </c>
      <c r="Z58" s="145" t="str">
        <f ca="1">CONCATENATE("TE",ROUND((LARGE($Y$3:$Y$129,1)-$Y58)/(STDEVP($Y$3:$Y$129)/2)+1,0))</f>
        <v>TE11</v>
      </c>
      <c r="AA58" s="1">
        <f ca="1">Y58*LeagueInfo!$H$5</f>
        <v>-10.523414758368654</v>
      </c>
    </row>
    <row r="59" spans="1:27" x14ac:dyDescent="0.25">
      <c r="A59" s="47">
        <f>RANK(O59,O$3:O$129)</f>
        <v>57</v>
      </c>
      <c r="B59" s="1" t="s">
        <v>728</v>
      </c>
      <c r="C59" s="1" t="s">
        <v>47</v>
      </c>
      <c r="D59" s="1">
        <f>VLOOKUP(E59,BYEs!$A$2:$B$34,2)</f>
        <v>8</v>
      </c>
      <c r="E59" s="1" t="s">
        <v>368</v>
      </c>
      <c r="F59" s="245">
        <v>0</v>
      </c>
      <c r="G59" s="246">
        <v>0</v>
      </c>
      <c r="H59" s="247">
        <v>0</v>
      </c>
      <c r="I59" s="247">
        <v>0</v>
      </c>
      <c r="J59" s="247">
        <v>0</v>
      </c>
      <c r="K59" s="249">
        <v>17.5</v>
      </c>
      <c r="L59" s="247">
        <v>157.69999999999999</v>
      </c>
      <c r="M59" s="250">
        <v>0.8</v>
      </c>
      <c r="N59" s="251">
        <v>0.1</v>
      </c>
      <c r="O59" s="12">
        <f>(I59*TERushYd)+(J59*TERushTD)+(K59*TERec)+(L59*TERecYd)+(M59*TERecTD)+(N59*TEFuml)+(H59*TERushAtt)</f>
        <v>20.37</v>
      </c>
      <c r="P59" s="1" t="str">
        <f ca="1">IF(A59&lt;=TEStarters,"Starter",IF(A59&gt;TEStarters+TEBench,"Undrafted","Bench"))</f>
        <v>Undrafted</v>
      </c>
      <c r="Q59" s="47">
        <f ca="1">IFERROR(MAX(O59-LARGE(O$3:O$129,TEStarters),0),0)</f>
        <v>0</v>
      </c>
      <c r="R59" s="47">
        <f ca="1">IFERROR(IF(AllowNegative="Yes",O59-LARGE(O$3:O$129,TECount),MAX(O59-LARGE(O$3:O$129,TECount),0)),0)</f>
        <v>-46.429999999999993</v>
      </c>
      <c r="S59" s="47">
        <f ca="1">IF(TEStarters&gt;0,(R59-Q59)*BenchPF+Q59*StarterPF,0)</f>
        <v>-11.119792275654078</v>
      </c>
      <c r="T59" s="47">
        <f ca="1">S59*Auction!$A$2</f>
        <v>-11.119792275654078</v>
      </c>
      <c r="U59" s="47" t="str">
        <f>IF(OR(INDEX(Auction!$H$13:$H$683,MATCH(B59,Auction!$A$13:$A$683,0))&gt;0,IFERROR(INDEX(CheatSheet!$D$37:$D$64,MATCH(B59,CheatSheet!$A$37:$A$64,0)),"")&lt;&gt;""),"Yes","No")</f>
        <v>No</v>
      </c>
      <c r="V59" s="219"/>
      <c r="W59" s="1"/>
      <c r="X59" s="100">
        <f ca="1">IFERROR(SUMIFS($Y$3:$Y$129,$Y$3:$Y$129,"&gt;0",$U$3:$U$129,"No")/SUMIF($Y$3:$Y$129,"&gt;0"),0)</f>
        <v>1</v>
      </c>
      <c r="Y59" s="1">
        <f t="shared" ca="1" si="0"/>
        <v>-23.214999999999996</v>
      </c>
      <c r="Z59" s="145" t="str">
        <f ca="1">CONCATENATE("TE",ROUND((LARGE($Y$3:$Y$129,1)-$Y59)/(STDEVP($Y$3:$Y$129)/2)+1,0))</f>
        <v>TE11</v>
      </c>
      <c r="AA59" s="1">
        <f ca="1">Y59*LeagueInfo!$H$5</f>
        <v>-10.61716964865399</v>
      </c>
    </row>
    <row r="60" spans="1:27" x14ac:dyDescent="0.25">
      <c r="A60" s="47">
        <f>RANK(O60,O$3:O$129)</f>
        <v>58</v>
      </c>
      <c r="B60" s="1" t="s">
        <v>748</v>
      </c>
      <c r="C60" s="1" t="s">
        <v>47</v>
      </c>
      <c r="D60" s="1">
        <f>VLOOKUP(E60,BYEs!$A$2:$B$34,2)</f>
        <v>11</v>
      </c>
      <c r="E60" s="1" t="s">
        <v>374</v>
      </c>
      <c r="F60" s="245">
        <v>0</v>
      </c>
      <c r="G60" s="246">
        <v>0</v>
      </c>
      <c r="H60" s="247">
        <v>0</v>
      </c>
      <c r="I60" s="247">
        <v>0</v>
      </c>
      <c r="J60" s="247">
        <v>0</v>
      </c>
      <c r="K60" s="249">
        <v>14.3</v>
      </c>
      <c r="L60" s="247">
        <v>155.9</v>
      </c>
      <c r="M60" s="250">
        <v>0.8</v>
      </c>
      <c r="N60" s="251">
        <v>0.2</v>
      </c>
      <c r="O60" s="12">
        <f>(I60*TERushYd)+(J60*TERushTD)+(K60*TERec)+(L60*TERecYd)+(M60*TERecTD)+(N60*TEFuml)+(H60*TERushAtt)</f>
        <v>19.990000000000002</v>
      </c>
      <c r="P60" s="1" t="str">
        <f ca="1">IF(A60&lt;=TEStarters,"Starter",IF(A60&gt;TEStarters+TEBench,"Undrafted","Bench"))</f>
        <v>Undrafted</v>
      </c>
      <c r="Q60" s="47">
        <f ca="1">IFERROR(MAX(O60-LARGE(O$3:O$129,TEStarters),0),0)</f>
        <v>0</v>
      </c>
      <c r="R60" s="47">
        <f ca="1">IFERROR(IF(AllowNegative="Yes",O60-LARGE(O$3:O$129,TECount),MAX(O60-LARGE(O$3:O$129,TECount),0)),0)</f>
        <v>-46.809999999999995</v>
      </c>
      <c r="S60" s="47">
        <f ca="1">IF(TEStarters&gt;0,(R60-Q60)*BenchPF+Q60*StarterPF,0)</f>
        <v>-11.210800698327965</v>
      </c>
      <c r="T60" s="47">
        <f ca="1">S60*Auction!$A$2</f>
        <v>-11.210800698327965</v>
      </c>
      <c r="U60" s="47" t="str">
        <f>IF(OR(INDEX(Auction!$H$13:$H$683,MATCH(B60,Auction!$A$13:$A$683,0))&gt;0,IFERROR(INDEX(CheatSheet!$D$37:$D$64,MATCH(B60,CheatSheet!$A$37:$A$64,0)),"")&lt;&gt;""),"Yes","No")</f>
        <v>No</v>
      </c>
      <c r="V60" s="219"/>
      <c r="W60" s="1"/>
      <c r="X60" s="100">
        <f ca="1">IFERROR(SUMIFS($Y$3:$Y$129,$Y$3:$Y$129,"&gt;0",$U$3:$U$129,"No")/SUMIF($Y$3:$Y$129,"&gt;0"),0)</f>
        <v>1</v>
      </c>
      <c r="Y60" s="1">
        <f t="shared" ca="1" si="0"/>
        <v>-23.404999999999998</v>
      </c>
      <c r="Z60" s="145" t="str">
        <f ca="1">CONCATENATE("TE",ROUND((LARGE($Y$3:$Y$129,1)-$Y60)/(STDEVP($Y$3:$Y$129)/2)+1,0))</f>
        <v>TE11</v>
      </c>
      <c r="AA60" s="1">
        <f ca="1">Y60*LeagueInfo!$H$5</f>
        <v>-10.704064425016009</v>
      </c>
    </row>
    <row r="61" spans="1:27" x14ac:dyDescent="0.25">
      <c r="A61" s="47">
        <f>RANK(O61,O$3:O$129)</f>
        <v>59</v>
      </c>
      <c r="B61" s="1" t="s">
        <v>746</v>
      </c>
      <c r="C61" s="1" t="s">
        <v>47</v>
      </c>
      <c r="D61" s="1">
        <f>VLOOKUP(E61,BYEs!$A$2:$B$34,2)</f>
        <v>11</v>
      </c>
      <c r="E61" s="1" t="s">
        <v>357</v>
      </c>
      <c r="F61" s="245">
        <v>0</v>
      </c>
      <c r="G61" s="246">
        <v>0</v>
      </c>
      <c r="H61" s="247">
        <v>0</v>
      </c>
      <c r="I61" s="247">
        <v>0</v>
      </c>
      <c r="J61" s="247">
        <v>0</v>
      </c>
      <c r="K61" s="249">
        <v>12.1</v>
      </c>
      <c r="L61" s="247">
        <v>139.4</v>
      </c>
      <c r="M61" s="250">
        <v>0.9</v>
      </c>
      <c r="N61" s="251">
        <v>0.2</v>
      </c>
      <c r="O61" s="12">
        <f>(I61*TERushYd)+(J61*TERushTD)+(K61*TERec)+(L61*TERecYd)+(M61*TERecTD)+(N61*TEFuml)+(H61*TERushAtt)</f>
        <v>18.940000000000005</v>
      </c>
      <c r="P61" s="1" t="str">
        <f ca="1">IF(A61&lt;=TEStarters,"Starter",IF(A61&gt;TEStarters+TEBench,"Undrafted","Bench"))</f>
        <v>Undrafted</v>
      </c>
      <c r="Q61" s="47">
        <f ca="1">IFERROR(MAX(O61-LARGE(O$3:O$129,TEStarters),0),0)</f>
        <v>0</v>
      </c>
      <c r="R61" s="47">
        <f ca="1">IFERROR(IF(AllowNegative="Yes",O61-LARGE(O$3:O$129,TECount),MAX(O61-LARGE(O$3:O$129,TECount),0)),0)</f>
        <v>-47.859999999999992</v>
      </c>
      <c r="S61" s="47">
        <f ca="1">IF(TEStarters&gt;0,(R61-Q61)*BenchPF+Q61*StarterPF,0)</f>
        <v>-11.462271339926861</v>
      </c>
      <c r="T61" s="47">
        <f ca="1">S61*Auction!$A$2</f>
        <v>-11.462271339926861</v>
      </c>
      <c r="U61" s="47" t="str">
        <f>IF(OR(INDEX(Auction!$H$13:$H$683,MATCH(B61,Auction!$A$13:$A$683,0))&gt;0,IFERROR(INDEX(CheatSheet!$D$37:$D$64,MATCH(B61,CheatSheet!$A$37:$A$64,0)),"")&lt;&gt;""),"Yes","No")</f>
        <v>No</v>
      </c>
      <c r="V61" s="219"/>
      <c r="W61" s="1"/>
      <c r="X61" s="100">
        <f ca="1">IFERROR(SUMIFS($Y$3:$Y$129,$Y$3:$Y$129,"&gt;0",$U$3:$U$129,"No")/SUMIF($Y$3:$Y$129,"&gt;0"),0)</f>
        <v>1</v>
      </c>
      <c r="Y61" s="1">
        <f t="shared" ca="1" si="0"/>
        <v>-23.929999999999996</v>
      </c>
      <c r="Z61" s="145" t="str">
        <f ca="1">CONCATENATE("TE",ROUND((LARGE($Y$3:$Y$129,1)-$Y61)/(STDEVP($Y$3:$Y$129)/2)+1,0))</f>
        <v>TE11</v>
      </c>
      <c r="AA61" s="1">
        <f ca="1">Y61*LeagueInfo!$H$5</f>
        <v>-10.944168412332111</v>
      </c>
    </row>
    <row r="62" spans="1:27" x14ac:dyDescent="0.25">
      <c r="A62" s="47">
        <f>RANK(O62,O$3:O$129)</f>
        <v>60</v>
      </c>
      <c r="B62" s="1" t="s">
        <v>745</v>
      </c>
      <c r="C62" s="1" t="s">
        <v>47</v>
      </c>
      <c r="D62" s="1">
        <f>VLOOKUP(E62,BYEs!$A$2:$B$34,2)</f>
        <v>8</v>
      </c>
      <c r="E62" s="1" t="s">
        <v>350</v>
      </c>
      <c r="F62" s="245">
        <v>0</v>
      </c>
      <c r="G62" s="246">
        <v>0</v>
      </c>
      <c r="H62" s="247">
        <v>0</v>
      </c>
      <c r="I62" s="247">
        <v>0</v>
      </c>
      <c r="J62" s="247">
        <v>0</v>
      </c>
      <c r="K62" s="249">
        <v>12.8</v>
      </c>
      <c r="L62" s="247">
        <v>126.9</v>
      </c>
      <c r="M62" s="250">
        <v>1</v>
      </c>
      <c r="N62" s="251">
        <v>0.2</v>
      </c>
      <c r="O62" s="12">
        <f>(I62*TERushYd)+(J62*TERushTD)+(K62*TERec)+(L62*TERecYd)+(M62*TERecTD)+(N62*TEFuml)+(H62*TERushAtt)</f>
        <v>18.290000000000003</v>
      </c>
      <c r="P62" s="1" t="str">
        <f ca="1">IF(A62&lt;=TEStarters,"Starter",IF(A62&gt;TEStarters+TEBench,"Undrafted","Bench"))</f>
        <v>Undrafted</v>
      </c>
      <c r="Q62" s="47">
        <f ca="1">IFERROR(MAX(O62-LARGE(O$3:O$129,TEStarters),0),0)</f>
        <v>0</v>
      </c>
      <c r="R62" s="47">
        <f ca="1">IFERROR(IF(AllowNegative="Yes",O62-LARGE(O$3:O$129,TECount),MAX(O62-LARGE(O$3:O$129,TECount),0)),0)</f>
        <v>-48.509999999999991</v>
      </c>
      <c r="S62" s="47">
        <f ca="1">IF(TEStarters&gt;0,(R62-Q62)*BenchPF+Q62*StarterPF,0)</f>
        <v>-11.617943641869035</v>
      </c>
      <c r="T62" s="47">
        <f ca="1">S62*Auction!$A$2</f>
        <v>-11.617943641869035</v>
      </c>
      <c r="U62" s="47" t="str">
        <f>IF(OR(INDEX(Auction!$H$13:$H$683,MATCH(B62,Auction!$A$13:$A$683,0))&gt;0,IFERROR(INDEX(CheatSheet!$D$37:$D$64,MATCH(B62,CheatSheet!$A$37:$A$64,0)),"")&lt;&gt;""),"Yes","No")</f>
        <v>No</v>
      </c>
      <c r="V62" s="219"/>
      <c r="W62" s="1"/>
      <c r="X62" s="100">
        <f ca="1">IFERROR(SUMIFS($Y$3:$Y$129,$Y$3:$Y$129,"&gt;0",$U$3:$U$129,"No")/SUMIF($Y$3:$Y$129,"&gt;0"),0)</f>
        <v>1</v>
      </c>
      <c r="Y62" s="1">
        <f t="shared" ca="1" si="0"/>
        <v>-24.254999999999995</v>
      </c>
      <c r="Z62" s="145" t="str">
        <f ca="1">CONCATENATE("TE",ROUND((LARGE($Y$3:$Y$129,1)-$Y62)/(STDEVP($Y$3:$Y$129)/2)+1,0))</f>
        <v>TE11</v>
      </c>
      <c r="AA62" s="1">
        <f ca="1">Y62*LeagueInfo!$H$5</f>
        <v>-11.092804214003985</v>
      </c>
    </row>
    <row r="63" spans="1:27" x14ac:dyDescent="0.25">
      <c r="A63" s="47">
        <f>RANK(O63,O$3:O$129)</f>
        <v>61</v>
      </c>
      <c r="B63" s="1" t="s">
        <v>756</v>
      </c>
      <c r="C63" s="1" t="s">
        <v>47</v>
      </c>
      <c r="D63" s="1">
        <f>VLOOKUP(E63,BYEs!$A$2:$B$34,2)</f>
        <v>7</v>
      </c>
      <c r="E63" s="1" t="s">
        <v>385</v>
      </c>
      <c r="F63" s="245">
        <v>0</v>
      </c>
      <c r="G63" s="246">
        <v>0</v>
      </c>
      <c r="H63" s="247">
        <v>0</v>
      </c>
      <c r="I63" s="247">
        <v>0</v>
      </c>
      <c r="J63" s="247">
        <v>0</v>
      </c>
      <c r="K63" s="249">
        <v>13.6</v>
      </c>
      <c r="L63" s="247">
        <v>131.9</v>
      </c>
      <c r="M63" s="250">
        <v>0.8</v>
      </c>
      <c r="N63" s="251">
        <v>0.2</v>
      </c>
      <c r="O63" s="12">
        <f>(I63*TERushYd)+(J63*TERushTD)+(K63*TERec)+(L63*TERecYd)+(M63*TERecTD)+(N63*TEFuml)+(H63*TERushAtt)</f>
        <v>17.590000000000003</v>
      </c>
      <c r="P63" s="1" t="str">
        <f ca="1">IF(A63&lt;=TEStarters,"Starter",IF(A63&gt;TEStarters+TEBench,"Undrafted","Bench"))</f>
        <v>Undrafted</v>
      </c>
      <c r="Q63" s="47">
        <f ca="1">IFERROR(MAX(O63-LARGE(O$3:O$129,TEStarters),0),0)</f>
        <v>0</v>
      </c>
      <c r="R63" s="47">
        <f ca="1">IFERROR(IF(AllowNegative="Yes",O63-LARGE(O$3:O$129,TECount),MAX(O63-LARGE(O$3:O$129,TECount),0)),0)</f>
        <v>-49.209999999999994</v>
      </c>
      <c r="S63" s="47">
        <f ca="1">IF(TEStarters&gt;0,(R63-Q63)*BenchPF+Q63*StarterPF,0)</f>
        <v>-11.785590736268301</v>
      </c>
      <c r="T63" s="47">
        <f ca="1">S63*Auction!$A$2</f>
        <v>-11.785590736268301</v>
      </c>
      <c r="U63" s="47" t="str">
        <f>IF(OR(INDEX(Auction!$H$13:$H$683,MATCH(B63,Auction!$A$13:$A$683,0))&gt;0,IFERROR(INDEX(CheatSheet!$D$37:$D$64,MATCH(B63,CheatSheet!$A$37:$A$64,0)),"")&lt;&gt;""),"Yes","No")</f>
        <v>No</v>
      </c>
      <c r="V63" s="219"/>
      <c r="W63" s="1"/>
      <c r="X63" s="100">
        <f ca="1">IFERROR(SUMIFS($Y$3:$Y$129,$Y$3:$Y$129,"&gt;0",$U$3:$U$129,"No")/SUMIF($Y$3:$Y$129,"&gt;0"),0)</f>
        <v>1</v>
      </c>
      <c r="Y63" s="1">
        <f t="shared" ca="1" si="0"/>
        <v>-24.604999999999997</v>
      </c>
      <c r="Z63" s="145" t="str">
        <f ca="1">CONCATENATE("TE",ROUND((LARGE($Y$3:$Y$129,1)-$Y63)/(STDEVP($Y$3:$Y$129)/2)+1,0))</f>
        <v>TE11</v>
      </c>
      <c r="AA63" s="1">
        <f ca="1">Y63*LeagueInfo!$H$5</f>
        <v>-11.252873538881389</v>
      </c>
    </row>
    <row r="64" spans="1:27" x14ac:dyDescent="0.25">
      <c r="A64" s="47">
        <f>RANK(O64,O$3:O$129)</f>
        <v>62</v>
      </c>
      <c r="B64" s="1" t="s">
        <v>733</v>
      </c>
      <c r="C64" s="1" t="s">
        <v>47</v>
      </c>
      <c r="D64" s="1">
        <f>VLOOKUP(E64,BYEs!$A$2:$B$34,2)</f>
        <v>8</v>
      </c>
      <c r="E64" s="1" t="s">
        <v>350</v>
      </c>
      <c r="F64" s="245">
        <v>0</v>
      </c>
      <c r="G64" s="246">
        <v>0</v>
      </c>
      <c r="H64" s="247">
        <v>0</v>
      </c>
      <c r="I64" s="247">
        <v>0</v>
      </c>
      <c r="J64" s="247">
        <v>0</v>
      </c>
      <c r="K64" s="249">
        <v>13.1</v>
      </c>
      <c r="L64" s="247">
        <v>127.5</v>
      </c>
      <c r="M64" s="250">
        <v>0.6</v>
      </c>
      <c r="N64" s="251">
        <v>0.1</v>
      </c>
      <c r="O64" s="12">
        <f>(I64*TERushYd)+(J64*TERushTD)+(K64*TERec)+(L64*TERecYd)+(M64*TERecTD)+(N64*TEFuml)+(H64*TERushAtt)</f>
        <v>16.150000000000002</v>
      </c>
      <c r="P64" s="1" t="str">
        <f ca="1">IF(A64&lt;=TEStarters,"Starter",IF(A64&gt;TEStarters+TEBench,"Undrafted","Bench"))</f>
        <v>Undrafted</v>
      </c>
      <c r="Q64" s="47">
        <f ca="1">IFERROR(MAX(O64-LARGE(O$3:O$129,TEStarters),0),0)</f>
        <v>0</v>
      </c>
      <c r="R64" s="47">
        <f ca="1">IFERROR(IF(AllowNegative="Yes",O64-LARGE(O$3:O$129,TECount),MAX(O64-LARGE(O$3:O$129,TECount),0)),0)</f>
        <v>-50.649999999999991</v>
      </c>
      <c r="S64" s="47">
        <f ca="1">IF(TEStarters&gt;0,(R64-Q64)*BenchPF+Q64*StarterPF,0)</f>
        <v>-12.130464759032501</v>
      </c>
      <c r="T64" s="47">
        <f ca="1">S64*Auction!$A$2</f>
        <v>-12.130464759032501</v>
      </c>
      <c r="U64" s="47" t="str">
        <f>IF(OR(INDEX(Auction!$H$13:$H$683,MATCH(B64,Auction!$A$13:$A$683,0))&gt;0,IFERROR(INDEX(CheatSheet!$D$37:$D$64,MATCH(B64,CheatSheet!$A$37:$A$64,0)),"")&lt;&gt;""),"Yes","No")</f>
        <v>No</v>
      </c>
      <c r="V64" s="219"/>
      <c r="W64" s="1"/>
      <c r="X64" s="100">
        <f ca="1">IFERROR(SUMIFS($Y$3:$Y$129,$Y$3:$Y$129,"&gt;0",$U$3:$U$129,"No")/SUMIF($Y$3:$Y$129,"&gt;0"),0)</f>
        <v>1</v>
      </c>
      <c r="Y64" s="1">
        <f t="shared" ca="1" si="0"/>
        <v>-25.324999999999996</v>
      </c>
      <c r="Z64" s="145" t="str">
        <f ca="1">CONCATENATE("TE",ROUND((LARGE($Y$3:$Y$129,1)-$Y64)/(STDEVP($Y$3:$Y$129)/2)+1,0))</f>
        <v>TE11</v>
      </c>
      <c r="AA64" s="1">
        <f ca="1">Y64*LeagueInfo!$H$5</f>
        <v>-11.582159007200616</v>
      </c>
    </row>
    <row r="65" spans="1:27" x14ac:dyDescent="0.25">
      <c r="A65" s="47">
        <f>RANK(O65,O$3:O$129)</f>
        <v>63</v>
      </c>
      <c r="B65" s="1" t="s">
        <v>751</v>
      </c>
      <c r="C65" s="1" t="s">
        <v>47</v>
      </c>
      <c r="D65" s="1">
        <f>VLOOKUP(E65,BYEs!$A$2:$B$34,2)</f>
        <v>8</v>
      </c>
      <c r="E65" s="1" t="s">
        <v>370</v>
      </c>
      <c r="F65" s="245">
        <v>0</v>
      </c>
      <c r="G65" s="246">
        <v>0</v>
      </c>
      <c r="H65" s="247">
        <v>0</v>
      </c>
      <c r="I65" s="247">
        <v>0</v>
      </c>
      <c r="J65" s="247">
        <v>0</v>
      </c>
      <c r="K65" s="249">
        <v>11.1</v>
      </c>
      <c r="L65" s="247">
        <v>109.3</v>
      </c>
      <c r="M65" s="250">
        <v>0.9</v>
      </c>
      <c r="N65" s="251">
        <v>0.1</v>
      </c>
      <c r="O65" s="12">
        <f>(I65*TERushYd)+(J65*TERushTD)+(K65*TERec)+(L65*TERecYd)+(M65*TERecTD)+(N65*TEFuml)+(H65*TERushAtt)</f>
        <v>16.13</v>
      </c>
      <c r="P65" s="1" t="str">
        <f ca="1">IF(A65&lt;=TEStarters,"Starter",IF(A65&gt;TEStarters+TEBench,"Undrafted","Bench"))</f>
        <v>Undrafted</v>
      </c>
      <c r="Q65" s="47">
        <f ca="1">IFERROR(MAX(O65-LARGE(O$3:O$129,TEStarters),0),0)</f>
        <v>0</v>
      </c>
      <c r="R65" s="47">
        <f ca="1">IFERROR(IF(AllowNegative="Yes",O65-LARGE(O$3:O$129,TECount),MAX(O65-LARGE(O$3:O$129,TECount),0)),0)</f>
        <v>-50.67</v>
      </c>
      <c r="S65" s="47">
        <f ca="1">IF(TEStarters&gt;0,(R65-Q65)*BenchPF+Q65*StarterPF,0)</f>
        <v>-12.135254676015339</v>
      </c>
      <c r="T65" s="47">
        <f ca="1">S65*Auction!$A$2</f>
        <v>-12.135254676015339</v>
      </c>
      <c r="U65" s="47" t="str">
        <f>IF(OR(INDEX(Auction!$H$13:$H$683,MATCH(B65,Auction!$A$13:$A$683,0))&gt;0,IFERROR(INDEX(CheatSheet!$D$37:$D$64,MATCH(B65,CheatSheet!$A$37:$A$64,0)),"")&lt;&gt;""),"Yes","No")</f>
        <v>No</v>
      </c>
      <c r="V65" s="219"/>
      <c r="W65" s="1"/>
      <c r="X65" s="100">
        <f ca="1">IFERROR(SUMIFS($Y$3:$Y$129,$Y$3:$Y$129,"&gt;0",$U$3:$U$129,"No")/SUMIF($Y$3:$Y$129,"&gt;0"),0)</f>
        <v>1</v>
      </c>
      <c r="Y65" s="1">
        <f t="shared" ca="1" si="0"/>
        <v>-25.335000000000001</v>
      </c>
      <c r="Z65" s="145" t="str">
        <f ca="1">CONCATENATE("TE",ROUND((LARGE($Y$3:$Y$129,1)-$Y65)/(STDEVP($Y$3:$Y$129)/2)+1,0))</f>
        <v>TE11</v>
      </c>
      <c r="AA65" s="1">
        <f ca="1">Y65*LeagueInfo!$H$5</f>
        <v>-11.58673241648283</v>
      </c>
    </row>
    <row r="66" spans="1:27" x14ac:dyDescent="0.25">
      <c r="A66" s="47">
        <f>RANK(O66,O$3:O$129)</f>
        <v>64</v>
      </c>
      <c r="B66" s="1" t="s">
        <v>752</v>
      </c>
      <c r="C66" s="1" t="s">
        <v>47</v>
      </c>
      <c r="D66" s="1">
        <f>VLOOKUP(E66,BYEs!$A$2:$B$34,2)</f>
        <v>11</v>
      </c>
      <c r="E66" s="1" t="s">
        <v>374</v>
      </c>
      <c r="F66" s="245">
        <v>0</v>
      </c>
      <c r="G66" s="246">
        <v>0</v>
      </c>
      <c r="H66" s="247">
        <v>0</v>
      </c>
      <c r="I66" s="247">
        <v>0</v>
      </c>
      <c r="J66" s="247">
        <v>0</v>
      </c>
      <c r="K66" s="249">
        <v>10.8</v>
      </c>
      <c r="L66" s="247">
        <v>112.3</v>
      </c>
      <c r="M66" s="250">
        <v>0.7</v>
      </c>
      <c r="N66" s="251">
        <v>0.2</v>
      </c>
      <c r="O66" s="12">
        <f>(I66*TERushYd)+(J66*TERushTD)+(K66*TERec)+(L66*TERecYd)+(M66*TERecTD)+(N66*TEFuml)+(H66*TERushAtt)</f>
        <v>15.03</v>
      </c>
      <c r="P66" s="1" t="str">
        <f ca="1">IF(A66&lt;=TEStarters,"Starter",IF(A66&gt;TEStarters+TEBench,"Undrafted","Bench"))</f>
        <v>Undrafted</v>
      </c>
      <c r="Q66" s="47">
        <f ca="1">IFERROR(MAX(O66-LARGE(O$3:O$129,TEStarters),0),0)</f>
        <v>0</v>
      </c>
      <c r="R66" s="47">
        <f ca="1">IFERROR(IF(AllowNegative="Yes",O66-LARGE(O$3:O$129,TECount),MAX(O66-LARGE(O$3:O$129,TECount),0)),0)</f>
        <v>-51.769999999999996</v>
      </c>
      <c r="S66" s="47">
        <f ca="1">IF(TEStarters&gt;0,(R66-Q66)*BenchPF+Q66*StarterPF,0)</f>
        <v>-12.398700110071326</v>
      </c>
      <c r="T66" s="47">
        <f ca="1">S66*Auction!$A$2</f>
        <v>-12.398700110071326</v>
      </c>
      <c r="U66" s="47" t="str">
        <f>IF(OR(INDEX(Auction!$H$13:$H$683,MATCH(B66,Auction!$A$13:$A$683,0))&gt;0,IFERROR(INDEX(CheatSheet!$D$37:$D$64,MATCH(B66,CheatSheet!$A$37:$A$64,0)),"")&lt;&gt;""),"Yes","No")</f>
        <v>No</v>
      </c>
      <c r="V66" s="219"/>
      <c r="W66" s="1"/>
      <c r="X66" s="100">
        <f ca="1">IFERROR(SUMIFS($Y$3:$Y$129,$Y$3:$Y$129,"&gt;0",$U$3:$U$129,"No")/SUMIF($Y$3:$Y$129,"&gt;0"),0)</f>
        <v>1</v>
      </c>
      <c r="Y66" s="1">
        <f t="shared" ca="1" si="0"/>
        <v>-25.884999999999998</v>
      </c>
      <c r="Z66" s="145" t="str">
        <f ca="1">CONCATENATE("TE",ROUND((LARGE($Y$3:$Y$129,1)-$Y66)/(STDEVP($Y$3:$Y$129)/2)+1,0))</f>
        <v>TE11</v>
      </c>
      <c r="AA66" s="1">
        <f ca="1">Y66*LeagueInfo!$H$5</f>
        <v>-11.838269927004461</v>
      </c>
    </row>
    <row r="67" spans="1:27" x14ac:dyDescent="0.25">
      <c r="A67" s="47">
        <f>RANK(O67,O$3:O$129)</f>
        <v>65</v>
      </c>
      <c r="B67" s="1" t="s">
        <v>760</v>
      </c>
      <c r="C67" s="1" t="s">
        <v>47</v>
      </c>
      <c r="D67" s="1">
        <f>VLOOKUP(E67,BYEs!$A$2:$B$34,2)</f>
        <v>6</v>
      </c>
      <c r="E67" s="1" t="s">
        <v>360</v>
      </c>
      <c r="F67" s="245">
        <v>0</v>
      </c>
      <c r="G67" s="246">
        <v>0</v>
      </c>
      <c r="H67" s="247">
        <v>0</v>
      </c>
      <c r="I67" s="247">
        <v>0</v>
      </c>
      <c r="J67" s="247">
        <v>0</v>
      </c>
      <c r="K67" s="249">
        <v>9.4</v>
      </c>
      <c r="L67" s="247">
        <v>102.2</v>
      </c>
      <c r="M67" s="250">
        <v>0.8</v>
      </c>
      <c r="N67" s="251">
        <v>0</v>
      </c>
      <c r="O67" s="12">
        <f>(I67*TERushYd)+(J67*TERushTD)+(K67*TERec)+(L67*TERecYd)+(M67*TERecTD)+(N67*TEFuml)+(H67*TERushAtt)</f>
        <v>15.020000000000001</v>
      </c>
      <c r="P67" s="1" t="str">
        <f ca="1">IF(A67&lt;=TEStarters,"Starter",IF(A67&gt;TEStarters+TEBench,"Undrafted","Bench"))</f>
        <v>Undrafted</v>
      </c>
      <c r="Q67" s="47">
        <f ca="1">IFERROR(MAX(O67-LARGE(O$3:O$129,TEStarters),0),0)</f>
        <v>0</v>
      </c>
      <c r="R67" s="47">
        <f ca="1">IFERROR(IF(AllowNegative="Yes",O67-LARGE(O$3:O$129,TECount),MAX(O67-LARGE(O$3:O$129,TECount),0)),0)</f>
        <v>-51.779999999999994</v>
      </c>
      <c r="S67" s="47">
        <f ca="1">IF(TEStarters&gt;0,(R67-Q67)*BenchPF+Q67*StarterPF,0)</f>
        <v>-12.401095068562743</v>
      </c>
      <c r="T67" s="47">
        <f ca="1">S67*Auction!$A$2</f>
        <v>-12.401095068562743</v>
      </c>
      <c r="U67" s="47" t="str">
        <f>IF(OR(INDEX(Auction!$H$13:$H$683,MATCH(B67,Auction!$A$13:$A$683,0))&gt;0,IFERROR(INDEX(CheatSheet!$D$37:$D$64,MATCH(B67,CheatSheet!$A$37:$A$64,0)),"")&lt;&gt;""),"Yes","No")</f>
        <v>No</v>
      </c>
      <c r="V67" s="219"/>
      <c r="W67" s="1"/>
      <c r="X67" s="100">
        <f ca="1">IFERROR(SUMIFS($Y$3:$Y$129,$Y$3:$Y$129,"&gt;0",$U$3:$U$129,"No")/SUMIF($Y$3:$Y$129,"&gt;0"),0)</f>
        <v>1</v>
      </c>
      <c r="Y67" s="1">
        <f t="shared" ca="1" si="0"/>
        <v>-25.889999999999997</v>
      </c>
      <c r="Z67" s="145" t="str">
        <f ca="1">CONCATENATE("TE",ROUND((LARGE($Y$3:$Y$129,1)-$Y67)/(STDEVP($Y$3:$Y$129)/2)+1,0))</f>
        <v>TE11</v>
      </c>
      <c r="AA67" s="1">
        <f ca="1">Y67*LeagueInfo!$H$5</f>
        <v>-11.840556631645565</v>
      </c>
    </row>
    <row r="68" spans="1:27" x14ac:dyDescent="0.25">
      <c r="A68" s="47">
        <f>RANK(O68,O$3:O$129)</f>
        <v>66</v>
      </c>
      <c r="B68" s="1" t="s">
        <v>755</v>
      </c>
      <c r="C68" s="1" t="s">
        <v>47</v>
      </c>
      <c r="D68" s="1">
        <f>VLOOKUP(E68,BYEs!$A$2:$B$34,2)</f>
        <v>11</v>
      </c>
      <c r="E68" s="1" t="s">
        <v>382</v>
      </c>
      <c r="F68" s="245">
        <v>0</v>
      </c>
      <c r="G68" s="246">
        <v>0</v>
      </c>
      <c r="H68" s="247">
        <v>0</v>
      </c>
      <c r="I68" s="247">
        <v>0</v>
      </c>
      <c r="J68" s="247">
        <v>0</v>
      </c>
      <c r="K68" s="249">
        <v>10.6</v>
      </c>
      <c r="L68" s="247">
        <v>109.3</v>
      </c>
      <c r="M68" s="250">
        <v>0.6</v>
      </c>
      <c r="N68" s="251">
        <v>0</v>
      </c>
      <c r="O68" s="12">
        <f>(I68*TERushYd)+(J68*TERushTD)+(K68*TERec)+(L68*TERecYd)+(M68*TERecTD)+(N68*TEFuml)+(H68*TERushAtt)</f>
        <v>14.53</v>
      </c>
      <c r="P68" s="1" t="str">
        <f ca="1">IF(A68&lt;=TEStarters,"Starter",IF(A68&gt;TEStarters+TEBench,"Undrafted","Bench"))</f>
        <v>Undrafted</v>
      </c>
      <c r="Q68" s="47">
        <f ca="1">IFERROR(MAX(O68-LARGE(O$3:O$129,TEStarters),0),0)</f>
        <v>0</v>
      </c>
      <c r="R68" s="47">
        <f ca="1">IFERROR(IF(AllowNegative="Yes",O68-LARGE(O$3:O$129,TECount),MAX(O68-LARGE(O$3:O$129,TECount),0)),0)</f>
        <v>-52.269999999999996</v>
      </c>
      <c r="S68" s="47">
        <f ca="1">IF(TEStarters&gt;0,(R68-Q68)*BenchPF+Q68*StarterPF,0)</f>
        <v>-12.518448034642228</v>
      </c>
      <c r="T68" s="47">
        <f ca="1">S68*Auction!$A$2</f>
        <v>-12.518448034642228</v>
      </c>
      <c r="U68" s="47" t="str">
        <f>IF(OR(INDEX(Auction!$H$13:$H$683,MATCH(B68,Auction!$A$13:$A$683,0))&gt;0,IFERROR(INDEX(CheatSheet!$D$37:$D$64,MATCH(B68,CheatSheet!$A$37:$A$64,0)),"")&lt;&gt;""),"Yes","No")</f>
        <v>No</v>
      </c>
      <c r="V68" s="219"/>
      <c r="W68" s="1"/>
      <c r="X68" s="100">
        <f ca="1">IFERROR(SUMIFS($Y$3:$Y$129,$Y$3:$Y$129,"&gt;0",$U$3:$U$129,"No")/SUMIF($Y$3:$Y$129,"&gt;0"),0)</f>
        <v>1</v>
      </c>
      <c r="Y68" s="1">
        <f t="shared" ref="Y68:Y129" ca="1" si="1">AVERAGE(Q68:R68)</f>
        <v>-26.134999999999998</v>
      </c>
      <c r="Z68" s="145" t="str">
        <f ca="1">CONCATENATE("TE",ROUND((LARGE($Y$3:$Y$129,1)-$Y68)/(STDEVP($Y$3:$Y$129)/2)+1,0))</f>
        <v>TE11</v>
      </c>
      <c r="AA68" s="1">
        <f ca="1">Y68*LeagueInfo!$H$5</f>
        <v>-11.952605159059747</v>
      </c>
    </row>
    <row r="69" spans="1:27" x14ac:dyDescent="0.25">
      <c r="A69" s="47">
        <f>RANK(O69,O$3:O$129)</f>
        <v>67</v>
      </c>
      <c r="B69" s="1" t="s">
        <v>781</v>
      </c>
      <c r="C69" s="1" t="s">
        <v>47</v>
      </c>
      <c r="D69" s="1">
        <f>VLOOKUP(E69,BYEs!$A$2:$B$34,2)</f>
        <v>8</v>
      </c>
      <c r="E69" s="1" t="s">
        <v>368</v>
      </c>
      <c r="F69" s="245">
        <v>0</v>
      </c>
      <c r="G69" s="246">
        <v>0</v>
      </c>
      <c r="H69" s="247">
        <v>0</v>
      </c>
      <c r="I69" s="247">
        <v>0</v>
      </c>
      <c r="J69" s="247">
        <v>0</v>
      </c>
      <c r="K69" s="249">
        <v>9.9</v>
      </c>
      <c r="L69" s="247">
        <v>103.5</v>
      </c>
      <c r="M69" s="250">
        <v>0.6</v>
      </c>
      <c r="N69" s="251">
        <v>0.1</v>
      </c>
      <c r="O69" s="12">
        <f>(I69*TERushYd)+(J69*TERushTD)+(K69*TERec)+(L69*TERecYd)+(M69*TERecTD)+(N69*TEFuml)+(H69*TERushAtt)</f>
        <v>13.750000000000002</v>
      </c>
      <c r="P69" s="1" t="str">
        <f ca="1">IF(A69&lt;=TEStarters,"Starter",IF(A69&gt;TEStarters+TEBench,"Undrafted","Bench"))</f>
        <v>Undrafted</v>
      </c>
      <c r="Q69" s="47">
        <f ca="1">IFERROR(MAX(O69-LARGE(O$3:O$129,TEStarters),0),0)</f>
        <v>0</v>
      </c>
      <c r="R69" s="47">
        <f ca="1">IFERROR(IF(AllowNegative="Yes",O69-LARGE(O$3:O$129,TECount),MAX(O69-LARGE(O$3:O$129,TECount),0)),0)</f>
        <v>-53.05</v>
      </c>
      <c r="S69" s="47">
        <f ca="1">IF(TEStarters&gt;0,(R69-Q69)*BenchPF+Q69*StarterPF,0)</f>
        <v>-12.705254796972838</v>
      </c>
      <c r="T69" s="47">
        <f ca="1">S69*Auction!$A$2</f>
        <v>-12.705254796972838</v>
      </c>
      <c r="U69" s="47" t="str">
        <f>IF(OR(INDEX(Auction!$H$13:$H$683,MATCH(B69,Auction!$A$13:$A$683,0))&gt;0,IFERROR(INDEX(CheatSheet!$D$37:$D$64,MATCH(B69,CheatSheet!$A$37:$A$64,0)),"")&lt;&gt;""),"Yes","No")</f>
        <v>No</v>
      </c>
      <c r="V69" s="219"/>
      <c r="W69" s="1"/>
      <c r="X69" s="100">
        <f ca="1">IFERROR(SUMIFS($Y$3:$Y$129,$Y$3:$Y$129,"&gt;0",$U$3:$U$129,"No")/SUMIF($Y$3:$Y$129,"&gt;0"),0)</f>
        <v>1</v>
      </c>
      <c r="Y69" s="1">
        <f t="shared" ca="1" si="1"/>
        <v>-26.524999999999999</v>
      </c>
      <c r="Z69" s="145" t="str">
        <f ca="1">CONCATENATE("TE",ROUND((LARGE($Y$3:$Y$129,1)-$Y69)/(STDEVP($Y$3:$Y$129)/2)+1,0))</f>
        <v>TE11</v>
      </c>
      <c r="AA69" s="1">
        <f ca="1">Y69*LeagueInfo!$H$5</f>
        <v>-12.130968121065996</v>
      </c>
    </row>
    <row r="70" spans="1:27" x14ac:dyDescent="0.25">
      <c r="A70" s="47">
        <f>RANK(O70,O$3:O$129)</f>
        <v>68</v>
      </c>
      <c r="B70" s="1" t="s">
        <v>747</v>
      </c>
      <c r="C70" s="1" t="s">
        <v>47</v>
      </c>
      <c r="D70" s="1">
        <f>VLOOKUP(E70,BYEs!$A$2:$B$34,2)</f>
        <v>8</v>
      </c>
      <c r="E70" s="1" t="s">
        <v>359</v>
      </c>
      <c r="F70" s="245">
        <v>0</v>
      </c>
      <c r="G70" s="246">
        <v>0</v>
      </c>
      <c r="H70" s="247">
        <v>0</v>
      </c>
      <c r="I70" s="247">
        <v>0</v>
      </c>
      <c r="J70" s="247">
        <v>0</v>
      </c>
      <c r="K70" s="249">
        <v>9.1</v>
      </c>
      <c r="L70" s="247">
        <v>104.2</v>
      </c>
      <c r="M70" s="250">
        <v>0.5</v>
      </c>
      <c r="N70" s="251">
        <v>0</v>
      </c>
      <c r="O70" s="12">
        <f>(I70*TERushYd)+(J70*TERushTD)+(K70*TERec)+(L70*TERecYd)+(M70*TERecTD)+(N70*TEFuml)+(H70*TERushAtt)</f>
        <v>13.420000000000002</v>
      </c>
      <c r="P70" s="1" t="str">
        <f ca="1">IF(A70&lt;=TEStarters,"Starter",IF(A70&gt;TEStarters+TEBench,"Undrafted","Bench"))</f>
        <v>Undrafted</v>
      </c>
      <c r="Q70" s="47">
        <f ca="1">IFERROR(MAX(O70-LARGE(O$3:O$129,TEStarters),0),0)</f>
        <v>0</v>
      </c>
      <c r="R70" s="47">
        <f ca="1">IFERROR(IF(AllowNegative="Yes",O70-LARGE(O$3:O$129,TECount),MAX(O70-LARGE(O$3:O$129,TECount),0)),0)</f>
        <v>-53.379999999999995</v>
      </c>
      <c r="S70" s="47">
        <f ca="1">IF(TEStarters&gt;0,(R70-Q70)*BenchPF+Q70*StarterPF,0)</f>
        <v>-12.784288427189635</v>
      </c>
      <c r="T70" s="47">
        <f ca="1">S70*Auction!$A$2</f>
        <v>-12.784288427189635</v>
      </c>
      <c r="U70" s="47" t="str">
        <f>IF(OR(INDEX(Auction!$H$13:$H$683,MATCH(B70,Auction!$A$13:$A$683,0))&gt;0,IFERROR(INDEX(CheatSheet!$D$37:$D$64,MATCH(B70,CheatSheet!$A$37:$A$64,0)),"")&lt;&gt;""),"Yes","No")</f>
        <v>No</v>
      </c>
      <c r="V70" s="219"/>
      <c r="W70" s="1"/>
      <c r="X70" s="100">
        <f ca="1">IFERROR(SUMIFS($Y$3:$Y$129,$Y$3:$Y$129,"&gt;0",$U$3:$U$129,"No")/SUMIF($Y$3:$Y$129,"&gt;0"),0)</f>
        <v>1</v>
      </c>
      <c r="Y70" s="1">
        <f t="shared" ca="1" si="1"/>
        <v>-26.689999999999998</v>
      </c>
      <c r="Z70" s="145" t="str">
        <f ca="1">CONCATENATE("TE",ROUND((LARGE($Y$3:$Y$129,1)-$Y70)/(STDEVP($Y$3:$Y$129)/2)+1,0))</f>
        <v>TE11</v>
      </c>
      <c r="AA70" s="1">
        <f ca="1">Y70*LeagueInfo!$H$5</f>
        <v>-12.206429374222486</v>
      </c>
    </row>
    <row r="71" spans="1:27" x14ac:dyDescent="0.25">
      <c r="A71" s="47">
        <f>RANK(O71,O$3:O$129)</f>
        <v>69</v>
      </c>
      <c r="B71" s="1" t="s">
        <v>754</v>
      </c>
      <c r="C71" s="1" t="s">
        <v>47</v>
      </c>
      <c r="D71" s="1">
        <f>VLOOKUP(E71,BYEs!$A$2:$B$34,2)</f>
        <v>6</v>
      </c>
      <c r="E71" s="1" t="s">
        <v>364</v>
      </c>
      <c r="F71" s="245">
        <v>0</v>
      </c>
      <c r="G71" s="246">
        <v>0</v>
      </c>
      <c r="H71" s="247">
        <v>0</v>
      </c>
      <c r="I71" s="247">
        <v>0</v>
      </c>
      <c r="J71" s="247">
        <v>0</v>
      </c>
      <c r="K71" s="249">
        <v>9.3000000000000007</v>
      </c>
      <c r="L71" s="247">
        <v>105.1</v>
      </c>
      <c r="M71" s="250">
        <v>0.5</v>
      </c>
      <c r="N71" s="251">
        <v>0.1</v>
      </c>
      <c r="O71" s="12">
        <f>(I71*TERushYd)+(J71*TERushTD)+(K71*TERec)+(L71*TERecYd)+(M71*TERecTD)+(N71*TEFuml)+(H71*TERushAtt)</f>
        <v>13.31</v>
      </c>
      <c r="P71" s="1" t="str">
        <f ca="1">IF(A71&lt;=TEStarters,"Starter",IF(A71&gt;TEStarters+TEBench,"Undrafted","Bench"))</f>
        <v>Undrafted</v>
      </c>
      <c r="Q71" s="47">
        <f ca="1">IFERROR(MAX(O71-LARGE(O$3:O$129,TEStarters),0),0)</f>
        <v>0</v>
      </c>
      <c r="R71" s="47">
        <f ca="1">IFERROR(IF(AllowNegative="Yes",O71-LARGE(O$3:O$129,TECount),MAX(O71-LARGE(O$3:O$129,TECount),0)),0)</f>
        <v>-53.489999999999995</v>
      </c>
      <c r="S71" s="47">
        <f ca="1">IF(TEStarters&gt;0,(R71-Q71)*BenchPF+Q71*StarterPF,0)</f>
        <v>-12.810632970595233</v>
      </c>
      <c r="T71" s="47">
        <f ca="1">S71*Auction!$A$2</f>
        <v>-12.810632970595233</v>
      </c>
      <c r="U71" s="47" t="str">
        <f>IF(OR(INDEX(Auction!$H$13:$H$683,MATCH(B71,Auction!$A$13:$A$683,0))&gt;0,IFERROR(INDEX(CheatSheet!$D$37:$D$64,MATCH(B71,CheatSheet!$A$37:$A$64,0)),"")&lt;&gt;""),"Yes","No")</f>
        <v>No</v>
      </c>
      <c r="V71" s="219"/>
      <c r="W71" s="1"/>
      <c r="X71" s="100">
        <f ca="1">IFERROR(SUMIFS($Y$3:$Y$129,$Y$3:$Y$129,"&gt;0",$U$3:$U$129,"No")/SUMIF($Y$3:$Y$129,"&gt;0"),0)</f>
        <v>1</v>
      </c>
      <c r="Y71" s="1">
        <f t="shared" ca="1" si="1"/>
        <v>-26.744999999999997</v>
      </c>
      <c r="Z71" s="145" t="str">
        <f ca="1">CONCATENATE("TE",ROUND((LARGE($Y$3:$Y$129,1)-$Y71)/(STDEVP($Y$3:$Y$129)/2)+1,0))</f>
        <v>TE11</v>
      </c>
      <c r="AA71" s="1">
        <f ca="1">Y71*LeagueInfo!$H$5</f>
        <v>-12.231583125274648</v>
      </c>
    </row>
    <row r="72" spans="1:27" x14ac:dyDescent="0.25">
      <c r="A72" s="47">
        <f>RANK(O72,O$3:O$129)</f>
        <v>70</v>
      </c>
      <c r="B72" s="1" t="s">
        <v>322</v>
      </c>
      <c r="C72" s="1" t="s">
        <v>47</v>
      </c>
      <c r="D72" s="1">
        <f>VLOOKUP(E72,BYEs!$A$2:$B$34,2)</f>
        <v>7</v>
      </c>
      <c r="E72" s="1" t="s">
        <v>362</v>
      </c>
      <c r="F72" s="245">
        <v>0</v>
      </c>
      <c r="G72" s="246">
        <v>0</v>
      </c>
      <c r="H72" s="247">
        <v>0</v>
      </c>
      <c r="I72" s="247">
        <v>0</v>
      </c>
      <c r="J72" s="247">
        <v>0</v>
      </c>
      <c r="K72" s="249">
        <v>8.4</v>
      </c>
      <c r="L72" s="247">
        <v>92.6</v>
      </c>
      <c r="M72" s="250">
        <v>0.6</v>
      </c>
      <c r="N72" s="251">
        <v>0.1</v>
      </c>
      <c r="O72" s="12">
        <f>(I72*TERushYd)+(J72*TERushTD)+(K72*TERec)+(L72*TERecYd)+(M72*TERecTD)+(N72*TEFuml)+(H72*TERushAtt)</f>
        <v>12.66</v>
      </c>
      <c r="P72" s="1" t="str">
        <f ca="1">IF(A72&lt;=TEStarters,"Starter",IF(A72&gt;TEStarters+TEBench,"Undrafted","Bench"))</f>
        <v>Undrafted</v>
      </c>
      <c r="Q72" s="47">
        <f ca="1">IFERROR(MAX(O72-LARGE(O$3:O$129,TEStarters),0),0)</f>
        <v>0</v>
      </c>
      <c r="R72" s="47">
        <f ca="1">IFERROR(IF(AllowNegative="Yes",O72-LARGE(O$3:O$129,TECount),MAX(O72-LARGE(O$3:O$129,TECount),0)),0)</f>
        <v>-54.14</v>
      </c>
      <c r="S72" s="47">
        <f ca="1">IF(TEStarters&gt;0,(R72-Q72)*BenchPF+Q72*StarterPF,0)</f>
        <v>-12.966305272537408</v>
      </c>
      <c r="T72" s="47">
        <f ca="1">S72*Auction!$A$2</f>
        <v>-12.966305272537408</v>
      </c>
      <c r="U72" s="47" t="str">
        <f>IF(OR(INDEX(Auction!$H$13:$H$683,MATCH(B72,Auction!$A$13:$A$683,0))&gt;0,IFERROR(INDEX(CheatSheet!$D$37:$D$64,MATCH(B72,CheatSheet!$A$37:$A$64,0)),"")&lt;&gt;""),"Yes","No")</f>
        <v>No</v>
      </c>
      <c r="V72" s="219"/>
      <c r="W72" s="1"/>
      <c r="X72" s="100">
        <f ca="1">IFERROR(SUMIFS($Y$3:$Y$129,$Y$3:$Y$129,"&gt;0",$U$3:$U$129,"No")/SUMIF($Y$3:$Y$129,"&gt;0"),0)</f>
        <v>1</v>
      </c>
      <c r="Y72" s="1">
        <f t="shared" ca="1" si="1"/>
        <v>-27.07</v>
      </c>
      <c r="Z72" s="145" t="str">
        <f ca="1">CONCATENATE("TE",ROUND((LARGE($Y$3:$Y$129,1)-$Y72)/(STDEVP($Y$3:$Y$129)/2)+1,0))</f>
        <v>TE11</v>
      </c>
      <c r="AA72" s="1">
        <f ca="1">Y72*LeagueInfo!$H$5</f>
        <v>-12.380218926946524</v>
      </c>
    </row>
    <row r="73" spans="1:27" x14ac:dyDescent="0.25">
      <c r="A73" s="47">
        <f>RANK(O73,O$3:O$129)</f>
        <v>71</v>
      </c>
      <c r="B73" s="1" t="s">
        <v>759</v>
      </c>
      <c r="C73" s="1" t="s">
        <v>47</v>
      </c>
      <c r="D73" s="1">
        <f>VLOOKUP(E73,BYEs!$A$2:$B$34,2)</f>
        <v>10</v>
      </c>
      <c r="E73" s="1" t="s">
        <v>369</v>
      </c>
      <c r="F73" s="245">
        <v>0</v>
      </c>
      <c r="G73" s="246">
        <v>0</v>
      </c>
      <c r="H73" s="247">
        <v>0</v>
      </c>
      <c r="I73" s="247">
        <v>0</v>
      </c>
      <c r="J73" s="247">
        <v>0</v>
      </c>
      <c r="K73" s="249">
        <v>9.6</v>
      </c>
      <c r="L73" s="247">
        <v>107</v>
      </c>
      <c r="M73" s="250">
        <v>0.3</v>
      </c>
      <c r="N73" s="251">
        <v>0.1</v>
      </c>
      <c r="O73" s="12">
        <f>(I73*TERushYd)+(J73*TERushTD)+(K73*TERec)+(L73*TERecYd)+(M73*TERecTD)+(N73*TEFuml)+(H73*TERushAtt)</f>
        <v>12.3</v>
      </c>
      <c r="P73" s="1" t="str">
        <f ca="1">IF(A73&lt;=TEStarters,"Starter",IF(A73&gt;TEStarters+TEBench,"Undrafted","Bench"))</f>
        <v>Undrafted</v>
      </c>
      <c r="Q73" s="47">
        <f ca="1">IFERROR(MAX(O73-LARGE(O$3:O$129,TEStarters),0),0)</f>
        <v>0</v>
      </c>
      <c r="R73" s="47">
        <f ca="1">IFERROR(IF(AllowNegative="Yes",O73-LARGE(O$3:O$129,TECount),MAX(O73-LARGE(O$3:O$129,TECount),0)),0)</f>
        <v>-54.5</v>
      </c>
      <c r="S73" s="47">
        <f ca="1">IF(TEStarters&gt;0,(R73-Q73)*BenchPF+Q73*StarterPF,0)</f>
        <v>-13.052523778228458</v>
      </c>
      <c r="T73" s="47">
        <f ca="1">S73*Auction!$A$2</f>
        <v>-13.052523778228458</v>
      </c>
      <c r="U73" s="47" t="str">
        <f>IF(OR(INDEX(Auction!$H$13:$H$683,MATCH(B73,Auction!$A$13:$A$683,0))&gt;0,IFERROR(INDEX(CheatSheet!$D$37:$D$64,MATCH(B73,CheatSheet!$A$37:$A$64,0)),"")&lt;&gt;""),"Yes","No")</f>
        <v>No</v>
      </c>
      <c r="V73" s="219"/>
      <c r="W73" s="1"/>
      <c r="X73" s="100">
        <f ca="1">IFERROR(SUMIFS($Y$3:$Y$129,$Y$3:$Y$129,"&gt;0",$U$3:$U$129,"No")/SUMIF($Y$3:$Y$129,"&gt;0"),0)</f>
        <v>1</v>
      </c>
      <c r="Y73" s="1">
        <f t="shared" ca="1" si="1"/>
        <v>-27.25</v>
      </c>
      <c r="Z73" s="145" t="str">
        <f ca="1">CONCATENATE("TE",ROUND((LARGE($Y$3:$Y$129,1)-$Y73)/(STDEVP($Y$3:$Y$129)/2)+1,0))</f>
        <v>TE11</v>
      </c>
      <c r="AA73" s="1">
        <f ca="1">Y73*LeagueInfo!$H$5</f>
        <v>-12.462540294026331</v>
      </c>
    </row>
    <row r="74" spans="1:27" x14ac:dyDescent="0.25">
      <c r="A74" s="47">
        <f>RANK(O74,O$3:O$129)</f>
        <v>72</v>
      </c>
      <c r="B74" s="1" t="s">
        <v>769</v>
      </c>
      <c r="C74" s="1" t="s">
        <v>47</v>
      </c>
      <c r="D74" s="1">
        <f>VLOOKUP(E74,BYEs!$A$2:$B$34,2)</f>
        <v>8</v>
      </c>
      <c r="E74" s="1" t="s">
        <v>367</v>
      </c>
      <c r="F74" s="245">
        <v>0</v>
      </c>
      <c r="G74" s="246">
        <v>0</v>
      </c>
      <c r="H74" s="247">
        <v>0</v>
      </c>
      <c r="I74" s="247">
        <v>0</v>
      </c>
      <c r="J74" s="247">
        <v>0</v>
      </c>
      <c r="K74" s="249">
        <v>9</v>
      </c>
      <c r="L74" s="247">
        <v>87.6</v>
      </c>
      <c r="M74" s="250">
        <v>0.6</v>
      </c>
      <c r="N74" s="251">
        <v>0.1</v>
      </c>
      <c r="O74" s="12">
        <f>(I74*TERushYd)+(J74*TERushTD)+(K74*TERec)+(L74*TERecYd)+(M74*TERecTD)+(N74*TEFuml)+(H74*TERushAtt)</f>
        <v>12.16</v>
      </c>
      <c r="P74" s="1" t="str">
        <f ca="1">IF(A74&lt;=TEStarters,"Starter",IF(A74&gt;TEStarters+TEBench,"Undrafted","Bench"))</f>
        <v>Undrafted</v>
      </c>
      <c r="Q74" s="47">
        <f ca="1">IFERROR(MAX(O74-LARGE(O$3:O$129,TEStarters),0),0)</f>
        <v>0</v>
      </c>
      <c r="R74" s="47">
        <f ca="1">IFERROR(IF(AllowNegative="Yes",O74-LARGE(O$3:O$129,TECount),MAX(O74-LARGE(O$3:O$129,TECount),0)),0)</f>
        <v>-54.64</v>
      </c>
      <c r="S74" s="47">
        <f ca="1">IF(TEStarters&gt;0,(R74-Q74)*BenchPF+Q74*StarterPF,0)</f>
        <v>-13.086053197108312</v>
      </c>
      <c r="T74" s="47">
        <f ca="1">S74*Auction!$A$2</f>
        <v>-13.086053197108312</v>
      </c>
      <c r="U74" s="47" t="str">
        <f>IF(OR(INDEX(Auction!$H$13:$H$683,MATCH(B74,Auction!$A$13:$A$683,0))&gt;0,IFERROR(INDEX(CheatSheet!$D$37:$D$64,MATCH(B74,CheatSheet!$A$37:$A$64,0)),"")&lt;&gt;""),"Yes","No")</f>
        <v>No</v>
      </c>
      <c r="V74" s="219"/>
      <c r="W74" s="1"/>
      <c r="X74" s="100">
        <f ca="1">IFERROR(SUMIFS($Y$3:$Y$129,$Y$3:$Y$129,"&gt;0",$U$3:$U$129,"No")/SUMIF($Y$3:$Y$129,"&gt;0"),0)</f>
        <v>1</v>
      </c>
      <c r="Y74" s="1">
        <f t="shared" ca="1" si="1"/>
        <v>-27.32</v>
      </c>
      <c r="Z74" s="145" t="str">
        <f ca="1">CONCATENATE("TE",ROUND((LARGE($Y$3:$Y$129,1)-$Y74)/(STDEVP($Y$3:$Y$129)/2)+1,0))</f>
        <v>TE11</v>
      </c>
      <c r="AA74" s="1">
        <f ca="1">Y74*LeagueInfo!$H$5</f>
        <v>-12.494554159001812</v>
      </c>
    </row>
    <row r="75" spans="1:27" x14ac:dyDescent="0.25">
      <c r="A75" s="47">
        <f>RANK(O75,O$3:O$129)</f>
        <v>73</v>
      </c>
      <c r="B75" s="1" t="s">
        <v>758</v>
      </c>
      <c r="C75" s="1" t="s">
        <v>47</v>
      </c>
      <c r="D75" s="1">
        <f>VLOOKUP(E75,BYEs!$A$2:$B$34,2)</f>
        <v>5</v>
      </c>
      <c r="E75" s="1" t="s">
        <v>384</v>
      </c>
      <c r="F75" s="245">
        <v>0</v>
      </c>
      <c r="G75" s="246">
        <v>0</v>
      </c>
      <c r="H75" s="247">
        <v>0</v>
      </c>
      <c r="I75" s="247">
        <v>0</v>
      </c>
      <c r="J75" s="247">
        <v>0</v>
      </c>
      <c r="K75" s="249">
        <v>8.5</v>
      </c>
      <c r="L75" s="247">
        <v>93.6</v>
      </c>
      <c r="M75" s="250">
        <v>0.4</v>
      </c>
      <c r="N75" s="251">
        <v>0.1</v>
      </c>
      <c r="O75" s="12">
        <f>(I75*TERushYd)+(J75*TERushTD)+(K75*TERec)+(L75*TERecYd)+(M75*TERecTD)+(N75*TEFuml)+(H75*TERushAtt)</f>
        <v>11.56</v>
      </c>
      <c r="P75" s="1" t="str">
        <f ca="1">IF(A75&lt;=TEStarters,"Starter",IF(A75&gt;TEStarters+TEBench,"Undrafted","Bench"))</f>
        <v>Undrafted</v>
      </c>
      <c r="Q75" s="47">
        <f ca="1">IFERROR(MAX(O75-LARGE(O$3:O$129,TEStarters),0),0)</f>
        <v>0</v>
      </c>
      <c r="R75" s="47">
        <f ca="1">IFERROR(IF(AllowNegative="Yes",O75-LARGE(O$3:O$129,TECount),MAX(O75-LARGE(O$3:O$129,TECount),0)),0)</f>
        <v>-55.239999999999995</v>
      </c>
      <c r="S75" s="47">
        <f ca="1">IF(TEStarters&gt;0,(R75-Q75)*BenchPF+Q75*StarterPF,0)</f>
        <v>-13.229750706593395</v>
      </c>
      <c r="T75" s="47">
        <f ca="1">S75*Auction!$A$2</f>
        <v>-13.229750706593395</v>
      </c>
      <c r="U75" s="47" t="str">
        <f>IF(OR(INDEX(Auction!$H$13:$H$683,MATCH(B75,Auction!$A$13:$A$683,0))&gt;0,IFERROR(INDEX(CheatSheet!$D$37:$D$64,MATCH(B75,CheatSheet!$A$37:$A$64,0)),"")&lt;&gt;""),"Yes","No")</f>
        <v>No</v>
      </c>
      <c r="V75" s="219"/>
      <c r="W75" s="1"/>
      <c r="X75" s="100">
        <f ca="1">IFERROR(SUMIFS($Y$3:$Y$129,$Y$3:$Y$129,"&gt;0",$U$3:$U$129,"No")/SUMIF($Y$3:$Y$129,"&gt;0"),0)</f>
        <v>1</v>
      </c>
      <c r="Y75" s="1">
        <f t="shared" ca="1" si="1"/>
        <v>-27.619999999999997</v>
      </c>
      <c r="Z75" s="145" t="str">
        <f ca="1">CONCATENATE("TE",ROUND((LARGE($Y$3:$Y$129,1)-$Y75)/(STDEVP($Y$3:$Y$129)/2)+1,0))</f>
        <v>TE11</v>
      </c>
      <c r="AA75" s="1">
        <f ca="1">Y75*LeagueInfo!$H$5</f>
        <v>-12.631756437468155</v>
      </c>
    </row>
    <row r="76" spans="1:27" x14ac:dyDescent="0.25">
      <c r="A76" s="47">
        <f>RANK(O76,O$3:O$129)</f>
        <v>74</v>
      </c>
      <c r="B76" s="1" t="s">
        <v>771</v>
      </c>
      <c r="C76" s="1" t="s">
        <v>47</v>
      </c>
      <c r="D76" s="1">
        <f>VLOOKUP(E76,BYEs!$A$2:$B$34,2)</f>
        <v>5</v>
      </c>
      <c r="E76" s="1" t="s">
        <v>353</v>
      </c>
      <c r="F76" s="245">
        <v>0</v>
      </c>
      <c r="G76" s="246">
        <v>0</v>
      </c>
      <c r="H76" s="247">
        <v>0</v>
      </c>
      <c r="I76" s="247">
        <v>0</v>
      </c>
      <c r="J76" s="247">
        <v>0</v>
      </c>
      <c r="K76" s="249">
        <v>5.8</v>
      </c>
      <c r="L76" s="247">
        <v>69.2</v>
      </c>
      <c r="M76" s="250">
        <v>0.7</v>
      </c>
      <c r="N76" s="251">
        <v>0</v>
      </c>
      <c r="O76" s="12">
        <f>(I76*TERushYd)+(J76*TERushTD)+(K76*TERec)+(L76*TERecYd)+(M76*TERecTD)+(N76*TEFuml)+(H76*TERushAtt)</f>
        <v>11.120000000000001</v>
      </c>
      <c r="P76" s="1" t="str">
        <f ca="1">IF(A76&lt;=TEStarters,"Starter",IF(A76&gt;TEStarters+TEBench,"Undrafted","Bench"))</f>
        <v>Undrafted</v>
      </c>
      <c r="Q76" s="47">
        <f ca="1">IFERROR(MAX(O76-LARGE(O$3:O$129,TEStarters),0),0)</f>
        <v>0</v>
      </c>
      <c r="R76" s="47">
        <f ca="1">IFERROR(IF(AllowNegative="Yes",O76-LARGE(O$3:O$129,TECount),MAX(O76-LARGE(O$3:O$129,TECount),0)),0)</f>
        <v>-55.679999999999993</v>
      </c>
      <c r="S76" s="47">
        <f ca="1">IF(TEStarters&gt;0,(R76-Q76)*BenchPF+Q76*StarterPF,0)</f>
        <v>-13.335128880215789</v>
      </c>
      <c r="T76" s="47">
        <f ca="1">S76*Auction!$A$2</f>
        <v>-13.335128880215789</v>
      </c>
      <c r="U76" s="47" t="str">
        <f>IF(OR(INDEX(Auction!$H$13:$H$683,MATCH(B76,Auction!$A$13:$A$683,0))&gt;0,IFERROR(INDEX(CheatSheet!$D$37:$D$64,MATCH(B76,CheatSheet!$A$37:$A$64,0)),"")&lt;&gt;""),"Yes","No")</f>
        <v>No</v>
      </c>
      <c r="V76" s="219"/>
      <c r="W76" s="1"/>
      <c r="X76" s="100">
        <f ca="1">IFERROR(SUMIFS($Y$3:$Y$129,$Y$3:$Y$129,"&gt;0",$U$3:$U$129,"No")/SUMIF($Y$3:$Y$129,"&gt;0"),0)</f>
        <v>1</v>
      </c>
      <c r="Y76" s="1">
        <f t="shared" ca="1" si="1"/>
        <v>-27.839999999999996</v>
      </c>
      <c r="Z76" s="145" t="str">
        <f ca="1">CONCATENATE("TE",ROUND((LARGE($Y$3:$Y$129,1)-$Y76)/(STDEVP($Y$3:$Y$129)/2)+1,0))</f>
        <v>TE11</v>
      </c>
      <c r="AA76" s="1">
        <f ca="1">Y76*LeagueInfo!$H$5</f>
        <v>-12.732371441676808</v>
      </c>
    </row>
    <row r="77" spans="1:27" x14ac:dyDescent="0.25">
      <c r="A77" s="47">
        <f>RANK(O77,O$3:O$129)</f>
        <v>75</v>
      </c>
      <c r="B77" s="1" t="s">
        <v>768</v>
      </c>
      <c r="C77" s="1" t="s">
        <v>47</v>
      </c>
      <c r="D77" s="1">
        <f>VLOOKUP(E77,BYEs!$A$2:$B$34,2)</f>
        <v>6</v>
      </c>
      <c r="E77" s="1" t="s">
        <v>366</v>
      </c>
      <c r="F77" s="245">
        <v>0</v>
      </c>
      <c r="G77" s="246">
        <v>0</v>
      </c>
      <c r="H77" s="247">
        <v>0</v>
      </c>
      <c r="I77" s="247">
        <v>0</v>
      </c>
      <c r="J77" s="247">
        <v>0</v>
      </c>
      <c r="K77" s="249">
        <v>8.6999999999999993</v>
      </c>
      <c r="L77" s="247">
        <v>87.4</v>
      </c>
      <c r="M77" s="250">
        <v>0.4</v>
      </c>
      <c r="N77" s="251">
        <v>0.1</v>
      </c>
      <c r="O77" s="12">
        <f>(I77*TERushYd)+(J77*TERushTD)+(K77*TERec)+(L77*TERecYd)+(M77*TERecTD)+(N77*TEFuml)+(H77*TERushAtt)</f>
        <v>10.940000000000001</v>
      </c>
      <c r="P77" s="1" t="str">
        <f ca="1">IF(A77&lt;=TEStarters,"Starter",IF(A77&gt;TEStarters+TEBench,"Undrafted","Bench"))</f>
        <v>Undrafted</v>
      </c>
      <c r="Q77" s="47">
        <f ca="1">IFERROR(MAX(O77-LARGE(O$3:O$129,TEStarters),0),0)</f>
        <v>0</v>
      </c>
      <c r="R77" s="47">
        <f ca="1">IFERROR(IF(AllowNegative="Yes",O77-LARGE(O$3:O$129,TECount),MAX(O77-LARGE(O$3:O$129,TECount),0)),0)</f>
        <v>-55.86</v>
      </c>
      <c r="S77" s="47">
        <f ca="1">IF(TEStarters&gt;0,(R77-Q77)*BenchPF+Q77*StarterPF,0)</f>
        <v>-13.378238133061314</v>
      </c>
      <c r="T77" s="47">
        <f ca="1">S77*Auction!$A$2</f>
        <v>-13.378238133061314</v>
      </c>
      <c r="U77" s="47" t="str">
        <f>IF(OR(INDEX(Auction!$H$13:$H$683,MATCH(B77,Auction!$A$13:$A$683,0))&gt;0,IFERROR(INDEX(CheatSheet!$D$37:$D$64,MATCH(B77,CheatSheet!$A$37:$A$64,0)),"")&lt;&gt;""),"Yes","No")</f>
        <v>No</v>
      </c>
      <c r="V77" s="219"/>
      <c r="W77" s="1"/>
      <c r="X77" s="100">
        <f ca="1">IFERROR(SUMIFS($Y$3:$Y$129,$Y$3:$Y$129,"&gt;0",$U$3:$U$129,"No")/SUMIF($Y$3:$Y$129,"&gt;0"),0)</f>
        <v>1</v>
      </c>
      <c r="Y77" s="1">
        <f t="shared" ca="1" si="1"/>
        <v>-27.93</v>
      </c>
      <c r="Z77" s="145" t="str">
        <f ca="1">CONCATENATE("TE",ROUND((LARGE($Y$3:$Y$129,1)-$Y77)/(STDEVP($Y$3:$Y$129)/2)+1,0))</f>
        <v>TE11</v>
      </c>
      <c r="AA77" s="1">
        <f ca="1">Y77*LeagueInfo!$H$5</f>
        <v>-12.773532125216713</v>
      </c>
    </row>
    <row r="78" spans="1:27" x14ac:dyDescent="0.25">
      <c r="A78" s="47">
        <f>RANK(O78,O$3:O$129)</f>
        <v>76</v>
      </c>
      <c r="B78" s="1" t="s">
        <v>775</v>
      </c>
      <c r="C78" s="1" t="s">
        <v>47</v>
      </c>
      <c r="D78" s="1">
        <f>VLOOKUP(E78,BYEs!$A$2:$B$34,2)</f>
        <v>11</v>
      </c>
      <c r="E78" s="1" t="s">
        <v>357</v>
      </c>
      <c r="F78" s="245">
        <v>0</v>
      </c>
      <c r="G78" s="246">
        <v>0</v>
      </c>
      <c r="H78" s="247">
        <v>0</v>
      </c>
      <c r="I78" s="247">
        <v>0</v>
      </c>
      <c r="J78" s="247">
        <v>0</v>
      </c>
      <c r="K78" s="249">
        <v>5.5</v>
      </c>
      <c r="L78" s="247">
        <v>65.900000000000006</v>
      </c>
      <c r="M78" s="250">
        <v>0.7</v>
      </c>
      <c r="N78" s="251">
        <v>0</v>
      </c>
      <c r="O78" s="12">
        <f>(I78*TERushYd)+(J78*TERushTD)+(K78*TERec)+(L78*TERecYd)+(M78*TERecTD)+(N78*TEFuml)+(H78*TERushAtt)</f>
        <v>10.79</v>
      </c>
      <c r="P78" s="1" t="str">
        <f ca="1">IF(A78&lt;=TEStarters,"Starter",IF(A78&gt;TEStarters+TEBench,"Undrafted","Bench"))</f>
        <v>Undrafted</v>
      </c>
      <c r="Q78" s="47">
        <f ca="1">IFERROR(MAX(O78-LARGE(O$3:O$129,TEStarters),0),0)</f>
        <v>0</v>
      </c>
      <c r="R78" s="47">
        <f ca="1">IFERROR(IF(AllowNegative="Yes",O78-LARGE(O$3:O$129,TECount),MAX(O78-LARGE(O$3:O$129,TECount),0)),0)</f>
        <v>-56.01</v>
      </c>
      <c r="S78" s="47">
        <f ca="1">IF(TEStarters&gt;0,(R78-Q78)*BenchPF+Q78*StarterPF,0)</f>
        <v>-13.414162510432586</v>
      </c>
      <c r="T78" s="47">
        <f ca="1">S78*Auction!$A$2</f>
        <v>-13.414162510432586</v>
      </c>
      <c r="U78" s="47" t="str">
        <f>IF(OR(INDEX(Auction!$H$13:$H$683,MATCH(B78,Auction!$A$13:$A$683,0))&gt;0,IFERROR(INDEX(CheatSheet!$D$37:$D$64,MATCH(B78,CheatSheet!$A$37:$A$64,0)),"")&lt;&gt;""),"Yes","No")</f>
        <v>No</v>
      </c>
      <c r="V78" s="219"/>
      <c r="W78" s="1"/>
      <c r="X78" s="100">
        <f ca="1">IFERROR(SUMIFS($Y$3:$Y$129,$Y$3:$Y$129,"&gt;0",$U$3:$U$129,"No")/SUMIF($Y$3:$Y$129,"&gt;0"),0)</f>
        <v>1</v>
      </c>
      <c r="Y78" s="1">
        <f t="shared" ca="1" si="1"/>
        <v>-28.004999999999999</v>
      </c>
      <c r="Z78" s="145" t="str">
        <f ca="1">CONCATENATE("TE",ROUND((LARGE($Y$3:$Y$129,1)-$Y78)/(STDEVP($Y$3:$Y$129)/2)+1,0))</f>
        <v>TE11</v>
      </c>
      <c r="AA78" s="1">
        <f ca="1">Y78*LeagueInfo!$H$5</f>
        <v>-12.807832694833298</v>
      </c>
    </row>
    <row r="79" spans="1:27" x14ac:dyDescent="0.25">
      <c r="A79" s="47">
        <f>RANK(O79,O$3:O$129)</f>
        <v>77</v>
      </c>
      <c r="B79" s="1" t="s">
        <v>763</v>
      </c>
      <c r="C79" s="1" t="s">
        <v>47</v>
      </c>
      <c r="D79" s="1">
        <f>VLOOKUP(E79,BYEs!$A$2:$B$34,2)</f>
        <v>10</v>
      </c>
      <c r="E79" s="1" t="s">
        <v>372</v>
      </c>
      <c r="F79" s="245">
        <v>0</v>
      </c>
      <c r="G79" s="246">
        <v>0</v>
      </c>
      <c r="H79" s="247">
        <v>0</v>
      </c>
      <c r="I79" s="247">
        <v>0</v>
      </c>
      <c r="J79" s="247">
        <v>0</v>
      </c>
      <c r="K79" s="249">
        <v>9.6999999999999993</v>
      </c>
      <c r="L79" s="247">
        <v>95.8</v>
      </c>
      <c r="M79" s="250">
        <v>0.6</v>
      </c>
      <c r="N79" s="251">
        <v>1.2</v>
      </c>
      <c r="O79" s="12">
        <f>(I79*TERushYd)+(J79*TERushTD)+(K79*TERec)+(L79*TERecYd)+(M79*TERecTD)+(N79*TEFuml)+(H79*TERushAtt)</f>
        <v>10.78</v>
      </c>
      <c r="P79" s="1" t="str">
        <f ca="1">IF(A79&lt;=TEStarters,"Starter",IF(A79&gt;TEStarters+TEBench,"Undrafted","Bench"))</f>
        <v>Undrafted</v>
      </c>
      <c r="Q79" s="47">
        <f ca="1">IFERROR(MAX(O79-LARGE(O$3:O$129,TEStarters),0),0)</f>
        <v>0</v>
      </c>
      <c r="R79" s="47">
        <f ca="1">IFERROR(IF(AllowNegative="Yes",O79-LARGE(O$3:O$129,TECount),MAX(O79-LARGE(O$3:O$129,TECount),0)),0)</f>
        <v>-56.019999999999996</v>
      </c>
      <c r="S79" s="47">
        <f ca="1">IF(TEStarters&gt;0,(R79-Q79)*BenchPF+Q79*StarterPF,0)</f>
        <v>-13.416557468924003</v>
      </c>
      <c r="T79" s="47">
        <f ca="1">S79*Auction!$A$2</f>
        <v>-13.416557468924003</v>
      </c>
      <c r="U79" s="47" t="str">
        <f>IF(OR(INDEX(Auction!$H$13:$H$683,MATCH(B79,Auction!$A$13:$A$683,0))&gt;0,IFERROR(INDEX(CheatSheet!$D$37:$D$64,MATCH(B79,CheatSheet!$A$37:$A$64,0)),"")&lt;&gt;""),"Yes","No")</f>
        <v>No</v>
      </c>
      <c r="V79" s="219"/>
      <c r="W79" s="1"/>
      <c r="X79" s="100">
        <f ca="1">IFERROR(SUMIFS($Y$3:$Y$129,$Y$3:$Y$129,"&gt;0",$U$3:$U$129,"No")/SUMIF($Y$3:$Y$129,"&gt;0"),0)</f>
        <v>1</v>
      </c>
      <c r="Y79" s="1">
        <f t="shared" ca="1" si="1"/>
        <v>-28.009999999999998</v>
      </c>
      <c r="Z79" s="145" t="str">
        <f ca="1">CONCATENATE("TE",ROUND((LARGE($Y$3:$Y$129,1)-$Y79)/(STDEVP($Y$3:$Y$129)/2)+1,0))</f>
        <v>TE11</v>
      </c>
      <c r="AA79" s="1">
        <f ca="1">Y79*LeagueInfo!$H$5</f>
        <v>-12.810119399474404</v>
      </c>
    </row>
    <row r="80" spans="1:27" x14ac:dyDescent="0.25">
      <c r="A80" s="47">
        <f>RANK(O80,O$3:O$129)</f>
        <v>78</v>
      </c>
      <c r="B80" s="1" t="s">
        <v>766</v>
      </c>
      <c r="C80" s="1" t="s">
        <v>47</v>
      </c>
      <c r="D80" s="1">
        <f>VLOOKUP(E80,BYEs!$A$2:$B$34,2)</f>
        <v>7</v>
      </c>
      <c r="E80" s="1" t="s">
        <v>362</v>
      </c>
      <c r="F80" s="245">
        <v>0</v>
      </c>
      <c r="G80" s="246">
        <v>0</v>
      </c>
      <c r="H80" s="247">
        <v>0</v>
      </c>
      <c r="I80" s="247">
        <v>0</v>
      </c>
      <c r="J80" s="247">
        <v>0</v>
      </c>
      <c r="K80" s="249">
        <v>8.4</v>
      </c>
      <c r="L80" s="247">
        <v>87.5</v>
      </c>
      <c r="M80" s="250">
        <v>0.3</v>
      </c>
      <c r="N80" s="251">
        <v>0</v>
      </c>
      <c r="O80" s="12">
        <f>(I80*TERushYd)+(J80*TERushTD)+(K80*TERec)+(L80*TERecYd)+(M80*TERecTD)+(N80*TEFuml)+(H80*TERushAtt)</f>
        <v>10.55</v>
      </c>
      <c r="P80" s="1" t="str">
        <f ca="1">IF(A80&lt;=TEStarters,"Starter",IF(A80&gt;TEStarters+TEBench,"Undrafted","Bench"))</f>
        <v>Undrafted</v>
      </c>
      <c r="Q80" s="47">
        <f ca="1">IFERROR(MAX(O80-LARGE(O$3:O$129,TEStarters),0),0)</f>
        <v>0</v>
      </c>
      <c r="R80" s="47">
        <f ca="1">IFERROR(IF(AllowNegative="Yes",O80-LARGE(O$3:O$129,TECount),MAX(O80-LARGE(O$3:O$129,TECount),0)),0)</f>
        <v>-56.25</v>
      </c>
      <c r="S80" s="47">
        <f ca="1">IF(TEStarters&gt;0,(R80-Q80)*BenchPF+Q80*StarterPF,0)</f>
        <v>-13.47164151422662</v>
      </c>
      <c r="T80" s="47">
        <f ca="1">S80*Auction!$A$2</f>
        <v>-13.47164151422662</v>
      </c>
      <c r="U80" s="47" t="str">
        <f>IF(OR(INDEX(Auction!$H$13:$H$683,MATCH(B80,Auction!$A$13:$A$683,0))&gt;0,IFERROR(INDEX(CheatSheet!$D$37:$D$64,MATCH(B80,CheatSheet!$A$37:$A$64,0)),"")&lt;&gt;""),"Yes","No")</f>
        <v>No</v>
      </c>
      <c r="V80" s="219"/>
      <c r="W80" s="1"/>
      <c r="X80" s="100">
        <f ca="1">IFERROR(SUMIFS($Y$3:$Y$129,$Y$3:$Y$129,"&gt;0",$U$3:$U$129,"No")/SUMIF($Y$3:$Y$129,"&gt;0"),0)</f>
        <v>1</v>
      </c>
      <c r="Y80" s="1">
        <f t="shared" ca="1" si="1"/>
        <v>-28.125</v>
      </c>
      <c r="Z80" s="145" t="str">
        <f ca="1">CONCATENATE("TE",ROUND((LARGE($Y$3:$Y$129,1)-$Y80)/(STDEVP($Y$3:$Y$129)/2)+1,0))</f>
        <v>TE11</v>
      </c>
      <c r="AA80" s="1">
        <f ca="1">Y80*LeagueInfo!$H$5</f>
        <v>-12.862713606219836</v>
      </c>
    </row>
    <row r="81" spans="1:27" x14ac:dyDescent="0.25">
      <c r="A81" s="47">
        <f>RANK(O81,O$3:O$129)</f>
        <v>79</v>
      </c>
      <c r="B81" s="1" t="s">
        <v>776</v>
      </c>
      <c r="C81" s="1" t="s">
        <v>47</v>
      </c>
      <c r="D81" s="1">
        <f>VLOOKUP(E81,BYEs!$A$2:$B$34,2)</f>
        <v>10</v>
      </c>
      <c r="E81" s="1" t="s">
        <v>372</v>
      </c>
      <c r="F81" s="245">
        <v>0</v>
      </c>
      <c r="G81" s="246">
        <v>0</v>
      </c>
      <c r="H81" s="247">
        <v>0</v>
      </c>
      <c r="I81" s="247">
        <v>0</v>
      </c>
      <c r="J81" s="247">
        <v>0</v>
      </c>
      <c r="K81" s="249">
        <v>6.7</v>
      </c>
      <c r="L81" s="247">
        <v>73.400000000000006</v>
      </c>
      <c r="M81" s="250">
        <v>0.5</v>
      </c>
      <c r="N81" s="251">
        <v>0.1</v>
      </c>
      <c r="O81" s="12">
        <f>(I81*TERushYd)+(J81*TERushTD)+(K81*TERec)+(L81*TERecYd)+(M81*TERecTD)+(N81*TEFuml)+(H81*TERushAtt)</f>
        <v>10.14</v>
      </c>
      <c r="P81" s="1" t="str">
        <f ca="1">IF(A81&lt;=TEStarters,"Starter",IF(A81&gt;TEStarters+TEBench,"Undrafted","Bench"))</f>
        <v>Undrafted</v>
      </c>
      <c r="Q81" s="47">
        <f ca="1">IFERROR(MAX(O81-LARGE(O$3:O$129,TEStarters),0),0)</f>
        <v>0</v>
      </c>
      <c r="R81" s="47">
        <f ca="1">IFERROR(IF(AllowNegative="Yes",O81-LARGE(O$3:O$129,TECount),MAX(O81-LARGE(O$3:O$129,TECount),0)),0)</f>
        <v>-56.66</v>
      </c>
      <c r="S81" s="47">
        <f ca="1">IF(TEStarters&gt;0,(R81-Q81)*BenchPF+Q81*StarterPF,0)</f>
        <v>-13.56983481237476</v>
      </c>
      <c r="T81" s="47">
        <f ca="1">S81*Auction!$A$2</f>
        <v>-13.56983481237476</v>
      </c>
      <c r="U81" s="47" t="str">
        <f>IF(OR(INDEX(Auction!$H$13:$H$683,MATCH(B81,Auction!$A$13:$A$683,0))&gt;0,IFERROR(INDEX(CheatSheet!$D$37:$D$64,MATCH(B81,CheatSheet!$A$37:$A$64,0)),"")&lt;&gt;""),"Yes","No")</f>
        <v>No</v>
      </c>
      <c r="V81" s="219"/>
      <c r="W81" s="1"/>
      <c r="X81" s="100">
        <f ca="1">IFERROR(SUMIFS($Y$3:$Y$129,$Y$3:$Y$129,"&gt;0",$U$3:$U$129,"No")/SUMIF($Y$3:$Y$129,"&gt;0"),0)</f>
        <v>1</v>
      </c>
      <c r="Y81" s="1">
        <f t="shared" ca="1" si="1"/>
        <v>-28.33</v>
      </c>
      <c r="Z81" s="145" t="str">
        <f ca="1">CONCATENATE("TE",ROUND((LARGE($Y$3:$Y$129,1)-$Y81)/(STDEVP($Y$3:$Y$129)/2)+1,0))</f>
        <v>TE12</v>
      </c>
      <c r="AA81" s="1">
        <f ca="1">Y81*LeagueInfo!$H$5</f>
        <v>-12.956468496505172</v>
      </c>
    </row>
    <row r="82" spans="1:27" x14ac:dyDescent="0.25">
      <c r="A82" s="47">
        <f>RANK(O82,O$3:O$129)</f>
        <v>80</v>
      </c>
      <c r="B82" s="1" t="s">
        <v>762</v>
      </c>
      <c r="C82" s="1" t="s">
        <v>47</v>
      </c>
      <c r="D82" s="1">
        <f>VLOOKUP(E82,BYEs!$A$2:$B$34,2)</f>
        <v>11</v>
      </c>
      <c r="E82" s="1" t="s">
        <v>378</v>
      </c>
      <c r="F82" s="245">
        <v>0</v>
      </c>
      <c r="G82" s="246">
        <v>0</v>
      </c>
      <c r="H82" s="247">
        <v>0</v>
      </c>
      <c r="I82" s="247">
        <v>0</v>
      </c>
      <c r="J82" s="247">
        <v>0</v>
      </c>
      <c r="K82" s="249">
        <v>7.6</v>
      </c>
      <c r="L82" s="247">
        <v>74</v>
      </c>
      <c r="M82" s="250">
        <v>0.5</v>
      </c>
      <c r="N82" s="251">
        <v>0.2</v>
      </c>
      <c r="O82" s="12">
        <f>(I82*TERushYd)+(J82*TERushTD)+(K82*TERec)+(L82*TERecYd)+(M82*TERecTD)+(N82*TEFuml)+(H82*TERushAtt)</f>
        <v>10</v>
      </c>
      <c r="P82" s="1" t="str">
        <f ca="1">IF(A82&lt;=TEStarters,"Starter",IF(A82&gt;TEStarters+TEBench,"Undrafted","Bench"))</f>
        <v>Undrafted</v>
      </c>
      <c r="Q82" s="47">
        <f ca="1">IFERROR(MAX(O82-LARGE(O$3:O$129,TEStarters),0),0)</f>
        <v>0</v>
      </c>
      <c r="R82" s="47">
        <f ca="1">IFERROR(IF(AllowNegative="Yes",O82-LARGE(O$3:O$129,TECount),MAX(O82-LARGE(O$3:O$129,TECount),0)),0)</f>
        <v>-56.8</v>
      </c>
      <c r="S82" s="47">
        <f ca="1">IF(TEStarters&gt;0,(R82-Q82)*BenchPF+Q82*StarterPF,0)</f>
        <v>-13.603364231254613</v>
      </c>
      <c r="T82" s="47">
        <f ca="1">S82*Auction!$A$2</f>
        <v>-13.603364231254613</v>
      </c>
      <c r="U82" s="47" t="str">
        <f>IF(OR(INDEX(Auction!$H$13:$H$683,MATCH(B82,Auction!$A$13:$A$683,0))&gt;0,IFERROR(INDEX(CheatSheet!$D$37:$D$64,MATCH(B82,CheatSheet!$A$37:$A$64,0)),"")&lt;&gt;""),"Yes","No")</f>
        <v>No</v>
      </c>
      <c r="V82" s="219"/>
      <c r="W82" s="1"/>
      <c r="X82" s="100">
        <f ca="1">IFERROR(SUMIFS($Y$3:$Y$129,$Y$3:$Y$129,"&gt;0",$U$3:$U$129,"No")/SUMIF($Y$3:$Y$129,"&gt;0"),0)</f>
        <v>1</v>
      </c>
      <c r="Y82" s="1">
        <f t="shared" ca="1" si="1"/>
        <v>-28.4</v>
      </c>
      <c r="Z82" s="145" t="str">
        <f ca="1">CONCATENATE("TE",ROUND((LARGE($Y$3:$Y$129,1)-$Y82)/(STDEVP($Y$3:$Y$129)/2)+1,0))</f>
        <v>TE12</v>
      </c>
      <c r="AA82" s="1">
        <f ca="1">Y82*LeagueInfo!$H$5</f>
        <v>-12.988482361480653</v>
      </c>
    </row>
    <row r="83" spans="1:27" x14ac:dyDescent="0.25">
      <c r="A83" s="47">
        <f>RANK(O83,O$3:O$129)</f>
        <v>81</v>
      </c>
      <c r="B83" s="1" t="s">
        <v>764</v>
      </c>
      <c r="C83" s="1" t="s">
        <v>47</v>
      </c>
      <c r="D83" s="1">
        <f>VLOOKUP(E83,BYEs!$A$2:$B$34,2)</f>
        <v>5</v>
      </c>
      <c r="E83" s="1" t="s">
        <v>384</v>
      </c>
      <c r="F83" s="245">
        <v>0</v>
      </c>
      <c r="G83" s="246">
        <v>0</v>
      </c>
      <c r="H83" s="247">
        <v>0</v>
      </c>
      <c r="I83" s="247">
        <v>0</v>
      </c>
      <c r="J83" s="247">
        <v>0</v>
      </c>
      <c r="K83" s="249">
        <v>5.4</v>
      </c>
      <c r="L83" s="247">
        <v>59.3</v>
      </c>
      <c r="M83" s="250">
        <v>0.6</v>
      </c>
      <c r="N83" s="251">
        <v>0</v>
      </c>
      <c r="O83" s="12">
        <f>(I83*TERushYd)+(J83*TERushTD)+(K83*TERec)+(L83*TERecYd)+(M83*TERecTD)+(N83*TEFuml)+(H83*TERushAtt)</f>
        <v>9.5299999999999994</v>
      </c>
      <c r="P83" s="1" t="str">
        <f ca="1">IF(A83&lt;=TEStarters,"Starter",IF(A83&gt;TEStarters+TEBench,"Undrafted","Bench"))</f>
        <v>Undrafted</v>
      </c>
      <c r="Q83" s="47">
        <f ca="1">IFERROR(MAX(O83-LARGE(O$3:O$129,TEStarters),0),0)</f>
        <v>0</v>
      </c>
      <c r="R83" s="47">
        <f ca="1">IFERROR(IF(AllowNegative="Yes",O83-LARGE(O$3:O$129,TECount),MAX(O83-LARGE(O$3:O$129,TECount),0)),0)</f>
        <v>-57.269999999999996</v>
      </c>
      <c r="S83" s="47">
        <f ca="1">IF(TEStarters&gt;0,(R83-Q83)*BenchPF+Q83*StarterPF,0)</f>
        <v>-13.715927280351261</v>
      </c>
      <c r="T83" s="47">
        <f ca="1">S83*Auction!$A$2</f>
        <v>-13.715927280351261</v>
      </c>
      <c r="U83" s="47" t="str">
        <f>IF(OR(INDEX(Auction!$H$13:$H$683,MATCH(B83,Auction!$A$13:$A$683,0))&gt;0,IFERROR(INDEX(CheatSheet!$D$37:$D$64,MATCH(B83,CheatSheet!$A$37:$A$64,0)),"")&lt;&gt;""),"Yes","No")</f>
        <v>No</v>
      </c>
      <c r="V83" s="219"/>
      <c r="W83" s="1"/>
      <c r="X83" s="100">
        <f ca="1">IFERROR(SUMIFS($Y$3:$Y$129,$Y$3:$Y$129,"&gt;0",$U$3:$U$129,"No")/SUMIF($Y$3:$Y$129,"&gt;0"),0)</f>
        <v>1</v>
      </c>
      <c r="Y83" s="1">
        <f t="shared" ca="1" si="1"/>
        <v>-28.634999999999998</v>
      </c>
      <c r="Z83" s="145" t="str">
        <f ca="1">CONCATENATE("TE",ROUND((LARGE($Y$3:$Y$129,1)-$Y83)/(STDEVP($Y$3:$Y$129)/2)+1,0))</f>
        <v>TE12</v>
      </c>
      <c r="AA83" s="1">
        <f ca="1">Y83*LeagueInfo!$H$5</f>
        <v>-13.095957479612622</v>
      </c>
    </row>
    <row r="84" spans="1:27" x14ac:dyDescent="0.25">
      <c r="A84" s="47">
        <f>RANK(O84,O$3:O$129)</f>
        <v>82</v>
      </c>
      <c r="B84" s="1" t="s">
        <v>753</v>
      </c>
      <c r="C84" s="1" t="s">
        <v>47</v>
      </c>
      <c r="D84" s="1">
        <f>VLOOKUP(E84,BYEs!$A$2:$B$34,2)</f>
        <v>6</v>
      </c>
      <c r="E84" s="1" t="s">
        <v>360</v>
      </c>
      <c r="F84" s="245">
        <v>0</v>
      </c>
      <c r="G84" s="246">
        <v>0</v>
      </c>
      <c r="H84" s="247">
        <v>0</v>
      </c>
      <c r="I84" s="247">
        <v>0</v>
      </c>
      <c r="J84" s="247">
        <v>0</v>
      </c>
      <c r="K84" s="249">
        <v>6.7</v>
      </c>
      <c r="L84" s="247">
        <v>67</v>
      </c>
      <c r="M84" s="250">
        <v>0.5</v>
      </c>
      <c r="N84" s="251">
        <v>0.1</v>
      </c>
      <c r="O84" s="12">
        <f>(I84*TERushYd)+(J84*TERushTD)+(K84*TERec)+(L84*TERecYd)+(M84*TERecTD)+(N84*TEFuml)+(H84*TERushAtt)</f>
        <v>9.5</v>
      </c>
      <c r="P84" s="1" t="str">
        <f ca="1">IF(A84&lt;=TEStarters,"Starter",IF(A84&gt;TEStarters+TEBench,"Undrafted","Bench"))</f>
        <v>Undrafted</v>
      </c>
      <c r="Q84" s="47">
        <f ca="1">IFERROR(MAX(O84-LARGE(O$3:O$129,TEStarters),0),0)</f>
        <v>0</v>
      </c>
      <c r="R84" s="47">
        <f ca="1">IFERROR(IF(AllowNegative="Yes",O84-LARGE(O$3:O$129,TECount),MAX(O84-LARGE(O$3:O$129,TECount),0)),0)</f>
        <v>-57.3</v>
      </c>
      <c r="S84" s="47">
        <f ca="1">IF(TEStarters&gt;0,(R84-Q84)*BenchPF+Q84*StarterPF,0)</f>
        <v>-13.723112155825516</v>
      </c>
      <c r="T84" s="47">
        <f ca="1">S84*Auction!$A$2</f>
        <v>-13.723112155825516</v>
      </c>
      <c r="U84" s="47" t="str">
        <f>IF(OR(INDEX(Auction!$H$13:$H$683,MATCH(B84,Auction!$A$13:$A$683,0))&gt;0,IFERROR(INDEX(CheatSheet!$D$37:$D$64,MATCH(B84,CheatSheet!$A$37:$A$64,0)),"")&lt;&gt;""),"Yes","No")</f>
        <v>No</v>
      </c>
      <c r="V84" s="219"/>
      <c r="W84" s="1"/>
      <c r="X84" s="100">
        <f ca="1">IFERROR(SUMIFS($Y$3:$Y$129,$Y$3:$Y$129,"&gt;0",$U$3:$U$129,"No")/SUMIF($Y$3:$Y$129,"&gt;0"),0)</f>
        <v>1</v>
      </c>
      <c r="Y84" s="1">
        <f t="shared" ca="1" si="1"/>
        <v>-28.65</v>
      </c>
      <c r="Z84" s="145" t="str">
        <f ca="1">CONCATENATE("TE",ROUND((LARGE($Y$3:$Y$129,1)-$Y84)/(STDEVP($Y$3:$Y$129)/2)+1,0))</f>
        <v>TE12</v>
      </c>
      <c r="AA84" s="1">
        <f ca="1">Y84*LeagueInfo!$H$5</f>
        <v>-13.10281759353594</v>
      </c>
    </row>
    <row r="85" spans="1:27" x14ac:dyDescent="0.25">
      <c r="A85" s="47">
        <f>RANK(O85,O$3:O$129)</f>
        <v>83</v>
      </c>
      <c r="B85" s="1" t="s">
        <v>757</v>
      </c>
      <c r="C85" s="1" t="s">
        <v>47</v>
      </c>
      <c r="D85" s="1">
        <f>VLOOKUP(E85,BYEs!$A$2:$B$34,2)</f>
        <v>8</v>
      </c>
      <c r="E85" s="1" t="s">
        <v>368</v>
      </c>
      <c r="F85" s="245">
        <v>0</v>
      </c>
      <c r="G85" s="246">
        <v>0</v>
      </c>
      <c r="H85" s="247">
        <v>0</v>
      </c>
      <c r="I85" s="247">
        <v>0</v>
      </c>
      <c r="J85" s="247">
        <v>0</v>
      </c>
      <c r="K85" s="249">
        <v>8.9</v>
      </c>
      <c r="L85" s="247">
        <v>82.9</v>
      </c>
      <c r="M85" s="250">
        <v>0.2</v>
      </c>
      <c r="N85" s="251">
        <v>0.1</v>
      </c>
      <c r="O85" s="12">
        <f>(I85*TERushYd)+(J85*TERushTD)+(K85*TERec)+(L85*TERecYd)+(M85*TERecTD)+(N85*TEFuml)+(H85*TERushAtt)</f>
        <v>9.2900000000000027</v>
      </c>
      <c r="P85" s="1" t="str">
        <f ca="1">IF(A85&lt;=TEStarters,"Starter",IF(A85&gt;TEStarters+TEBench,"Undrafted","Bench"))</f>
        <v>Undrafted</v>
      </c>
      <c r="Q85" s="47">
        <f ca="1">IFERROR(MAX(O85-LARGE(O$3:O$129,TEStarters),0),0)</f>
        <v>0</v>
      </c>
      <c r="R85" s="47">
        <f ca="1">IFERROR(IF(AllowNegative="Yes",O85-LARGE(O$3:O$129,TECount),MAX(O85-LARGE(O$3:O$129,TECount),0)),0)</f>
        <v>-57.509999999999991</v>
      </c>
      <c r="S85" s="47">
        <f ca="1">IF(TEStarters&gt;0,(R85-Q85)*BenchPF+Q85*StarterPF,0)</f>
        <v>-13.773406284145294</v>
      </c>
      <c r="T85" s="47">
        <f ca="1">S85*Auction!$A$2</f>
        <v>-13.773406284145294</v>
      </c>
      <c r="U85" s="47" t="str">
        <f>IF(OR(INDEX(Auction!$H$13:$H$683,MATCH(B85,Auction!$A$13:$A$683,0))&gt;0,IFERROR(INDEX(CheatSheet!$D$37:$D$64,MATCH(B85,CheatSheet!$A$37:$A$64,0)),"")&lt;&gt;""),"Yes","No")</f>
        <v>No</v>
      </c>
      <c r="V85" s="219"/>
      <c r="W85" s="1"/>
      <c r="X85" s="100">
        <f ca="1">IFERROR(SUMIFS($Y$3:$Y$129,$Y$3:$Y$129,"&gt;0",$U$3:$U$129,"No")/SUMIF($Y$3:$Y$129,"&gt;0"),0)</f>
        <v>1</v>
      </c>
      <c r="Y85" s="1">
        <f t="shared" ca="1" si="1"/>
        <v>-28.754999999999995</v>
      </c>
      <c r="Z85" s="145" t="str">
        <f ca="1">CONCATENATE("TE",ROUND((LARGE($Y$3:$Y$129,1)-$Y85)/(STDEVP($Y$3:$Y$129)/2)+1,0))</f>
        <v>TE12</v>
      </c>
      <c r="AA85" s="1">
        <f ca="1">Y85*LeagueInfo!$H$5</f>
        <v>-13.150838390999159</v>
      </c>
    </row>
    <row r="86" spans="1:27" x14ac:dyDescent="0.25">
      <c r="A86" s="47">
        <f>RANK(O86,O$3:O$129)</f>
        <v>84</v>
      </c>
      <c r="B86" s="1" t="s">
        <v>749</v>
      </c>
      <c r="C86" s="1" t="s">
        <v>47</v>
      </c>
      <c r="D86" s="1">
        <f>VLOOKUP(E86,BYEs!$A$2:$B$34,2)</f>
        <v>6</v>
      </c>
      <c r="E86" s="1" t="s">
        <v>354</v>
      </c>
      <c r="F86" s="245">
        <v>0</v>
      </c>
      <c r="G86" s="246">
        <v>0</v>
      </c>
      <c r="H86" s="247">
        <v>0</v>
      </c>
      <c r="I86" s="247">
        <v>0</v>
      </c>
      <c r="J86" s="247">
        <v>0</v>
      </c>
      <c r="K86" s="249">
        <v>6.5</v>
      </c>
      <c r="L86" s="247">
        <v>68.599999999999994</v>
      </c>
      <c r="M86" s="250">
        <v>0.4</v>
      </c>
      <c r="N86" s="251">
        <v>0</v>
      </c>
      <c r="O86" s="12">
        <f>(I86*TERushYd)+(J86*TERushTD)+(K86*TERec)+(L86*TERecYd)+(M86*TERecTD)+(N86*TEFuml)+(H86*TERushAtt)</f>
        <v>9.26</v>
      </c>
      <c r="P86" s="1" t="str">
        <f ca="1">IF(A86&lt;=TEStarters,"Starter",IF(A86&gt;TEStarters+TEBench,"Undrafted","Bench"))</f>
        <v>Undrafted</v>
      </c>
      <c r="Q86" s="47">
        <f ca="1">IFERROR(MAX(O86-LARGE(O$3:O$129,TEStarters),0),0)</f>
        <v>0</v>
      </c>
      <c r="R86" s="47">
        <f ca="1">IFERROR(IF(AllowNegative="Yes",O86-LARGE(O$3:O$129,TECount),MAX(O86-LARGE(O$3:O$129,TECount),0)),0)</f>
        <v>-57.54</v>
      </c>
      <c r="S86" s="47">
        <f ca="1">IF(TEStarters&gt;0,(R86-Q86)*BenchPF+Q86*StarterPF,0)</f>
        <v>-13.780591159619551</v>
      </c>
      <c r="T86" s="47">
        <f ca="1">S86*Auction!$A$2</f>
        <v>-13.780591159619551</v>
      </c>
      <c r="U86" s="47" t="str">
        <f>IF(OR(INDEX(Auction!$H$13:$H$683,MATCH(B86,Auction!$A$13:$A$683,0))&gt;0,IFERROR(INDEX(CheatSheet!$D$37:$D$64,MATCH(B86,CheatSheet!$A$37:$A$64,0)),"")&lt;&gt;""),"Yes","No")</f>
        <v>No</v>
      </c>
      <c r="V86" s="219"/>
      <c r="W86" s="1"/>
      <c r="X86" s="100">
        <f ca="1">IFERROR(SUMIFS($Y$3:$Y$129,$Y$3:$Y$129,"&gt;0",$U$3:$U$129,"No")/SUMIF($Y$3:$Y$129,"&gt;0"),0)</f>
        <v>1</v>
      </c>
      <c r="Y86" s="1">
        <f t="shared" ca="1" si="1"/>
        <v>-28.77</v>
      </c>
      <c r="Z86" s="145" t="str">
        <f ca="1">CONCATENATE("TE",ROUND((LARGE($Y$3:$Y$129,1)-$Y86)/(STDEVP($Y$3:$Y$129)/2)+1,0))</f>
        <v>TE12</v>
      </c>
      <c r="AA86" s="1">
        <f ca="1">Y86*LeagueInfo!$H$5</f>
        <v>-13.157698504922479</v>
      </c>
    </row>
    <row r="87" spans="1:27" x14ac:dyDescent="0.25">
      <c r="A87" s="47">
        <f>RANK(O87,O$3:O$129)</f>
        <v>85</v>
      </c>
      <c r="B87" s="1" t="s">
        <v>765</v>
      </c>
      <c r="C87" s="1" t="s">
        <v>47</v>
      </c>
      <c r="D87" s="1">
        <f>VLOOKUP(E87,BYEs!$A$2:$B$34,2)</f>
        <v>10</v>
      </c>
      <c r="E87" s="1" t="s">
        <v>371</v>
      </c>
      <c r="F87" s="245">
        <v>0</v>
      </c>
      <c r="G87" s="246">
        <v>0</v>
      </c>
      <c r="H87" s="247">
        <v>0</v>
      </c>
      <c r="I87" s="247">
        <v>0</v>
      </c>
      <c r="J87" s="247">
        <v>0</v>
      </c>
      <c r="K87" s="249">
        <v>11</v>
      </c>
      <c r="L87" s="247">
        <v>87.3</v>
      </c>
      <c r="M87" s="250">
        <v>0.2</v>
      </c>
      <c r="N87" s="251">
        <v>0.4</v>
      </c>
      <c r="O87" s="12">
        <f>(I87*TERushYd)+(J87*TERushTD)+(K87*TERec)+(L87*TERecYd)+(M87*TERecTD)+(N87*TEFuml)+(H87*TERushAtt)</f>
        <v>9.129999999999999</v>
      </c>
      <c r="P87" s="1" t="str">
        <f ca="1">IF(A87&lt;=TEStarters,"Starter",IF(A87&gt;TEStarters+TEBench,"Undrafted","Bench"))</f>
        <v>Undrafted</v>
      </c>
      <c r="Q87" s="47">
        <f ca="1">IFERROR(MAX(O87-LARGE(O$3:O$129,TEStarters),0),0)</f>
        <v>0</v>
      </c>
      <c r="R87" s="47">
        <f ca="1">IFERROR(IF(AllowNegative="Yes",O87-LARGE(O$3:O$129,TECount),MAX(O87-LARGE(O$3:O$129,TECount),0)),0)</f>
        <v>-57.67</v>
      </c>
      <c r="S87" s="47">
        <f ca="1">IF(TEStarters&gt;0,(R87-Q87)*BenchPF+Q87*StarterPF,0)</f>
        <v>-13.811725620007985</v>
      </c>
      <c r="T87" s="47">
        <f ca="1">S87*Auction!$A$2</f>
        <v>-13.811725620007985</v>
      </c>
      <c r="U87" s="47" t="str">
        <f>IF(OR(INDEX(Auction!$H$13:$H$683,MATCH(B87,Auction!$A$13:$A$683,0))&gt;0,IFERROR(INDEX(CheatSheet!$D$37:$D$64,MATCH(B87,CheatSheet!$A$37:$A$64,0)),"")&lt;&gt;""),"Yes","No")</f>
        <v>No</v>
      </c>
      <c r="V87" s="219"/>
      <c r="W87" s="1"/>
      <c r="X87" s="100">
        <f ca="1">IFERROR(SUMIFS($Y$3:$Y$129,$Y$3:$Y$129,"&gt;0",$U$3:$U$129,"No")/SUMIF($Y$3:$Y$129,"&gt;0"),0)</f>
        <v>1</v>
      </c>
      <c r="Y87" s="1">
        <f t="shared" ca="1" si="1"/>
        <v>-28.835000000000001</v>
      </c>
      <c r="Z87" s="145" t="str">
        <f ca="1">CONCATENATE("TE",ROUND((LARGE($Y$3:$Y$129,1)-$Y87)/(STDEVP($Y$3:$Y$129)/2)+1,0))</f>
        <v>TE12</v>
      </c>
      <c r="AA87" s="1">
        <f ca="1">Y87*LeagueInfo!$H$5</f>
        <v>-13.187425665256853</v>
      </c>
    </row>
    <row r="88" spans="1:27" x14ac:dyDescent="0.25">
      <c r="A88" s="47">
        <f>RANK(O88,O$3:O$129)</f>
        <v>86</v>
      </c>
      <c r="B88" s="1" t="s">
        <v>767</v>
      </c>
      <c r="C88" s="1" t="s">
        <v>47</v>
      </c>
      <c r="D88" s="1">
        <f>VLOOKUP(E88,BYEs!$A$2:$B$34,2)</f>
        <v>5</v>
      </c>
      <c r="E88" s="1" t="s">
        <v>353</v>
      </c>
      <c r="F88" s="245">
        <v>0</v>
      </c>
      <c r="G88" s="246">
        <v>0</v>
      </c>
      <c r="H88" s="247">
        <v>0</v>
      </c>
      <c r="I88" s="247">
        <v>0</v>
      </c>
      <c r="J88" s="247">
        <v>0</v>
      </c>
      <c r="K88" s="249">
        <v>3.7</v>
      </c>
      <c r="L88" s="247">
        <v>53</v>
      </c>
      <c r="M88" s="250">
        <v>0.6</v>
      </c>
      <c r="N88" s="251">
        <v>0</v>
      </c>
      <c r="O88" s="12">
        <f>(I88*TERushYd)+(J88*TERushTD)+(K88*TERec)+(L88*TERecYd)+(M88*TERecTD)+(N88*TEFuml)+(H88*TERushAtt)</f>
        <v>8.9</v>
      </c>
      <c r="P88" s="1" t="str">
        <f ca="1">IF(A88&lt;=TEStarters,"Starter",IF(A88&gt;TEStarters+TEBench,"Undrafted","Bench"))</f>
        <v>Undrafted</v>
      </c>
      <c r="Q88" s="47">
        <f ca="1">IFERROR(MAX(O88-LARGE(O$3:O$129,TEStarters),0),0)</f>
        <v>0</v>
      </c>
      <c r="R88" s="47">
        <f ca="1">IFERROR(IF(AllowNegative="Yes",O88-LARGE(O$3:O$129,TECount),MAX(O88-LARGE(O$3:O$129,TECount),0)),0)</f>
        <v>-57.9</v>
      </c>
      <c r="S88" s="47">
        <f ca="1">IF(TEStarters&gt;0,(R88-Q88)*BenchPF+Q88*StarterPF,0)</f>
        <v>-13.866809665310601</v>
      </c>
      <c r="T88" s="47">
        <f ca="1">S88*Auction!$A$2</f>
        <v>-13.866809665310601</v>
      </c>
      <c r="U88" s="47" t="str">
        <f>IF(OR(INDEX(Auction!$H$13:$H$683,MATCH(B88,Auction!$A$13:$A$683,0))&gt;0,IFERROR(INDEX(CheatSheet!$D$37:$D$64,MATCH(B88,CheatSheet!$A$37:$A$64,0)),"")&lt;&gt;""),"Yes","No")</f>
        <v>No</v>
      </c>
      <c r="V88" s="219"/>
      <c r="W88" s="1"/>
      <c r="X88" s="100">
        <f ca="1">IFERROR(SUMIFS($Y$3:$Y$129,$Y$3:$Y$129,"&gt;0",$U$3:$U$129,"No")/SUMIF($Y$3:$Y$129,"&gt;0"),0)</f>
        <v>1</v>
      </c>
      <c r="Y88" s="1">
        <f t="shared" ca="1" si="1"/>
        <v>-28.95</v>
      </c>
      <c r="Z88" s="145" t="str">
        <f ca="1">CONCATENATE("TE",ROUND((LARGE($Y$3:$Y$129,1)-$Y88)/(STDEVP($Y$3:$Y$129)/2)+1,0))</f>
        <v>TE12</v>
      </c>
      <c r="AA88" s="1">
        <f ca="1">Y88*LeagueInfo!$H$5</f>
        <v>-13.240019872002284</v>
      </c>
    </row>
    <row r="89" spans="1:27" x14ac:dyDescent="0.25">
      <c r="A89" s="47">
        <f>RANK(O89,O$3:O$129)</f>
        <v>87</v>
      </c>
      <c r="B89" s="1" t="s">
        <v>799</v>
      </c>
      <c r="C89" s="1" t="s">
        <v>47</v>
      </c>
      <c r="D89" s="1">
        <f>VLOOKUP(E89,BYEs!$A$2:$B$34,2)</f>
        <v>11</v>
      </c>
      <c r="E89" s="1" t="s">
        <v>382</v>
      </c>
      <c r="F89" s="245">
        <v>0</v>
      </c>
      <c r="G89" s="246">
        <v>0</v>
      </c>
      <c r="H89" s="247">
        <v>0</v>
      </c>
      <c r="I89" s="247">
        <v>0</v>
      </c>
      <c r="J89" s="247">
        <v>0</v>
      </c>
      <c r="K89" s="249">
        <v>5.8</v>
      </c>
      <c r="L89" s="251">
        <v>61.3</v>
      </c>
      <c r="M89" s="250">
        <v>0.4</v>
      </c>
      <c r="N89" s="251">
        <v>0</v>
      </c>
      <c r="O89" s="12">
        <f>(I89*TERushYd)+(J89*TERushTD)+(K89*TERec)+(L89*TERecYd)+(M89*TERecTD)+(N89*TEFuml)+(H89*TERushAtt)</f>
        <v>8.5300000000000011</v>
      </c>
      <c r="P89" s="1" t="str">
        <f ca="1">IF(A89&lt;=TEStarters,"Starter",IF(A89&gt;TEStarters+TEBench,"Undrafted","Bench"))</f>
        <v>Undrafted</v>
      </c>
      <c r="Q89" s="47">
        <f ca="1">IFERROR(MAX(O89-LARGE(O$3:O$129,TEStarters),0),0)</f>
        <v>0</v>
      </c>
      <c r="R89" s="47">
        <f ca="1">IFERROR(IF(AllowNegative="Yes",O89-LARGE(O$3:O$129,TECount),MAX(O89-LARGE(O$3:O$129,TECount),0)),0)</f>
        <v>-58.269999999999996</v>
      </c>
      <c r="S89" s="47">
        <f ca="1">IF(TEStarters&gt;0,(R89-Q89)*BenchPF+Q89*StarterPF,0)</f>
        <v>-13.955423129493068</v>
      </c>
      <c r="T89" s="47">
        <f ca="1">S89*Auction!$A$2</f>
        <v>-13.955423129493068</v>
      </c>
      <c r="U89" s="47" t="str">
        <f>IF(OR(INDEX(Auction!$H$13:$H$683,MATCH(B89,Auction!$A$13:$A$683,0))&gt;0,IFERROR(INDEX(CheatSheet!$D$37:$D$64,MATCH(B89,CheatSheet!$A$37:$A$64,0)),"")&lt;&gt;""),"Yes","No")</f>
        <v>No</v>
      </c>
      <c r="V89" s="219"/>
      <c r="W89" s="1"/>
      <c r="X89" s="100">
        <f ca="1">IFERROR(SUMIFS($Y$3:$Y$129,$Y$3:$Y$129,"&gt;0",$U$3:$U$129,"No")/SUMIF($Y$3:$Y$129,"&gt;0"),0)</f>
        <v>1</v>
      </c>
      <c r="Y89" s="1">
        <f t="shared" ca="1" si="1"/>
        <v>-29.134999999999998</v>
      </c>
      <c r="Z89" s="145" t="str">
        <f ca="1">CONCATENATE("TE",ROUND((LARGE($Y$3:$Y$129,1)-$Y89)/(STDEVP($Y$3:$Y$129)/2)+1,0))</f>
        <v>TE12</v>
      </c>
      <c r="AA89" s="1">
        <f ca="1">Y89*LeagueInfo!$H$5</f>
        <v>-13.324627943723197</v>
      </c>
    </row>
    <row r="90" spans="1:27" x14ac:dyDescent="0.25">
      <c r="A90" s="47">
        <f>RANK(O90,O$3:O$129)</f>
        <v>88</v>
      </c>
      <c r="B90" s="1" t="s">
        <v>772</v>
      </c>
      <c r="C90" s="1" t="s">
        <v>47</v>
      </c>
      <c r="D90" s="1">
        <f>VLOOKUP(E90,BYEs!$A$2:$B$34,2)</f>
        <v>7</v>
      </c>
      <c r="E90" s="1" t="s">
        <v>362</v>
      </c>
      <c r="F90" s="245">
        <v>0</v>
      </c>
      <c r="G90" s="246">
        <v>0</v>
      </c>
      <c r="H90" s="247">
        <v>0</v>
      </c>
      <c r="I90" s="247">
        <v>0</v>
      </c>
      <c r="J90" s="247">
        <v>0</v>
      </c>
      <c r="K90" s="249">
        <v>7.4</v>
      </c>
      <c r="L90" s="247">
        <v>73</v>
      </c>
      <c r="M90" s="250">
        <v>0.2</v>
      </c>
      <c r="N90" s="251">
        <v>0</v>
      </c>
      <c r="O90" s="12">
        <f>(I90*TERushYd)+(J90*TERushTD)+(K90*TERec)+(L90*TERecYd)+(M90*TERecTD)+(N90*TEFuml)+(H90*TERushAtt)</f>
        <v>8.5</v>
      </c>
      <c r="P90" s="1" t="str">
        <f ca="1">IF(A90&lt;=TEStarters,"Starter",IF(A90&gt;TEStarters+TEBench,"Undrafted","Bench"))</f>
        <v>Undrafted</v>
      </c>
      <c r="Q90" s="47">
        <f ca="1">IFERROR(MAX(O90-LARGE(O$3:O$129,TEStarters),0),0)</f>
        <v>0</v>
      </c>
      <c r="R90" s="47">
        <f ca="1">IFERROR(IF(AllowNegative="Yes",O90-LARGE(O$3:O$129,TECount),MAX(O90-LARGE(O$3:O$129,TECount),0)),0)</f>
        <v>-58.3</v>
      </c>
      <c r="S90" s="47">
        <f ca="1">IF(TEStarters&gt;0,(R90-Q90)*BenchPF+Q90*StarterPF,0)</f>
        <v>-13.962608004967322</v>
      </c>
      <c r="T90" s="47">
        <f ca="1">S90*Auction!$A$2</f>
        <v>-13.962608004967322</v>
      </c>
      <c r="U90" s="47" t="str">
        <f>IF(OR(INDEX(Auction!$H$13:$H$683,MATCH(B90,Auction!$A$13:$A$683,0))&gt;0,IFERROR(INDEX(CheatSheet!$D$37:$D$64,MATCH(B90,CheatSheet!$A$37:$A$64,0)),"")&lt;&gt;""),"Yes","No")</f>
        <v>No</v>
      </c>
      <c r="V90" s="219"/>
      <c r="W90" s="1"/>
      <c r="X90" s="100">
        <f ca="1">IFERROR(SUMIFS($Y$3:$Y$129,$Y$3:$Y$129,"&gt;0",$U$3:$U$129,"No")/SUMIF($Y$3:$Y$129,"&gt;0"),0)</f>
        <v>1</v>
      </c>
      <c r="Y90" s="1">
        <f t="shared" ca="1" si="1"/>
        <v>-29.15</v>
      </c>
      <c r="Z90" s="145" t="str">
        <f ca="1">CONCATENATE("TE",ROUND((LARGE($Y$3:$Y$129,1)-$Y90)/(STDEVP($Y$3:$Y$129)/2)+1,0))</f>
        <v>TE12</v>
      </c>
      <c r="AA90" s="1">
        <f ca="1">Y90*LeagueInfo!$H$5</f>
        <v>-13.331488057646514</v>
      </c>
    </row>
    <row r="91" spans="1:27" x14ac:dyDescent="0.25">
      <c r="A91" s="47">
        <f>RANK(O91,O$3:O$129)</f>
        <v>89</v>
      </c>
      <c r="B91" s="1" t="s">
        <v>784</v>
      </c>
      <c r="C91" s="1" t="s">
        <v>47</v>
      </c>
      <c r="D91" s="1">
        <f>VLOOKUP(E91,BYEs!$A$2:$B$34,2)</f>
        <v>6</v>
      </c>
      <c r="E91" s="1" t="s">
        <v>360</v>
      </c>
      <c r="F91" s="245">
        <v>0</v>
      </c>
      <c r="G91" s="246">
        <v>0</v>
      </c>
      <c r="H91" s="247">
        <v>0</v>
      </c>
      <c r="I91" s="247">
        <v>0</v>
      </c>
      <c r="J91" s="247">
        <v>0</v>
      </c>
      <c r="K91" s="249">
        <v>7</v>
      </c>
      <c r="L91" s="247">
        <v>70.900000000000006</v>
      </c>
      <c r="M91" s="250">
        <v>0.2</v>
      </c>
      <c r="N91" s="251">
        <v>0</v>
      </c>
      <c r="O91" s="12">
        <f>(I91*TERushYd)+(J91*TERushTD)+(K91*TERec)+(L91*TERecYd)+(M91*TERecTD)+(N91*TEFuml)+(H91*TERushAtt)</f>
        <v>8.2900000000000009</v>
      </c>
      <c r="P91" s="1" t="str">
        <f ca="1">IF(A91&lt;=TEStarters,"Starter",IF(A91&gt;TEStarters+TEBench,"Undrafted","Bench"))</f>
        <v>Undrafted</v>
      </c>
      <c r="Q91" s="47">
        <f ca="1">IFERROR(MAX(O91-LARGE(O$3:O$129,TEStarters),0),0)</f>
        <v>0</v>
      </c>
      <c r="R91" s="47">
        <f ca="1">IFERROR(IF(AllowNegative="Yes",O91-LARGE(O$3:O$129,TECount),MAX(O91-LARGE(O$3:O$129,TECount),0)),0)</f>
        <v>-58.51</v>
      </c>
      <c r="S91" s="47">
        <f ca="1">IF(TEStarters&gt;0,(R91-Q91)*BenchPF+Q91*StarterPF,0)</f>
        <v>-14.012902133287103</v>
      </c>
      <c r="T91" s="47">
        <f ca="1">S91*Auction!$A$2</f>
        <v>-14.012902133287103</v>
      </c>
      <c r="U91" s="47" t="str">
        <f>IF(OR(INDEX(Auction!$H$13:$H$683,MATCH(B91,Auction!$A$13:$A$683,0))&gt;0,IFERROR(INDEX(CheatSheet!$D$37:$D$64,MATCH(B91,CheatSheet!$A$37:$A$64,0)),"")&lt;&gt;""),"Yes","No")</f>
        <v>No</v>
      </c>
      <c r="V91" s="219"/>
      <c r="W91" s="1"/>
      <c r="X91" s="100">
        <f ca="1">IFERROR(SUMIFS($Y$3:$Y$129,$Y$3:$Y$129,"&gt;0",$U$3:$U$129,"No")/SUMIF($Y$3:$Y$129,"&gt;0"),0)</f>
        <v>1</v>
      </c>
      <c r="Y91" s="1">
        <f t="shared" ca="1" si="1"/>
        <v>-29.254999999999999</v>
      </c>
      <c r="Z91" s="145" t="str">
        <f ca="1">CONCATENATE("TE",ROUND((LARGE($Y$3:$Y$129,1)-$Y91)/(STDEVP($Y$3:$Y$129)/2)+1,0))</f>
        <v>TE12</v>
      </c>
      <c r="AA91" s="1">
        <f ca="1">Y91*LeagueInfo!$H$5</f>
        <v>-13.379508855109735</v>
      </c>
    </row>
    <row r="92" spans="1:27" x14ac:dyDescent="0.25">
      <c r="A92" s="47">
        <f>RANK(O92,O$3:O$129)</f>
        <v>90</v>
      </c>
      <c r="B92" s="1" t="s">
        <v>94</v>
      </c>
      <c r="C92" s="1" t="s">
        <v>47</v>
      </c>
      <c r="D92" s="1">
        <f>VLOOKUP(E92,BYEs!$A$2:$B$34,2)</f>
        <v>9</v>
      </c>
      <c r="E92" s="1" t="s">
        <v>363</v>
      </c>
      <c r="F92" s="245">
        <v>0</v>
      </c>
      <c r="G92" s="246">
        <v>0</v>
      </c>
      <c r="H92" s="247">
        <v>0</v>
      </c>
      <c r="I92" s="247">
        <v>0</v>
      </c>
      <c r="J92" s="247">
        <v>0</v>
      </c>
      <c r="K92" s="249">
        <v>5.9</v>
      </c>
      <c r="L92" s="247">
        <v>63</v>
      </c>
      <c r="M92" s="250">
        <v>0.4</v>
      </c>
      <c r="N92" s="251">
        <v>0.3</v>
      </c>
      <c r="O92" s="12">
        <f>(I92*TERushYd)+(J92*TERushTD)+(K92*TERec)+(L92*TERecYd)+(M92*TERecTD)+(N92*TEFuml)+(H92*TERushAtt)</f>
        <v>8.1000000000000014</v>
      </c>
      <c r="P92" s="1" t="str">
        <f ca="1">IF(A92&lt;=TEStarters,"Starter",IF(A92&gt;TEStarters+TEBench,"Undrafted","Bench"))</f>
        <v>Undrafted</v>
      </c>
      <c r="Q92" s="47">
        <f ca="1">IFERROR(MAX(O92-LARGE(O$3:O$129,TEStarters),0),0)</f>
        <v>0</v>
      </c>
      <c r="R92" s="47">
        <f ca="1">IFERROR(IF(AllowNegative="Yes",O92-LARGE(O$3:O$129,TECount),MAX(O92-LARGE(O$3:O$129,TECount),0)),0)</f>
        <v>-58.699999999999996</v>
      </c>
      <c r="S92" s="47">
        <f ca="1">IF(TEStarters&gt;0,(R92-Q92)*BenchPF+Q92*StarterPF,0)</f>
        <v>-14.058406344624045</v>
      </c>
      <c r="T92" s="47">
        <f ca="1">S92*Auction!$A$2</f>
        <v>-14.058406344624045</v>
      </c>
      <c r="U92" s="47" t="str">
        <f>IF(OR(INDEX(Auction!$H$13:$H$683,MATCH(B92,Auction!$A$13:$A$683,0))&gt;0,IFERROR(INDEX(CheatSheet!$D$37:$D$64,MATCH(B92,CheatSheet!$A$37:$A$64,0)),"")&lt;&gt;""),"Yes","No")</f>
        <v>No</v>
      </c>
      <c r="V92" s="219"/>
      <c r="W92" s="1"/>
      <c r="X92" s="100">
        <f ca="1">IFERROR(SUMIFS($Y$3:$Y$129,$Y$3:$Y$129,"&gt;0",$U$3:$U$129,"No")/SUMIF($Y$3:$Y$129,"&gt;0"),0)</f>
        <v>1</v>
      </c>
      <c r="Y92" s="1">
        <f t="shared" ca="1" si="1"/>
        <v>-29.349999999999998</v>
      </c>
      <c r="Z92" s="145" t="str">
        <f ca="1">CONCATENATE("TE",ROUND((LARGE($Y$3:$Y$129,1)-$Y92)/(STDEVP($Y$3:$Y$129)/2)+1,0))</f>
        <v>TE12</v>
      </c>
      <c r="AA92" s="1">
        <f ca="1">Y92*LeagueInfo!$H$5</f>
        <v>-13.422956243290743</v>
      </c>
    </row>
    <row r="93" spans="1:27" x14ac:dyDescent="0.25">
      <c r="A93" s="47">
        <f>RANK(O93,O$3:O$129)</f>
        <v>91</v>
      </c>
      <c r="B93" s="1" t="s">
        <v>750</v>
      </c>
      <c r="C93" s="1" t="s">
        <v>47</v>
      </c>
      <c r="D93" s="1">
        <f>VLOOKUP(E93,BYEs!$A$2:$B$34,2)</f>
        <v>9</v>
      </c>
      <c r="E93" s="1" t="s">
        <v>376</v>
      </c>
      <c r="F93" s="245">
        <v>0</v>
      </c>
      <c r="G93" s="246">
        <v>0</v>
      </c>
      <c r="H93" s="247">
        <v>0</v>
      </c>
      <c r="I93" s="247">
        <v>0</v>
      </c>
      <c r="J93" s="247">
        <v>0</v>
      </c>
      <c r="K93" s="249">
        <v>7.7</v>
      </c>
      <c r="L93" s="247">
        <v>69.7</v>
      </c>
      <c r="M93" s="250">
        <v>0.2</v>
      </c>
      <c r="N93" s="251">
        <v>0.1</v>
      </c>
      <c r="O93" s="12">
        <f>(I93*TERushYd)+(J93*TERushTD)+(K93*TERec)+(L93*TERecYd)+(M93*TERecTD)+(N93*TEFuml)+(H93*TERushAtt)</f>
        <v>7.9700000000000015</v>
      </c>
      <c r="P93" s="1" t="str">
        <f ca="1">IF(A93&lt;=TEStarters,"Starter",IF(A93&gt;TEStarters+TEBench,"Undrafted","Bench"))</f>
        <v>Undrafted</v>
      </c>
      <c r="Q93" s="47">
        <f ca="1">IFERROR(MAX(O93-LARGE(O$3:O$129,TEStarters),0),0)</f>
        <v>0</v>
      </c>
      <c r="R93" s="47">
        <f ca="1">IFERROR(IF(AllowNegative="Yes",O93-LARGE(O$3:O$129,TECount),MAX(O93-LARGE(O$3:O$129,TECount),0)),0)</f>
        <v>-58.83</v>
      </c>
      <c r="S93" s="47">
        <f ca="1">IF(TEStarters&gt;0,(R93-Q93)*BenchPF+Q93*StarterPF,0)</f>
        <v>-14.089540805012481</v>
      </c>
      <c r="T93" s="47">
        <f ca="1">S93*Auction!$A$2</f>
        <v>-14.089540805012481</v>
      </c>
      <c r="U93" s="47" t="str">
        <f>IF(OR(INDEX(Auction!$H$13:$H$683,MATCH(B93,Auction!$A$13:$A$683,0))&gt;0,IFERROR(INDEX(CheatSheet!$D$37:$D$64,MATCH(B93,CheatSheet!$A$37:$A$64,0)),"")&lt;&gt;""),"Yes","No")</f>
        <v>No</v>
      </c>
      <c r="V93" s="219"/>
      <c r="W93" s="1"/>
      <c r="X93" s="100">
        <f ca="1">IFERROR(SUMIFS($Y$3:$Y$129,$Y$3:$Y$129,"&gt;0",$U$3:$U$129,"No")/SUMIF($Y$3:$Y$129,"&gt;0"),0)</f>
        <v>1</v>
      </c>
      <c r="Y93" s="1">
        <f t="shared" ca="1" si="1"/>
        <v>-29.414999999999999</v>
      </c>
      <c r="Z93" s="145" t="str">
        <f ca="1">CONCATENATE("TE",ROUND((LARGE($Y$3:$Y$129,1)-$Y93)/(STDEVP($Y$3:$Y$129)/2)+1,0))</f>
        <v>TE12</v>
      </c>
      <c r="AA93" s="1">
        <f ca="1">Y93*LeagueInfo!$H$5</f>
        <v>-13.452683403625119</v>
      </c>
    </row>
    <row r="94" spans="1:27" x14ac:dyDescent="0.25">
      <c r="A94" s="47">
        <f>RANK(O94,O$3:O$129)</f>
        <v>92</v>
      </c>
      <c r="B94" s="1" t="s">
        <v>790</v>
      </c>
      <c r="C94" s="1" t="s">
        <v>47</v>
      </c>
      <c r="D94" s="1">
        <f>VLOOKUP(E94,BYEs!$A$2:$B$34,2)</f>
        <v>9</v>
      </c>
      <c r="E94" s="1" t="s">
        <v>373</v>
      </c>
      <c r="F94" s="245">
        <v>0</v>
      </c>
      <c r="G94" s="246">
        <v>0</v>
      </c>
      <c r="H94" s="247">
        <v>0</v>
      </c>
      <c r="I94" s="247">
        <v>0</v>
      </c>
      <c r="J94" s="247">
        <v>0</v>
      </c>
      <c r="K94" s="249">
        <v>6.8</v>
      </c>
      <c r="L94" s="247">
        <v>55.3</v>
      </c>
      <c r="M94" s="250">
        <v>0.4</v>
      </c>
      <c r="N94" s="251">
        <v>0</v>
      </c>
      <c r="O94" s="12">
        <f>(I94*TERushYd)+(J94*TERushTD)+(K94*TERec)+(L94*TERecYd)+(M94*TERecTD)+(N94*TEFuml)+(H94*TERushAtt)</f>
        <v>7.9300000000000006</v>
      </c>
      <c r="P94" s="1" t="str">
        <f ca="1">IF(A94&lt;=TEStarters,"Starter",IF(A94&gt;TEStarters+TEBench,"Undrafted","Bench"))</f>
        <v>Undrafted</v>
      </c>
      <c r="Q94" s="47">
        <f ca="1">IFERROR(MAX(O94-LARGE(O$3:O$129,TEStarters),0),0)</f>
        <v>0</v>
      </c>
      <c r="R94" s="47">
        <f ca="1">IFERROR(IF(AllowNegative="Yes",O94-LARGE(O$3:O$129,TECount),MAX(O94-LARGE(O$3:O$129,TECount),0)),0)</f>
        <v>-58.87</v>
      </c>
      <c r="S94" s="47">
        <f ca="1">IF(TEStarters&gt;0,(R94-Q94)*BenchPF+Q94*StarterPF,0)</f>
        <v>-14.099120638978153</v>
      </c>
      <c r="T94" s="47">
        <f ca="1">S94*Auction!$A$2</f>
        <v>-14.099120638978153</v>
      </c>
      <c r="U94" s="47" t="str">
        <f>IF(OR(INDEX(Auction!$H$13:$H$683,MATCH(B94,Auction!$A$13:$A$683,0))&gt;0,IFERROR(INDEX(CheatSheet!$D$37:$D$64,MATCH(B94,CheatSheet!$A$37:$A$64,0)),"")&lt;&gt;""),"Yes","No")</f>
        <v>No</v>
      </c>
      <c r="V94" s="219"/>
      <c r="W94" s="1"/>
      <c r="X94" s="100">
        <f ca="1">IFERROR(SUMIFS($Y$3:$Y$129,$Y$3:$Y$129,"&gt;0",$U$3:$U$129,"No")/SUMIF($Y$3:$Y$129,"&gt;0"),0)</f>
        <v>1</v>
      </c>
      <c r="Y94" s="1">
        <f t="shared" ca="1" si="1"/>
        <v>-29.434999999999999</v>
      </c>
      <c r="Z94" s="145" t="str">
        <f ca="1">CONCATENATE("TE",ROUND((LARGE($Y$3:$Y$129,1)-$Y94)/(STDEVP($Y$3:$Y$129)/2)+1,0))</f>
        <v>TE12</v>
      </c>
      <c r="AA94" s="1">
        <f ca="1">Y94*LeagueInfo!$H$5</f>
        <v>-13.461830222189542</v>
      </c>
    </row>
    <row r="95" spans="1:27" x14ac:dyDescent="0.25">
      <c r="A95" s="47">
        <f>RANK(O95,O$3:O$129)</f>
        <v>93</v>
      </c>
      <c r="B95" s="1" t="s">
        <v>774</v>
      </c>
      <c r="C95" s="1" t="s">
        <v>47</v>
      </c>
      <c r="D95" s="1">
        <f>VLOOKUP(E95,BYEs!$A$2:$B$34,2)</f>
        <v>8</v>
      </c>
      <c r="E95" s="1" t="s">
        <v>370</v>
      </c>
      <c r="F95" s="245">
        <v>0</v>
      </c>
      <c r="G95" s="246">
        <v>0</v>
      </c>
      <c r="H95" s="247">
        <v>0</v>
      </c>
      <c r="I95" s="247">
        <v>0</v>
      </c>
      <c r="J95" s="247">
        <v>0</v>
      </c>
      <c r="K95" s="249">
        <v>4.2</v>
      </c>
      <c r="L95" s="247">
        <v>55.1</v>
      </c>
      <c r="M95" s="250">
        <v>0.4</v>
      </c>
      <c r="N95" s="251">
        <v>0.1</v>
      </c>
      <c r="O95" s="12">
        <f>(I95*TERushYd)+(J95*TERushTD)+(K95*TERec)+(L95*TERecYd)+(M95*TERecTD)+(N95*TEFuml)+(H95*TERushAtt)</f>
        <v>7.7100000000000009</v>
      </c>
      <c r="P95" s="1" t="str">
        <f ca="1">IF(A95&lt;=TEStarters,"Starter",IF(A95&gt;TEStarters+TEBench,"Undrafted","Bench"))</f>
        <v>Undrafted</v>
      </c>
      <c r="Q95" s="47">
        <f ca="1">IFERROR(MAX(O95-LARGE(O$3:O$129,TEStarters),0),0)</f>
        <v>0</v>
      </c>
      <c r="R95" s="47">
        <f ca="1">IFERROR(IF(AllowNegative="Yes",O95-LARGE(O$3:O$129,TECount),MAX(O95-LARGE(O$3:O$129,TECount),0)),0)</f>
        <v>-59.089999999999996</v>
      </c>
      <c r="S95" s="47">
        <f ca="1">IF(TEStarters&gt;0,(R95-Q95)*BenchPF+Q95*StarterPF,0)</f>
        <v>-14.15180972578935</v>
      </c>
      <c r="T95" s="47">
        <f ca="1">S95*Auction!$A$2</f>
        <v>-14.15180972578935</v>
      </c>
      <c r="U95" s="47" t="str">
        <f>IF(OR(INDEX(Auction!$H$13:$H$683,MATCH(B95,Auction!$A$13:$A$683,0))&gt;0,IFERROR(INDEX(CheatSheet!$D$37:$D$64,MATCH(B95,CheatSheet!$A$37:$A$64,0)),"")&lt;&gt;""),"Yes","No")</f>
        <v>No</v>
      </c>
      <c r="V95" s="219"/>
      <c r="W95" s="1"/>
      <c r="X95" s="100">
        <f ca="1">IFERROR(SUMIFS($Y$3:$Y$129,$Y$3:$Y$129,"&gt;0",$U$3:$U$129,"No")/SUMIF($Y$3:$Y$129,"&gt;0"),0)</f>
        <v>1</v>
      </c>
      <c r="Y95" s="1">
        <f t="shared" ca="1" si="1"/>
        <v>-29.544999999999998</v>
      </c>
      <c r="Z95" s="145" t="str">
        <f ca="1">CONCATENATE("TE",ROUND((LARGE($Y$3:$Y$129,1)-$Y95)/(STDEVP($Y$3:$Y$129)/2)+1,0))</f>
        <v>TE12</v>
      </c>
      <c r="AA95" s="1">
        <f ca="1">Y95*LeagueInfo!$H$5</f>
        <v>-13.512137724293869</v>
      </c>
    </row>
    <row r="96" spans="1:27" x14ac:dyDescent="0.25">
      <c r="A96" s="47">
        <f>RANK(O96,O$3:O$129)</f>
        <v>94</v>
      </c>
      <c r="B96" s="1" t="s">
        <v>672</v>
      </c>
      <c r="C96" s="1" t="s">
        <v>47</v>
      </c>
      <c r="D96" s="1">
        <f>VLOOKUP(E96,BYEs!$A$2:$B$34,2)</f>
        <v>8</v>
      </c>
      <c r="E96" s="1" t="s">
        <v>367</v>
      </c>
      <c r="F96" s="245">
        <v>0</v>
      </c>
      <c r="G96" s="246">
        <v>0</v>
      </c>
      <c r="H96" s="247">
        <v>0</v>
      </c>
      <c r="I96" s="247">
        <v>0</v>
      </c>
      <c r="J96" s="247">
        <v>0</v>
      </c>
      <c r="K96" s="249">
        <v>8</v>
      </c>
      <c r="L96" s="247">
        <v>73</v>
      </c>
      <c r="M96" s="250">
        <v>0.1</v>
      </c>
      <c r="N96" s="251">
        <v>0.1</v>
      </c>
      <c r="O96" s="12">
        <f>(I96*TERushYd)+(J96*TERushTD)+(K96*TERec)+(L96*TERecYd)+(M96*TERecTD)+(N96*TEFuml)+(H96*TERushAtt)</f>
        <v>7.7</v>
      </c>
      <c r="P96" s="1" t="str">
        <f ca="1">IF(A96&lt;=TEStarters,"Starter",IF(A96&gt;TEStarters+TEBench,"Undrafted","Bench"))</f>
        <v>Undrafted</v>
      </c>
      <c r="Q96" s="47">
        <f ca="1">IFERROR(MAX(O96-LARGE(O$3:O$129,TEStarters),0),0)</f>
        <v>0</v>
      </c>
      <c r="R96" s="47">
        <f ca="1">IFERROR(IF(AllowNegative="Yes",O96-LARGE(O$3:O$129,TECount),MAX(O96-LARGE(O$3:O$129,TECount),0)),0)</f>
        <v>-59.099999999999994</v>
      </c>
      <c r="S96" s="47">
        <f ca="1">IF(TEStarters&gt;0,(R96-Q96)*BenchPF+Q96*StarterPF,0)</f>
        <v>-14.154204684280767</v>
      </c>
      <c r="T96" s="47">
        <f ca="1">S96*Auction!$A$2</f>
        <v>-14.154204684280767</v>
      </c>
      <c r="U96" s="47" t="str">
        <f>IF(OR(INDEX(Auction!$H$13:$H$683,MATCH(B96,Auction!$A$13:$A$683,0))&gt;0,IFERROR(INDEX(CheatSheet!$D$37:$D$64,MATCH(B96,CheatSheet!$A$37:$A$64,0)),"")&lt;&gt;""),"Yes","No")</f>
        <v>No</v>
      </c>
      <c r="V96" s="219"/>
      <c r="W96" s="1"/>
      <c r="X96" s="100">
        <f ca="1">IFERROR(SUMIFS($Y$3:$Y$129,$Y$3:$Y$129,"&gt;0",$U$3:$U$129,"No")/SUMIF($Y$3:$Y$129,"&gt;0"),0)</f>
        <v>1</v>
      </c>
      <c r="Y96" s="1">
        <f t="shared" ca="1" si="1"/>
        <v>-29.549999999999997</v>
      </c>
      <c r="Z96" s="145" t="str">
        <f ca="1">CONCATENATE("TE",ROUND((LARGE($Y$3:$Y$129,1)-$Y96)/(STDEVP($Y$3:$Y$129)/2)+1,0))</f>
        <v>TE12</v>
      </c>
      <c r="AA96" s="1">
        <f ca="1">Y96*LeagueInfo!$H$5</f>
        <v>-13.514424428934973</v>
      </c>
    </row>
    <row r="97" spans="1:27" x14ac:dyDescent="0.25">
      <c r="A97" s="47">
        <f>RANK(O97,O$3:O$129)</f>
        <v>95</v>
      </c>
      <c r="B97" s="1" t="s">
        <v>761</v>
      </c>
      <c r="C97" s="1" t="s">
        <v>47</v>
      </c>
      <c r="D97" s="1">
        <f>VLOOKUP(E97,BYEs!$A$2:$B$34,2)</f>
        <v>6</v>
      </c>
      <c r="E97" s="1" t="s">
        <v>366</v>
      </c>
      <c r="F97" s="245">
        <v>0</v>
      </c>
      <c r="G97" s="246">
        <v>0</v>
      </c>
      <c r="H97" s="247">
        <v>0</v>
      </c>
      <c r="I97" s="247">
        <v>0</v>
      </c>
      <c r="J97" s="247">
        <v>0</v>
      </c>
      <c r="K97" s="249">
        <v>6.6</v>
      </c>
      <c r="L97" s="247">
        <v>66.8</v>
      </c>
      <c r="M97" s="250">
        <v>0.2</v>
      </c>
      <c r="N97" s="251">
        <v>0.1</v>
      </c>
      <c r="O97" s="12">
        <f>(I97*TERushYd)+(J97*TERushTD)+(K97*TERec)+(L97*TERecYd)+(M97*TERecTD)+(N97*TEFuml)+(H97*TERushAtt)</f>
        <v>7.68</v>
      </c>
      <c r="P97" s="1" t="str">
        <f ca="1">IF(A97&lt;=TEStarters,"Starter",IF(A97&gt;TEStarters+TEBench,"Undrafted","Bench"))</f>
        <v>Undrafted</v>
      </c>
      <c r="Q97" s="47">
        <f ca="1">IFERROR(MAX(O97-LARGE(O$3:O$129,TEStarters),0),0)</f>
        <v>0</v>
      </c>
      <c r="R97" s="47">
        <f ca="1">IFERROR(IF(AllowNegative="Yes",O97-LARGE(O$3:O$129,TECount),MAX(O97-LARGE(O$3:O$129,TECount),0)),0)</f>
        <v>-59.12</v>
      </c>
      <c r="S97" s="47">
        <f ca="1">IF(TEStarters&gt;0,(R97-Q97)*BenchPF+Q97*StarterPF,0)</f>
        <v>-14.158994601263604</v>
      </c>
      <c r="T97" s="47">
        <f ca="1">S97*Auction!$A$2</f>
        <v>-14.158994601263604</v>
      </c>
      <c r="U97" s="47" t="str">
        <f>IF(OR(INDEX(Auction!$H$13:$H$683,MATCH(B97,Auction!$A$13:$A$683,0))&gt;0,IFERROR(INDEX(CheatSheet!$D$37:$D$64,MATCH(B97,CheatSheet!$A$37:$A$64,0)),"")&lt;&gt;""),"Yes","No")</f>
        <v>No</v>
      </c>
      <c r="V97" s="219"/>
      <c r="W97" s="1"/>
      <c r="X97" s="100">
        <f ca="1">IFERROR(SUMIFS($Y$3:$Y$129,$Y$3:$Y$129,"&gt;0",$U$3:$U$129,"No")/SUMIF($Y$3:$Y$129,"&gt;0"),0)</f>
        <v>1</v>
      </c>
      <c r="Y97" s="1">
        <f t="shared" ca="1" si="1"/>
        <v>-29.56</v>
      </c>
      <c r="Z97" s="145" t="str">
        <f ca="1">CONCATENATE("TE",ROUND((LARGE($Y$3:$Y$129,1)-$Y97)/(STDEVP($Y$3:$Y$129)/2)+1,0))</f>
        <v>TE12</v>
      </c>
      <c r="AA97" s="1">
        <f ca="1">Y97*LeagueInfo!$H$5</f>
        <v>-13.518997838217185</v>
      </c>
    </row>
    <row r="98" spans="1:27" x14ac:dyDescent="0.25">
      <c r="A98" s="47">
        <f>RANK(O98,O$3:O$129)</f>
        <v>96</v>
      </c>
      <c r="B98" s="1" t="s">
        <v>929</v>
      </c>
      <c r="C98" s="1" t="s">
        <v>47</v>
      </c>
      <c r="D98" s="1">
        <f>VLOOKUP(E98,BYEs!$A$2:$B$34,2)</f>
        <v>10</v>
      </c>
      <c r="E98" s="1" t="s">
        <v>361</v>
      </c>
      <c r="F98" s="245">
        <v>0</v>
      </c>
      <c r="G98" s="246">
        <v>0</v>
      </c>
      <c r="H98" s="247">
        <v>0</v>
      </c>
      <c r="I98" s="247">
        <v>0</v>
      </c>
      <c r="J98" s="247">
        <v>0</v>
      </c>
      <c r="K98" s="249">
        <v>5.5</v>
      </c>
      <c r="L98" s="247">
        <v>51.4</v>
      </c>
      <c r="M98" s="250">
        <v>0.4</v>
      </c>
      <c r="N98" s="251">
        <v>0</v>
      </c>
      <c r="O98" s="12">
        <f>(I98*TERushYd)+(J98*TERushTD)+(K98*TERec)+(L98*TERecYd)+(M98*TERecTD)+(N98*TEFuml)+(H98*TERushAtt)</f>
        <v>7.5400000000000009</v>
      </c>
      <c r="P98" s="1" t="str">
        <f ca="1">IF(A98&lt;=TEStarters,"Starter",IF(A98&gt;TEStarters+TEBench,"Undrafted","Bench"))</f>
        <v>Undrafted</v>
      </c>
      <c r="Q98" s="47">
        <f ca="1">IFERROR(MAX(O98-LARGE(O$3:O$129,TEStarters),0),0)</f>
        <v>0</v>
      </c>
      <c r="R98" s="47">
        <f ca="1">IFERROR(IF(AllowNegative="Yes",O98-LARGE(O$3:O$129,TECount),MAX(O98-LARGE(O$3:O$129,TECount),0)),0)</f>
        <v>-59.26</v>
      </c>
      <c r="S98" s="47">
        <f ca="1">IF(TEStarters&gt;0,(R98-Q98)*BenchPF+Q98*StarterPF,0)</f>
        <v>-14.192524020143457</v>
      </c>
      <c r="T98" s="47">
        <f ca="1">S98*Auction!$A$2</f>
        <v>-14.192524020143457</v>
      </c>
      <c r="U98" s="47" t="str">
        <f>IF(OR(INDEX(Auction!$H$13:$H$683,MATCH(B98,Auction!$A$13:$A$683,0))&gt;0,IFERROR(INDEX(CheatSheet!$D$37:$D$64,MATCH(B98,CheatSheet!$A$37:$A$64,0)),"")&lt;&gt;""),"Yes","No")</f>
        <v>No</v>
      </c>
      <c r="V98" s="219"/>
      <c r="W98" s="1"/>
      <c r="X98" s="100">
        <f ca="1">IFERROR(SUMIFS($Y$3:$Y$129,$Y$3:$Y$129,"&gt;0",$U$3:$U$129,"No")/SUMIF($Y$3:$Y$129,"&gt;0"),0)</f>
        <v>1</v>
      </c>
      <c r="Y98" s="1">
        <f t="shared" ca="1" si="1"/>
        <v>-29.63</v>
      </c>
      <c r="Z98" s="145" t="str">
        <f ca="1">CONCATENATE("TE",ROUND((LARGE($Y$3:$Y$129,1)-$Y98)/(STDEVP($Y$3:$Y$129)/2)+1,0))</f>
        <v>TE12</v>
      </c>
      <c r="AA98" s="1">
        <f ca="1">Y98*LeagueInfo!$H$5</f>
        <v>-13.551011703192666</v>
      </c>
    </row>
    <row r="99" spans="1:27" x14ac:dyDescent="0.25">
      <c r="A99" s="47">
        <f>RANK(O99,O$3:O$129)</f>
        <v>97</v>
      </c>
      <c r="B99" s="1" t="s">
        <v>786</v>
      </c>
      <c r="C99" s="1" t="s">
        <v>47</v>
      </c>
      <c r="D99" s="1">
        <f>VLOOKUP(E99,BYEs!$A$2:$B$34,2)</f>
        <v>5</v>
      </c>
      <c r="E99" s="1" t="s">
        <v>358</v>
      </c>
      <c r="F99" s="245">
        <v>0</v>
      </c>
      <c r="G99" s="246">
        <v>0</v>
      </c>
      <c r="H99" s="247">
        <v>0</v>
      </c>
      <c r="I99" s="247">
        <v>0</v>
      </c>
      <c r="J99" s="247">
        <v>0</v>
      </c>
      <c r="K99" s="249">
        <v>5.4</v>
      </c>
      <c r="L99" s="247">
        <v>64.900000000000006</v>
      </c>
      <c r="M99" s="250">
        <v>0.2</v>
      </c>
      <c r="N99" s="251">
        <v>0.1</v>
      </c>
      <c r="O99" s="12">
        <f>(I99*TERushYd)+(J99*TERushTD)+(K99*TERec)+(L99*TERecYd)+(M99*TERecTD)+(N99*TEFuml)+(H99*TERushAtt)</f>
        <v>7.4900000000000011</v>
      </c>
      <c r="P99" s="1" t="str">
        <f ca="1">IF(A99&lt;=TEStarters,"Starter",IF(A99&gt;TEStarters+TEBench,"Undrafted","Bench"))</f>
        <v>Undrafted</v>
      </c>
      <c r="Q99" s="47">
        <f ca="1">IFERROR(MAX(O99-LARGE(O$3:O$129,TEStarters),0),0)</f>
        <v>0</v>
      </c>
      <c r="R99" s="47">
        <f ca="1">IFERROR(IF(AllowNegative="Yes",O99-LARGE(O$3:O$129,TECount),MAX(O99-LARGE(O$3:O$129,TECount),0)),0)</f>
        <v>-59.309999999999995</v>
      </c>
      <c r="S99" s="47">
        <f ca="1">IF(TEStarters&gt;0,(R99-Q99)*BenchPF+Q99*StarterPF,0)</f>
        <v>-14.204498812600548</v>
      </c>
      <c r="T99" s="47">
        <f ca="1">S99*Auction!$A$2</f>
        <v>-14.204498812600548</v>
      </c>
      <c r="U99" s="47" t="str">
        <f>IF(OR(INDEX(Auction!$H$13:$H$683,MATCH(B99,Auction!$A$13:$A$683,0))&gt;0,IFERROR(INDEX(CheatSheet!$D$37:$D$64,MATCH(B99,CheatSheet!$A$37:$A$64,0)),"")&lt;&gt;""),"Yes","No")</f>
        <v>No</v>
      </c>
      <c r="V99" s="219"/>
      <c r="W99" s="1"/>
      <c r="X99" s="100">
        <f ca="1">IFERROR(SUMIFS($Y$3:$Y$129,$Y$3:$Y$129,"&gt;0",$U$3:$U$129,"No")/SUMIF($Y$3:$Y$129,"&gt;0"),0)</f>
        <v>1</v>
      </c>
      <c r="Y99" s="1">
        <f t="shared" ca="1" si="1"/>
        <v>-29.654999999999998</v>
      </c>
      <c r="Z99" s="145" t="str">
        <f ca="1">CONCATENATE("TE",ROUND((LARGE($Y$3:$Y$129,1)-$Y99)/(STDEVP($Y$3:$Y$129)/2)+1,0))</f>
        <v>TE12</v>
      </c>
      <c r="AA99" s="1">
        <f ca="1">Y99*LeagueInfo!$H$5</f>
        <v>-13.562445226398195</v>
      </c>
    </row>
    <row r="100" spans="1:27" x14ac:dyDescent="0.25">
      <c r="A100" s="47">
        <f>RANK(O100,O$3:O$129)</f>
        <v>98</v>
      </c>
      <c r="B100" s="1" t="s">
        <v>789</v>
      </c>
      <c r="C100" s="1" t="s">
        <v>47</v>
      </c>
      <c r="D100" s="1">
        <f>VLOOKUP(E100,BYEs!$A$2:$B$34,2)</f>
        <v>5</v>
      </c>
      <c r="E100" s="1" t="s">
        <v>352</v>
      </c>
      <c r="F100" s="245">
        <v>0</v>
      </c>
      <c r="G100" s="246">
        <v>0</v>
      </c>
      <c r="H100" s="247">
        <v>0</v>
      </c>
      <c r="I100" s="247">
        <v>0</v>
      </c>
      <c r="J100" s="247">
        <v>0</v>
      </c>
      <c r="K100" s="249">
        <v>6.3</v>
      </c>
      <c r="L100" s="247">
        <v>46.5</v>
      </c>
      <c r="M100" s="250">
        <v>0.5</v>
      </c>
      <c r="N100" s="251">
        <v>0.1</v>
      </c>
      <c r="O100" s="12">
        <f>(I100*TERushYd)+(J100*TERushTD)+(K100*TERec)+(L100*TERecYd)+(M100*TERecTD)+(N100*TEFuml)+(H100*TERushAtt)</f>
        <v>7.45</v>
      </c>
      <c r="P100" s="1" t="str">
        <f ca="1">IF(A100&lt;=TEStarters,"Starter",IF(A100&gt;TEStarters+TEBench,"Undrafted","Bench"))</f>
        <v>Undrafted</v>
      </c>
      <c r="Q100" s="47">
        <f ca="1">IFERROR(MAX(O100-LARGE(O$3:O$129,TEStarters),0),0)</f>
        <v>0</v>
      </c>
      <c r="R100" s="47">
        <f ca="1">IFERROR(IF(AllowNegative="Yes",O100-LARGE(O$3:O$129,TECount),MAX(O100-LARGE(O$3:O$129,TECount),0)),0)</f>
        <v>-59.349999999999994</v>
      </c>
      <c r="S100" s="47">
        <f ca="1">IF(TEStarters&gt;0,(R100-Q100)*BenchPF+Q100*StarterPF,0)</f>
        <v>-14.214078646566218</v>
      </c>
      <c r="T100" s="47">
        <f ca="1">S100*Auction!$A$2</f>
        <v>-14.214078646566218</v>
      </c>
      <c r="U100" s="47" t="str">
        <f>IF(OR(INDEX(Auction!$H$13:$H$683,MATCH(B100,Auction!$A$13:$A$683,0))&gt;0,IFERROR(INDEX(CheatSheet!$D$37:$D$64,MATCH(B100,CheatSheet!$A$37:$A$64,0)),"")&lt;&gt;""),"Yes","No")</f>
        <v>No</v>
      </c>
      <c r="V100" s="219"/>
      <c r="W100" s="1"/>
      <c r="X100" s="100">
        <f ca="1">IFERROR(SUMIFS($Y$3:$Y$129,$Y$3:$Y$129,"&gt;0",$U$3:$U$129,"No")/SUMIF($Y$3:$Y$129,"&gt;0"),0)</f>
        <v>1</v>
      </c>
      <c r="Y100" s="1">
        <f t="shared" ca="1" si="1"/>
        <v>-29.674999999999997</v>
      </c>
      <c r="Z100" s="145" t="str">
        <f ca="1">CONCATENATE("TE",ROUND((LARGE($Y$3:$Y$129,1)-$Y100)/(STDEVP($Y$3:$Y$129)/2)+1,0))</f>
        <v>TE12</v>
      </c>
      <c r="AA100" s="1">
        <f ca="1">Y100*LeagueInfo!$H$5</f>
        <v>-13.571592044962618</v>
      </c>
    </row>
    <row r="101" spans="1:27" x14ac:dyDescent="0.25">
      <c r="A101" s="47">
        <f>RANK(O101,O$3:O$129)</f>
        <v>99</v>
      </c>
      <c r="B101" s="1" t="s">
        <v>788</v>
      </c>
      <c r="C101" s="1" t="s">
        <v>47</v>
      </c>
      <c r="D101" s="1">
        <f>VLOOKUP(E101,BYEs!$A$2:$B$34,2)</f>
        <v>6</v>
      </c>
      <c r="E101" s="1" t="s">
        <v>364</v>
      </c>
      <c r="F101" s="245">
        <v>0</v>
      </c>
      <c r="G101" s="246">
        <v>0</v>
      </c>
      <c r="H101" s="247">
        <v>0</v>
      </c>
      <c r="I101" s="247">
        <v>0</v>
      </c>
      <c r="J101" s="247">
        <v>0</v>
      </c>
      <c r="K101" s="249">
        <v>5</v>
      </c>
      <c r="L101" s="247">
        <v>62</v>
      </c>
      <c r="M101" s="250">
        <v>0.2</v>
      </c>
      <c r="N101" s="251">
        <v>0</v>
      </c>
      <c r="O101" s="12">
        <f>(I101*TERushYd)+(J101*TERushTD)+(K101*TERec)+(L101*TERecYd)+(M101*TERecTD)+(N101*TEFuml)+(H101*TERushAtt)</f>
        <v>7.4</v>
      </c>
      <c r="P101" s="1" t="str">
        <f ca="1">IF(A101&lt;=TEStarters,"Starter",IF(A101&gt;TEStarters+TEBench,"Undrafted","Bench"))</f>
        <v>Undrafted</v>
      </c>
      <c r="Q101" s="47">
        <f ca="1">IFERROR(MAX(O101-LARGE(O$3:O$129,TEStarters),0),0)</f>
        <v>0</v>
      </c>
      <c r="R101" s="47">
        <f ca="1">IFERROR(IF(AllowNegative="Yes",O101-LARGE(O$3:O$129,TECount),MAX(O101-LARGE(O$3:O$129,TECount),0)),0)</f>
        <v>-59.4</v>
      </c>
      <c r="S101" s="47">
        <f ca="1">IF(TEStarters&gt;0,(R101-Q101)*BenchPF+Q101*StarterPF,0)</f>
        <v>-14.22605343902331</v>
      </c>
      <c r="T101" s="47">
        <f ca="1">S101*Auction!$A$2</f>
        <v>-14.22605343902331</v>
      </c>
      <c r="U101" s="47" t="str">
        <f>IF(OR(INDEX(Auction!$H$13:$H$683,MATCH(B101,Auction!$A$13:$A$683,0))&gt;0,IFERROR(INDEX(CheatSheet!$D$37:$D$64,MATCH(B101,CheatSheet!$A$37:$A$64,0)),"")&lt;&gt;""),"Yes","No")</f>
        <v>No</v>
      </c>
      <c r="V101" s="219"/>
      <c r="W101" s="1"/>
      <c r="X101" s="100">
        <f ca="1">IFERROR(SUMIFS($Y$3:$Y$129,$Y$3:$Y$129,"&gt;0",$U$3:$U$129,"No")/SUMIF($Y$3:$Y$129,"&gt;0"),0)</f>
        <v>1</v>
      </c>
      <c r="Y101" s="1">
        <f t="shared" ca="1" si="1"/>
        <v>-29.7</v>
      </c>
      <c r="Z101" s="145" t="str">
        <f ca="1">CONCATENATE("TE",ROUND((LARGE($Y$3:$Y$129,1)-$Y101)/(STDEVP($Y$3:$Y$129)/2)+1,0))</f>
        <v>TE12</v>
      </c>
      <c r="AA101" s="1">
        <f ca="1">Y101*LeagueInfo!$H$5</f>
        <v>-13.583025568168146</v>
      </c>
    </row>
    <row r="102" spans="1:27" x14ac:dyDescent="0.25">
      <c r="A102" s="47">
        <f>RANK(O102,O$3:O$129)</f>
        <v>100</v>
      </c>
      <c r="B102" s="1" t="s">
        <v>793</v>
      </c>
      <c r="C102" s="1" t="s">
        <v>47</v>
      </c>
      <c r="D102" s="1">
        <f>VLOOKUP(E102,BYEs!$A$2:$B$34,2)</f>
        <v>11</v>
      </c>
      <c r="E102" s="1" t="s">
        <v>356</v>
      </c>
      <c r="F102" s="245">
        <v>0</v>
      </c>
      <c r="G102" s="246">
        <v>0</v>
      </c>
      <c r="H102" s="247">
        <v>0</v>
      </c>
      <c r="I102" s="247">
        <v>0</v>
      </c>
      <c r="J102" s="247">
        <v>0</v>
      </c>
      <c r="K102" s="249">
        <v>4.4000000000000004</v>
      </c>
      <c r="L102" s="247">
        <v>43.2</v>
      </c>
      <c r="M102" s="250">
        <v>0.5</v>
      </c>
      <c r="N102" s="251">
        <v>0</v>
      </c>
      <c r="O102" s="12">
        <f>(I102*TERushYd)+(J102*TERushTD)+(K102*TERec)+(L102*TERecYd)+(M102*TERecTD)+(N102*TEFuml)+(H102*TERushAtt)</f>
        <v>7.32</v>
      </c>
      <c r="P102" s="1" t="str">
        <f ca="1">IF(A102&lt;=TEStarters,"Starter",IF(A102&gt;TEStarters+TEBench,"Undrafted","Bench"))</f>
        <v>Undrafted</v>
      </c>
      <c r="Q102" s="47">
        <f ca="1">IFERROR(MAX(O102-LARGE(O$3:O$129,TEStarters),0),0)</f>
        <v>0</v>
      </c>
      <c r="R102" s="47">
        <f ca="1">IFERROR(IF(AllowNegative="Yes",O102-LARGE(O$3:O$129,TECount),MAX(O102-LARGE(O$3:O$129,TECount),0)),0)</f>
        <v>-59.48</v>
      </c>
      <c r="S102" s="47">
        <f ca="1">IF(TEStarters&gt;0,(R102-Q102)*BenchPF+Q102*StarterPF,0)</f>
        <v>-14.245213106954655</v>
      </c>
      <c r="T102" s="47">
        <f ca="1">S102*Auction!$A$2</f>
        <v>-14.245213106954655</v>
      </c>
      <c r="U102" s="47" t="str">
        <f>IF(OR(INDEX(Auction!$H$13:$H$683,MATCH(B102,Auction!$A$13:$A$683,0))&gt;0,IFERROR(INDEX(CheatSheet!$D$37:$D$64,MATCH(B102,CheatSheet!$A$37:$A$64,0)),"")&lt;&gt;""),"Yes","No")</f>
        <v>No</v>
      </c>
      <c r="V102" s="219"/>
      <c r="W102" s="1"/>
      <c r="X102" s="100">
        <f ca="1">IFERROR(SUMIFS($Y$3:$Y$129,$Y$3:$Y$129,"&gt;0",$U$3:$U$129,"No")/SUMIF($Y$3:$Y$129,"&gt;0"),0)</f>
        <v>1</v>
      </c>
      <c r="Y102" s="1">
        <f t="shared" ca="1" si="1"/>
        <v>-29.74</v>
      </c>
      <c r="Z102" s="145" t="str">
        <f ca="1">CONCATENATE("TE",ROUND((LARGE($Y$3:$Y$129,1)-$Y102)/(STDEVP($Y$3:$Y$129)/2)+1,0))</f>
        <v>TE12</v>
      </c>
      <c r="AA102" s="1">
        <f ca="1">Y102*LeagueInfo!$H$5</f>
        <v>-13.601319205296992</v>
      </c>
    </row>
    <row r="103" spans="1:27" x14ac:dyDescent="0.25">
      <c r="A103" s="47">
        <f>RANK(O103,O$3:O$129)</f>
        <v>101</v>
      </c>
      <c r="B103" s="1" t="s">
        <v>794</v>
      </c>
      <c r="C103" s="1" t="s">
        <v>47</v>
      </c>
      <c r="D103" s="1">
        <f>VLOOKUP(E103,BYEs!$A$2:$B$34,2)</f>
        <v>10</v>
      </c>
      <c r="E103" s="1" t="s">
        <v>365</v>
      </c>
      <c r="F103" s="245">
        <v>0</v>
      </c>
      <c r="G103" s="246">
        <v>0</v>
      </c>
      <c r="H103" s="247">
        <v>0</v>
      </c>
      <c r="I103" s="247">
        <v>0</v>
      </c>
      <c r="J103" s="247">
        <v>0</v>
      </c>
      <c r="K103" s="249">
        <v>4.8</v>
      </c>
      <c r="L103" s="247">
        <v>47.9</v>
      </c>
      <c r="M103" s="250">
        <v>0.4</v>
      </c>
      <c r="N103" s="251">
        <v>0</v>
      </c>
      <c r="O103" s="12">
        <f>(I103*TERushYd)+(J103*TERushTD)+(K103*TERec)+(L103*TERecYd)+(M103*TERecTD)+(N103*TEFuml)+(H103*TERushAtt)</f>
        <v>7.19</v>
      </c>
      <c r="P103" s="1" t="str">
        <f ca="1">IF(A103&lt;=TEStarters,"Starter",IF(A103&gt;TEStarters+TEBench,"Undrafted","Bench"))</f>
        <v>Undrafted</v>
      </c>
      <c r="Q103" s="47">
        <f ca="1">IFERROR(MAX(O103-LARGE(O$3:O$129,TEStarters),0),0)</f>
        <v>0</v>
      </c>
      <c r="R103" s="47">
        <f ca="1">IFERROR(IF(AllowNegative="Yes",O103-LARGE(O$3:O$129,TECount),MAX(O103-LARGE(O$3:O$129,TECount),0)),0)</f>
        <v>-59.61</v>
      </c>
      <c r="S103" s="47">
        <f ca="1">IF(TEStarters&gt;0,(R103-Q103)*BenchPF+Q103*StarterPF,0)</f>
        <v>-14.276347567343089</v>
      </c>
      <c r="T103" s="47">
        <f ca="1">S103*Auction!$A$2</f>
        <v>-14.276347567343089</v>
      </c>
      <c r="U103" s="47" t="str">
        <f>IF(OR(INDEX(Auction!$H$13:$H$683,MATCH(B103,Auction!$A$13:$A$683,0))&gt;0,IFERROR(INDEX(CheatSheet!$D$37:$D$64,MATCH(B103,CheatSheet!$A$37:$A$64,0)),"")&lt;&gt;""),"Yes","No")</f>
        <v>No</v>
      </c>
      <c r="V103" s="219"/>
      <c r="W103" s="1"/>
      <c r="X103" s="100">
        <f ca="1">IFERROR(SUMIFS($Y$3:$Y$129,$Y$3:$Y$129,"&gt;0",$U$3:$U$129,"No")/SUMIF($Y$3:$Y$129,"&gt;0"),0)</f>
        <v>1</v>
      </c>
      <c r="Y103" s="1">
        <f t="shared" ca="1" si="1"/>
        <v>-29.805</v>
      </c>
      <c r="Z103" s="145" t="str">
        <f ca="1">CONCATENATE("TE",ROUND((LARGE($Y$3:$Y$129,1)-$Y103)/(STDEVP($Y$3:$Y$129)/2)+1,0))</f>
        <v>TE12</v>
      </c>
      <c r="AA103" s="1">
        <f ca="1">Y103*LeagueInfo!$H$5</f>
        <v>-13.631046365631368</v>
      </c>
    </row>
    <row r="104" spans="1:27" x14ac:dyDescent="0.25">
      <c r="A104" s="47">
        <f>RANK(O104,O$3:O$129)</f>
        <v>102</v>
      </c>
      <c r="B104" s="1" t="s">
        <v>770</v>
      </c>
      <c r="C104" s="1" t="s">
        <v>47</v>
      </c>
      <c r="D104" s="1">
        <f>VLOOKUP(E104,BYEs!$A$2:$B$34,2)</f>
        <v>5</v>
      </c>
      <c r="E104" s="1" t="s">
        <v>352</v>
      </c>
      <c r="F104" s="245">
        <v>0</v>
      </c>
      <c r="G104" s="246">
        <v>0</v>
      </c>
      <c r="H104" s="247">
        <v>0</v>
      </c>
      <c r="I104" s="247">
        <v>0</v>
      </c>
      <c r="J104" s="247">
        <v>0</v>
      </c>
      <c r="K104" s="249">
        <v>5.0999999999999996</v>
      </c>
      <c r="L104" s="247">
        <v>46.1</v>
      </c>
      <c r="M104" s="250">
        <v>0.5</v>
      </c>
      <c r="N104" s="251">
        <v>0.3</v>
      </c>
      <c r="O104" s="12">
        <f>(I104*TERushYd)+(J104*TERushTD)+(K104*TERec)+(L104*TERecYd)+(M104*TERecTD)+(N104*TEFuml)+(H104*TERushAtt)</f>
        <v>7.0100000000000007</v>
      </c>
      <c r="P104" s="1" t="str">
        <f ca="1">IF(A104&lt;=TEStarters,"Starter",IF(A104&gt;TEStarters+TEBench,"Undrafted","Bench"))</f>
        <v>Undrafted</v>
      </c>
      <c r="Q104" s="47">
        <f ca="1">IFERROR(MAX(O104-LARGE(O$3:O$129,TEStarters),0),0)</f>
        <v>0</v>
      </c>
      <c r="R104" s="47">
        <f ca="1">IFERROR(IF(AllowNegative="Yes",O104-LARGE(O$3:O$129,TECount),MAX(O104-LARGE(O$3:O$129,TECount),0)),0)</f>
        <v>-59.79</v>
      </c>
      <c r="S104" s="47">
        <f ca="1">IF(TEStarters&gt;0,(R104-Q104)*BenchPF+Q104*StarterPF,0)</f>
        <v>-14.319456820188615</v>
      </c>
      <c r="T104" s="47">
        <f ca="1">S104*Auction!$A$2</f>
        <v>-14.319456820188615</v>
      </c>
      <c r="U104" s="47" t="str">
        <f>IF(OR(INDEX(Auction!$H$13:$H$683,MATCH(B104,Auction!$A$13:$A$683,0))&gt;0,IFERROR(INDEX(CheatSheet!$D$37:$D$64,MATCH(B104,CheatSheet!$A$37:$A$64,0)),"")&lt;&gt;""),"Yes","No")</f>
        <v>No</v>
      </c>
      <c r="V104" s="219"/>
      <c r="W104" s="1"/>
      <c r="X104" s="100">
        <f ca="1">IFERROR(SUMIFS($Y$3:$Y$129,$Y$3:$Y$129,"&gt;0",$U$3:$U$129,"No")/SUMIF($Y$3:$Y$129,"&gt;0"),0)</f>
        <v>1</v>
      </c>
      <c r="Y104" s="1">
        <f t="shared" ca="1" si="1"/>
        <v>-29.895</v>
      </c>
      <c r="Z104" s="145" t="str">
        <f ca="1">CONCATENATE("TE",ROUND((LARGE($Y$3:$Y$129,1)-$Y104)/(STDEVP($Y$3:$Y$129)/2)+1,0))</f>
        <v>TE12</v>
      </c>
      <c r="AA104" s="1">
        <f ca="1">Y104*LeagueInfo!$H$5</f>
        <v>-13.672207049171272</v>
      </c>
    </row>
    <row r="105" spans="1:27" x14ac:dyDescent="0.25">
      <c r="A105" s="47">
        <f>RANK(O105,O$3:O$129)</f>
        <v>103</v>
      </c>
      <c r="B105" s="1" t="s">
        <v>777</v>
      </c>
      <c r="C105" s="1" t="s">
        <v>47</v>
      </c>
      <c r="D105" s="1">
        <f>VLOOKUP(E105,BYEs!$A$2:$B$34,2)</f>
        <v>10</v>
      </c>
      <c r="E105" s="1" t="s">
        <v>361</v>
      </c>
      <c r="F105" s="245">
        <v>0</v>
      </c>
      <c r="G105" s="246">
        <v>0</v>
      </c>
      <c r="H105" s="247">
        <v>0</v>
      </c>
      <c r="I105" s="247">
        <v>0</v>
      </c>
      <c r="J105" s="247">
        <v>0</v>
      </c>
      <c r="K105" s="249">
        <v>3.8</v>
      </c>
      <c r="L105" s="247">
        <v>45.1</v>
      </c>
      <c r="M105" s="250">
        <v>0.4</v>
      </c>
      <c r="N105" s="251">
        <v>0.1</v>
      </c>
      <c r="O105" s="12">
        <f>(I105*TERushYd)+(J105*TERushTD)+(K105*TERec)+(L105*TERecYd)+(M105*TERecTD)+(N105*TEFuml)+(H105*TERushAtt)</f>
        <v>6.7100000000000009</v>
      </c>
      <c r="P105" s="1" t="str">
        <f ca="1">IF(A105&lt;=TEStarters,"Starter",IF(A105&gt;TEStarters+TEBench,"Undrafted","Bench"))</f>
        <v>Undrafted</v>
      </c>
      <c r="Q105" s="47">
        <f ca="1">IFERROR(MAX(O105-LARGE(O$3:O$129,TEStarters),0),0)</f>
        <v>0</v>
      </c>
      <c r="R105" s="47">
        <f ca="1">IFERROR(IF(AllowNegative="Yes",O105-LARGE(O$3:O$129,TECount),MAX(O105-LARGE(O$3:O$129,TECount),0)),0)</f>
        <v>-60.089999999999996</v>
      </c>
      <c r="S105" s="47">
        <f ca="1">IF(TEStarters&gt;0,(R105-Q105)*BenchPF+Q105*StarterPF,0)</f>
        <v>-14.391305574931156</v>
      </c>
      <c r="T105" s="47">
        <f ca="1">S105*Auction!$A$2</f>
        <v>-14.391305574931156</v>
      </c>
      <c r="U105" s="47" t="str">
        <f>IF(OR(INDEX(Auction!$H$13:$H$683,MATCH(B105,Auction!$A$13:$A$683,0))&gt;0,IFERROR(INDEX(CheatSheet!$D$37:$D$64,MATCH(B105,CheatSheet!$A$37:$A$64,0)),"")&lt;&gt;""),"Yes","No")</f>
        <v>No</v>
      </c>
      <c r="V105" s="219"/>
      <c r="W105" s="1"/>
      <c r="X105" s="100">
        <f ca="1">IFERROR(SUMIFS($Y$3:$Y$129,$Y$3:$Y$129,"&gt;0",$U$3:$U$129,"No")/SUMIF($Y$3:$Y$129,"&gt;0"),0)</f>
        <v>1</v>
      </c>
      <c r="Y105" s="1">
        <f t="shared" ca="1" si="1"/>
        <v>-30.044999999999998</v>
      </c>
      <c r="Z105" s="145" t="str">
        <f ca="1">CONCATENATE("TE",ROUND((LARGE($Y$3:$Y$129,1)-$Y105)/(STDEVP($Y$3:$Y$129)/2)+1,0))</f>
        <v>TE12</v>
      </c>
      <c r="AA105" s="1">
        <f ca="1">Y105*LeagueInfo!$H$5</f>
        <v>-13.740808188404444</v>
      </c>
    </row>
    <row r="106" spans="1:27" x14ac:dyDescent="0.25">
      <c r="A106" s="47">
        <f>RANK(O106,O$3:O$129)</f>
        <v>104</v>
      </c>
      <c r="B106" s="1" t="s">
        <v>798</v>
      </c>
      <c r="C106" s="1" t="s">
        <v>47</v>
      </c>
      <c r="D106" s="1">
        <f>VLOOKUP(E106,BYEs!$A$2:$B$34,2)</f>
        <v>8</v>
      </c>
      <c r="E106" s="1" t="s">
        <v>367</v>
      </c>
      <c r="F106" s="245">
        <v>0</v>
      </c>
      <c r="G106" s="246">
        <v>0</v>
      </c>
      <c r="H106" s="247">
        <v>0</v>
      </c>
      <c r="I106" s="247">
        <v>0</v>
      </c>
      <c r="J106" s="247">
        <v>0</v>
      </c>
      <c r="K106" s="249">
        <v>5.4</v>
      </c>
      <c r="L106" s="247">
        <v>42.3</v>
      </c>
      <c r="M106" s="250">
        <v>0.4</v>
      </c>
      <c r="N106" s="251">
        <v>0</v>
      </c>
      <c r="O106" s="12">
        <f>(I106*TERushYd)+(J106*TERushTD)+(K106*TERec)+(L106*TERecYd)+(M106*TERecTD)+(N106*TEFuml)+(H106*TERushAtt)</f>
        <v>6.63</v>
      </c>
      <c r="P106" s="1" t="str">
        <f ca="1">IF(A106&lt;=TEStarters,"Starter",IF(A106&gt;TEStarters+TEBench,"Undrafted","Bench"))</f>
        <v>Undrafted</v>
      </c>
      <c r="Q106" s="47">
        <f ca="1">IFERROR(MAX(O106-LARGE(O$3:O$129,TEStarters),0),0)</f>
        <v>0</v>
      </c>
      <c r="R106" s="47">
        <f ca="1">IFERROR(IF(AllowNegative="Yes",O106-LARGE(O$3:O$129,TECount),MAX(O106-LARGE(O$3:O$129,TECount),0)),0)</f>
        <v>-60.169999999999995</v>
      </c>
      <c r="S106" s="47">
        <f ca="1">IF(TEStarters&gt;0,(R106-Q106)*BenchPF+Q106*StarterPF,0)</f>
        <v>-14.4104652428625</v>
      </c>
      <c r="T106" s="47">
        <f ca="1">S106*Auction!$A$2</f>
        <v>-14.4104652428625</v>
      </c>
      <c r="U106" s="47" t="str">
        <f>IF(OR(INDEX(Auction!$H$13:$H$683,MATCH(B106,Auction!$A$13:$A$683,0))&gt;0,IFERROR(INDEX(CheatSheet!$D$37:$D$64,MATCH(B106,CheatSheet!$A$37:$A$64,0)),"")&lt;&gt;""),"Yes","No")</f>
        <v>No</v>
      </c>
      <c r="V106" s="219"/>
      <c r="W106" s="1"/>
      <c r="X106" s="100">
        <f ca="1">IFERROR(SUMIFS($Y$3:$Y$129,$Y$3:$Y$129,"&gt;0",$U$3:$U$129,"No")/SUMIF($Y$3:$Y$129,"&gt;0"),0)</f>
        <v>1</v>
      </c>
      <c r="Y106" s="1">
        <f t="shared" ca="1" si="1"/>
        <v>-30.084999999999997</v>
      </c>
      <c r="Z106" s="145" t="str">
        <f ca="1">CONCATENATE("TE",ROUND((LARGE($Y$3:$Y$129,1)-$Y106)/(STDEVP($Y$3:$Y$129)/2)+1,0))</f>
        <v>TE12</v>
      </c>
      <c r="AA106" s="1">
        <f ca="1">Y106*LeagueInfo!$H$5</f>
        <v>-13.759101825533289</v>
      </c>
    </row>
    <row r="107" spans="1:27" x14ac:dyDescent="0.25">
      <c r="A107" s="47">
        <f>RANK(O107,O$3:O$129)</f>
        <v>105</v>
      </c>
      <c r="B107" s="1" t="s">
        <v>795</v>
      </c>
      <c r="C107" s="1" t="s">
        <v>47</v>
      </c>
      <c r="D107" s="1">
        <f>VLOOKUP(E107,BYEs!$A$2:$B$34,2)</f>
        <v>5</v>
      </c>
      <c r="E107" s="1" t="s">
        <v>358</v>
      </c>
      <c r="F107" s="245">
        <v>0</v>
      </c>
      <c r="G107" s="246">
        <v>0</v>
      </c>
      <c r="H107" s="247">
        <v>0</v>
      </c>
      <c r="I107" s="247">
        <v>0</v>
      </c>
      <c r="J107" s="247">
        <v>0</v>
      </c>
      <c r="K107" s="249">
        <v>5</v>
      </c>
      <c r="L107" s="247">
        <v>48</v>
      </c>
      <c r="M107" s="250">
        <v>0.3</v>
      </c>
      <c r="N107" s="251">
        <v>0</v>
      </c>
      <c r="O107" s="12">
        <f>(I107*TERushYd)+(J107*TERushTD)+(K107*TERec)+(L107*TERecYd)+(M107*TERecTD)+(N107*TEFuml)+(H107*TERushAtt)</f>
        <v>6.6000000000000005</v>
      </c>
      <c r="P107" s="1" t="str">
        <f ca="1">IF(A107&lt;=TEStarters,"Starter",IF(A107&gt;TEStarters+TEBench,"Undrafted","Bench"))</f>
        <v>Undrafted</v>
      </c>
      <c r="Q107" s="47">
        <f ca="1">IFERROR(MAX(O107-LARGE(O$3:O$129,TEStarters),0),0)</f>
        <v>0</v>
      </c>
      <c r="R107" s="47">
        <f ca="1">IFERROR(IF(AllowNegative="Yes",O107-LARGE(O$3:O$129,TECount),MAX(O107-LARGE(O$3:O$129,TECount),0)),0)</f>
        <v>-60.199999999999996</v>
      </c>
      <c r="S107" s="47">
        <f ca="1">IF(TEStarters&gt;0,(R107-Q107)*BenchPF+Q107*StarterPF,0)</f>
        <v>-14.417650118336756</v>
      </c>
      <c r="T107" s="47">
        <f ca="1">S107*Auction!$A$2</f>
        <v>-14.417650118336756</v>
      </c>
      <c r="U107" s="47" t="str">
        <f>IF(OR(INDEX(Auction!$H$13:$H$683,MATCH(B107,Auction!$A$13:$A$683,0))&gt;0,IFERROR(INDEX(CheatSheet!$D$37:$D$64,MATCH(B107,CheatSheet!$A$37:$A$64,0)),"")&lt;&gt;""),"Yes","No")</f>
        <v>No</v>
      </c>
      <c r="V107" s="219"/>
      <c r="W107" s="1"/>
      <c r="X107" s="100">
        <f ca="1">IFERROR(SUMIFS($Y$3:$Y$129,$Y$3:$Y$129,"&gt;0",$U$3:$U$129,"No")/SUMIF($Y$3:$Y$129,"&gt;0"),0)</f>
        <v>1</v>
      </c>
      <c r="Y107" s="1">
        <f t="shared" ca="1" si="1"/>
        <v>-30.099999999999998</v>
      </c>
      <c r="Z107" s="145" t="str">
        <f ca="1">CONCATENATE("TE",ROUND((LARGE($Y$3:$Y$129,1)-$Y107)/(STDEVP($Y$3:$Y$129)/2)+1,0))</f>
        <v>TE12</v>
      </c>
      <c r="AA107" s="1">
        <f ca="1">Y107*LeagueInfo!$H$5</f>
        <v>-13.765961939456606</v>
      </c>
    </row>
    <row r="108" spans="1:27" x14ac:dyDescent="0.25">
      <c r="A108" s="47">
        <f>RANK(O108,O$3:O$129)</f>
        <v>106</v>
      </c>
      <c r="B108" s="1" t="s">
        <v>783</v>
      </c>
      <c r="C108" s="1" t="s">
        <v>47</v>
      </c>
      <c r="D108" s="1">
        <f>VLOOKUP(E108,BYEs!$A$2:$B$34,2)</f>
        <v>8</v>
      </c>
      <c r="E108" s="1" t="s">
        <v>368</v>
      </c>
      <c r="F108" s="245">
        <v>0</v>
      </c>
      <c r="G108" s="246">
        <v>0</v>
      </c>
      <c r="H108" s="247">
        <v>0</v>
      </c>
      <c r="I108" s="247">
        <v>0</v>
      </c>
      <c r="J108" s="247">
        <v>0</v>
      </c>
      <c r="K108" s="249">
        <v>5.2</v>
      </c>
      <c r="L108" s="247">
        <v>47.8</v>
      </c>
      <c r="M108" s="250">
        <v>0.3</v>
      </c>
      <c r="N108" s="251">
        <v>0</v>
      </c>
      <c r="O108" s="12">
        <f>(I108*TERushYd)+(J108*TERushTD)+(K108*TERec)+(L108*TERecYd)+(M108*TERecTD)+(N108*TEFuml)+(H108*TERushAtt)</f>
        <v>6.58</v>
      </c>
      <c r="P108" s="1" t="str">
        <f ca="1">IF(A108&lt;=TEStarters,"Starter",IF(A108&gt;TEStarters+TEBench,"Undrafted","Bench"))</f>
        <v>Undrafted</v>
      </c>
      <c r="Q108" s="47">
        <f ca="1">IFERROR(MAX(O108-LARGE(O$3:O$129,TEStarters),0),0)</f>
        <v>0</v>
      </c>
      <c r="R108" s="47">
        <f ca="1">IFERROR(IF(AllowNegative="Yes",O108-LARGE(O$3:O$129,TECount),MAX(O108-LARGE(O$3:O$129,TECount),0)),0)</f>
        <v>-60.22</v>
      </c>
      <c r="S108" s="47">
        <f ca="1">IF(TEStarters&gt;0,(R108-Q108)*BenchPF+Q108*StarterPF,0)</f>
        <v>-14.422440035319593</v>
      </c>
      <c r="T108" s="47">
        <f ca="1">S108*Auction!$A$2</f>
        <v>-14.422440035319593</v>
      </c>
      <c r="U108" s="47" t="str">
        <f>IF(OR(INDEX(Auction!$H$13:$H$683,MATCH(B108,Auction!$A$13:$A$683,0))&gt;0,IFERROR(INDEX(CheatSheet!$D$37:$D$64,MATCH(B108,CheatSheet!$A$37:$A$64,0)),"")&lt;&gt;""),"Yes","No")</f>
        <v>No</v>
      </c>
      <c r="V108" s="219"/>
      <c r="W108" s="1"/>
      <c r="X108" s="100">
        <f ca="1">IFERROR(SUMIFS($Y$3:$Y$129,$Y$3:$Y$129,"&gt;0",$U$3:$U$129,"No")/SUMIF($Y$3:$Y$129,"&gt;0"),0)</f>
        <v>1</v>
      </c>
      <c r="Y108" s="1">
        <f t="shared" ca="1" si="1"/>
        <v>-30.11</v>
      </c>
      <c r="Z108" s="145" t="str">
        <f ca="1">CONCATENATE("TE",ROUND((LARGE($Y$3:$Y$129,1)-$Y108)/(STDEVP($Y$3:$Y$129)/2)+1,0))</f>
        <v>TE12</v>
      </c>
      <c r="AA108" s="1">
        <f ca="1">Y108*LeagueInfo!$H$5</f>
        <v>-13.770535348738818</v>
      </c>
    </row>
    <row r="109" spans="1:27" x14ac:dyDescent="0.25">
      <c r="A109" s="47">
        <f>RANK(O109,O$3:O$129)</f>
        <v>107</v>
      </c>
      <c r="B109" s="1" t="s">
        <v>791</v>
      </c>
      <c r="C109" s="1" t="s">
        <v>47</v>
      </c>
      <c r="D109" s="1">
        <f>VLOOKUP(E109,BYEs!$A$2:$B$34,2)</f>
        <v>9</v>
      </c>
      <c r="E109" s="1" t="s">
        <v>387</v>
      </c>
      <c r="F109" s="245">
        <v>0</v>
      </c>
      <c r="G109" s="246">
        <v>0</v>
      </c>
      <c r="H109" s="247">
        <v>0</v>
      </c>
      <c r="I109" s="247">
        <v>0</v>
      </c>
      <c r="J109" s="247">
        <v>0</v>
      </c>
      <c r="K109" s="249">
        <v>6</v>
      </c>
      <c r="L109" s="247">
        <v>55.5</v>
      </c>
      <c r="M109" s="250">
        <v>0.2</v>
      </c>
      <c r="N109" s="251">
        <v>0.1</v>
      </c>
      <c r="O109" s="12">
        <f>(I109*TERushYd)+(J109*TERushTD)+(K109*TERec)+(L109*TERecYd)+(M109*TERecTD)+(N109*TEFuml)+(H109*TERushAtt)</f>
        <v>6.5500000000000007</v>
      </c>
      <c r="P109" s="1" t="str">
        <f ca="1">IF(A109&lt;=TEStarters,"Starter",IF(A109&gt;TEStarters+TEBench,"Undrafted","Bench"))</f>
        <v>Undrafted</v>
      </c>
      <c r="Q109" s="47">
        <f ca="1">IFERROR(MAX(O109-LARGE(O$3:O$129,TEStarters),0),0)</f>
        <v>0</v>
      </c>
      <c r="R109" s="47">
        <f ca="1">IFERROR(IF(AllowNegative="Yes",O109-LARGE(O$3:O$129,TECount),MAX(O109-LARGE(O$3:O$129,TECount),0)),0)</f>
        <v>-60.25</v>
      </c>
      <c r="S109" s="47">
        <f ca="1">IF(TEStarters&gt;0,(R109-Q109)*BenchPF+Q109*StarterPF,0)</f>
        <v>-14.429624910793846</v>
      </c>
      <c r="T109" s="47">
        <f ca="1">S109*Auction!$A$2</f>
        <v>-14.429624910793846</v>
      </c>
      <c r="U109" s="47" t="str">
        <f>IF(OR(INDEX(Auction!$H$13:$H$683,MATCH(B109,Auction!$A$13:$A$683,0))&gt;0,IFERROR(INDEX(CheatSheet!$D$37:$D$64,MATCH(B109,CheatSheet!$A$37:$A$64,0)),"")&lt;&gt;""),"Yes","No")</f>
        <v>No</v>
      </c>
      <c r="V109" s="219"/>
      <c r="W109" s="1"/>
      <c r="X109" s="100">
        <f ca="1">IFERROR(SUMIFS($Y$3:$Y$129,$Y$3:$Y$129,"&gt;0",$U$3:$U$129,"No")/SUMIF($Y$3:$Y$129,"&gt;0"),0)</f>
        <v>1</v>
      </c>
      <c r="Y109" s="1">
        <f t="shared" ca="1" si="1"/>
        <v>-30.125</v>
      </c>
      <c r="Z109" s="145" t="str">
        <f ca="1">CONCATENATE("TE",ROUND((LARGE($Y$3:$Y$129,1)-$Y109)/(STDEVP($Y$3:$Y$129)/2)+1,0))</f>
        <v>TE12</v>
      </c>
      <c r="AA109" s="1">
        <f ca="1">Y109*LeagueInfo!$H$5</f>
        <v>-13.777395462662136</v>
      </c>
    </row>
    <row r="110" spans="1:27" x14ac:dyDescent="0.25">
      <c r="A110" s="47">
        <f>RANK(O110,O$3:O$129)</f>
        <v>108</v>
      </c>
      <c r="B110" s="1" t="s">
        <v>792</v>
      </c>
      <c r="C110" s="1" t="s">
        <v>47</v>
      </c>
      <c r="D110" s="1">
        <f>VLOOKUP(E110,BYEs!$A$2:$B$34,2)</f>
        <v>9</v>
      </c>
      <c r="E110" s="1" t="s">
        <v>373</v>
      </c>
      <c r="F110" s="245">
        <v>0</v>
      </c>
      <c r="G110" s="246">
        <v>0</v>
      </c>
      <c r="H110" s="247">
        <v>0</v>
      </c>
      <c r="I110" s="247">
        <v>0</v>
      </c>
      <c r="J110" s="247">
        <v>0</v>
      </c>
      <c r="K110" s="249">
        <v>5.0999999999999996</v>
      </c>
      <c r="L110" s="247">
        <v>52.3</v>
      </c>
      <c r="M110" s="250">
        <v>0.2</v>
      </c>
      <c r="N110" s="251">
        <v>0</v>
      </c>
      <c r="O110" s="12">
        <f>(I110*TERushYd)+(J110*TERushTD)+(K110*TERec)+(L110*TERecYd)+(M110*TERecTD)+(N110*TEFuml)+(H110*TERushAtt)</f>
        <v>6.4300000000000006</v>
      </c>
      <c r="P110" s="1" t="str">
        <f ca="1">IF(A110&lt;=TEStarters,"Starter",IF(A110&gt;TEStarters+TEBench,"Undrafted","Bench"))</f>
        <v>Undrafted</v>
      </c>
      <c r="Q110" s="47">
        <f ca="1">IFERROR(MAX(O110-LARGE(O$3:O$129,TEStarters),0),0)</f>
        <v>0</v>
      </c>
      <c r="R110" s="47">
        <f ca="1">IFERROR(IF(AllowNegative="Yes",O110-LARGE(O$3:O$129,TECount),MAX(O110-LARGE(O$3:O$129,TECount),0)),0)</f>
        <v>-60.37</v>
      </c>
      <c r="S110" s="47">
        <f ca="1">IF(TEStarters&gt;0,(R110-Q110)*BenchPF+Q110*StarterPF,0)</f>
        <v>-14.458364412690862</v>
      </c>
      <c r="T110" s="47">
        <f ca="1">S110*Auction!$A$2</f>
        <v>-14.458364412690862</v>
      </c>
      <c r="U110" s="47" t="str">
        <f>IF(OR(INDEX(Auction!$H$13:$H$683,MATCH(B110,Auction!$A$13:$A$683,0))&gt;0,IFERROR(INDEX(CheatSheet!$D$37:$D$64,MATCH(B110,CheatSheet!$A$37:$A$64,0)),"")&lt;&gt;""),"Yes","No")</f>
        <v>No</v>
      </c>
      <c r="V110" s="219"/>
      <c r="W110" s="1"/>
      <c r="X110" s="100">
        <f ca="1">IFERROR(SUMIFS($Y$3:$Y$129,$Y$3:$Y$129,"&gt;0",$U$3:$U$129,"No")/SUMIF($Y$3:$Y$129,"&gt;0"),0)</f>
        <v>1</v>
      </c>
      <c r="Y110" s="1">
        <f t="shared" ca="1" si="1"/>
        <v>-30.184999999999999</v>
      </c>
      <c r="Z110" s="145" t="str">
        <f ca="1">CONCATENATE("TE",ROUND((LARGE($Y$3:$Y$129,1)-$Y110)/(STDEVP($Y$3:$Y$129)/2)+1,0))</f>
        <v>TE12</v>
      </c>
      <c r="AA110" s="1">
        <f ca="1">Y110*LeagueInfo!$H$5</f>
        <v>-13.804835918355405</v>
      </c>
    </row>
    <row r="111" spans="1:27" x14ac:dyDescent="0.25">
      <c r="A111" s="47">
        <f>RANK(O111,O$3:O$129)</f>
        <v>109</v>
      </c>
      <c r="B111" s="1" t="s">
        <v>800</v>
      </c>
      <c r="C111" s="1" t="s">
        <v>47</v>
      </c>
      <c r="D111" s="1">
        <f>VLOOKUP(E111,BYEs!$A$2:$B$34,2)</f>
        <v>6</v>
      </c>
      <c r="E111" s="1" t="s">
        <v>366</v>
      </c>
      <c r="F111" s="245">
        <v>0</v>
      </c>
      <c r="G111" s="246">
        <v>0</v>
      </c>
      <c r="H111" s="247">
        <v>0</v>
      </c>
      <c r="I111" s="247">
        <v>0</v>
      </c>
      <c r="J111" s="247">
        <v>0</v>
      </c>
      <c r="K111" s="249">
        <v>4</v>
      </c>
      <c r="L111" s="247">
        <v>41</v>
      </c>
      <c r="M111" s="250">
        <v>0.3</v>
      </c>
      <c r="N111" s="251">
        <v>0</v>
      </c>
      <c r="O111" s="12">
        <f>(I111*TERushYd)+(J111*TERushTD)+(K111*TERec)+(L111*TERecYd)+(M111*TERecTD)+(N111*TEFuml)+(H111*TERushAtt)</f>
        <v>5.9</v>
      </c>
      <c r="P111" s="1" t="str">
        <f ca="1">IF(A111&lt;=TEStarters,"Starter",IF(A111&gt;TEStarters+TEBench,"Undrafted","Bench"))</f>
        <v>Undrafted</v>
      </c>
      <c r="Q111" s="47">
        <f ca="1">IFERROR(MAX(O111-LARGE(O$3:O$129,TEStarters),0),0)</f>
        <v>0</v>
      </c>
      <c r="R111" s="47">
        <f ca="1">IFERROR(IF(AllowNegative="Yes",O111-LARGE(O$3:O$129,TECount),MAX(O111-LARGE(O$3:O$129,TECount),0)),0)</f>
        <v>-60.9</v>
      </c>
      <c r="S111" s="47">
        <f ca="1">IF(TEStarters&gt;0,(R111-Q111)*BenchPF+Q111*StarterPF,0)</f>
        <v>-14.58529721273602</v>
      </c>
      <c r="T111" s="47">
        <f ca="1">S111*Auction!$A$2</f>
        <v>-14.58529721273602</v>
      </c>
      <c r="U111" s="47" t="str">
        <f>IF(OR(INDEX(Auction!$H$13:$H$683,MATCH(B111,Auction!$A$13:$A$683,0))&gt;0,IFERROR(INDEX(CheatSheet!$D$37:$D$64,MATCH(B111,CheatSheet!$A$37:$A$64,0)),"")&lt;&gt;""),"Yes","No")</f>
        <v>No</v>
      </c>
      <c r="V111" s="219"/>
      <c r="W111" s="1"/>
      <c r="X111" s="100">
        <f ca="1">IFERROR(SUMIFS($Y$3:$Y$129,$Y$3:$Y$129,"&gt;0",$U$3:$U$129,"No")/SUMIF($Y$3:$Y$129,"&gt;0"),0)</f>
        <v>1</v>
      </c>
      <c r="Y111" s="1">
        <f t="shared" ca="1" si="1"/>
        <v>-30.45</v>
      </c>
      <c r="Z111" s="145" t="str">
        <f ca="1">CONCATENATE("TE",ROUND((LARGE($Y$3:$Y$129,1)-$Y111)/(STDEVP($Y$3:$Y$129)/2)+1,0))</f>
        <v>TE12</v>
      </c>
      <c r="AA111" s="1">
        <f ca="1">Y111*LeagueInfo!$H$5</f>
        <v>-13.926031264334009</v>
      </c>
    </row>
    <row r="112" spans="1:27" x14ac:dyDescent="0.25">
      <c r="A112" s="47">
        <f>RANK(O112,O$3:O$129)</f>
        <v>110</v>
      </c>
      <c r="B112" s="1" t="s">
        <v>801</v>
      </c>
      <c r="C112" s="1" t="s">
        <v>47</v>
      </c>
      <c r="D112" s="1">
        <f>VLOOKUP(E112,BYEs!$A$2:$B$34,2)</f>
        <v>8</v>
      </c>
      <c r="E112" s="1" t="s">
        <v>370</v>
      </c>
      <c r="F112" s="245">
        <v>0</v>
      </c>
      <c r="G112" s="246">
        <v>0</v>
      </c>
      <c r="H112" s="247">
        <v>0</v>
      </c>
      <c r="I112" s="247">
        <v>0</v>
      </c>
      <c r="J112" s="247">
        <v>0</v>
      </c>
      <c r="K112" s="249">
        <v>4.4000000000000004</v>
      </c>
      <c r="L112" s="247">
        <v>43.9</v>
      </c>
      <c r="M112" s="250">
        <v>0.2</v>
      </c>
      <c r="N112" s="251">
        <v>0</v>
      </c>
      <c r="O112" s="12">
        <f>(I112*TERushYd)+(J112*TERushTD)+(K112*TERec)+(L112*TERecYd)+(M112*TERecTD)+(N112*TEFuml)+(H112*TERushAtt)</f>
        <v>5.59</v>
      </c>
      <c r="P112" s="1" t="str">
        <f ca="1">IF(A112&lt;=TEStarters,"Starter",IF(A112&gt;TEStarters+TEBench,"Undrafted","Bench"))</f>
        <v>Undrafted</v>
      </c>
      <c r="Q112" s="47">
        <f ca="1">IFERROR(MAX(O112-LARGE(O$3:O$129,TEStarters),0),0)</f>
        <v>0</v>
      </c>
      <c r="R112" s="47">
        <f ca="1">IFERROR(IF(AllowNegative="Yes",O112-LARGE(O$3:O$129,TECount),MAX(O112-LARGE(O$3:O$129,TECount),0)),0)</f>
        <v>-61.209999999999994</v>
      </c>
      <c r="S112" s="47">
        <f ca="1">IF(TEStarters&gt;0,(R112-Q112)*BenchPF+Q112*StarterPF,0)</f>
        <v>-14.65954092596998</v>
      </c>
      <c r="T112" s="47">
        <f ca="1">S112*Auction!$A$2</f>
        <v>-14.65954092596998</v>
      </c>
      <c r="U112" s="47" t="str">
        <f>IF(OR(INDEX(Auction!$H$13:$H$683,MATCH(B112,Auction!$A$13:$A$683,0))&gt;0,IFERROR(INDEX(CheatSheet!$D$37:$D$64,MATCH(B112,CheatSheet!$A$37:$A$64,0)),"")&lt;&gt;""),"Yes","No")</f>
        <v>No</v>
      </c>
      <c r="V112" s="219"/>
      <c r="W112" s="1"/>
      <c r="X112" s="100">
        <f ca="1">IFERROR(SUMIFS($Y$3:$Y$129,$Y$3:$Y$129,"&gt;0",$U$3:$U$129,"No")/SUMIF($Y$3:$Y$129,"&gt;0"),0)</f>
        <v>1</v>
      </c>
      <c r="Y112" s="1">
        <f t="shared" ca="1" si="1"/>
        <v>-30.604999999999997</v>
      </c>
      <c r="Z112" s="145" t="str">
        <f ca="1">CONCATENATE("TE",ROUND((LARGE($Y$3:$Y$129,1)-$Y112)/(STDEVP($Y$3:$Y$129)/2)+1,0))</f>
        <v>TE12</v>
      </c>
      <c r="AA112" s="1">
        <f ca="1">Y112*LeagueInfo!$H$5</f>
        <v>-13.996919108208287</v>
      </c>
    </row>
    <row r="113" spans="1:27" x14ac:dyDescent="0.25">
      <c r="A113" s="47">
        <f>RANK(O113,O$3:O$129)</f>
        <v>111</v>
      </c>
      <c r="B113" s="1" t="s">
        <v>782</v>
      </c>
      <c r="C113" s="1" t="s">
        <v>47</v>
      </c>
      <c r="D113" s="1">
        <f>VLOOKUP(E113,BYEs!$A$2:$B$34,2)</f>
        <v>9</v>
      </c>
      <c r="E113" s="1" t="s">
        <v>376</v>
      </c>
      <c r="F113" s="245">
        <v>0</v>
      </c>
      <c r="G113" s="246">
        <v>0</v>
      </c>
      <c r="H113" s="247">
        <v>0</v>
      </c>
      <c r="I113" s="247">
        <v>0</v>
      </c>
      <c r="J113" s="247">
        <v>0</v>
      </c>
      <c r="K113" s="249">
        <v>4.5</v>
      </c>
      <c r="L113" s="247">
        <v>45.8</v>
      </c>
      <c r="M113" s="250">
        <v>0.2</v>
      </c>
      <c r="N113" s="251">
        <v>0.1</v>
      </c>
      <c r="O113" s="12">
        <f>(I113*TERushYd)+(J113*TERushTD)+(K113*TERec)+(L113*TERecYd)+(M113*TERecTD)+(N113*TEFuml)+(H113*TERushAtt)</f>
        <v>5.58</v>
      </c>
      <c r="P113" s="1" t="str">
        <f ca="1">IF(A113&lt;=TEStarters,"Starter",IF(A113&gt;TEStarters+TEBench,"Undrafted","Bench"))</f>
        <v>Undrafted</v>
      </c>
      <c r="Q113" s="47">
        <f ca="1">IFERROR(MAX(O113-LARGE(O$3:O$129,TEStarters),0),0)</f>
        <v>0</v>
      </c>
      <c r="R113" s="47">
        <f ca="1">IFERROR(IF(AllowNegative="Yes",O113-LARGE(O$3:O$129,TECount),MAX(O113-LARGE(O$3:O$129,TECount),0)),0)</f>
        <v>-61.22</v>
      </c>
      <c r="S113" s="47">
        <f ca="1">IF(TEStarters&gt;0,(R113-Q113)*BenchPF+Q113*StarterPF,0)</f>
        <v>-14.661935884461398</v>
      </c>
      <c r="T113" s="47">
        <f ca="1">S113*Auction!$A$2</f>
        <v>-14.661935884461398</v>
      </c>
      <c r="U113" s="47" t="str">
        <f>IF(OR(INDEX(Auction!$H$13:$H$683,MATCH(B113,Auction!$A$13:$A$683,0))&gt;0,IFERROR(INDEX(CheatSheet!$D$37:$D$64,MATCH(B113,CheatSheet!$A$37:$A$64,0)),"")&lt;&gt;""),"Yes","No")</f>
        <v>No</v>
      </c>
      <c r="V113" s="219"/>
      <c r="W113" s="1"/>
      <c r="X113" s="100">
        <f ca="1">IFERROR(SUMIFS($Y$3:$Y$129,$Y$3:$Y$129,"&gt;0",$U$3:$U$129,"No")/SUMIF($Y$3:$Y$129,"&gt;0"),0)</f>
        <v>1</v>
      </c>
      <c r="Y113" s="1">
        <f t="shared" ca="1" si="1"/>
        <v>-30.61</v>
      </c>
      <c r="Z113" s="145" t="str">
        <f ca="1">CONCATENATE("TE",ROUND((LARGE($Y$3:$Y$129,1)-$Y113)/(STDEVP($Y$3:$Y$129)/2)+1,0))</f>
        <v>TE12</v>
      </c>
      <c r="AA113" s="1">
        <f ca="1">Y113*LeagueInfo!$H$5</f>
        <v>-13.999205812849393</v>
      </c>
    </row>
    <row r="114" spans="1:27" x14ac:dyDescent="0.25">
      <c r="A114" s="47">
        <f>RANK(O114,O$3:O$129)</f>
        <v>112</v>
      </c>
      <c r="B114" s="1" t="s">
        <v>797</v>
      </c>
      <c r="C114" s="1" t="s">
        <v>47</v>
      </c>
      <c r="D114" s="1">
        <f>VLOOKUP(E114,BYEs!$A$2:$B$34,2)</f>
        <v>9</v>
      </c>
      <c r="E114" s="1" t="s">
        <v>376</v>
      </c>
      <c r="F114" s="245">
        <v>0</v>
      </c>
      <c r="G114" s="246">
        <v>0</v>
      </c>
      <c r="H114" s="247">
        <v>0</v>
      </c>
      <c r="I114" s="247">
        <v>0</v>
      </c>
      <c r="J114" s="247">
        <v>0</v>
      </c>
      <c r="K114" s="249">
        <v>6</v>
      </c>
      <c r="L114" s="247">
        <v>50</v>
      </c>
      <c r="M114" s="250">
        <v>0.1</v>
      </c>
      <c r="N114" s="251">
        <v>0.1</v>
      </c>
      <c r="O114" s="12">
        <f>(I114*TERushYd)+(J114*TERushTD)+(K114*TERec)+(L114*TERecYd)+(M114*TERecTD)+(N114*TEFuml)+(H114*TERushAtt)</f>
        <v>5.3999999999999995</v>
      </c>
      <c r="P114" s="1" t="str">
        <f ca="1">IF(A114&lt;=TEStarters,"Starter",IF(A114&gt;TEStarters+TEBench,"Undrafted","Bench"))</f>
        <v>Undrafted</v>
      </c>
      <c r="Q114" s="47">
        <f ca="1">IFERROR(MAX(O114-LARGE(O$3:O$129,TEStarters),0),0)</f>
        <v>0</v>
      </c>
      <c r="R114" s="47">
        <f ca="1">IFERROR(IF(AllowNegative="Yes",O114-LARGE(O$3:O$129,TECount),MAX(O114-LARGE(O$3:O$129,TECount),0)),0)</f>
        <v>-61.4</v>
      </c>
      <c r="S114" s="47">
        <f ca="1">IF(TEStarters&gt;0,(R114-Q114)*BenchPF+Q114*StarterPF,0)</f>
        <v>-14.705045137306923</v>
      </c>
      <c r="T114" s="47">
        <f ca="1">S114*Auction!$A$2</f>
        <v>-14.705045137306923</v>
      </c>
      <c r="U114" s="47" t="str">
        <f>IF(OR(INDEX(Auction!$H$13:$H$683,MATCH(B114,Auction!$A$13:$A$683,0))&gt;0,IFERROR(INDEX(CheatSheet!$D$37:$D$64,MATCH(B114,CheatSheet!$A$37:$A$64,0)),"")&lt;&gt;""),"Yes","No")</f>
        <v>No</v>
      </c>
      <c r="V114" s="219"/>
      <c r="W114" s="1"/>
      <c r="X114" s="100">
        <f ca="1">IFERROR(SUMIFS($Y$3:$Y$129,$Y$3:$Y$129,"&gt;0",$U$3:$U$129,"No")/SUMIF($Y$3:$Y$129,"&gt;0"),0)</f>
        <v>1</v>
      </c>
      <c r="Y114" s="1">
        <f t="shared" ca="1" si="1"/>
        <v>-30.7</v>
      </c>
      <c r="Z114" s="145" t="str">
        <f ca="1">CONCATENATE("TE",ROUND((LARGE($Y$3:$Y$129,1)-$Y114)/(STDEVP($Y$3:$Y$129)/2)+1,0))</f>
        <v>TE12</v>
      </c>
      <c r="AA114" s="1">
        <f ca="1">Y114*LeagueInfo!$H$5</f>
        <v>-14.040366496389296</v>
      </c>
    </row>
    <row r="115" spans="1:27" x14ac:dyDescent="0.25">
      <c r="A115" s="47">
        <f>RANK(O115,O$3:O$129)</f>
        <v>113</v>
      </c>
      <c r="B115" s="1" t="s">
        <v>780</v>
      </c>
      <c r="C115" s="1" t="s">
        <v>47</v>
      </c>
      <c r="D115" s="1">
        <f>VLOOKUP(E115,BYEs!$A$2:$B$34,2)</f>
        <v>10</v>
      </c>
      <c r="E115" s="1" t="s">
        <v>365</v>
      </c>
      <c r="F115" s="245">
        <v>0</v>
      </c>
      <c r="G115" s="246">
        <v>0</v>
      </c>
      <c r="H115" s="247">
        <v>0</v>
      </c>
      <c r="I115" s="247">
        <v>0</v>
      </c>
      <c r="J115" s="247">
        <v>0</v>
      </c>
      <c r="K115" s="249">
        <v>5.0999999999999996</v>
      </c>
      <c r="L115" s="247">
        <v>37.700000000000003</v>
      </c>
      <c r="M115" s="250">
        <v>0.3</v>
      </c>
      <c r="N115" s="251">
        <v>0.1</v>
      </c>
      <c r="O115" s="12">
        <f>(I115*TERushYd)+(J115*TERushTD)+(K115*TERec)+(L115*TERecYd)+(M115*TERecTD)+(N115*TEFuml)+(H115*TERushAtt)</f>
        <v>5.37</v>
      </c>
      <c r="P115" s="1" t="str">
        <f ca="1">IF(A115&lt;=TEStarters,"Starter",IF(A115&gt;TEStarters+TEBench,"Undrafted","Bench"))</f>
        <v>Undrafted</v>
      </c>
      <c r="Q115" s="47">
        <f ca="1">IFERROR(MAX(O115-LARGE(O$3:O$129,TEStarters),0),0)</f>
        <v>0</v>
      </c>
      <c r="R115" s="47">
        <f ca="1">IFERROR(IF(AllowNegative="Yes",O115-LARGE(O$3:O$129,TECount),MAX(O115-LARGE(O$3:O$129,TECount),0)),0)</f>
        <v>-61.43</v>
      </c>
      <c r="S115" s="47">
        <f ca="1">IF(TEStarters&gt;0,(R115-Q115)*BenchPF+Q115*StarterPF,0)</f>
        <v>-14.712230012781179</v>
      </c>
      <c r="T115" s="47">
        <f ca="1">S115*Auction!$A$2</f>
        <v>-14.712230012781179</v>
      </c>
      <c r="U115" s="47" t="str">
        <f>IF(OR(INDEX(Auction!$H$13:$H$683,MATCH(B115,Auction!$A$13:$A$683,0))&gt;0,IFERROR(INDEX(CheatSheet!$D$37:$D$64,MATCH(B115,CheatSheet!$A$37:$A$64,0)),"")&lt;&gt;""),"Yes","No")</f>
        <v>No</v>
      </c>
      <c r="V115" s="219"/>
      <c r="W115" s="1"/>
      <c r="X115" s="100">
        <f ca="1">IFERROR(SUMIFS($Y$3:$Y$129,$Y$3:$Y$129,"&gt;0",$U$3:$U$129,"No")/SUMIF($Y$3:$Y$129,"&gt;0"),0)</f>
        <v>1</v>
      </c>
      <c r="Y115" s="1">
        <f t="shared" ca="1" si="1"/>
        <v>-30.715</v>
      </c>
      <c r="Z115" s="145" t="str">
        <f ca="1">CONCATENATE("TE",ROUND((LARGE($Y$3:$Y$129,1)-$Y115)/(STDEVP($Y$3:$Y$129)/2)+1,0))</f>
        <v>TE12</v>
      </c>
      <c r="AA115" s="1">
        <f ca="1">Y115*LeagueInfo!$H$5</f>
        <v>-14.047226610312615</v>
      </c>
    </row>
    <row r="116" spans="1:27" x14ac:dyDescent="0.25">
      <c r="A116" s="47">
        <f>RANK(O116,O$3:O$129)</f>
        <v>114</v>
      </c>
      <c r="B116" s="1" t="s">
        <v>787</v>
      </c>
      <c r="C116" s="1" t="s">
        <v>47</v>
      </c>
      <c r="D116" s="1">
        <f>VLOOKUP(E116,BYEs!$A$2:$B$34,2)</f>
        <v>5</v>
      </c>
      <c r="E116" s="1" t="s">
        <v>353</v>
      </c>
      <c r="F116" s="245">
        <v>0</v>
      </c>
      <c r="G116" s="246">
        <v>0</v>
      </c>
      <c r="H116" s="247">
        <v>0</v>
      </c>
      <c r="I116" s="247">
        <v>0</v>
      </c>
      <c r="J116" s="247">
        <v>0</v>
      </c>
      <c r="K116" s="249">
        <v>3.7</v>
      </c>
      <c r="L116" s="247">
        <v>40.700000000000003</v>
      </c>
      <c r="M116" s="250">
        <v>0.2</v>
      </c>
      <c r="N116" s="251">
        <v>0</v>
      </c>
      <c r="O116" s="12">
        <f>(I116*TERushYd)+(J116*TERushTD)+(K116*TERec)+(L116*TERecYd)+(M116*TERecTD)+(N116*TEFuml)+(H116*TERushAtt)</f>
        <v>5.2700000000000005</v>
      </c>
      <c r="P116" s="1" t="str">
        <f ca="1">IF(A116&lt;=TEStarters,"Starter",IF(A116&gt;TEStarters+TEBench,"Undrafted","Bench"))</f>
        <v>Undrafted</v>
      </c>
      <c r="Q116" s="47">
        <f ca="1">IFERROR(MAX(O116-LARGE(O$3:O$129,TEStarters),0),0)</f>
        <v>0</v>
      </c>
      <c r="R116" s="47">
        <f ca="1">IFERROR(IF(AllowNegative="Yes",O116-LARGE(O$3:O$129,TECount),MAX(O116-LARGE(O$3:O$129,TECount),0)),0)</f>
        <v>-61.529999999999994</v>
      </c>
      <c r="S116" s="47">
        <f ca="1">IF(TEStarters&gt;0,(R116-Q116)*BenchPF+Q116*StarterPF,0)</f>
        <v>-14.736179597695358</v>
      </c>
      <c r="T116" s="47">
        <f ca="1">S116*Auction!$A$2</f>
        <v>-14.736179597695358</v>
      </c>
      <c r="U116" s="47" t="str">
        <f>IF(OR(INDEX(Auction!$H$13:$H$683,MATCH(B116,Auction!$A$13:$A$683,0))&gt;0,IFERROR(INDEX(CheatSheet!$D$37:$D$64,MATCH(B116,CheatSheet!$A$37:$A$64,0)),"")&lt;&gt;""),"Yes","No")</f>
        <v>No</v>
      </c>
      <c r="V116" s="219"/>
      <c r="W116" s="1"/>
      <c r="X116" s="100">
        <f ca="1">IFERROR(SUMIFS($Y$3:$Y$129,$Y$3:$Y$129,"&gt;0",$U$3:$U$129,"No")/SUMIF($Y$3:$Y$129,"&gt;0"),0)</f>
        <v>1</v>
      </c>
      <c r="Y116" s="1">
        <f t="shared" ca="1" si="1"/>
        <v>-30.764999999999997</v>
      </c>
      <c r="Z116" s="145" t="str">
        <f ca="1">CONCATENATE("TE",ROUND((LARGE($Y$3:$Y$129,1)-$Y116)/(STDEVP($Y$3:$Y$129)/2)+1,0))</f>
        <v>TE12</v>
      </c>
      <c r="AA116" s="1">
        <f ca="1">Y116*LeagueInfo!$H$5</f>
        <v>-14.070093656723671</v>
      </c>
    </row>
    <row r="117" spans="1:27" x14ac:dyDescent="0.25">
      <c r="A117" s="47">
        <f>RANK(O117,O$3:O$129)</f>
        <v>115</v>
      </c>
      <c r="B117" s="1" t="s">
        <v>898</v>
      </c>
      <c r="C117" s="1" t="s">
        <v>47</v>
      </c>
      <c r="D117" s="1">
        <f>VLOOKUP(E117,BYEs!$A$2:$B$34,2)</f>
        <v>5</v>
      </c>
      <c r="E117" s="1" t="s">
        <v>352</v>
      </c>
      <c r="F117" s="245">
        <v>0</v>
      </c>
      <c r="G117" s="246">
        <v>0</v>
      </c>
      <c r="H117" s="247">
        <v>0</v>
      </c>
      <c r="I117" s="247">
        <v>0</v>
      </c>
      <c r="J117" s="247">
        <v>0</v>
      </c>
      <c r="K117" s="249">
        <v>5</v>
      </c>
      <c r="L117" s="247">
        <v>35.299999999999997</v>
      </c>
      <c r="M117" s="250">
        <v>0.3</v>
      </c>
      <c r="N117" s="251">
        <v>0.1</v>
      </c>
      <c r="O117" s="12">
        <f>(I117*TERushYd)+(J117*TERushTD)+(K117*TERec)+(L117*TERecYd)+(M117*TERecTD)+(N117*TEFuml)+(H117*TERushAtt)</f>
        <v>5.13</v>
      </c>
      <c r="P117" s="1" t="str">
        <f ca="1">IF(A117&lt;=TEStarters,"Starter",IF(A117&gt;TEStarters+TEBench,"Undrafted","Bench"))</f>
        <v>Undrafted</v>
      </c>
      <c r="Q117" s="47">
        <f ca="1">IFERROR(MAX(O117-LARGE(O$3:O$129,TEStarters),0),0)</f>
        <v>0</v>
      </c>
      <c r="R117" s="47">
        <f ca="1">IFERROR(IF(AllowNegative="Yes",O117-LARGE(O$3:O$129,TECount),MAX(O117-LARGE(O$3:O$129,TECount),0)),0)</f>
        <v>-61.669999999999995</v>
      </c>
      <c r="S117" s="47">
        <f ca="1">IF(TEStarters&gt;0,(R117-Q117)*BenchPF+Q117*StarterPF,0)</f>
        <v>-14.769709016575211</v>
      </c>
      <c r="T117" s="47">
        <f ca="1">S117*Auction!$A$2</f>
        <v>-14.769709016575211</v>
      </c>
      <c r="U117" s="47" t="str">
        <f>IF(OR(INDEX(Auction!$H$13:$H$683,MATCH(B117,Auction!$A$13:$A$683,0))&gt;0,IFERROR(INDEX(CheatSheet!$D$37:$D$64,MATCH(B117,CheatSheet!$A$37:$A$64,0)),"")&lt;&gt;""),"Yes","No")</f>
        <v>No</v>
      </c>
      <c r="V117" s="219"/>
      <c r="W117" s="1"/>
      <c r="X117" s="100">
        <f ca="1">IFERROR(SUMIFS($Y$3:$Y$129,$Y$3:$Y$129,"&gt;0",$U$3:$U$129,"No")/SUMIF($Y$3:$Y$129,"&gt;0"),0)</f>
        <v>1</v>
      </c>
      <c r="Y117" s="1">
        <f t="shared" ca="1" si="1"/>
        <v>-30.834999999999997</v>
      </c>
      <c r="Z117" s="145" t="str">
        <f ca="1">CONCATENATE("TE",ROUND((LARGE($Y$3:$Y$129,1)-$Y117)/(STDEVP($Y$3:$Y$129)/2)+1,0))</f>
        <v>TE12</v>
      </c>
      <c r="AA117" s="1">
        <f ca="1">Y117*LeagueInfo!$H$5</f>
        <v>-14.102107521699152</v>
      </c>
    </row>
    <row r="118" spans="1:27" x14ac:dyDescent="0.25">
      <c r="A118" s="47">
        <f>RANK(O118,O$3:O$129)</f>
        <v>116</v>
      </c>
      <c r="B118" s="1" t="s">
        <v>802</v>
      </c>
      <c r="C118" s="1" t="s">
        <v>47</v>
      </c>
      <c r="D118" s="1">
        <f>VLOOKUP(E118,BYEs!$A$2:$B$34,2)</f>
        <v>9</v>
      </c>
      <c r="E118" s="1" t="s">
        <v>351</v>
      </c>
      <c r="F118" s="245">
        <v>0</v>
      </c>
      <c r="G118" s="246">
        <v>0</v>
      </c>
      <c r="H118" s="247">
        <v>0</v>
      </c>
      <c r="I118" s="247">
        <v>0</v>
      </c>
      <c r="J118" s="247">
        <v>0</v>
      </c>
      <c r="K118" s="249">
        <v>4.7</v>
      </c>
      <c r="L118" s="247">
        <v>47.2</v>
      </c>
      <c r="M118" s="250">
        <v>0.1</v>
      </c>
      <c r="N118" s="251">
        <v>0.1</v>
      </c>
      <c r="O118" s="12">
        <f>(I118*TERushYd)+(J118*TERushTD)+(K118*TERec)+(L118*TERecYd)+(M118*TERecTD)+(N118*TEFuml)+(H118*TERushAtt)</f>
        <v>5.12</v>
      </c>
      <c r="P118" s="1" t="str">
        <f ca="1">IF(A118&lt;=TEStarters,"Starter",IF(A118&gt;TEStarters+TEBench,"Undrafted","Bench"))</f>
        <v>Undrafted</v>
      </c>
      <c r="Q118" s="47">
        <f ca="1">IFERROR(MAX(O118-LARGE(O$3:O$129,TEStarters),0),0)</f>
        <v>0</v>
      </c>
      <c r="R118" s="47">
        <f ca="1">IFERROR(IF(AllowNegative="Yes",O118-LARGE(O$3:O$129,TECount),MAX(O118-LARGE(O$3:O$129,TECount),0)),0)</f>
        <v>-61.68</v>
      </c>
      <c r="S118" s="47">
        <f ca="1">IF(TEStarters&gt;0,(R118-Q118)*BenchPF+Q118*StarterPF,0)</f>
        <v>-14.77210397506663</v>
      </c>
      <c r="T118" s="47">
        <f ca="1">S118*Auction!$A$2</f>
        <v>-14.77210397506663</v>
      </c>
      <c r="U118" s="47" t="str">
        <f>IF(OR(INDEX(Auction!$H$13:$H$683,MATCH(B118,Auction!$A$13:$A$683,0))&gt;0,IFERROR(INDEX(CheatSheet!$D$37:$D$64,MATCH(B118,CheatSheet!$A$37:$A$64,0)),"")&lt;&gt;""),"Yes","No")</f>
        <v>No</v>
      </c>
      <c r="V118" s="219"/>
      <c r="W118" s="1"/>
      <c r="X118" s="100">
        <f ca="1">IFERROR(SUMIFS($Y$3:$Y$129,$Y$3:$Y$129,"&gt;0",$U$3:$U$129,"No")/SUMIF($Y$3:$Y$129,"&gt;0"),0)</f>
        <v>1</v>
      </c>
      <c r="Y118" s="1">
        <f t="shared" ca="1" si="1"/>
        <v>-30.84</v>
      </c>
      <c r="Z118" s="145" t="str">
        <f ca="1">CONCATENATE("TE",ROUND((LARGE($Y$3:$Y$129,1)-$Y118)/(STDEVP($Y$3:$Y$129)/2)+1,0))</f>
        <v>TE12</v>
      </c>
      <c r="AA118" s="1">
        <f ca="1">Y118*LeagueInfo!$H$5</f>
        <v>-14.104394226340258</v>
      </c>
    </row>
    <row r="119" spans="1:27" x14ac:dyDescent="0.25">
      <c r="A119" s="47">
        <f>RANK(O119,O$3:O$129)</f>
        <v>117</v>
      </c>
      <c r="B119" s="1" t="s">
        <v>785</v>
      </c>
      <c r="C119" s="1" t="s">
        <v>47</v>
      </c>
      <c r="D119" s="1">
        <f>VLOOKUP(E119,BYEs!$A$2:$B$34,2)</f>
        <v>11</v>
      </c>
      <c r="E119" s="1" t="s">
        <v>356</v>
      </c>
      <c r="F119" s="245">
        <v>0</v>
      </c>
      <c r="G119" s="246">
        <v>0</v>
      </c>
      <c r="H119" s="247">
        <v>0</v>
      </c>
      <c r="I119" s="247">
        <v>0</v>
      </c>
      <c r="J119" s="247">
        <v>0</v>
      </c>
      <c r="K119" s="249">
        <v>5.7</v>
      </c>
      <c r="L119" s="247">
        <v>40.9</v>
      </c>
      <c r="M119" s="250">
        <v>0.2</v>
      </c>
      <c r="N119" s="251">
        <v>0.1</v>
      </c>
      <c r="O119" s="12">
        <f>(I119*TERushYd)+(J119*TERushTD)+(K119*TERec)+(L119*TERecYd)+(M119*TERecTD)+(N119*TEFuml)+(H119*TERushAtt)</f>
        <v>5.09</v>
      </c>
      <c r="P119" s="1" t="str">
        <f ca="1">IF(A119&lt;=TEStarters,"Starter",IF(A119&gt;TEStarters+TEBench,"Undrafted","Bench"))</f>
        <v>Undrafted</v>
      </c>
      <c r="Q119" s="47">
        <f ca="1">IFERROR(MAX(O119-LARGE(O$3:O$129,TEStarters),0),0)</f>
        <v>0</v>
      </c>
      <c r="R119" s="47">
        <f ca="1">IFERROR(IF(AllowNegative="Yes",O119-LARGE(O$3:O$129,TECount),MAX(O119-LARGE(O$3:O$129,TECount),0)),0)</f>
        <v>-61.709999999999994</v>
      </c>
      <c r="S119" s="47">
        <f ca="1">IF(TEStarters&gt;0,(R119-Q119)*BenchPF+Q119*StarterPF,0)</f>
        <v>-14.779288850540883</v>
      </c>
      <c r="T119" s="47">
        <f ca="1">S119*Auction!$A$2</f>
        <v>-14.779288850540883</v>
      </c>
      <c r="U119" s="47" t="str">
        <f>IF(OR(INDEX(Auction!$H$13:$H$683,MATCH(B119,Auction!$A$13:$A$683,0))&gt;0,IFERROR(INDEX(CheatSheet!$D$37:$D$64,MATCH(B119,CheatSheet!$A$37:$A$64,0)),"")&lt;&gt;""),"Yes","No")</f>
        <v>No</v>
      </c>
      <c r="V119" s="219"/>
      <c r="W119" s="1"/>
      <c r="X119" s="100">
        <f ca="1">IFERROR(SUMIFS($Y$3:$Y$129,$Y$3:$Y$129,"&gt;0",$U$3:$U$129,"No")/SUMIF($Y$3:$Y$129,"&gt;0"),0)</f>
        <v>1</v>
      </c>
      <c r="Y119" s="1">
        <f t="shared" ca="1" si="1"/>
        <v>-30.854999999999997</v>
      </c>
      <c r="Z119" s="145" t="str">
        <f ca="1">CONCATENATE("TE",ROUND((LARGE($Y$3:$Y$129,1)-$Y119)/(STDEVP($Y$3:$Y$129)/2)+1,0))</f>
        <v>TE12</v>
      </c>
      <c r="AA119" s="1">
        <f ca="1">Y119*LeagueInfo!$H$5</f>
        <v>-14.111254340263574</v>
      </c>
    </row>
    <row r="120" spans="1:27" x14ac:dyDescent="0.25">
      <c r="A120" s="47">
        <f>RANK(O120,O$3:O$129)</f>
        <v>118</v>
      </c>
      <c r="B120" s="1" t="s">
        <v>804</v>
      </c>
      <c r="C120" s="1" t="s">
        <v>47</v>
      </c>
      <c r="D120" s="1">
        <f>VLOOKUP(E120,BYEs!$A$2:$B$34,2)</f>
        <v>11</v>
      </c>
      <c r="E120" s="1" t="s">
        <v>355</v>
      </c>
      <c r="F120" s="245">
        <v>0</v>
      </c>
      <c r="G120" s="246">
        <v>0</v>
      </c>
      <c r="H120" s="247">
        <v>0</v>
      </c>
      <c r="I120" s="247">
        <v>0</v>
      </c>
      <c r="J120" s="247">
        <v>0</v>
      </c>
      <c r="K120" s="249">
        <v>3.4</v>
      </c>
      <c r="L120" s="247">
        <v>38.200000000000003</v>
      </c>
      <c r="M120" s="250">
        <v>0.2</v>
      </c>
      <c r="N120" s="251">
        <v>0.1</v>
      </c>
      <c r="O120" s="12">
        <f>(I120*TERushYd)+(J120*TERushTD)+(K120*TERec)+(L120*TERecYd)+(M120*TERecTD)+(N120*TEFuml)+(H120*TERushAtt)</f>
        <v>4.82</v>
      </c>
      <c r="P120" s="1" t="str">
        <f ca="1">IF(A120&lt;=TEStarters,"Starter",IF(A120&gt;TEStarters+TEBench,"Undrafted","Bench"))</f>
        <v>Undrafted</v>
      </c>
      <c r="Q120" s="47">
        <f ca="1">IFERROR(MAX(O120-LARGE(O$3:O$129,TEStarters),0),0)</f>
        <v>0</v>
      </c>
      <c r="R120" s="47">
        <f ca="1">IFERROR(IF(AllowNegative="Yes",O120-LARGE(O$3:O$129,TECount),MAX(O120-LARGE(O$3:O$129,TECount),0)),0)</f>
        <v>-61.98</v>
      </c>
      <c r="S120" s="47">
        <f ca="1">IF(TEStarters&gt;0,(R120-Q120)*BenchPF+Q120*StarterPF,0)</f>
        <v>-14.843952729809171</v>
      </c>
      <c r="T120" s="47">
        <f ca="1">S120*Auction!$A$2</f>
        <v>-14.843952729809171</v>
      </c>
      <c r="U120" s="47" t="str">
        <f>IF(OR(INDEX(Auction!$H$13:$H$683,MATCH(B120,Auction!$A$13:$A$683,0))&gt;0,IFERROR(INDEX(CheatSheet!$D$37:$D$64,MATCH(B120,CheatSheet!$A$37:$A$64,0)),"")&lt;&gt;""),"Yes","No")</f>
        <v>No</v>
      </c>
      <c r="V120" s="219"/>
      <c r="W120" s="1"/>
      <c r="X120" s="100">
        <f ca="1">IFERROR(SUMIFS($Y$3:$Y$129,$Y$3:$Y$129,"&gt;0",$U$3:$U$129,"No")/SUMIF($Y$3:$Y$129,"&gt;0"),0)</f>
        <v>1</v>
      </c>
      <c r="Y120" s="1">
        <f t="shared" ca="1" si="1"/>
        <v>-30.99</v>
      </c>
      <c r="Z120" s="145" t="str">
        <f ca="1">CONCATENATE("TE",ROUND((LARGE($Y$3:$Y$129,1)-$Y120)/(STDEVP($Y$3:$Y$129)/2)+1,0))</f>
        <v>TE12</v>
      </c>
      <c r="AA120" s="1">
        <f ca="1">Y120*LeagueInfo!$H$5</f>
        <v>-14.17299536557343</v>
      </c>
    </row>
    <row r="121" spans="1:27" x14ac:dyDescent="0.25">
      <c r="A121" s="47">
        <f>RANK(O121,O$3:O$129)</f>
        <v>119</v>
      </c>
      <c r="B121" s="1" t="s">
        <v>778</v>
      </c>
      <c r="C121" s="1" t="s">
        <v>47</v>
      </c>
      <c r="D121" s="1">
        <f>VLOOKUP(E121,BYEs!$A$2:$B$34,2)</f>
        <v>8</v>
      </c>
      <c r="E121" s="1" t="s">
        <v>380</v>
      </c>
      <c r="F121" s="245">
        <v>0</v>
      </c>
      <c r="G121" s="246">
        <v>0</v>
      </c>
      <c r="H121" s="247">
        <v>0</v>
      </c>
      <c r="I121" s="247">
        <v>0</v>
      </c>
      <c r="J121" s="247">
        <v>0</v>
      </c>
      <c r="K121" s="249">
        <v>4.3</v>
      </c>
      <c r="L121" s="247">
        <v>31.6</v>
      </c>
      <c r="M121" s="250">
        <v>0.3</v>
      </c>
      <c r="N121" s="251">
        <v>0.1</v>
      </c>
      <c r="O121" s="12">
        <f>(I121*TERushYd)+(J121*TERushTD)+(K121*TERec)+(L121*TERecYd)+(M121*TERecTD)+(N121*TEFuml)+(H121*TERushAtt)</f>
        <v>4.76</v>
      </c>
      <c r="P121" s="1" t="str">
        <f ca="1">IF(A121&lt;=TEStarters,"Starter",IF(A121&gt;TEStarters+TEBench,"Undrafted","Bench"))</f>
        <v>Undrafted</v>
      </c>
      <c r="Q121" s="47">
        <f ca="1">IFERROR(MAX(O121-LARGE(O$3:O$129,TEStarters),0),0)</f>
        <v>0</v>
      </c>
      <c r="R121" s="47">
        <f ca="1">IFERROR(IF(AllowNegative="Yes",O121-LARGE(O$3:O$129,TECount),MAX(O121-LARGE(O$3:O$129,TECount),0)),0)</f>
        <v>-62.04</v>
      </c>
      <c r="S121" s="47">
        <f ca="1">IF(TEStarters&gt;0,(R121-Q121)*BenchPF+Q121*StarterPF,0)</f>
        <v>-14.85832248075768</v>
      </c>
      <c r="T121" s="47">
        <f ca="1">S121*Auction!$A$2</f>
        <v>-14.85832248075768</v>
      </c>
      <c r="U121" s="47" t="str">
        <f>IF(OR(INDEX(Auction!$H$13:$H$683,MATCH(B121,Auction!$A$13:$A$683,0))&gt;0,IFERROR(INDEX(CheatSheet!$D$37:$D$64,MATCH(B121,CheatSheet!$A$37:$A$64,0)),"")&lt;&gt;""),"Yes","No")</f>
        <v>No</v>
      </c>
      <c r="V121" s="219"/>
      <c r="W121" s="1"/>
      <c r="X121" s="100">
        <f ca="1">IFERROR(SUMIFS($Y$3:$Y$129,$Y$3:$Y$129,"&gt;0",$U$3:$U$129,"No")/SUMIF($Y$3:$Y$129,"&gt;0"),0)</f>
        <v>1</v>
      </c>
      <c r="Y121" s="1">
        <f t="shared" ca="1" si="1"/>
        <v>-31.02</v>
      </c>
      <c r="Z121" s="145" t="str">
        <f ca="1">CONCATENATE("TE",ROUND((LARGE($Y$3:$Y$129,1)-$Y121)/(STDEVP($Y$3:$Y$129)/2)+1,0))</f>
        <v>TE12</v>
      </c>
      <c r="AA121" s="1">
        <f ca="1">Y121*LeagueInfo!$H$5</f>
        <v>-14.186715593420065</v>
      </c>
    </row>
    <row r="122" spans="1:27" x14ac:dyDescent="0.25">
      <c r="A122" s="47">
        <f>RANK(O122,O$3:O$129)</f>
        <v>120</v>
      </c>
      <c r="B122" s="1" t="s">
        <v>796</v>
      </c>
      <c r="C122" s="1" t="s">
        <v>47</v>
      </c>
      <c r="D122" s="1">
        <f>VLOOKUP(E122,BYEs!$A$2:$B$34,2)</f>
        <v>5</v>
      </c>
      <c r="E122" s="1" t="s">
        <v>358</v>
      </c>
      <c r="F122" s="245">
        <v>0</v>
      </c>
      <c r="G122" s="246">
        <v>0</v>
      </c>
      <c r="H122" s="247">
        <v>0</v>
      </c>
      <c r="I122" s="247">
        <v>0</v>
      </c>
      <c r="J122" s="247">
        <v>0</v>
      </c>
      <c r="K122" s="249">
        <v>4.5999999999999996</v>
      </c>
      <c r="L122" s="247">
        <v>37.1</v>
      </c>
      <c r="M122" s="250">
        <v>0.2</v>
      </c>
      <c r="N122" s="251">
        <v>0.1</v>
      </c>
      <c r="O122" s="12">
        <f>(I122*TERushYd)+(J122*TERushTD)+(K122*TERec)+(L122*TERecYd)+(M122*TERecTD)+(N122*TEFuml)+(H122*TERushAtt)</f>
        <v>4.71</v>
      </c>
      <c r="P122" s="1" t="str">
        <f ca="1">IF(A122&lt;=TEStarters,"Starter",IF(A122&gt;TEStarters+TEBench,"Undrafted","Bench"))</f>
        <v>Undrafted</v>
      </c>
      <c r="Q122" s="47">
        <f ca="1">IFERROR(MAX(O122-LARGE(O$3:O$129,TEStarters),0),0)</f>
        <v>0</v>
      </c>
      <c r="R122" s="47">
        <f ca="1">IFERROR(IF(AllowNegative="Yes",O122-LARGE(O$3:O$129,TECount),MAX(O122-LARGE(O$3:O$129,TECount),0)),0)</f>
        <v>-62.089999999999996</v>
      </c>
      <c r="S122" s="47">
        <f ca="1">IF(TEStarters&gt;0,(R122-Q122)*BenchPF+Q122*StarterPF,0)</f>
        <v>-14.870297273214769</v>
      </c>
      <c r="T122" s="47">
        <f ca="1">S122*Auction!$A$2</f>
        <v>-14.870297273214769</v>
      </c>
      <c r="U122" s="47" t="str">
        <f>IF(OR(INDEX(Auction!$H$13:$H$683,MATCH(B122,Auction!$A$13:$A$683,0))&gt;0,IFERROR(INDEX(CheatSheet!$D$37:$D$64,MATCH(B122,CheatSheet!$A$37:$A$64,0)),"")&lt;&gt;""),"Yes","No")</f>
        <v>No</v>
      </c>
      <c r="V122" s="219"/>
      <c r="W122" s="1"/>
      <c r="X122" s="100">
        <f ca="1">IFERROR(SUMIFS($Y$3:$Y$129,$Y$3:$Y$129,"&gt;0",$U$3:$U$129,"No")/SUMIF($Y$3:$Y$129,"&gt;0"),0)</f>
        <v>1</v>
      </c>
      <c r="Y122" s="1">
        <f t="shared" ca="1" si="1"/>
        <v>-31.044999999999998</v>
      </c>
      <c r="Z122" s="145" t="str">
        <f ca="1">CONCATENATE("TE",ROUND((LARGE($Y$3:$Y$129,1)-$Y122)/(STDEVP($Y$3:$Y$129)/2)+1,0))</f>
        <v>TE12</v>
      </c>
      <c r="AA122" s="1">
        <f ca="1">Y122*LeagueInfo!$H$5</f>
        <v>-14.198149116625594</v>
      </c>
    </row>
    <row r="123" spans="1:27" x14ac:dyDescent="0.25">
      <c r="A123" s="47">
        <f>RANK(O123,O$3:O$129)</f>
        <v>121</v>
      </c>
      <c r="B123" s="1" t="s">
        <v>803</v>
      </c>
      <c r="C123" s="1" t="s">
        <v>47</v>
      </c>
      <c r="D123" s="1">
        <f>VLOOKUP(E123,BYEs!$A$2:$B$34,2)</f>
        <v>7</v>
      </c>
      <c r="E123" s="1" t="s">
        <v>362</v>
      </c>
      <c r="F123" s="245">
        <v>0</v>
      </c>
      <c r="G123" s="246">
        <v>0</v>
      </c>
      <c r="H123" s="247">
        <v>0</v>
      </c>
      <c r="I123" s="247">
        <v>0</v>
      </c>
      <c r="J123" s="247">
        <v>0</v>
      </c>
      <c r="K123" s="249">
        <v>4</v>
      </c>
      <c r="L123" s="247">
        <v>35</v>
      </c>
      <c r="M123" s="250">
        <v>0.2</v>
      </c>
      <c r="N123" s="251">
        <v>0</v>
      </c>
      <c r="O123" s="12">
        <f>(I123*TERushYd)+(J123*TERushTD)+(K123*TERec)+(L123*TERecYd)+(M123*TERecTD)+(N123*TEFuml)+(H123*TERushAtt)</f>
        <v>4.7</v>
      </c>
      <c r="P123" s="1" t="str">
        <f ca="1">IF(A123&lt;=TEStarters,"Starter",IF(A123&gt;TEStarters+TEBench,"Undrafted","Bench"))</f>
        <v>Undrafted</v>
      </c>
      <c r="Q123" s="47">
        <f ca="1">IFERROR(MAX(O123-LARGE(O$3:O$129,TEStarters),0),0)</f>
        <v>0</v>
      </c>
      <c r="R123" s="47">
        <f ca="1">IFERROR(IF(AllowNegative="Yes",O123-LARGE(O$3:O$129,TECount),MAX(O123-LARGE(O$3:O$129,TECount),0)),0)</f>
        <v>-62.099999999999994</v>
      </c>
      <c r="S123" s="47">
        <f ca="1">IF(TEStarters&gt;0,(R123-Q123)*BenchPF+Q123*StarterPF,0)</f>
        <v>-14.872692231706187</v>
      </c>
      <c r="T123" s="47">
        <f ca="1">S123*Auction!$A$2</f>
        <v>-14.872692231706187</v>
      </c>
      <c r="U123" s="47" t="str">
        <f>IF(OR(INDEX(Auction!$H$13:$H$683,MATCH(B123,Auction!$A$13:$A$683,0))&gt;0,IFERROR(INDEX(CheatSheet!$D$37:$D$64,MATCH(B123,CheatSheet!$A$37:$A$64,0)),"")&lt;&gt;""),"Yes","No")</f>
        <v>No</v>
      </c>
      <c r="V123" s="219"/>
      <c r="W123" s="1"/>
      <c r="X123" s="100">
        <f ca="1">IFERROR(SUMIFS($Y$3:$Y$129,$Y$3:$Y$129,"&gt;0",$U$3:$U$129,"No")/SUMIF($Y$3:$Y$129,"&gt;0"),0)</f>
        <v>1</v>
      </c>
      <c r="Y123" s="1">
        <f t="shared" ca="1" si="1"/>
        <v>-31.049999999999997</v>
      </c>
      <c r="Z123" s="145" t="str">
        <f ca="1">CONCATENATE("TE",ROUND((LARGE($Y$3:$Y$129,1)-$Y123)/(STDEVP($Y$3:$Y$129)/2)+1,0))</f>
        <v>TE12</v>
      </c>
      <c r="AA123" s="1">
        <f ca="1">Y123*LeagueInfo!$H$5</f>
        <v>-14.200435821266698</v>
      </c>
    </row>
    <row r="124" spans="1:27" x14ac:dyDescent="0.25">
      <c r="A124" s="47">
        <f>RANK(O124,O$3:O$129)</f>
        <v>121</v>
      </c>
      <c r="B124" s="1" t="s">
        <v>779</v>
      </c>
      <c r="C124" s="1" t="s">
        <v>47</v>
      </c>
      <c r="D124" s="1">
        <f>VLOOKUP(E124,BYEs!$A$2:$B$34,2)</f>
        <v>11</v>
      </c>
      <c r="E124" s="1" t="s">
        <v>378</v>
      </c>
      <c r="F124" s="245">
        <v>0</v>
      </c>
      <c r="G124" s="246">
        <v>0</v>
      </c>
      <c r="H124" s="247">
        <v>0</v>
      </c>
      <c r="I124" s="247">
        <v>0</v>
      </c>
      <c r="J124" s="247">
        <v>0</v>
      </c>
      <c r="K124" s="249">
        <v>2.6</v>
      </c>
      <c r="L124" s="247">
        <v>37</v>
      </c>
      <c r="M124" s="250">
        <v>0.2</v>
      </c>
      <c r="N124" s="251">
        <v>0.1</v>
      </c>
      <c r="O124" s="12">
        <f>(I124*TERushYd)+(J124*TERushTD)+(K124*TERec)+(L124*TERecYd)+(M124*TERecTD)+(N124*TEFuml)+(H124*TERushAtt)</f>
        <v>4.7</v>
      </c>
      <c r="P124" s="1" t="str">
        <f ca="1">IF(A124&lt;=TEStarters,"Starter",IF(A124&gt;TEStarters+TEBench,"Undrafted","Bench"))</f>
        <v>Undrafted</v>
      </c>
      <c r="Q124" s="47">
        <f ca="1">IFERROR(MAX(O124-LARGE(O$3:O$129,TEStarters),0),0)</f>
        <v>0</v>
      </c>
      <c r="R124" s="47">
        <f ca="1">IFERROR(IF(AllowNegative="Yes",O124-LARGE(O$3:O$129,TECount),MAX(O124-LARGE(O$3:O$129,TECount),0)),0)</f>
        <v>-62.099999999999994</v>
      </c>
      <c r="S124" s="47">
        <f ca="1">IF(TEStarters&gt;0,(R124-Q124)*BenchPF+Q124*StarterPF,0)</f>
        <v>-14.872692231706187</v>
      </c>
      <c r="T124" s="47">
        <f ca="1">S124*Auction!$A$2</f>
        <v>-14.872692231706187</v>
      </c>
      <c r="U124" s="47" t="str">
        <f>IF(OR(INDEX(Auction!$H$13:$H$683,MATCH(B124,Auction!$A$13:$A$683,0))&gt;0,IFERROR(INDEX(CheatSheet!$D$37:$D$64,MATCH(B124,CheatSheet!$A$37:$A$64,0)),"")&lt;&gt;""),"Yes","No")</f>
        <v>No</v>
      </c>
      <c r="V124" s="219"/>
      <c r="W124" s="1"/>
      <c r="X124" s="100">
        <f ca="1">IFERROR(SUMIFS($Y$3:$Y$129,$Y$3:$Y$129,"&gt;0",$U$3:$U$129,"No")/SUMIF($Y$3:$Y$129,"&gt;0"),0)</f>
        <v>1</v>
      </c>
      <c r="Y124" s="1">
        <f t="shared" ca="1" si="1"/>
        <v>-31.049999999999997</v>
      </c>
      <c r="Z124" s="145" t="str">
        <f ca="1">CONCATENATE("TE",ROUND((LARGE($Y$3:$Y$129,1)-$Y124)/(STDEVP($Y$3:$Y$129)/2)+1,0))</f>
        <v>TE12</v>
      </c>
      <c r="AA124" s="1">
        <f ca="1">Y124*LeagueInfo!$H$5</f>
        <v>-14.200435821266698</v>
      </c>
    </row>
    <row r="125" spans="1:27" x14ac:dyDescent="0.25">
      <c r="A125" s="47">
        <f>RANK(O125,O$3:O$129)</f>
        <v>123</v>
      </c>
      <c r="B125" s="1" t="s">
        <v>805</v>
      </c>
      <c r="C125" s="1" t="s">
        <v>47</v>
      </c>
      <c r="D125" s="1">
        <f>VLOOKUP(E125,BYEs!$A$2:$B$34,2)</f>
        <v>8</v>
      </c>
      <c r="E125" s="1" t="s">
        <v>359</v>
      </c>
      <c r="F125" s="245">
        <v>0</v>
      </c>
      <c r="G125" s="246">
        <v>0</v>
      </c>
      <c r="H125" s="247">
        <v>0</v>
      </c>
      <c r="I125" s="247">
        <v>0</v>
      </c>
      <c r="J125" s="247">
        <v>0</v>
      </c>
      <c r="K125" s="249">
        <v>3.4</v>
      </c>
      <c r="L125" s="247">
        <v>38.299999999999997</v>
      </c>
      <c r="M125" s="250">
        <v>0.1</v>
      </c>
      <c r="N125" s="251">
        <v>0.2</v>
      </c>
      <c r="O125" s="12">
        <f>(I125*TERushYd)+(J125*TERushTD)+(K125*TERec)+(L125*TERecYd)+(M125*TERecTD)+(N125*TEFuml)+(H125*TERushAtt)</f>
        <v>4.0299999999999994</v>
      </c>
      <c r="P125" s="1" t="str">
        <f ca="1">IF(A125&lt;=TEStarters,"Starter",IF(A125&gt;TEStarters+TEBench,"Undrafted","Bench"))</f>
        <v>Undrafted</v>
      </c>
      <c r="Q125" s="47">
        <f ca="1">IFERROR(MAX(O125-LARGE(O$3:O$129,TEStarters),0),0)</f>
        <v>0</v>
      </c>
      <c r="R125" s="47">
        <f ca="1">IFERROR(IF(AllowNegative="Yes",O125-LARGE(O$3:O$129,TECount),MAX(O125-LARGE(O$3:O$129,TECount),0)),0)</f>
        <v>-62.769999999999996</v>
      </c>
      <c r="S125" s="47">
        <f ca="1">IF(TEStarters&gt;0,(R125-Q125)*BenchPF+Q125*StarterPF,0)</f>
        <v>-15.033154450631198</v>
      </c>
      <c r="T125" s="47">
        <f ca="1">S125*Auction!$A$2</f>
        <v>-15.033154450631198</v>
      </c>
      <c r="U125" s="47" t="str">
        <f>IF(OR(INDEX(Auction!$H$13:$H$683,MATCH(B125,Auction!$A$13:$A$683,0))&gt;0,IFERROR(INDEX(CheatSheet!$D$37:$D$64,MATCH(B125,CheatSheet!$A$37:$A$64,0)),"")&lt;&gt;""),"Yes","No")</f>
        <v>No</v>
      </c>
      <c r="V125" s="219"/>
      <c r="W125" s="1"/>
      <c r="X125" s="100">
        <f ca="1">IFERROR(SUMIFS($Y$3:$Y$129,$Y$3:$Y$129,"&gt;0",$U$3:$U$129,"No")/SUMIF($Y$3:$Y$129,"&gt;0"),0)</f>
        <v>1</v>
      </c>
      <c r="Y125" s="1">
        <f t="shared" ca="1" si="1"/>
        <v>-31.384999999999998</v>
      </c>
      <c r="Z125" s="145" t="str">
        <f ca="1">CONCATENATE("TE",ROUND((LARGE($Y$3:$Y$129,1)-$Y125)/(STDEVP($Y$3:$Y$129)/2)+1,0))</f>
        <v>TE12</v>
      </c>
      <c r="AA125" s="1">
        <f ca="1">Y125*LeagueInfo!$H$5</f>
        <v>-14.353645032220784</v>
      </c>
    </row>
    <row r="126" spans="1:27" x14ac:dyDescent="0.25">
      <c r="A126" s="47">
        <f>RANK(O126,O$3:O$129)</f>
        <v>124</v>
      </c>
      <c r="B126" s="1" t="s">
        <v>930</v>
      </c>
      <c r="C126" s="1" t="s">
        <v>47</v>
      </c>
      <c r="D126" s="1">
        <f>VLOOKUP(E126,BYEs!$A$2:$B$34,2)</f>
        <v>5</v>
      </c>
      <c r="E126" s="1" t="s">
        <v>352</v>
      </c>
      <c r="F126" s="245">
        <v>0</v>
      </c>
      <c r="G126" s="246">
        <v>0</v>
      </c>
      <c r="H126" s="247">
        <v>0</v>
      </c>
      <c r="I126" s="247">
        <v>0</v>
      </c>
      <c r="J126" s="247">
        <v>0</v>
      </c>
      <c r="K126" s="249">
        <v>3</v>
      </c>
      <c r="L126" s="247">
        <v>27</v>
      </c>
      <c r="M126" s="250">
        <v>0.2</v>
      </c>
      <c r="N126" s="251">
        <v>0</v>
      </c>
      <c r="O126" s="12">
        <f>(I126*TERushYd)+(J126*TERushTD)+(K126*TERec)+(L126*TERecYd)+(M126*TERecTD)+(N126*TEFuml)+(H126*TERushAtt)</f>
        <v>3.9000000000000004</v>
      </c>
      <c r="P126" s="1" t="str">
        <f ca="1">IF(A126&lt;=TEStarters,"Starter",IF(A126&gt;TEStarters+TEBench,"Undrafted","Bench"))</f>
        <v>Undrafted</v>
      </c>
      <c r="Q126" s="47">
        <f ca="1">IFERROR(MAX(O126-LARGE(O$3:O$129,TEStarters),0),0)</f>
        <v>0</v>
      </c>
      <c r="R126" s="47">
        <f ca="1">IFERROR(IF(AllowNegative="Yes",O126-LARGE(O$3:O$129,TECount),MAX(O126-LARGE(O$3:O$129,TECount),0)),0)</f>
        <v>-62.9</v>
      </c>
      <c r="S126" s="47">
        <f ca="1">IF(TEStarters&gt;0,(R126-Q126)*BenchPF+Q126*StarterPF,0)</f>
        <v>-15.064288911019633</v>
      </c>
      <c r="T126" s="47">
        <f ca="1">S126*Auction!$A$2</f>
        <v>-15.064288911019633</v>
      </c>
      <c r="U126" s="47" t="str">
        <f>IF(OR(INDEX(Auction!$H$13:$H$683,MATCH(B126,Auction!$A$13:$A$683,0))&gt;0,IFERROR(INDEX(CheatSheet!$D$37:$D$64,MATCH(B126,CheatSheet!$A$37:$A$64,0)),"")&lt;&gt;""),"Yes","No")</f>
        <v>No</v>
      </c>
      <c r="V126" s="219"/>
      <c r="W126" s="1"/>
      <c r="X126" s="100">
        <f ca="1">IFERROR(SUMIFS($Y$3:$Y$129,$Y$3:$Y$129,"&gt;0",$U$3:$U$129,"No")/SUMIF($Y$3:$Y$129,"&gt;0"),0)</f>
        <v>1</v>
      </c>
      <c r="Y126" s="1">
        <f t="shared" ca="1" si="1"/>
        <v>-31.45</v>
      </c>
      <c r="Z126" s="145" t="str">
        <f ca="1">CONCATENATE("TE",ROUND((LARGE($Y$3:$Y$129,1)-$Y126)/(STDEVP($Y$3:$Y$129)/2)+1,0))</f>
        <v>TE12</v>
      </c>
      <c r="AA126" s="1">
        <f ca="1">Y126*LeagueInfo!$H$5</f>
        <v>-14.383372192555159</v>
      </c>
    </row>
    <row r="127" spans="1:27" x14ac:dyDescent="0.25">
      <c r="A127" s="47">
        <f>RANK(O127,O$3:O$129)</f>
        <v>125</v>
      </c>
      <c r="B127" s="1" t="s">
        <v>773</v>
      </c>
      <c r="C127" s="1" t="s">
        <v>47</v>
      </c>
      <c r="D127" s="1">
        <f>VLOOKUP(E127,BYEs!$A$2:$B$34,2)</f>
        <v>8</v>
      </c>
      <c r="E127" s="1" t="s">
        <v>380</v>
      </c>
      <c r="F127" s="245">
        <v>0</v>
      </c>
      <c r="G127" s="246">
        <v>0</v>
      </c>
      <c r="H127" s="247">
        <v>0</v>
      </c>
      <c r="I127" s="247">
        <v>0</v>
      </c>
      <c r="J127" s="247">
        <v>0</v>
      </c>
      <c r="K127" s="249">
        <v>3</v>
      </c>
      <c r="L127" s="247">
        <v>29.3</v>
      </c>
      <c r="M127" s="250">
        <v>0.1</v>
      </c>
      <c r="N127" s="251">
        <v>0</v>
      </c>
      <c r="O127" s="12">
        <f>(I127*TERushYd)+(J127*TERushTD)+(K127*TERec)+(L127*TERecYd)+(M127*TERecTD)+(N127*TEFuml)+(H127*TERushAtt)</f>
        <v>3.5300000000000002</v>
      </c>
      <c r="P127" s="1" t="str">
        <f ca="1">IF(A127&lt;=TEStarters,"Starter",IF(A127&gt;TEStarters+TEBench,"Undrafted","Bench"))</f>
        <v>Undrafted</v>
      </c>
      <c r="Q127" s="47">
        <f ca="1">IFERROR(MAX(O127-LARGE(O$3:O$129,TEStarters),0),0)</f>
        <v>0</v>
      </c>
      <c r="R127" s="47">
        <f ca="1">IFERROR(IF(AllowNegative="Yes",O127-LARGE(O$3:O$129,TECount),MAX(O127-LARGE(O$3:O$129,TECount),0)),0)</f>
        <v>-63.269999999999996</v>
      </c>
      <c r="S127" s="47">
        <f ca="1">IF(TEStarters&gt;0,(R127-Q127)*BenchPF+Q127*StarterPF,0)</f>
        <v>-15.152902375202101</v>
      </c>
      <c r="T127" s="47">
        <f ca="1">S127*Auction!$A$2</f>
        <v>-15.152902375202101</v>
      </c>
      <c r="U127" s="47" t="str">
        <f>IF(OR(INDEX(Auction!$H$13:$H$683,MATCH(B127,Auction!$A$13:$A$683,0))&gt;0,IFERROR(INDEX(CheatSheet!$D$37:$D$64,MATCH(B127,CheatSheet!$A$37:$A$64,0)),"")&lt;&gt;""),"Yes","No")</f>
        <v>No</v>
      </c>
      <c r="V127" s="219"/>
      <c r="W127" s="1"/>
      <c r="X127" s="100">
        <f ca="1">IFERROR(SUMIFS($Y$3:$Y$129,$Y$3:$Y$129,"&gt;0",$U$3:$U$129,"No")/SUMIF($Y$3:$Y$129,"&gt;0"),0)</f>
        <v>1</v>
      </c>
      <c r="Y127" s="1">
        <f t="shared" ca="1" si="1"/>
        <v>-31.634999999999998</v>
      </c>
      <c r="Z127" s="145" t="str">
        <f ca="1">CONCATENATE("TE",ROUND((LARGE($Y$3:$Y$129,1)-$Y127)/(STDEVP($Y$3:$Y$129)/2)+1,0))</f>
        <v>TE12</v>
      </c>
      <c r="AA127" s="1">
        <f ca="1">Y127*LeagueInfo!$H$5</f>
        <v>-14.467980264276072</v>
      </c>
    </row>
    <row r="128" spans="1:27" x14ac:dyDescent="0.25">
      <c r="A128" s="47">
        <f>RANK(O128,O$3:O$129)</f>
        <v>126</v>
      </c>
      <c r="B128" s="1" t="s">
        <v>806</v>
      </c>
      <c r="C128" s="1" t="s">
        <v>47</v>
      </c>
      <c r="D128" s="1">
        <f>VLOOKUP(E128,BYEs!$A$2:$B$34,2)</f>
        <v>11</v>
      </c>
      <c r="E128" s="1" t="s">
        <v>357</v>
      </c>
      <c r="F128" s="245">
        <v>0</v>
      </c>
      <c r="G128" s="246">
        <v>0</v>
      </c>
      <c r="H128" s="247">
        <v>0</v>
      </c>
      <c r="I128" s="247">
        <v>0</v>
      </c>
      <c r="J128" s="247">
        <v>0</v>
      </c>
      <c r="K128" s="249">
        <v>3</v>
      </c>
      <c r="L128" s="247">
        <v>31</v>
      </c>
      <c r="M128" s="250">
        <v>0</v>
      </c>
      <c r="N128" s="251">
        <v>0</v>
      </c>
      <c r="O128" s="12">
        <f>(I128*TERushYd)+(J128*TERushTD)+(K128*TERec)+(L128*TERecYd)+(M128*TERecTD)+(N128*TEFuml)+(H128*TERushAtt)</f>
        <v>3.1</v>
      </c>
      <c r="P128" s="1" t="str">
        <f ca="1">IF(A128&lt;=TEStarters,"Starter",IF(A128&gt;TEStarters+TEBench,"Undrafted","Bench"))</f>
        <v>Undrafted</v>
      </c>
      <c r="Q128" s="47">
        <f ca="1">IFERROR(MAX(O128-LARGE(O$3:O$129,TEStarters),0),0)</f>
        <v>0</v>
      </c>
      <c r="R128" s="47">
        <f ca="1">IFERROR(IF(AllowNegative="Yes",O128-LARGE(O$3:O$129,TECount),MAX(O128-LARGE(O$3:O$129,TECount),0)),0)</f>
        <v>-63.699999999999996</v>
      </c>
      <c r="S128" s="47">
        <f ca="1">IF(TEStarters&gt;0,(R128-Q128)*BenchPF+Q128*StarterPF,0)</f>
        <v>-15.255885590333078</v>
      </c>
      <c r="T128" s="47">
        <f ca="1">S128*Auction!$A$2</f>
        <v>-15.255885590333078</v>
      </c>
      <c r="U128" s="47" t="str">
        <f>IF(OR(INDEX(Auction!$H$13:$H$683,MATCH(B128,Auction!$A$13:$A$683,0))&gt;0,IFERROR(INDEX(CheatSheet!$D$37:$D$64,MATCH(B128,CheatSheet!$A$37:$A$64,0)),"")&lt;&gt;""),"Yes","No")</f>
        <v>No</v>
      </c>
      <c r="V128" s="219"/>
      <c r="W128" s="1"/>
      <c r="X128" s="100">
        <f ca="1">IFERROR(SUMIFS($Y$3:$Y$129,$Y$3:$Y$129,"&gt;0",$U$3:$U$129,"No")/SUMIF($Y$3:$Y$129,"&gt;0"),0)</f>
        <v>1</v>
      </c>
      <c r="Y128" s="1">
        <f t="shared" ca="1" si="1"/>
        <v>-31.849999999999998</v>
      </c>
      <c r="Z128" s="145" t="str">
        <f ca="1">CONCATENATE("TE",ROUND((LARGE($Y$3:$Y$129,1)-$Y128)/(STDEVP($Y$3:$Y$129)/2)+1,0))</f>
        <v>TE12</v>
      </c>
      <c r="AA128" s="1">
        <f ca="1">Y128*LeagueInfo!$H$5</f>
        <v>-14.566308563843618</v>
      </c>
    </row>
    <row r="129" spans="1:27" x14ac:dyDescent="0.25">
      <c r="A129" s="47">
        <f>RANK(O129,O$3:O$129)</f>
        <v>127</v>
      </c>
      <c r="B129" s="1" t="s">
        <v>538</v>
      </c>
      <c r="C129" s="1" t="s">
        <v>47</v>
      </c>
      <c r="D129" s="1">
        <f>VLOOKUP(E129,BYEs!$A$2:$B$34,2)</f>
        <v>6</v>
      </c>
      <c r="E129" s="1" t="s">
        <v>366</v>
      </c>
      <c r="F129" s="245">
        <v>0</v>
      </c>
      <c r="G129" s="246">
        <v>0</v>
      </c>
      <c r="H129" s="247">
        <v>0</v>
      </c>
      <c r="I129" s="247">
        <v>0</v>
      </c>
      <c r="J129" s="247">
        <v>0</v>
      </c>
      <c r="K129" s="249">
        <v>3</v>
      </c>
      <c r="L129" s="247">
        <v>24.5</v>
      </c>
      <c r="M129" s="250">
        <v>0</v>
      </c>
      <c r="N129" s="251">
        <v>0.1</v>
      </c>
      <c r="O129" s="12">
        <f>(I129*TERushYd)+(J129*TERushTD)+(K129*TERec)+(L129*TERecYd)+(M129*TERecTD)+(N129*TEFuml)+(H129*TERushAtt)</f>
        <v>2.25</v>
      </c>
      <c r="P129" s="1" t="str">
        <f ca="1">IF(A129&lt;=TEStarters,"Starter",IF(A129&gt;TEStarters+TEBench,"Undrafted","Bench"))</f>
        <v>Undrafted</v>
      </c>
      <c r="Q129" s="47">
        <f ca="1">IFERROR(MAX(O129-LARGE(O$3:O$129,TEStarters),0),0)</f>
        <v>0</v>
      </c>
      <c r="R129" s="47">
        <f ca="1">IFERROR(IF(AllowNegative="Yes",O129-LARGE(O$3:O$129,TECount),MAX(O129-LARGE(O$3:O$129,TECount),0)),0)</f>
        <v>-64.55</v>
      </c>
      <c r="S129" s="47">
        <f ca="1">IF(TEStarters&gt;0,(R129-Q129)*BenchPF+Q129*StarterPF,0)</f>
        <v>-15.459457062103613</v>
      </c>
      <c r="T129" s="47">
        <f ca="1">S129*Auction!$A$2</f>
        <v>-15.459457062103613</v>
      </c>
      <c r="U129" s="47" t="str">
        <f>IF(OR(INDEX(Auction!$H$13:$H$683,MATCH(B129,Auction!$A$13:$A$683,0))&gt;0,IFERROR(INDEX(CheatSheet!$D$37:$D$64,MATCH(B129,CheatSheet!$A$37:$A$64,0)),"")&lt;&gt;""),"Yes","No")</f>
        <v>No</v>
      </c>
      <c r="V129" s="219"/>
      <c r="W129" s="1"/>
      <c r="X129" s="100">
        <f ca="1">IFERROR(SUMIFS($Y$3:$Y$129,$Y$3:$Y$129,"&gt;0",$U$3:$U$129,"No")/SUMIF($Y$3:$Y$129,"&gt;0"),0)</f>
        <v>1</v>
      </c>
      <c r="Y129" s="1">
        <f t="shared" ca="1" si="1"/>
        <v>-32.274999999999999</v>
      </c>
      <c r="Z129" s="145" t="str">
        <f ca="1">CONCATENATE("TE",ROUND((LARGE($Y$3:$Y$129,1)-$Y129)/(STDEVP($Y$3:$Y$129)/2)+1,0))</f>
        <v>TE12</v>
      </c>
      <c r="AA129" s="1">
        <f ca="1">Y129*LeagueInfo!$H$5</f>
        <v>-14.760678458337607</v>
      </c>
    </row>
    <row r="130" spans="1:27" x14ac:dyDescent="0.25">
      <c r="B130" s="1"/>
      <c r="K130" s="1"/>
      <c r="L130" s="1"/>
      <c r="M130" s="1"/>
      <c r="N130" s="1"/>
      <c r="O130" s="1"/>
      <c r="P130" s="1"/>
      <c r="Q130" s="1"/>
      <c r="R130" s="1"/>
      <c r="S130" s="1"/>
      <c r="V130" s="1"/>
      <c r="W130" s="1"/>
      <c r="Y130" s="1"/>
      <c r="Z130" s="1"/>
      <c r="AA130" s="1"/>
    </row>
    <row r="131" spans="1:27" x14ac:dyDescent="0.25">
      <c r="B131" s="1"/>
      <c r="K131" s="1"/>
      <c r="L131" s="1"/>
      <c r="M131" s="1"/>
      <c r="N131" s="1"/>
      <c r="O131" s="1"/>
      <c r="P131" s="1"/>
      <c r="Q131" s="1"/>
      <c r="R131" s="1"/>
      <c r="S131" s="1"/>
      <c r="V131" s="1"/>
      <c r="W131" s="1"/>
      <c r="Y131" s="1"/>
      <c r="Z131" s="1"/>
      <c r="AA131" s="1"/>
    </row>
    <row r="132" spans="1:27" x14ac:dyDescent="0.25">
      <c r="B132" s="1"/>
      <c r="K132" s="1"/>
      <c r="L132" s="1"/>
      <c r="M132" s="1"/>
      <c r="N132" s="1"/>
      <c r="O132" s="1"/>
      <c r="P132" s="1"/>
      <c r="Q132" s="1"/>
      <c r="R132" s="1"/>
      <c r="S132" s="1"/>
      <c r="V132" s="1"/>
      <c r="W132" s="1"/>
      <c r="Y132" s="1"/>
      <c r="Z132" s="1"/>
      <c r="AA132" s="1"/>
    </row>
    <row r="133" spans="1:27" x14ac:dyDescent="0.25">
      <c r="B133" s="1"/>
      <c r="K133" s="1"/>
      <c r="L133" s="1"/>
      <c r="M133" s="1"/>
      <c r="N133" s="1"/>
      <c r="O133" s="1"/>
      <c r="P133" s="1"/>
      <c r="Q133" s="1"/>
      <c r="R133" s="1"/>
      <c r="S133" s="1"/>
      <c r="V133" s="1"/>
      <c r="W133" s="1"/>
      <c r="Y133" s="1"/>
      <c r="Z133" s="1"/>
      <c r="AA133" s="1"/>
    </row>
    <row r="134" spans="1:27" x14ac:dyDescent="0.25">
      <c r="B134" s="1"/>
      <c r="K134" s="1"/>
      <c r="L134" s="1"/>
      <c r="M134" s="1"/>
      <c r="N134" s="1"/>
      <c r="O134" s="1"/>
      <c r="P134" s="1"/>
      <c r="Q134" s="1"/>
      <c r="R134" s="1"/>
      <c r="S134" s="1"/>
      <c r="V134" s="1"/>
      <c r="W134" s="1"/>
      <c r="Y134" s="1"/>
      <c r="Z134" s="1"/>
      <c r="AA134" s="1"/>
    </row>
    <row r="135" spans="1:27" x14ac:dyDescent="0.25">
      <c r="B135" s="1"/>
      <c r="K135" s="1"/>
      <c r="L135" s="1"/>
      <c r="M135" s="1"/>
      <c r="N135" s="1"/>
      <c r="O135" s="1"/>
      <c r="P135" s="1"/>
      <c r="Q135" s="1"/>
      <c r="R135" s="1"/>
      <c r="S135" s="1"/>
      <c r="V135" s="1"/>
      <c r="W135" s="1"/>
      <c r="Y135" s="1"/>
      <c r="Z135" s="1"/>
      <c r="AA135" s="1"/>
    </row>
    <row r="136" spans="1:27" x14ac:dyDescent="0.25">
      <c r="B136" s="1"/>
      <c r="K136" s="1"/>
      <c r="L136" s="1"/>
      <c r="M136" s="1"/>
      <c r="N136" s="1"/>
      <c r="O136" s="1"/>
      <c r="P136" s="1"/>
      <c r="Q136" s="1"/>
      <c r="R136" s="1"/>
      <c r="S136" s="1"/>
      <c r="V136" s="1"/>
      <c r="W136" s="1"/>
      <c r="Y136" s="1"/>
      <c r="Z136" s="1"/>
      <c r="AA136" s="1"/>
    </row>
    <row r="137" spans="1:27" x14ac:dyDescent="0.25">
      <c r="B137" s="1"/>
      <c r="K137" s="1"/>
      <c r="L137" s="1"/>
      <c r="M137" s="1"/>
      <c r="N137" s="1"/>
      <c r="O137" s="1"/>
      <c r="P137" s="1"/>
      <c r="Q137" s="1"/>
      <c r="R137" s="1"/>
      <c r="S137" s="1"/>
      <c r="V137" s="1"/>
      <c r="W137" s="1"/>
      <c r="Y137" s="1"/>
      <c r="Z137" s="1"/>
      <c r="AA137" s="1"/>
    </row>
    <row r="138" spans="1:27" x14ac:dyDescent="0.25">
      <c r="B138" s="1"/>
      <c r="K138" s="1"/>
      <c r="L138" s="1"/>
      <c r="M138" s="1"/>
      <c r="N138" s="1"/>
      <c r="O138" s="1"/>
      <c r="P138" s="1"/>
      <c r="Q138" s="1"/>
      <c r="R138" s="1"/>
      <c r="S138" s="1"/>
      <c r="V138" s="1"/>
      <c r="W138" s="1"/>
      <c r="Y138" s="1"/>
      <c r="Z138" s="1"/>
      <c r="AA138" s="1"/>
    </row>
    <row r="139" spans="1:27" x14ac:dyDescent="0.25">
      <c r="B139" s="1"/>
      <c r="K139" s="1"/>
      <c r="L139" s="1"/>
      <c r="M139" s="1"/>
      <c r="N139" s="1"/>
      <c r="O139" s="1"/>
      <c r="P139" s="1"/>
      <c r="Q139" s="1"/>
      <c r="R139" s="1"/>
      <c r="S139" s="1"/>
      <c r="V139" s="1"/>
      <c r="W139" s="1"/>
      <c r="Y139" s="1"/>
      <c r="Z139" s="1"/>
      <c r="AA139" s="1"/>
    </row>
    <row r="140" spans="1:27" x14ac:dyDescent="0.25">
      <c r="B140" s="1"/>
      <c r="K140" s="1"/>
      <c r="L140" s="1"/>
      <c r="M140" s="1"/>
      <c r="N140" s="1"/>
      <c r="O140" s="1"/>
      <c r="P140" s="1"/>
      <c r="Q140" s="1"/>
      <c r="R140" s="1"/>
      <c r="S140" s="1"/>
      <c r="V140" s="1"/>
      <c r="W140" s="1"/>
      <c r="Y140" s="1"/>
      <c r="Z140" s="1"/>
      <c r="AA140" s="1"/>
    </row>
    <row r="141" spans="1:27" x14ac:dyDescent="0.25">
      <c r="B141" s="1"/>
      <c r="K141" s="1"/>
      <c r="L141" s="1"/>
      <c r="M141" s="1"/>
      <c r="N141" s="1"/>
      <c r="O141" s="1"/>
      <c r="P141" s="1"/>
      <c r="Q141" s="1"/>
      <c r="R141" s="1"/>
      <c r="S141" s="1"/>
      <c r="V141" s="1"/>
      <c r="W141" s="1"/>
      <c r="Y141" s="1"/>
      <c r="Z141" s="1"/>
      <c r="AA141" s="1"/>
    </row>
    <row r="142" spans="1:27" x14ac:dyDescent="0.25">
      <c r="B142" s="1"/>
      <c r="K142" s="1"/>
      <c r="L142" s="1"/>
      <c r="M142" s="1"/>
      <c r="N142" s="1"/>
      <c r="O142" s="1"/>
    </row>
    <row r="143" spans="1:27" x14ac:dyDescent="0.25">
      <c r="B143" s="1"/>
      <c r="K143" s="1"/>
      <c r="L143" s="1"/>
      <c r="M143" s="1"/>
      <c r="N143" s="1"/>
      <c r="O143" s="1"/>
    </row>
    <row r="144" spans="1:27" x14ac:dyDescent="0.25">
      <c r="B144" s="1"/>
      <c r="K144" s="1"/>
      <c r="L144" s="1"/>
      <c r="M144" s="1"/>
      <c r="N144" s="1"/>
      <c r="O144" s="1"/>
    </row>
    <row r="145" spans="2:15" x14ac:dyDescent="0.25">
      <c r="B145" s="1"/>
      <c r="K145" s="1"/>
      <c r="L145" s="1"/>
      <c r="M145" s="1"/>
      <c r="N145" s="1"/>
      <c r="O145" s="1"/>
    </row>
    <row r="146" spans="2:15" x14ac:dyDescent="0.25">
      <c r="B146" s="1"/>
      <c r="K146" s="1"/>
      <c r="L146" s="1"/>
      <c r="M146" s="1"/>
      <c r="N146" s="1"/>
      <c r="O146" s="1"/>
    </row>
    <row r="147" spans="2:15" x14ac:dyDescent="0.25">
      <c r="B147" s="1"/>
      <c r="K147" s="1"/>
      <c r="L147" s="1"/>
      <c r="M147" s="1"/>
      <c r="N147" s="1"/>
      <c r="O147" s="1"/>
    </row>
    <row r="148" spans="2:15" x14ac:dyDescent="0.25">
      <c r="B148" s="1"/>
      <c r="K148" s="1"/>
      <c r="L148" s="1"/>
      <c r="M148" s="1"/>
      <c r="N148" s="1"/>
      <c r="O148" s="1"/>
    </row>
    <row r="149" spans="2:15" x14ac:dyDescent="0.25">
      <c r="B149" s="1"/>
      <c r="K149" s="1"/>
      <c r="L149" s="1"/>
      <c r="M149" s="1"/>
      <c r="N149" s="1"/>
      <c r="O149" s="1"/>
    </row>
    <row r="150" spans="2:15" x14ac:dyDescent="0.25">
      <c r="B150" s="1"/>
      <c r="K150" s="1"/>
      <c r="L150" s="1"/>
      <c r="M150" s="1"/>
      <c r="N150" s="1"/>
      <c r="O150" s="1"/>
    </row>
    <row r="151" spans="2:15" x14ac:dyDescent="0.25">
      <c r="B151" s="1"/>
      <c r="K151" s="1"/>
      <c r="L151" s="1"/>
      <c r="M151" s="1"/>
      <c r="N151" s="1"/>
      <c r="O151" s="1"/>
    </row>
    <row r="152" spans="2:15" x14ac:dyDescent="0.25">
      <c r="B152" s="1"/>
      <c r="K152" s="1"/>
      <c r="L152" s="1"/>
      <c r="M152" s="1"/>
      <c r="N152" s="1"/>
      <c r="O152" s="1"/>
    </row>
    <row r="153" spans="2:15" x14ac:dyDescent="0.25">
      <c r="B153" s="1"/>
      <c r="K153" s="1"/>
      <c r="L153" s="1"/>
      <c r="M153" s="1"/>
      <c r="N153" s="1"/>
      <c r="O153" s="1"/>
    </row>
    <row r="154" spans="2:15" x14ac:dyDescent="0.25">
      <c r="B154" s="1"/>
      <c r="K154" s="1"/>
      <c r="L154" s="1"/>
      <c r="M154" s="1"/>
      <c r="N154" s="1"/>
      <c r="O154" s="1"/>
    </row>
    <row r="155" spans="2:15" x14ac:dyDescent="0.25">
      <c r="B155" s="1"/>
      <c r="K155" s="1"/>
      <c r="L155" s="1"/>
      <c r="M155" s="1"/>
      <c r="N155" s="1"/>
      <c r="O155" s="1"/>
    </row>
    <row r="156" spans="2:15" x14ac:dyDescent="0.25">
      <c r="B156" s="1"/>
      <c r="K156" s="1"/>
      <c r="L156" s="1"/>
      <c r="M156" s="1"/>
      <c r="N156" s="1"/>
      <c r="O156" s="1"/>
    </row>
    <row r="157" spans="2:15" x14ac:dyDescent="0.25">
      <c r="B157" s="1"/>
      <c r="K157" s="1"/>
      <c r="L157" s="1"/>
      <c r="M157" s="1"/>
      <c r="N157" s="1"/>
      <c r="O157" s="1"/>
    </row>
    <row r="158" spans="2:15" x14ac:dyDescent="0.25">
      <c r="B158" s="1"/>
      <c r="K158" s="1"/>
      <c r="L158" s="1"/>
      <c r="M158" s="1"/>
      <c r="N158" s="1"/>
      <c r="O158" s="1"/>
    </row>
    <row r="159" spans="2:15" x14ac:dyDescent="0.25">
      <c r="B159" s="1"/>
      <c r="K159" s="1"/>
      <c r="L159" s="1"/>
      <c r="M159" s="1"/>
      <c r="N159" s="1"/>
      <c r="O159" s="1"/>
    </row>
    <row r="160" spans="2:15" x14ac:dyDescent="0.25">
      <c r="B160" s="1"/>
      <c r="K160" s="1"/>
      <c r="L160" s="1"/>
      <c r="M160" s="1"/>
      <c r="N160" s="1"/>
      <c r="O160" s="1"/>
    </row>
    <row r="161" spans="2:15" x14ac:dyDescent="0.25">
      <c r="B161" s="1"/>
      <c r="K161" s="1"/>
      <c r="L161" s="1"/>
      <c r="M161" s="1"/>
      <c r="N161" s="1"/>
      <c r="O161" s="1"/>
    </row>
    <row r="162" spans="2:15" x14ac:dyDescent="0.25">
      <c r="B162" s="1"/>
      <c r="K162" s="1"/>
      <c r="L162" s="1"/>
      <c r="M162" s="1"/>
      <c r="N162" s="1"/>
      <c r="O162" s="1"/>
    </row>
    <row r="163" spans="2:15" x14ac:dyDescent="0.25">
      <c r="B163" s="1"/>
      <c r="K163" s="1"/>
      <c r="L163" s="1"/>
      <c r="M163" s="1"/>
      <c r="N163" s="1"/>
      <c r="O163" s="1"/>
    </row>
    <row r="164" spans="2:15" x14ac:dyDescent="0.25">
      <c r="B164" s="1"/>
      <c r="K164" s="1"/>
      <c r="L164" s="1"/>
      <c r="M164" s="1"/>
      <c r="N164" s="1"/>
      <c r="O164" s="1"/>
    </row>
    <row r="165" spans="2:15" x14ac:dyDescent="0.25">
      <c r="B165" s="1"/>
      <c r="K165" s="1"/>
      <c r="L165" s="1"/>
      <c r="M165" s="1"/>
      <c r="N165" s="1"/>
      <c r="O165" s="1"/>
    </row>
    <row r="166" spans="2:15" x14ac:dyDescent="0.25">
      <c r="B166" s="1"/>
      <c r="K166" s="1"/>
      <c r="L166" s="1"/>
      <c r="M166" s="1"/>
      <c r="N166" s="1"/>
      <c r="O166" s="1"/>
    </row>
    <row r="167" spans="2:15" x14ac:dyDescent="0.25">
      <c r="B167" s="1"/>
      <c r="K167" s="1"/>
      <c r="L167" s="1"/>
      <c r="M167" s="1"/>
      <c r="N167" s="1"/>
      <c r="O167" s="1"/>
    </row>
    <row r="168" spans="2:15" x14ac:dyDescent="0.25">
      <c r="B168" s="1"/>
      <c r="K168" s="1"/>
      <c r="L168" s="1"/>
      <c r="M168" s="1"/>
      <c r="N168" s="1"/>
      <c r="O168" s="1"/>
    </row>
    <row r="169" spans="2:15" x14ac:dyDescent="0.25">
      <c r="B169" s="1"/>
      <c r="K169" s="1"/>
      <c r="L169" s="1"/>
      <c r="M169" s="1"/>
      <c r="N169" s="1"/>
      <c r="O169" s="1"/>
    </row>
    <row r="170" spans="2:15" x14ac:dyDescent="0.25">
      <c r="B170" s="1"/>
      <c r="K170" s="1"/>
      <c r="L170" s="1"/>
      <c r="M170" s="1"/>
      <c r="N170" s="1"/>
      <c r="O170" s="1"/>
    </row>
    <row r="171" spans="2:15" x14ac:dyDescent="0.25">
      <c r="B171" s="1"/>
      <c r="K171" s="1"/>
      <c r="L171" s="1"/>
      <c r="M171" s="1"/>
      <c r="N171" s="1"/>
      <c r="O171" s="1"/>
    </row>
    <row r="172" spans="2:15" x14ac:dyDescent="0.25">
      <c r="B172" s="1"/>
      <c r="K172" s="1"/>
      <c r="L172" s="1"/>
      <c r="M172" s="1"/>
      <c r="N172" s="1"/>
      <c r="O172" s="1"/>
    </row>
    <row r="173" spans="2:15" x14ac:dyDescent="0.25">
      <c r="B173" s="1"/>
      <c r="K173" s="1"/>
      <c r="L173" s="1"/>
      <c r="M173" s="1"/>
      <c r="N173" s="1"/>
      <c r="O173" s="1"/>
    </row>
    <row r="174" spans="2:15" x14ac:dyDescent="0.25">
      <c r="B174" s="1"/>
      <c r="K174" s="1"/>
      <c r="L174" s="1"/>
      <c r="M174" s="1"/>
      <c r="N174" s="1"/>
      <c r="O174" s="1"/>
    </row>
    <row r="175" spans="2:15" x14ac:dyDescent="0.25">
      <c r="B175" s="1"/>
      <c r="K175" s="1"/>
      <c r="L175" s="1"/>
      <c r="M175" s="1"/>
      <c r="N175" s="1"/>
      <c r="O175" s="1"/>
    </row>
    <row r="176" spans="2:15" x14ac:dyDescent="0.25">
      <c r="B176" s="1"/>
      <c r="K176" s="1"/>
      <c r="L176" s="1"/>
      <c r="M176" s="1"/>
      <c r="N176" s="1"/>
      <c r="O176" s="1"/>
    </row>
    <row r="177" spans="2:15" x14ac:dyDescent="0.25">
      <c r="B177" s="1"/>
      <c r="K177" s="1"/>
      <c r="L177" s="1"/>
      <c r="M177" s="1"/>
      <c r="N177" s="1"/>
      <c r="O177" s="1"/>
    </row>
    <row r="178" spans="2:15" x14ac:dyDescent="0.25">
      <c r="B178" s="1"/>
      <c r="K178" s="1"/>
      <c r="L178" s="1"/>
      <c r="M178" s="1"/>
      <c r="N178" s="1"/>
      <c r="O178" s="1"/>
    </row>
    <row r="179" spans="2:15" x14ac:dyDescent="0.25">
      <c r="B179" s="1"/>
      <c r="K179" s="1"/>
      <c r="L179" s="1"/>
      <c r="M179" s="1"/>
      <c r="N179" s="1"/>
      <c r="O179" s="1"/>
    </row>
    <row r="180" spans="2:15" x14ac:dyDescent="0.25">
      <c r="B180" s="1"/>
      <c r="K180" s="1"/>
      <c r="L180" s="1"/>
      <c r="M180" s="1"/>
      <c r="N180" s="1"/>
      <c r="O180" s="1"/>
    </row>
    <row r="181" spans="2:15" x14ac:dyDescent="0.25">
      <c r="B181" s="1"/>
      <c r="K181" s="1"/>
      <c r="L181" s="1"/>
      <c r="M181" s="1"/>
      <c r="N181" s="1"/>
      <c r="O181" s="1"/>
    </row>
    <row r="182" spans="2:15" x14ac:dyDescent="0.25">
      <c r="B182" s="1"/>
      <c r="K182" s="1"/>
      <c r="L182" s="1"/>
      <c r="M182" s="1"/>
      <c r="N182" s="1"/>
      <c r="O182" s="1"/>
    </row>
    <row r="183" spans="2:15" x14ac:dyDescent="0.25">
      <c r="B183" s="1"/>
      <c r="K183" s="1"/>
      <c r="L183" s="1"/>
      <c r="M183" s="1"/>
      <c r="N183" s="1"/>
      <c r="O183" s="1"/>
    </row>
    <row r="184" spans="2:15" x14ac:dyDescent="0.25">
      <c r="B184" s="1"/>
      <c r="K184" s="1"/>
      <c r="L184" s="1"/>
      <c r="M184" s="1"/>
      <c r="N184" s="1"/>
      <c r="O184" s="1"/>
    </row>
    <row r="185" spans="2:15" x14ac:dyDescent="0.25">
      <c r="B185" s="1"/>
      <c r="K185" s="1"/>
      <c r="L185" s="1"/>
      <c r="M185" s="1"/>
      <c r="N185" s="1"/>
      <c r="O185" s="1"/>
    </row>
    <row r="186" spans="2:15" x14ac:dyDescent="0.25">
      <c r="B186" s="1"/>
      <c r="K186" s="1"/>
      <c r="L186" s="1"/>
      <c r="M186" s="1"/>
      <c r="N186" s="1"/>
      <c r="O186" s="1"/>
    </row>
    <row r="187" spans="2:15" x14ac:dyDescent="0.25">
      <c r="B187" s="1"/>
      <c r="K187" s="1"/>
      <c r="L187" s="1"/>
      <c r="M187" s="1"/>
      <c r="N187" s="1"/>
      <c r="O187" s="1"/>
    </row>
    <row r="188" spans="2:15" x14ac:dyDescent="0.25">
      <c r="B188" s="1"/>
      <c r="K188" s="1"/>
      <c r="L188" s="1"/>
      <c r="M188" s="1"/>
      <c r="N188" s="1"/>
      <c r="O188" s="1"/>
    </row>
    <row r="189" spans="2:15" x14ac:dyDescent="0.25">
      <c r="B189" s="1"/>
      <c r="K189" s="1"/>
      <c r="L189" s="1"/>
      <c r="M189" s="1"/>
      <c r="N189" s="1"/>
      <c r="O189" s="1"/>
    </row>
    <row r="190" spans="2:15" x14ac:dyDescent="0.25">
      <c r="B190" s="1"/>
      <c r="K190" s="1"/>
      <c r="L190" s="1"/>
      <c r="M190" s="1"/>
      <c r="N190" s="1"/>
      <c r="O190" s="1"/>
    </row>
    <row r="191" spans="2:15" x14ac:dyDescent="0.25">
      <c r="B191" s="1"/>
      <c r="K191" s="1"/>
      <c r="L191" s="1"/>
      <c r="M191" s="1"/>
      <c r="N191" s="1"/>
      <c r="O191" s="1"/>
    </row>
    <row r="192" spans="2:15" x14ac:dyDescent="0.25">
      <c r="B192" s="1"/>
      <c r="K192" s="1"/>
      <c r="L192" s="1"/>
      <c r="M192" s="1"/>
      <c r="N192" s="1"/>
      <c r="O192" s="1"/>
    </row>
    <row r="193" spans="2:15" x14ac:dyDescent="0.25">
      <c r="B193" s="1"/>
      <c r="K193" s="1"/>
      <c r="L193" s="1"/>
      <c r="M193" s="1"/>
      <c r="N193" s="1"/>
      <c r="O193" s="1"/>
    </row>
    <row r="194" spans="2:15" x14ac:dyDescent="0.25">
      <c r="B194" s="1"/>
      <c r="K194" s="1"/>
      <c r="L194" s="1"/>
      <c r="M194" s="1"/>
      <c r="N194" s="1"/>
      <c r="O194" s="1"/>
    </row>
    <row r="195" spans="2:15" x14ac:dyDescent="0.25">
      <c r="B195" s="1"/>
      <c r="K195" s="1"/>
      <c r="L195" s="1"/>
      <c r="M195" s="1"/>
      <c r="N195" s="1"/>
      <c r="O195" s="1"/>
    </row>
    <row r="196" spans="2:15" x14ac:dyDescent="0.25">
      <c r="B196" s="1"/>
      <c r="K196" s="1"/>
      <c r="L196" s="1"/>
      <c r="M196" s="1"/>
      <c r="N196" s="1"/>
      <c r="O196" s="1"/>
    </row>
    <row r="197" spans="2:15" x14ac:dyDescent="0.25">
      <c r="B197" s="1"/>
      <c r="K197" s="1"/>
      <c r="L197" s="1"/>
      <c r="M197" s="1"/>
      <c r="N197" s="1"/>
      <c r="O197" s="1"/>
    </row>
    <row r="198" spans="2:15" x14ac:dyDescent="0.25">
      <c r="B198" s="1"/>
      <c r="K198" s="1"/>
      <c r="L198" s="1"/>
      <c r="M198" s="1"/>
      <c r="N198" s="1"/>
      <c r="O198" s="1"/>
    </row>
    <row r="199" spans="2:15" x14ac:dyDescent="0.25">
      <c r="B199" s="1"/>
      <c r="K199" s="1"/>
      <c r="L199" s="1"/>
      <c r="M199" s="1"/>
      <c r="N199" s="1"/>
      <c r="O199" s="1"/>
    </row>
    <row r="200" spans="2:15" x14ac:dyDescent="0.25">
      <c r="B200" s="1"/>
      <c r="K200" s="1"/>
      <c r="L200" s="1"/>
      <c r="M200" s="1"/>
      <c r="N200" s="1"/>
      <c r="O200" s="1"/>
    </row>
    <row r="201" spans="2:15" x14ac:dyDescent="0.25">
      <c r="B201" s="1"/>
      <c r="K201" s="1"/>
      <c r="L201" s="1"/>
      <c r="M201" s="1"/>
      <c r="N201" s="1"/>
      <c r="O201" s="1"/>
    </row>
    <row r="202" spans="2:15" x14ac:dyDescent="0.25">
      <c r="B202" s="1"/>
      <c r="K202" s="1"/>
      <c r="L202" s="1"/>
      <c r="M202" s="1"/>
      <c r="N202" s="1"/>
      <c r="O202" s="1"/>
    </row>
    <row r="203" spans="2:15" x14ac:dyDescent="0.25">
      <c r="B203" s="1"/>
      <c r="K203" s="1"/>
      <c r="L203" s="1"/>
      <c r="M203" s="1"/>
      <c r="N203" s="1"/>
      <c r="O203" s="1"/>
    </row>
    <row r="204" spans="2:15" x14ac:dyDescent="0.25">
      <c r="B204" s="1"/>
      <c r="K204" s="1"/>
      <c r="L204" s="1"/>
      <c r="M204" s="1"/>
      <c r="N204" s="1"/>
      <c r="O204" s="1"/>
    </row>
    <row r="205" spans="2:15" x14ac:dyDescent="0.25">
      <c r="B205" s="1"/>
      <c r="K205" s="1"/>
      <c r="L205" s="1"/>
      <c r="M205" s="1"/>
      <c r="N205" s="1"/>
      <c r="O205" s="1"/>
    </row>
    <row r="206" spans="2:15" x14ac:dyDescent="0.25">
      <c r="B206" s="1"/>
      <c r="K206" s="1"/>
      <c r="L206" s="1"/>
      <c r="M206" s="1"/>
      <c r="N206" s="1"/>
      <c r="O206" s="1"/>
    </row>
    <row r="207" spans="2:15" x14ac:dyDescent="0.25">
      <c r="B207" s="1"/>
      <c r="K207" s="1"/>
      <c r="L207" s="1"/>
      <c r="M207" s="1"/>
      <c r="N207" s="1"/>
      <c r="O207" s="1"/>
    </row>
    <row r="208" spans="2:15" x14ac:dyDescent="0.25">
      <c r="B208" s="1"/>
      <c r="K208" s="1"/>
      <c r="L208" s="1"/>
      <c r="M208" s="1"/>
      <c r="N208" s="1"/>
      <c r="O208" s="1"/>
    </row>
    <row r="209" spans="2:15" x14ac:dyDescent="0.25">
      <c r="B209" s="1"/>
      <c r="K209" s="1"/>
      <c r="L209" s="1"/>
      <c r="M209" s="1"/>
      <c r="N209" s="1"/>
      <c r="O209" s="1"/>
    </row>
    <row r="210" spans="2:15" x14ac:dyDescent="0.25">
      <c r="B210" s="1"/>
      <c r="K210" s="1"/>
      <c r="L210" s="1"/>
      <c r="M210" s="1"/>
      <c r="N210" s="1"/>
      <c r="O210" s="1"/>
    </row>
    <row r="211" spans="2:15" x14ac:dyDescent="0.25">
      <c r="B211" s="1"/>
      <c r="K211" s="1"/>
      <c r="L211" s="1"/>
      <c r="M211" s="1"/>
      <c r="N211" s="1"/>
      <c r="O211" s="1"/>
    </row>
    <row r="212" spans="2:15" x14ac:dyDescent="0.25">
      <c r="B212" s="1"/>
      <c r="K212" s="1"/>
      <c r="L212" s="1"/>
      <c r="M212" s="1"/>
      <c r="N212" s="1"/>
      <c r="O212" s="1"/>
    </row>
    <row r="213" spans="2:15" x14ac:dyDescent="0.25">
      <c r="B213" s="1"/>
      <c r="K213" s="1"/>
      <c r="L213" s="1"/>
      <c r="M213" s="1"/>
      <c r="N213" s="1"/>
      <c r="O213" s="1"/>
    </row>
    <row r="214" spans="2:15" x14ac:dyDescent="0.25">
      <c r="B214" s="1"/>
      <c r="K214" s="1"/>
      <c r="L214" s="1"/>
      <c r="M214" s="1"/>
      <c r="N214" s="1"/>
      <c r="O214" s="1"/>
    </row>
    <row r="215" spans="2:15" x14ac:dyDescent="0.25">
      <c r="B215" s="1"/>
      <c r="K215" s="1"/>
      <c r="L215" s="1"/>
      <c r="M215" s="1"/>
      <c r="N215" s="1"/>
      <c r="O215" s="1"/>
    </row>
    <row r="216" spans="2:15" x14ac:dyDescent="0.25">
      <c r="B216" s="1"/>
      <c r="K216" s="1"/>
      <c r="L216" s="1"/>
      <c r="M216" s="1"/>
      <c r="N216" s="1"/>
      <c r="O216" s="1"/>
    </row>
    <row r="217" spans="2:15" x14ac:dyDescent="0.25">
      <c r="B217" s="1"/>
      <c r="K217" s="1"/>
      <c r="L217" s="1"/>
      <c r="M217" s="1"/>
      <c r="N217" s="1"/>
      <c r="O217" s="1"/>
    </row>
    <row r="218" spans="2:15" x14ac:dyDescent="0.25">
      <c r="B218" s="1"/>
      <c r="K218" s="1"/>
      <c r="L218" s="1"/>
      <c r="M218" s="1"/>
      <c r="N218" s="1"/>
      <c r="O218" s="1"/>
    </row>
    <row r="219" spans="2:15" x14ac:dyDescent="0.25">
      <c r="B219" s="1"/>
      <c r="K219" s="1"/>
      <c r="L219" s="1"/>
      <c r="M219" s="1"/>
      <c r="N219" s="1"/>
      <c r="O219" s="1"/>
    </row>
    <row r="220" spans="2:15" x14ac:dyDescent="0.25">
      <c r="B220" s="1"/>
      <c r="K220" s="1"/>
      <c r="L220" s="1"/>
      <c r="M220" s="1"/>
      <c r="N220" s="1"/>
      <c r="O220" s="1"/>
    </row>
    <row r="221" spans="2:15" x14ac:dyDescent="0.25">
      <c r="B221" s="1"/>
      <c r="K221" s="1"/>
      <c r="L221" s="1"/>
      <c r="M221" s="1"/>
      <c r="N221" s="1"/>
      <c r="O221" s="1"/>
    </row>
    <row r="222" spans="2:15" x14ac:dyDescent="0.25">
      <c r="B222" s="1"/>
      <c r="K222" s="1"/>
      <c r="L222" s="1"/>
      <c r="M222" s="1"/>
      <c r="N222" s="1"/>
      <c r="O222" s="1"/>
    </row>
    <row r="223" spans="2:15" x14ac:dyDescent="0.25">
      <c r="B223" s="1"/>
      <c r="K223" s="1"/>
      <c r="L223" s="1"/>
      <c r="M223" s="1"/>
      <c r="N223" s="1"/>
      <c r="O223" s="1"/>
    </row>
    <row r="224" spans="2:15" x14ac:dyDescent="0.25">
      <c r="B224" s="1"/>
      <c r="K224" s="1"/>
      <c r="L224" s="1"/>
      <c r="M224" s="1"/>
      <c r="N224" s="1"/>
      <c r="O224" s="1"/>
    </row>
    <row r="225" spans="2:15" x14ac:dyDescent="0.25">
      <c r="B225" s="1"/>
      <c r="K225" s="1"/>
      <c r="L225" s="1"/>
      <c r="M225" s="1"/>
      <c r="N225" s="1"/>
      <c r="O225" s="1"/>
    </row>
    <row r="226" spans="2:15" x14ac:dyDescent="0.25">
      <c r="B226" s="1"/>
      <c r="K226" s="1"/>
      <c r="L226" s="1"/>
      <c r="M226" s="1"/>
      <c r="N226" s="1"/>
      <c r="O226" s="1"/>
    </row>
    <row r="227" spans="2:15" x14ac:dyDescent="0.25">
      <c r="B227" s="1"/>
      <c r="K227" s="1"/>
      <c r="L227" s="1"/>
      <c r="M227" s="1"/>
      <c r="N227" s="1"/>
      <c r="O227" s="1"/>
    </row>
    <row r="228" spans="2:15" x14ac:dyDescent="0.25">
      <c r="B228" s="1"/>
      <c r="K228" s="1"/>
      <c r="L228" s="1"/>
      <c r="M228" s="1"/>
      <c r="N228" s="1"/>
      <c r="O228" s="1"/>
    </row>
    <row r="229" spans="2:15" x14ac:dyDescent="0.25">
      <c r="B229" s="1"/>
      <c r="K229" s="1"/>
      <c r="L229" s="1"/>
      <c r="M229" s="1"/>
      <c r="N229" s="1"/>
      <c r="O229" s="1"/>
    </row>
    <row r="230" spans="2:15" x14ac:dyDescent="0.25">
      <c r="B230" s="1"/>
      <c r="K230" s="1"/>
      <c r="L230" s="1"/>
      <c r="M230" s="1"/>
      <c r="N230" s="1"/>
      <c r="O230" s="1"/>
    </row>
    <row r="231" spans="2:15" x14ac:dyDescent="0.25">
      <c r="B231" s="1"/>
      <c r="K231" s="1"/>
      <c r="L231" s="1"/>
      <c r="M231" s="1"/>
      <c r="N231" s="1"/>
      <c r="O231" s="1"/>
    </row>
    <row r="232" spans="2:15" x14ac:dyDescent="0.25">
      <c r="B232" s="1"/>
      <c r="K232" s="1"/>
      <c r="L232" s="1"/>
      <c r="M232" s="1"/>
      <c r="N232" s="1"/>
      <c r="O232" s="1"/>
    </row>
    <row r="233" spans="2:15" x14ac:dyDescent="0.25">
      <c r="B233" s="1"/>
      <c r="K233" s="1"/>
      <c r="L233" s="1"/>
      <c r="M233" s="1"/>
      <c r="N233" s="1"/>
      <c r="O233" s="1"/>
    </row>
    <row r="234" spans="2:15" x14ac:dyDescent="0.25">
      <c r="B234" s="1"/>
      <c r="K234" s="1"/>
      <c r="L234" s="1"/>
      <c r="M234" s="1"/>
      <c r="N234" s="1"/>
      <c r="O234" s="1"/>
    </row>
    <row r="235" spans="2:15" x14ac:dyDescent="0.25">
      <c r="B235" s="1"/>
      <c r="K235" s="1"/>
      <c r="L235" s="1"/>
      <c r="M235" s="1"/>
      <c r="N235" s="1"/>
      <c r="O235" s="1"/>
    </row>
    <row r="236" spans="2:15" x14ac:dyDescent="0.25">
      <c r="B236" s="1"/>
      <c r="K236" s="1"/>
      <c r="L236" s="1"/>
      <c r="M236" s="1"/>
      <c r="N236" s="1"/>
      <c r="O236" s="1"/>
    </row>
    <row r="237" spans="2:15" x14ac:dyDescent="0.25">
      <c r="B237" s="1"/>
      <c r="K237" s="1"/>
      <c r="L237" s="1"/>
      <c r="M237" s="1"/>
      <c r="N237" s="1"/>
      <c r="O237" s="1"/>
    </row>
    <row r="238" spans="2:15" x14ac:dyDescent="0.25">
      <c r="B238" s="1"/>
      <c r="K238" s="1"/>
      <c r="L238" s="1"/>
      <c r="M238" s="1"/>
      <c r="N238" s="1"/>
      <c r="O238" s="1"/>
    </row>
    <row r="239" spans="2:15" x14ac:dyDescent="0.25">
      <c r="B239" s="1"/>
      <c r="K239" s="1"/>
      <c r="L239" s="1"/>
      <c r="M239" s="1"/>
      <c r="N239" s="1"/>
      <c r="O239" s="1"/>
    </row>
    <row r="240" spans="2:15" x14ac:dyDescent="0.25">
      <c r="B240" s="1"/>
      <c r="K240" s="1"/>
      <c r="L240" s="1"/>
      <c r="M240" s="1"/>
      <c r="N240" s="1"/>
      <c r="O240" s="1"/>
    </row>
  </sheetData>
  <sortState ref="A3:V160">
    <sortCondition ref="A2:A160"/>
  </sortState>
  <mergeCells count="3">
    <mergeCell ref="F1:G1"/>
    <mergeCell ref="H1:J1"/>
    <mergeCell ref="K1:M1"/>
  </mergeCells>
  <conditionalFormatting sqref="C17 B3:C16 E3:U3 P47:P110 K98:O110 B18:C110 E47:E110 D3:D110 F4:J110 A3:A129 Q4:U129 B111:P129">
    <cfRule type="expression" dxfId="52" priority="16">
      <formula>$U3="Yes"</formula>
    </cfRule>
  </conditionalFormatting>
  <conditionalFormatting sqref="B17">
    <cfRule type="expression" dxfId="51" priority="10">
      <formula>$H17&gt;0</formula>
    </cfRule>
  </conditionalFormatting>
  <conditionalFormatting sqref="B17">
    <cfRule type="expression" dxfId="50" priority="11">
      <formula>IF(INDEX(INDIRECT(""&amp;$B17&amp;"!$V$2:$V$489"),MATCH($A17,INDIRECT(""&amp;$B17&amp;"!$B$2:$B$489"),0))="Sleeper",TRUE,FALSE)</formula>
    </cfRule>
    <cfRule type="expression" dxfId="49" priority="12">
      <formula>IF(INDEX(INDIRECT(""&amp;$B17&amp;"!$V$2:$V$489"),MATCH($A17,INDIRECT(""&amp;$B17&amp;"!$B$2:$B$489"),0))="Target",TRUE,FALSE)</formula>
    </cfRule>
    <cfRule type="expression" dxfId="48" priority="13">
      <formula>IF(INDEX(INDIRECT(""&amp;$B17&amp;"!$V$2:$V$489"),MATCH($A17,INDIRECT(""&amp;$B17&amp;"!$B$2:$B$489"),0))="Avoid",TRUE,FALSE)</formula>
    </cfRule>
  </conditionalFormatting>
  <conditionalFormatting sqref="A130:N228">
    <cfRule type="expression" dxfId="47" priority="9">
      <formula>$U130="Yes"</formula>
    </cfRule>
  </conditionalFormatting>
  <conditionalFormatting sqref="K47:O97">
    <cfRule type="expression" dxfId="46" priority="6">
      <formula>$U47="Yes"</formula>
    </cfRule>
  </conditionalFormatting>
  <conditionalFormatting sqref="E4:E46 P4:P46">
    <cfRule type="expression" dxfId="45" priority="4">
      <formula>$U4="Yes"</formula>
    </cfRule>
  </conditionalFormatting>
  <conditionalFormatting sqref="K4:O46">
    <cfRule type="expression" dxfId="44" priority="3">
      <formula>$U4="Yes"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LeagueInfo!$H$97:$H$100</xm:f>
          </x14:formula1>
          <xm:sqref>V3:V129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B37"/>
  <sheetViews>
    <sheetView workbookViewId="0">
      <selection activeCell="E2" sqref="E2:I37"/>
    </sheetView>
  </sheetViews>
  <sheetFormatPr defaultColWidth="8.85546875" defaultRowHeight="15" x14ac:dyDescent="0.25"/>
  <cols>
    <col min="1" max="1" width="8.85546875" style="1"/>
    <col min="2" max="2" width="19.85546875" bestFit="1" customWidth="1"/>
    <col min="3" max="3" width="4.140625" style="1" bestFit="1" customWidth="1"/>
    <col min="4" max="4" width="3.42578125" style="1" customWidth="1"/>
    <col min="10" max="18" width="0" hidden="1" customWidth="1"/>
    <col min="19" max="19" width="3.42578125" bestFit="1" customWidth="1"/>
    <col min="20" max="20" width="3.42578125" style="1" bestFit="1" customWidth="1"/>
    <col min="21" max="22" width="8.85546875" customWidth="1"/>
    <col min="23" max="24" width="8.85546875" hidden="1" customWidth="1"/>
    <col min="25" max="25" width="8.85546875" customWidth="1"/>
  </cols>
  <sheetData>
    <row r="1" spans="1:28" ht="23.25" x14ac:dyDescent="0.25">
      <c r="A1" s="127" t="s">
        <v>328</v>
      </c>
      <c r="B1" s="127" t="s">
        <v>807</v>
      </c>
      <c r="C1" s="127" t="s">
        <v>24</v>
      </c>
      <c r="D1" s="127" t="s">
        <v>808</v>
      </c>
      <c r="E1" s="127" t="s">
        <v>809</v>
      </c>
      <c r="F1" s="127" t="s">
        <v>810</v>
      </c>
      <c r="G1" s="127" t="s">
        <v>811</v>
      </c>
      <c r="H1" s="127" t="s">
        <v>812</v>
      </c>
      <c r="I1" s="127" t="s">
        <v>813</v>
      </c>
      <c r="J1" s="127"/>
      <c r="K1" s="127"/>
      <c r="L1" s="127"/>
      <c r="M1" s="127"/>
      <c r="N1" s="127"/>
      <c r="O1" s="127"/>
      <c r="P1" s="127"/>
      <c r="Q1" s="127"/>
      <c r="R1" s="127"/>
      <c r="S1" s="127" t="s">
        <v>342</v>
      </c>
      <c r="T1" s="127" t="s">
        <v>342</v>
      </c>
      <c r="U1" s="127" t="s">
        <v>344</v>
      </c>
      <c r="V1" s="127" t="s">
        <v>345</v>
      </c>
      <c r="W1" s="1"/>
      <c r="X1" s="1"/>
      <c r="Y1" s="127" t="s">
        <v>347</v>
      </c>
      <c r="Z1" s="127" t="s">
        <v>348</v>
      </c>
      <c r="AA1" s="1"/>
      <c r="AB1" s="1"/>
    </row>
    <row r="2" spans="1:28" x14ac:dyDescent="0.25">
      <c r="A2" s="1">
        <f t="shared" ref="A2:A37" si="0">RANK(I2,I$2:I$37)</f>
        <v>1</v>
      </c>
      <c r="B2" s="1" t="s">
        <v>202</v>
      </c>
      <c r="C2" s="1" t="s">
        <v>52</v>
      </c>
      <c r="D2" s="1">
        <f>VLOOKUP(E2,BYEs!$A$2:$B$33,2)</f>
        <v>9</v>
      </c>
      <c r="E2" s="1" t="s">
        <v>351</v>
      </c>
      <c r="F2" s="1">
        <v>31</v>
      </c>
      <c r="G2" s="1">
        <v>35.9</v>
      </c>
      <c r="H2" s="1">
        <v>49.9</v>
      </c>
      <c r="I2" s="1">
        <v>142.9</v>
      </c>
      <c r="J2" s="1">
        <v>142.5</v>
      </c>
      <c r="K2" s="1"/>
      <c r="L2" s="1"/>
      <c r="M2" s="1"/>
      <c r="N2" s="1"/>
      <c r="O2" s="1"/>
      <c r="P2" s="1"/>
      <c r="Q2" s="1"/>
      <c r="R2" s="1"/>
      <c r="S2" s="90">
        <f>IF(A2&lt;=LeagueInfo!$B$7,1,0)</f>
        <v>1</v>
      </c>
      <c r="T2" s="90">
        <f>S2</f>
        <v>1</v>
      </c>
      <c r="U2" s="47" t="str">
        <f>IF(OR(INDEX(Auction!$H$13:$H$683,MATCH(B2,Auction!$A$13:$A$683,0))&gt;0,IFERROR(INDEX(CheatSheet!$D$37:$D$64,MATCH(B2,CheatSheet!$A$37:$A$64,0)),"")&lt;&gt;""),"Yes","No")</f>
        <v>No</v>
      </c>
      <c r="V2" s="218"/>
      <c r="W2" s="1"/>
      <c r="X2" s="1"/>
      <c r="Y2" s="144">
        <f ca="1">IF(AllowNegative="Yes",I2-INDIRECT("I"&amp;LeagueInfo!$B$7+1),MAX(I2-INDIRECT("I"&amp;LeagueInfo!$B$7+1),0))</f>
        <v>21.400000000000006</v>
      </c>
      <c r="Z2" s="145" t="str">
        <f t="shared" ref="Z2:Z37" si="1">CONCATENATE("K",ROUND((LARGE($I$2:$I$37,1)-$I2)/STDEVPA($I$3:$I$37)/2+1,0))</f>
        <v>K1</v>
      </c>
      <c r="AA2" s="1"/>
      <c r="AB2" s="1"/>
    </row>
    <row r="3" spans="1:28" x14ac:dyDescent="0.25">
      <c r="A3" s="1">
        <f t="shared" si="0"/>
        <v>2</v>
      </c>
      <c r="B3" s="1" t="s">
        <v>262</v>
      </c>
      <c r="C3" s="1" t="s">
        <v>52</v>
      </c>
      <c r="D3" s="1">
        <f>VLOOKUP(E3,BYEs!$A$2:$B$33,2)</f>
        <v>5</v>
      </c>
      <c r="E3" s="1" t="s">
        <v>353</v>
      </c>
      <c r="F3" s="1">
        <v>29.9</v>
      </c>
      <c r="G3" s="1">
        <v>34.1</v>
      </c>
      <c r="H3" s="1">
        <v>46.4</v>
      </c>
      <c r="I3" s="1">
        <v>136.1</v>
      </c>
      <c r="J3" s="1">
        <v>136</v>
      </c>
      <c r="K3" s="1"/>
      <c r="L3" s="1"/>
      <c r="M3" s="1"/>
      <c r="N3" s="1"/>
      <c r="O3" s="1"/>
      <c r="P3" s="1"/>
      <c r="Q3" s="1"/>
      <c r="R3" s="1"/>
      <c r="S3" s="90">
        <f>IF(A3&lt;=LeagueInfo!$B$7,1,0)</f>
        <v>1</v>
      </c>
      <c r="T3" s="90">
        <f t="shared" ref="T3:T34" si="2">S3</f>
        <v>1</v>
      </c>
      <c r="U3" s="47" t="str">
        <f>IF(OR(INDEX(Auction!$H$13:$H$683,MATCH(B3,Auction!$A$13:$A$683,0))&gt;0,IFERROR(INDEX(CheatSheet!$D$37:$D$64,MATCH(B3,CheatSheet!$A$37:$A$64,0)),"")&lt;&gt;""),"Yes","No")</f>
        <v>No</v>
      </c>
      <c r="V3" s="218"/>
      <c r="W3" s="1"/>
      <c r="X3" s="1"/>
      <c r="Y3" s="1">
        <f ca="1">IF(AllowNegative="Yes",I3-INDIRECT("I"&amp;LeagueInfo!$B$7+1),MAX(I3-INDIRECT("I"&amp;LeagueInfo!$B$7+1),0))</f>
        <v>14.599999999999994</v>
      </c>
      <c r="Z3" s="145" t="str">
        <f t="shared" si="1"/>
        <v>K1</v>
      </c>
      <c r="AA3" s="1"/>
      <c r="AB3" s="144"/>
    </row>
    <row r="4" spans="1:28" x14ac:dyDescent="0.25">
      <c r="A4" s="1">
        <f t="shared" si="0"/>
        <v>3</v>
      </c>
      <c r="B4" s="1" t="s">
        <v>179</v>
      </c>
      <c r="C4" s="1" t="s">
        <v>52</v>
      </c>
      <c r="D4" s="1">
        <f>VLOOKUP(E4,BYEs!$A$2:$B$33,2)</f>
        <v>10</v>
      </c>
      <c r="E4" s="1" t="s">
        <v>371</v>
      </c>
      <c r="F4" s="1">
        <v>31.8</v>
      </c>
      <c r="G4" s="1">
        <v>35.1</v>
      </c>
      <c r="H4" s="1">
        <v>34.5</v>
      </c>
      <c r="I4" s="1">
        <v>130</v>
      </c>
      <c r="J4" s="1">
        <v>128.69999999999999</v>
      </c>
      <c r="K4" s="1"/>
      <c r="L4" s="1"/>
      <c r="M4" s="1"/>
      <c r="N4" s="1"/>
      <c r="O4" s="1"/>
      <c r="P4" s="1"/>
      <c r="Q4" s="1"/>
      <c r="R4" s="1"/>
      <c r="S4" s="90">
        <f>IF(A4&lt;=LeagueInfo!$B$7,1,0)</f>
        <v>1</v>
      </c>
      <c r="T4" s="90">
        <f t="shared" si="2"/>
        <v>1</v>
      </c>
      <c r="U4" s="47" t="str">
        <f>IF(OR(INDEX(Auction!$H$13:$H$683,MATCH(B4,Auction!$A$13:$A$683,0))&gt;0,IFERROR(INDEX(CheatSheet!$D$37:$D$64,MATCH(B4,CheatSheet!$A$37:$A$64,0)),"")&lt;&gt;""),"Yes","No")</f>
        <v>No</v>
      </c>
      <c r="V4" s="218"/>
      <c r="W4" s="1"/>
      <c r="X4" s="1"/>
      <c r="Y4" s="1">
        <f ca="1">IF(AllowNegative="Yes",I4-INDIRECT("I"&amp;LeagueInfo!$B$7+1),MAX(I4-INDIRECT("I"&amp;LeagueInfo!$B$7+1),0))</f>
        <v>8.5</v>
      </c>
      <c r="Z4" s="145" t="str">
        <f t="shared" si="1"/>
        <v>K1</v>
      </c>
      <c r="AA4" s="1"/>
      <c r="AB4" s="1"/>
    </row>
    <row r="5" spans="1:28" x14ac:dyDescent="0.25">
      <c r="A5" s="1">
        <f t="shared" si="0"/>
        <v>4</v>
      </c>
      <c r="B5" s="1" t="s">
        <v>258</v>
      </c>
      <c r="C5" s="1" t="s">
        <v>52</v>
      </c>
      <c r="D5" s="1">
        <f>VLOOKUP(E5,BYEs!$A$2:$B$33,2)</f>
        <v>8</v>
      </c>
      <c r="E5" s="1" t="s">
        <v>350</v>
      </c>
      <c r="F5" s="1">
        <v>27.8</v>
      </c>
      <c r="G5" s="1">
        <v>32.6</v>
      </c>
      <c r="H5" s="1">
        <v>45.8</v>
      </c>
      <c r="I5" s="1">
        <v>129.30000000000001</v>
      </c>
      <c r="J5" s="1">
        <v>128.19999999999999</v>
      </c>
      <c r="K5" s="1"/>
      <c r="L5" s="1"/>
      <c r="M5" s="1"/>
      <c r="N5" s="1"/>
      <c r="O5" s="1"/>
      <c r="P5" s="1"/>
      <c r="Q5" s="1"/>
      <c r="R5" s="1"/>
      <c r="S5" s="90">
        <f>IF(A5&lt;=LeagueInfo!$B$7,1,0)</f>
        <v>1</v>
      </c>
      <c r="T5" s="90">
        <f t="shared" si="2"/>
        <v>1</v>
      </c>
      <c r="U5" s="47" t="str">
        <f>IF(OR(INDEX(Auction!$H$13:$H$683,MATCH(B5,Auction!$A$13:$A$683,0))&gt;0,IFERROR(INDEX(CheatSheet!$D$37:$D$64,MATCH(B5,CheatSheet!$A$37:$A$64,0)),"")&lt;&gt;""),"Yes","No")</f>
        <v>No</v>
      </c>
      <c r="V5" s="218"/>
      <c r="W5" s="1"/>
      <c r="X5" s="1"/>
      <c r="Y5" s="1">
        <f ca="1">IF(AllowNegative="Yes",I5-INDIRECT("I"&amp;LeagueInfo!$B$7+1),MAX(I5-INDIRECT("I"&amp;LeagueInfo!$B$7+1),0))</f>
        <v>7.8000000000000114</v>
      </c>
      <c r="Z5" s="145" t="str">
        <f t="shared" si="1"/>
        <v>K1</v>
      </c>
      <c r="AA5" s="1"/>
      <c r="AB5" s="1"/>
    </row>
    <row r="6" spans="1:28" x14ac:dyDescent="0.25">
      <c r="A6" s="1">
        <f t="shared" si="0"/>
        <v>5</v>
      </c>
      <c r="B6" s="1" t="s">
        <v>233</v>
      </c>
      <c r="C6" s="1" t="s">
        <v>52</v>
      </c>
      <c r="D6" s="1">
        <f>VLOOKUP(E6,BYEs!$A$2:$B$33,2)</f>
        <v>6</v>
      </c>
      <c r="E6" s="1" t="s">
        <v>360</v>
      </c>
      <c r="F6" s="1">
        <v>28.2</v>
      </c>
      <c r="G6" s="1">
        <v>32.5</v>
      </c>
      <c r="H6" s="1">
        <v>43.3</v>
      </c>
      <c r="I6" s="1">
        <v>128</v>
      </c>
      <c r="J6" s="1">
        <v>126.7</v>
      </c>
      <c r="K6" s="1"/>
      <c r="L6" s="1"/>
      <c r="M6" s="1"/>
      <c r="N6" s="1"/>
      <c r="O6" s="1"/>
      <c r="P6" s="1"/>
      <c r="Q6" s="1"/>
      <c r="R6" s="1"/>
      <c r="S6" s="90">
        <f>IF(A6&lt;=LeagueInfo!$B$7,1,0)</f>
        <v>1</v>
      </c>
      <c r="T6" s="90">
        <f t="shared" si="2"/>
        <v>1</v>
      </c>
      <c r="U6" s="47" t="str">
        <f>IF(OR(INDEX(Auction!$H$13:$H$683,MATCH(B6,Auction!$A$13:$A$683,0))&gt;0,IFERROR(INDEX(CheatSheet!$D$37:$D$64,MATCH(B6,CheatSheet!$A$37:$A$64,0)),"")&lt;&gt;""),"Yes","No")</f>
        <v>No</v>
      </c>
      <c r="V6" s="218"/>
      <c r="W6" s="1"/>
      <c r="X6" s="1"/>
      <c r="Y6" s="1">
        <f ca="1">IF(AllowNegative="Yes",I6-INDIRECT("I"&amp;LeagueInfo!$B$7+1),MAX(I6-INDIRECT("I"&amp;LeagueInfo!$B$7+1),0))</f>
        <v>6.5</v>
      </c>
      <c r="Z6" s="145" t="str">
        <f t="shared" si="1"/>
        <v>K1</v>
      </c>
      <c r="AA6" s="1"/>
      <c r="AB6" s="1"/>
    </row>
    <row r="7" spans="1:28" x14ac:dyDescent="0.25">
      <c r="A7" s="1">
        <f t="shared" si="0"/>
        <v>6</v>
      </c>
      <c r="B7" s="1" t="s">
        <v>814</v>
      </c>
      <c r="C7" s="1" t="s">
        <v>52</v>
      </c>
      <c r="D7" s="1">
        <f>VLOOKUP(E7,BYEs!$A$2:$B$33,2)</f>
        <v>5</v>
      </c>
      <c r="E7" s="1" t="s">
        <v>352</v>
      </c>
      <c r="F7" s="1">
        <v>26.9</v>
      </c>
      <c r="G7" s="1">
        <v>32.200000000000003</v>
      </c>
      <c r="H7" s="1">
        <v>46.4</v>
      </c>
      <c r="I7" s="1">
        <v>127.1</v>
      </c>
      <c r="J7" s="1">
        <v>126.6</v>
      </c>
      <c r="K7" s="1"/>
      <c r="L7" s="1"/>
      <c r="M7" s="1"/>
      <c r="N7" s="1"/>
      <c r="O7" s="1"/>
      <c r="P7" s="1"/>
      <c r="Q7" s="1"/>
      <c r="R7" s="1"/>
      <c r="S7" s="90">
        <f>IF(A7&lt;=LeagueInfo!$B$7,1,0)</f>
        <v>1</v>
      </c>
      <c r="T7" s="90">
        <f t="shared" si="2"/>
        <v>1</v>
      </c>
      <c r="U7" s="47" t="str">
        <f>IF(OR(INDEX(Auction!$H$13:$H$683,MATCH(B7,Auction!$A$13:$A$683,0))&gt;0,IFERROR(INDEX(CheatSheet!$D$37:$D$64,MATCH(B7,CheatSheet!$A$37:$A$64,0)),"")&lt;&gt;""),"Yes","No")</f>
        <v>No</v>
      </c>
      <c r="V7" s="218"/>
      <c r="W7" s="1"/>
      <c r="X7" s="1"/>
      <c r="Y7" s="1">
        <f ca="1">IF(AllowNegative="Yes",I7-INDIRECT("I"&amp;LeagueInfo!$B$7+1),MAX(I7-INDIRECT("I"&amp;LeagueInfo!$B$7+1),0))</f>
        <v>5.5999999999999943</v>
      </c>
      <c r="Z7" s="145" t="str">
        <f t="shared" si="1"/>
        <v>K1</v>
      </c>
      <c r="AA7" s="1"/>
      <c r="AB7" s="1"/>
    </row>
    <row r="8" spans="1:28" x14ac:dyDescent="0.25">
      <c r="A8" s="1">
        <f t="shared" si="0"/>
        <v>7</v>
      </c>
      <c r="B8" s="1" t="s">
        <v>315</v>
      </c>
      <c r="C8" s="1" t="s">
        <v>52</v>
      </c>
      <c r="D8" s="1">
        <f>VLOOKUP(E8,BYEs!$A$2:$B$33,2)</f>
        <v>11</v>
      </c>
      <c r="E8" s="1" t="s">
        <v>357</v>
      </c>
      <c r="F8" s="1">
        <v>29.4</v>
      </c>
      <c r="G8" s="1">
        <v>35.799999999999997</v>
      </c>
      <c r="H8" s="1">
        <v>38.6</v>
      </c>
      <c r="I8" s="1">
        <v>126.7</v>
      </c>
      <c r="J8" s="1">
        <v>125.7</v>
      </c>
      <c r="K8" s="1"/>
      <c r="L8" s="1"/>
      <c r="M8" s="1"/>
      <c r="N8" s="1"/>
      <c r="O8" s="1"/>
      <c r="P8" s="1"/>
      <c r="Q8" s="1"/>
      <c r="R8" s="1"/>
      <c r="S8" s="90">
        <f>IF(A8&lt;=LeagueInfo!$B$7,1,0)</f>
        <v>1</v>
      </c>
      <c r="T8" s="90">
        <f t="shared" si="2"/>
        <v>1</v>
      </c>
      <c r="U8" s="47" t="str">
        <f>IF(OR(INDEX(Auction!$H$13:$H$683,MATCH(B8,Auction!$A$13:$A$683,0))&gt;0,IFERROR(INDEX(CheatSheet!$D$37:$D$64,MATCH(B8,CheatSheet!$A$37:$A$64,0)),"")&lt;&gt;""),"Yes","No")</f>
        <v>No</v>
      </c>
      <c r="V8" s="218"/>
      <c r="W8" s="1"/>
      <c r="X8" s="1"/>
      <c r="Y8" s="1">
        <f ca="1">IF(AllowNegative="Yes",I8-INDIRECT("I"&amp;LeagueInfo!$B$7+1),MAX(I8-INDIRECT("I"&amp;LeagueInfo!$B$7+1),0))</f>
        <v>5.2000000000000028</v>
      </c>
      <c r="Z8" s="145" t="str">
        <f t="shared" si="1"/>
        <v>K1</v>
      </c>
      <c r="AA8" s="1"/>
      <c r="AB8" s="1"/>
    </row>
    <row r="9" spans="1:28" x14ac:dyDescent="0.25">
      <c r="A9" s="1">
        <f t="shared" si="0"/>
        <v>8</v>
      </c>
      <c r="B9" s="1" t="s">
        <v>263</v>
      </c>
      <c r="C9" s="1" t="s">
        <v>52</v>
      </c>
      <c r="D9" s="1">
        <f>VLOOKUP(E9,BYEs!$A$2:$B$33,2)</f>
        <v>11</v>
      </c>
      <c r="E9" s="1" t="s">
        <v>355</v>
      </c>
      <c r="F9" s="1">
        <v>27.7</v>
      </c>
      <c r="G9" s="1">
        <v>31.4</v>
      </c>
      <c r="H9" s="1">
        <v>41.3</v>
      </c>
      <c r="I9" s="1">
        <v>124.3</v>
      </c>
      <c r="J9" s="1">
        <v>124.8</v>
      </c>
      <c r="K9" s="1"/>
      <c r="L9" s="1"/>
      <c r="M9" s="1"/>
      <c r="N9" s="1"/>
      <c r="O9" s="1"/>
      <c r="P9" s="1"/>
      <c r="Q9" s="1"/>
      <c r="R9" s="1"/>
      <c r="S9" s="90">
        <f>IF(A9&lt;=LeagueInfo!$B$7,1,0)</f>
        <v>1</v>
      </c>
      <c r="T9" s="90">
        <f t="shared" si="2"/>
        <v>1</v>
      </c>
      <c r="U9" s="47" t="str">
        <f>IF(OR(INDEX(Auction!$H$13:$H$683,MATCH(B9,Auction!$A$13:$A$683,0))&gt;0,IFERROR(INDEX(CheatSheet!$D$37:$D$64,MATCH(B9,CheatSheet!$A$37:$A$64,0)),"")&lt;&gt;""),"Yes","No")</f>
        <v>No</v>
      </c>
      <c r="V9" s="218"/>
      <c r="W9" s="1"/>
      <c r="X9" s="1"/>
      <c r="Y9" s="1">
        <f ca="1">IF(AllowNegative="Yes",I9-INDIRECT("I"&amp;LeagueInfo!$B$7+1),MAX(I9-INDIRECT("I"&amp;LeagueInfo!$B$7+1),0))</f>
        <v>2.7999999999999972</v>
      </c>
      <c r="Z9" s="145" t="str">
        <f t="shared" si="1"/>
        <v>K2</v>
      </c>
      <c r="AA9" s="1"/>
      <c r="AB9" s="1"/>
    </row>
    <row r="10" spans="1:28" x14ac:dyDescent="0.25">
      <c r="A10" s="1">
        <f t="shared" si="0"/>
        <v>9</v>
      </c>
      <c r="B10" s="1" t="s">
        <v>306</v>
      </c>
      <c r="C10" s="1" t="s">
        <v>52</v>
      </c>
      <c r="D10" s="1">
        <f>VLOOKUP(E10,BYEs!$A$2:$B$33,2)</f>
        <v>10</v>
      </c>
      <c r="E10" s="1" t="s">
        <v>365</v>
      </c>
      <c r="F10" s="1">
        <v>28</v>
      </c>
      <c r="G10" s="1">
        <v>33.4</v>
      </c>
      <c r="H10" s="1">
        <v>40.299999999999997</v>
      </c>
      <c r="I10" s="1">
        <v>124.2</v>
      </c>
      <c r="J10" s="1">
        <v>122.8</v>
      </c>
      <c r="K10" s="1"/>
      <c r="L10" s="1"/>
      <c r="M10" s="1"/>
      <c r="N10" s="1"/>
      <c r="O10" s="1"/>
      <c r="P10" s="1"/>
      <c r="Q10" s="1"/>
      <c r="R10" s="1"/>
      <c r="S10" s="90">
        <f>IF(A10&lt;=LeagueInfo!$B$7,1,0)</f>
        <v>1</v>
      </c>
      <c r="T10" s="90">
        <f t="shared" si="2"/>
        <v>1</v>
      </c>
      <c r="U10" s="47" t="str">
        <f>IF(OR(INDEX(Auction!$H$13:$H$683,MATCH(B10,Auction!$A$13:$A$683,0))&gt;0,IFERROR(INDEX(CheatSheet!$D$37:$D$64,MATCH(B10,CheatSheet!$A$37:$A$64,0)),"")&lt;&gt;""),"Yes","No")</f>
        <v>No</v>
      </c>
      <c r="V10" s="218"/>
      <c r="W10" s="1"/>
      <c r="X10" s="1"/>
      <c r="Y10" s="1">
        <f ca="1">IF(AllowNegative="Yes",I10-INDIRECT("I"&amp;LeagueInfo!$B$7+1),MAX(I10-INDIRECT("I"&amp;LeagueInfo!$B$7+1),0))</f>
        <v>2.7000000000000028</v>
      </c>
      <c r="Z10" s="145" t="str">
        <f t="shared" si="1"/>
        <v>K2</v>
      </c>
      <c r="AA10" s="1"/>
      <c r="AB10" s="1"/>
    </row>
    <row r="11" spans="1:28" x14ac:dyDescent="0.25">
      <c r="A11" s="1">
        <f t="shared" si="0"/>
        <v>10</v>
      </c>
      <c r="B11" s="1" t="s">
        <v>321</v>
      </c>
      <c r="C11" s="1" t="s">
        <v>52</v>
      </c>
      <c r="D11" s="1">
        <f>VLOOKUP(E11,BYEs!$A$2:$B$33,2)</f>
        <v>5</v>
      </c>
      <c r="E11" s="1" t="s">
        <v>358</v>
      </c>
      <c r="F11" s="1">
        <v>28.3</v>
      </c>
      <c r="G11" s="1">
        <v>34.1</v>
      </c>
      <c r="H11" s="1">
        <v>38.5</v>
      </c>
      <c r="I11" s="1">
        <v>123.5</v>
      </c>
      <c r="J11" s="1">
        <v>122.6</v>
      </c>
      <c r="K11" s="1"/>
      <c r="L11" s="1"/>
      <c r="M11" s="1"/>
      <c r="N11" s="1"/>
      <c r="O11" s="1"/>
      <c r="P11" s="1"/>
      <c r="Q11" s="1"/>
      <c r="R11" s="1"/>
      <c r="S11" s="90">
        <f>IF(A11&lt;=LeagueInfo!$B$7,1,0)</f>
        <v>1</v>
      </c>
      <c r="T11" s="90">
        <f t="shared" si="2"/>
        <v>1</v>
      </c>
      <c r="U11" s="47" t="str">
        <f>IF(OR(INDEX(Auction!$H$13:$H$683,MATCH(B11,Auction!$A$13:$A$683,0))&gt;0,IFERROR(INDEX(CheatSheet!$D$37:$D$64,MATCH(B11,CheatSheet!$A$37:$A$64,0)),"")&lt;&gt;""),"Yes","No")</f>
        <v>No</v>
      </c>
      <c r="V11" s="218"/>
      <c r="W11" s="1"/>
      <c r="X11" s="1"/>
      <c r="Y11" s="1">
        <f ca="1">IF(AllowNegative="Yes",I11-INDIRECT("I"&amp;LeagueInfo!$B$7+1),MAX(I11-INDIRECT("I"&amp;LeagueInfo!$B$7+1),0))</f>
        <v>2</v>
      </c>
      <c r="Z11" s="145" t="str">
        <f t="shared" si="1"/>
        <v>K2</v>
      </c>
      <c r="AA11" s="1"/>
      <c r="AB11" s="1"/>
    </row>
    <row r="12" spans="1:28" x14ac:dyDescent="0.25">
      <c r="A12" s="1">
        <f t="shared" si="0"/>
        <v>11</v>
      </c>
      <c r="B12" s="1" t="s">
        <v>289</v>
      </c>
      <c r="C12" s="1" t="s">
        <v>52</v>
      </c>
      <c r="D12" s="1">
        <f>VLOOKUP(E12,BYEs!$A$2:$B$33,2)</f>
        <v>6</v>
      </c>
      <c r="E12" s="1" t="s">
        <v>354</v>
      </c>
      <c r="F12" s="1">
        <v>28.1</v>
      </c>
      <c r="G12" s="1">
        <v>33.9</v>
      </c>
      <c r="H12" s="1">
        <v>37.5</v>
      </c>
      <c r="I12" s="1">
        <v>121.8</v>
      </c>
      <c r="J12" s="1">
        <v>122.3</v>
      </c>
      <c r="K12" s="1"/>
      <c r="L12" s="1"/>
      <c r="M12" s="1"/>
      <c r="N12" s="1"/>
      <c r="O12" s="1"/>
      <c r="P12" s="1"/>
      <c r="Q12" s="1"/>
      <c r="R12" s="1"/>
      <c r="S12" s="90">
        <f>IF(A12&lt;=LeagueInfo!$B$7,1,0)</f>
        <v>1</v>
      </c>
      <c r="T12" s="90">
        <f t="shared" si="2"/>
        <v>1</v>
      </c>
      <c r="U12" s="47" t="str">
        <f>IF(OR(INDEX(Auction!$H$13:$H$683,MATCH(B12,Auction!$A$13:$A$683,0))&gt;0,IFERROR(INDEX(CheatSheet!$D$37:$D$64,MATCH(B12,CheatSheet!$A$37:$A$64,0)),"")&lt;&gt;""),"Yes","No")</f>
        <v>No</v>
      </c>
      <c r="V12" s="218"/>
      <c r="W12" s="1"/>
      <c r="X12" s="1"/>
      <c r="Y12" s="1">
        <f ca="1">IF(AllowNegative="Yes",I12-INDIRECT("I"&amp;LeagueInfo!$B$7+1),MAX(I12-INDIRECT("I"&amp;LeagueInfo!$B$7+1),0))</f>
        <v>0.29999999999999716</v>
      </c>
      <c r="Z12" s="145" t="str">
        <f t="shared" si="1"/>
        <v>K2</v>
      </c>
      <c r="AA12" s="1"/>
      <c r="AB12" s="1"/>
    </row>
    <row r="13" spans="1:28" x14ac:dyDescent="0.25">
      <c r="A13" s="1">
        <f t="shared" si="0"/>
        <v>12</v>
      </c>
      <c r="B13" s="1" t="s">
        <v>313</v>
      </c>
      <c r="C13" s="1" t="s">
        <v>52</v>
      </c>
      <c r="D13" s="1">
        <f>VLOOKUP(E13,BYEs!$A$2:$B$33,2)</f>
        <v>10</v>
      </c>
      <c r="E13" s="1" t="s">
        <v>372</v>
      </c>
      <c r="F13" s="1">
        <v>28.4</v>
      </c>
      <c r="G13" s="1">
        <v>33.4</v>
      </c>
      <c r="H13" s="1">
        <v>36.200000000000003</v>
      </c>
      <c r="I13" s="1">
        <v>121.5</v>
      </c>
      <c r="J13" s="1">
        <v>120.9</v>
      </c>
      <c r="K13" s="1"/>
      <c r="L13" s="1"/>
      <c r="M13" s="1"/>
      <c r="N13" s="1"/>
      <c r="O13" s="1"/>
      <c r="P13" s="1"/>
      <c r="Q13" s="1"/>
      <c r="R13" s="1"/>
      <c r="S13" s="90">
        <f>IF(A13&lt;=LeagueInfo!$B$7,1,0)</f>
        <v>1</v>
      </c>
      <c r="T13" s="90">
        <f t="shared" si="2"/>
        <v>1</v>
      </c>
      <c r="U13" s="47" t="str">
        <f>IF(OR(INDEX(Auction!$H$13:$H$683,MATCH(B13,Auction!$A$13:$A$683,0))&gt;0,IFERROR(INDEX(CheatSheet!$D$37:$D$64,MATCH(B13,CheatSheet!$A$37:$A$64,0)),"")&lt;&gt;""),"Yes","No")</f>
        <v>No</v>
      </c>
      <c r="V13" s="218"/>
      <c r="W13" s="1"/>
      <c r="X13" s="1"/>
      <c r="Y13" s="1">
        <f ca="1">IF(AllowNegative="Yes",I13-INDIRECT("I"&amp;LeagueInfo!$B$7+1),MAX(I13-INDIRECT("I"&amp;LeagueInfo!$B$7+1),0))</f>
        <v>0</v>
      </c>
      <c r="Z13" s="145" t="str">
        <f t="shared" si="1"/>
        <v>K2</v>
      </c>
      <c r="AA13" s="1"/>
      <c r="AB13" s="1"/>
    </row>
    <row r="14" spans="1:28" x14ac:dyDescent="0.25">
      <c r="A14" s="1">
        <f t="shared" si="0"/>
        <v>13</v>
      </c>
      <c r="B14" s="1" t="s">
        <v>264</v>
      </c>
      <c r="C14" s="1" t="s">
        <v>52</v>
      </c>
      <c r="D14" s="1">
        <f>VLOOKUP(E14,BYEs!$A$2:$B$33,2)</f>
        <v>10</v>
      </c>
      <c r="E14" s="1" t="s">
        <v>369</v>
      </c>
      <c r="F14" s="1">
        <v>28.3</v>
      </c>
      <c r="G14" s="1">
        <v>33.799999999999997</v>
      </c>
      <c r="H14" s="1">
        <v>35.5</v>
      </c>
      <c r="I14" s="1">
        <v>120.4</v>
      </c>
      <c r="J14" s="1">
        <v>120</v>
      </c>
      <c r="K14" s="1"/>
      <c r="L14" s="1"/>
      <c r="M14" s="1"/>
      <c r="N14" s="1"/>
      <c r="O14" s="1"/>
      <c r="P14" s="1"/>
      <c r="Q14" s="1"/>
      <c r="R14" s="1"/>
      <c r="S14" s="90">
        <f>IF(A14&lt;=LeagueInfo!$B$7,1,0)</f>
        <v>0</v>
      </c>
      <c r="T14" s="90">
        <f t="shared" si="2"/>
        <v>0</v>
      </c>
      <c r="U14" s="47" t="str">
        <f>IF(OR(INDEX(Auction!$H$13:$H$683,MATCH(B14,Auction!$A$13:$A$683,0))&gt;0,IFERROR(INDEX(CheatSheet!$D$37:$D$64,MATCH(B14,CheatSheet!$A$37:$A$64,0)),"")&lt;&gt;""),"Yes","No")</f>
        <v>No</v>
      </c>
      <c r="V14" s="218"/>
      <c r="W14" s="1"/>
      <c r="X14" s="1"/>
      <c r="Y14" s="1">
        <f ca="1">IF(AllowNegative="Yes",I14-INDIRECT("I"&amp;LeagueInfo!$B$7+1),MAX(I14-INDIRECT("I"&amp;LeagueInfo!$B$7+1),0))</f>
        <v>-1.0999999999999943</v>
      </c>
      <c r="Z14" s="145" t="str">
        <f t="shared" si="1"/>
        <v>K2</v>
      </c>
      <c r="AA14" s="1"/>
      <c r="AB14" s="1"/>
    </row>
    <row r="15" spans="1:28" x14ac:dyDescent="0.25">
      <c r="A15" s="1">
        <f t="shared" si="0"/>
        <v>14</v>
      </c>
      <c r="B15" s="1" t="s">
        <v>214</v>
      </c>
      <c r="C15" s="1" t="s">
        <v>52</v>
      </c>
      <c r="D15" s="1">
        <f>VLOOKUP(E15,BYEs!$A$2:$B$33,2)</f>
        <v>9</v>
      </c>
      <c r="E15" s="1" t="s">
        <v>363</v>
      </c>
      <c r="F15" s="1">
        <v>27</v>
      </c>
      <c r="G15" s="1">
        <v>31.6</v>
      </c>
      <c r="H15" s="1">
        <v>39</v>
      </c>
      <c r="I15" s="1">
        <v>120</v>
      </c>
      <c r="J15" s="1">
        <v>119.6</v>
      </c>
      <c r="K15" s="1"/>
      <c r="L15" s="1"/>
      <c r="M15" s="1"/>
      <c r="N15" s="1"/>
      <c r="O15" s="1"/>
      <c r="P15" s="1"/>
      <c r="Q15" s="1"/>
      <c r="R15" s="1"/>
      <c r="S15" s="90">
        <f>IF(A15&lt;=LeagueInfo!$B$7,1,0)</f>
        <v>0</v>
      </c>
      <c r="T15" s="90">
        <f t="shared" si="2"/>
        <v>0</v>
      </c>
      <c r="U15" s="47" t="str">
        <f>IF(OR(INDEX(Auction!$H$13:$H$683,MATCH(B15,Auction!$A$13:$A$683,0))&gt;0,IFERROR(INDEX(CheatSheet!$D$37:$D$64,MATCH(B15,CheatSheet!$A$37:$A$64,0)),"")&lt;&gt;""),"Yes","No")</f>
        <v>No</v>
      </c>
      <c r="V15" s="218"/>
      <c r="W15" s="1"/>
      <c r="X15" s="1"/>
      <c r="Y15" s="1">
        <f ca="1">IF(AllowNegative="Yes",I15-INDIRECT("I"&amp;LeagueInfo!$B$7+1),MAX(I15-INDIRECT("I"&amp;LeagueInfo!$B$7+1),0))</f>
        <v>-1.5</v>
      </c>
      <c r="Z15" s="145" t="str">
        <f t="shared" si="1"/>
        <v>K2</v>
      </c>
      <c r="AA15" s="1"/>
      <c r="AB15" s="1"/>
    </row>
    <row r="16" spans="1:28" x14ac:dyDescent="0.25">
      <c r="A16" s="1">
        <f t="shared" si="0"/>
        <v>14</v>
      </c>
      <c r="B16" s="1" t="s">
        <v>312</v>
      </c>
      <c r="C16" s="1" t="s">
        <v>52</v>
      </c>
      <c r="D16" s="1">
        <f>VLOOKUP(E16,BYEs!$A$2:$B$33,2)</f>
        <v>7</v>
      </c>
      <c r="E16" s="1" t="s">
        <v>362</v>
      </c>
      <c r="F16" s="1">
        <v>28.1</v>
      </c>
      <c r="G16" s="1">
        <v>32.1</v>
      </c>
      <c r="H16" s="1">
        <v>35.799999999999997</v>
      </c>
      <c r="I16" s="1">
        <v>120</v>
      </c>
      <c r="J16" s="1">
        <v>119.1</v>
      </c>
      <c r="K16" s="1"/>
      <c r="L16" s="1"/>
      <c r="M16" s="1"/>
      <c r="N16" s="1"/>
      <c r="O16" s="1"/>
      <c r="P16" s="1"/>
      <c r="Q16" s="1"/>
      <c r="R16" s="1"/>
      <c r="S16" s="90">
        <f>IF(A16&lt;=LeagueInfo!$B$7,1,0)</f>
        <v>0</v>
      </c>
      <c r="T16" s="90">
        <f t="shared" si="2"/>
        <v>0</v>
      </c>
      <c r="U16" s="47" t="str">
        <f>IF(OR(INDEX(Auction!$H$13:$H$683,MATCH(B16,Auction!$A$13:$A$683,0))&gt;0,IFERROR(INDEX(CheatSheet!$D$37:$D$64,MATCH(B16,CheatSheet!$A$37:$A$64,0)),"")&lt;&gt;""),"Yes","No")</f>
        <v>No</v>
      </c>
      <c r="V16" s="218"/>
      <c r="W16" s="1"/>
      <c r="X16" s="1"/>
      <c r="Y16" s="1">
        <f ca="1">IF(AllowNegative="Yes",I16-INDIRECT("I"&amp;LeagueInfo!$B$7+1),MAX(I16-INDIRECT("I"&amp;LeagueInfo!$B$7+1),0))</f>
        <v>-1.5</v>
      </c>
      <c r="Z16" s="145" t="str">
        <f t="shared" si="1"/>
        <v>K2</v>
      </c>
      <c r="AA16" s="1"/>
      <c r="AB16" s="1"/>
    </row>
    <row r="17" spans="1:26" x14ac:dyDescent="0.25">
      <c r="A17" s="1">
        <f t="shared" si="0"/>
        <v>16</v>
      </c>
      <c r="B17" s="1" t="s">
        <v>285</v>
      </c>
      <c r="C17" s="1" t="s">
        <v>52</v>
      </c>
      <c r="D17" s="1">
        <f>VLOOKUP(E17,BYEs!$A$2:$B$33,2)</f>
        <v>8</v>
      </c>
      <c r="E17" s="1" t="s">
        <v>370</v>
      </c>
      <c r="F17" s="1">
        <v>25.3</v>
      </c>
      <c r="G17" s="1">
        <v>29.7</v>
      </c>
      <c r="H17" s="1">
        <v>42.1</v>
      </c>
      <c r="I17" s="1">
        <v>118.1</v>
      </c>
      <c r="J17" s="1">
        <v>119.1</v>
      </c>
      <c r="K17" s="1"/>
      <c r="L17" s="1"/>
      <c r="M17" s="1"/>
      <c r="N17" s="1"/>
      <c r="O17" s="1"/>
      <c r="P17" s="1"/>
      <c r="Q17" s="1"/>
      <c r="R17" s="1"/>
      <c r="S17" s="90">
        <f>IF(A17&lt;=LeagueInfo!$B$7,1,0)</f>
        <v>0</v>
      </c>
      <c r="T17" s="90">
        <f t="shared" si="2"/>
        <v>0</v>
      </c>
      <c r="U17" s="47" t="str">
        <f>IF(OR(INDEX(Auction!$H$13:$H$683,MATCH(B17,Auction!$A$13:$A$683,0))&gt;0,IFERROR(INDEX(CheatSheet!$D$37:$D$64,MATCH(B17,CheatSheet!$A$37:$A$64,0)),"")&lt;&gt;""),"Yes","No")</f>
        <v>No</v>
      </c>
      <c r="V17" s="218"/>
      <c r="W17" s="1"/>
      <c r="X17" s="1"/>
      <c r="Y17" s="1">
        <f ca="1">IF(AllowNegative="Yes",I17-INDIRECT("I"&amp;LeagueInfo!$B$7+1),MAX(I17-INDIRECT("I"&amp;LeagueInfo!$B$7+1),0))</f>
        <v>-3.4000000000000057</v>
      </c>
      <c r="Z17" s="145" t="str">
        <f t="shared" si="1"/>
        <v>K2</v>
      </c>
    </row>
    <row r="18" spans="1:26" x14ac:dyDescent="0.25">
      <c r="A18" s="1">
        <f t="shared" si="0"/>
        <v>17</v>
      </c>
      <c r="B18" s="1" t="s">
        <v>318</v>
      </c>
      <c r="C18" s="1" t="s">
        <v>52</v>
      </c>
      <c r="D18" s="1">
        <f>VLOOKUP(E18,BYEs!$A$2:$B$33,2)</f>
        <v>10</v>
      </c>
      <c r="E18" s="1" t="s">
        <v>361</v>
      </c>
      <c r="F18" s="1">
        <v>26.7</v>
      </c>
      <c r="G18" s="1">
        <v>32.6</v>
      </c>
      <c r="H18" s="1">
        <v>37.799999999999997</v>
      </c>
      <c r="I18" s="1">
        <v>117.8</v>
      </c>
      <c r="J18" s="1">
        <v>116.3</v>
      </c>
      <c r="K18" s="1"/>
      <c r="L18" s="1"/>
      <c r="M18" s="1"/>
      <c r="N18" s="1"/>
      <c r="O18" s="1"/>
      <c r="P18" s="1"/>
      <c r="Q18" s="1"/>
      <c r="R18" s="1"/>
      <c r="S18" s="90">
        <f>IF(A18&lt;=LeagueInfo!$B$7,1,0)</f>
        <v>0</v>
      </c>
      <c r="T18" s="90">
        <f t="shared" si="2"/>
        <v>0</v>
      </c>
      <c r="U18" s="47" t="str">
        <f>IF(OR(INDEX(Auction!$H$13:$H$683,MATCH(B18,Auction!$A$13:$A$683,0))&gt;0,IFERROR(INDEX(CheatSheet!$D$37:$D$64,MATCH(B18,CheatSheet!$A$37:$A$64,0)),"")&lt;&gt;""),"Yes","No")</f>
        <v>No</v>
      </c>
      <c r="V18" s="218"/>
      <c r="W18" s="1"/>
      <c r="X18" s="1"/>
      <c r="Y18" s="1">
        <f ca="1">IF(AllowNegative="Yes",I18-INDIRECT("I"&amp;LeagueInfo!$B$7+1),MAX(I18-INDIRECT("I"&amp;LeagueInfo!$B$7+1),0))</f>
        <v>-3.7000000000000028</v>
      </c>
      <c r="Z18" s="145" t="str">
        <f t="shared" si="1"/>
        <v>K2</v>
      </c>
    </row>
    <row r="19" spans="1:26" x14ac:dyDescent="0.25">
      <c r="A19" s="1">
        <f t="shared" si="0"/>
        <v>18</v>
      </c>
      <c r="B19" s="1" t="s">
        <v>309</v>
      </c>
      <c r="C19" s="1" t="s">
        <v>52</v>
      </c>
      <c r="D19" s="1">
        <f>VLOOKUP(E19,BYEs!$A$2:$B$33,2)</f>
        <v>5</v>
      </c>
      <c r="E19" s="1" t="s">
        <v>384</v>
      </c>
      <c r="F19" s="1">
        <v>27.2</v>
      </c>
      <c r="G19" s="1">
        <v>32.299999999999997</v>
      </c>
      <c r="H19" s="1">
        <v>33.5</v>
      </c>
      <c r="I19" s="1">
        <v>115.1</v>
      </c>
      <c r="J19" s="1">
        <v>115.9</v>
      </c>
      <c r="K19" s="1"/>
      <c r="L19" s="1"/>
      <c r="M19" s="1"/>
      <c r="N19" s="1"/>
      <c r="O19" s="1"/>
      <c r="P19" s="1"/>
      <c r="Q19" s="1"/>
      <c r="R19" s="1"/>
      <c r="S19" s="90">
        <f>IF(A19&lt;=LeagueInfo!$B$7,1,0)</f>
        <v>0</v>
      </c>
      <c r="T19" s="90">
        <f t="shared" si="2"/>
        <v>0</v>
      </c>
      <c r="U19" s="47" t="str">
        <f>IF(OR(INDEX(Auction!$H$13:$H$683,MATCH(B19,Auction!$A$13:$A$683,0))&gt;0,IFERROR(INDEX(CheatSheet!$D$37:$D$64,MATCH(B19,CheatSheet!$A$37:$A$64,0)),"")&lt;&gt;""),"Yes","No")</f>
        <v>No</v>
      </c>
      <c r="V19" s="218"/>
      <c r="W19" s="1"/>
      <c r="X19" s="1"/>
      <c r="Y19" s="1">
        <f ca="1">IF(AllowNegative="Yes",I19-INDIRECT("I"&amp;LeagueInfo!$B$7+1),MAX(I19-INDIRECT("I"&amp;LeagueInfo!$B$7+1),0))</f>
        <v>-6.4000000000000057</v>
      </c>
      <c r="Z19" s="145" t="str">
        <f t="shared" si="1"/>
        <v>K2</v>
      </c>
    </row>
    <row r="20" spans="1:26" x14ac:dyDescent="0.25">
      <c r="A20" s="1">
        <f t="shared" si="0"/>
        <v>19</v>
      </c>
      <c r="B20" s="1" t="s">
        <v>302</v>
      </c>
      <c r="C20" s="1" t="s">
        <v>52</v>
      </c>
      <c r="D20" s="1">
        <f>VLOOKUP(E20,BYEs!$A$2:$B$33,2)</f>
        <v>6</v>
      </c>
      <c r="E20" s="1" t="s">
        <v>364</v>
      </c>
      <c r="F20" s="1">
        <v>25.9</v>
      </c>
      <c r="G20" s="1">
        <v>30.4</v>
      </c>
      <c r="H20" s="1">
        <v>36.6</v>
      </c>
      <c r="I20" s="1">
        <v>114.3</v>
      </c>
      <c r="J20" s="1">
        <v>114.6</v>
      </c>
      <c r="K20" s="1"/>
      <c r="L20" s="1"/>
      <c r="M20" s="1"/>
      <c r="N20" s="1"/>
      <c r="O20" s="1"/>
      <c r="P20" s="1"/>
      <c r="Q20" s="1"/>
      <c r="R20" s="1"/>
      <c r="S20" s="90">
        <f>IF(A20&lt;=LeagueInfo!$B$7,1,0)</f>
        <v>0</v>
      </c>
      <c r="T20" s="90">
        <f t="shared" si="2"/>
        <v>0</v>
      </c>
      <c r="U20" s="47" t="str">
        <f>IF(OR(INDEX(Auction!$H$13:$H$683,MATCH(B20,Auction!$A$13:$A$683,0))&gt;0,IFERROR(INDEX(CheatSheet!$D$37:$D$64,MATCH(B20,CheatSheet!$A$37:$A$64,0)),"")&lt;&gt;""),"Yes","No")</f>
        <v>No</v>
      </c>
      <c r="V20" s="218"/>
      <c r="W20" s="1"/>
      <c r="X20" s="1"/>
      <c r="Y20" s="1">
        <f ca="1">IF(AllowNegative="Yes",I20-INDIRECT("I"&amp;LeagueInfo!$B$7+1),MAX(I20-INDIRECT("I"&amp;LeagueInfo!$B$7+1),0))</f>
        <v>-7.2000000000000028</v>
      </c>
      <c r="Z20" s="145" t="str">
        <f t="shared" si="1"/>
        <v>K2</v>
      </c>
    </row>
    <row r="21" spans="1:26" x14ac:dyDescent="0.25">
      <c r="A21" s="1">
        <f t="shared" si="0"/>
        <v>20</v>
      </c>
      <c r="B21" s="1" t="s">
        <v>816</v>
      </c>
      <c r="C21" s="1" t="s">
        <v>52</v>
      </c>
      <c r="D21" s="1">
        <f>VLOOKUP(E21,BYEs!$A$2:$B$33,2)</f>
        <v>9</v>
      </c>
      <c r="E21" s="1" t="s">
        <v>373</v>
      </c>
      <c r="F21" s="1">
        <v>26.6</v>
      </c>
      <c r="G21" s="1">
        <v>30.4</v>
      </c>
      <c r="H21" s="1">
        <v>33.9</v>
      </c>
      <c r="I21" s="1">
        <v>113.6</v>
      </c>
      <c r="J21" s="1">
        <v>114.3</v>
      </c>
      <c r="K21" s="1"/>
      <c r="L21" s="1"/>
      <c r="M21" s="1"/>
      <c r="N21" s="1"/>
      <c r="O21" s="1"/>
      <c r="P21" s="1"/>
      <c r="Q21" s="1"/>
      <c r="R21" s="1"/>
      <c r="S21" s="90">
        <f>IF(A21&lt;=LeagueInfo!$B$7,1,0)</f>
        <v>0</v>
      </c>
      <c r="T21" s="90">
        <f t="shared" si="2"/>
        <v>0</v>
      </c>
      <c r="U21" s="47" t="str">
        <f>IF(OR(INDEX(Auction!$H$13:$H$683,MATCH(B21,Auction!$A$13:$A$683,0))&gt;0,IFERROR(INDEX(CheatSheet!$D$37:$D$64,MATCH(B21,CheatSheet!$A$37:$A$64,0)),"")&lt;&gt;""),"Yes","No")</f>
        <v>No</v>
      </c>
      <c r="V21" s="218"/>
      <c r="W21" s="1"/>
      <c r="X21" s="1"/>
      <c r="Y21" s="1">
        <f ca="1">IF(AllowNegative="Yes",I21-INDIRECT("I"&amp;LeagueInfo!$B$7+1),MAX(I21-INDIRECT("I"&amp;LeagueInfo!$B$7+1),0))</f>
        <v>-7.9000000000000057</v>
      </c>
      <c r="Z21" s="145" t="str">
        <f t="shared" si="1"/>
        <v>K2</v>
      </c>
    </row>
    <row r="22" spans="1:26" x14ac:dyDescent="0.25">
      <c r="A22" s="1">
        <f t="shared" si="0"/>
        <v>21</v>
      </c>
      <c r="B22" s="1" t="s">
        <v>815</v>
      </c>
      <c r="C22" s="1" t="s">
        <v>52</v>
      </c>
      <c r="D22" s="1">
        <f>VLOOKUP(E22,BYEs!$A$2:$B$33,2)</f>
        <v>6</v>
      </c>
      <c r="E22" s="1" t="s">
        <v>366</v>
      </c>
      <c r="F22" s="1">
        <v>25.7</v>
      </c>
      <c r="G22" s="1">
        <v>30.6</v>
      </c>
      <c r="H22" s="1">
        <v>36.4</v>
      </c>
      <c r="I22" s="1">
        <v>113.5</v>
      </c>
      <c r="J22" s="1">
        <v>113.2</v>
      </c>
      <c r="K22" s="1"/>
      <c r="L22" s="1"/>
      <c r="M22" s="1"/>
      <c r="N22" s="1"/>
      <c r="O22" s="1"/>
      <c r="P22" s="1"/>
      <c r="Q22" s="1"/>
      <c r="R22" s="1"/>
      <c r="S22" s="90">
        <f>IF(A22&lt;=LeagueInfo!$B$7,1,0)</f>
        <v>0</v>
      </c>
      <c r="T22" s="90">
        <f t="shared" si="2"/>
        <v>0</v>
      </c>
      <c r="U22" s="47" t="str">
        <f>IF(OR(INDEX(Auction!$H$13:$H$683,MATCH(B22,Auction!$A$13:$A$683,0))&gt;0,IFERROR(INDEX(CheatSheet!$D$37:$D$64,MATCH(B22,CheatSheet!$A$37:$A$64,0)),"")&lt;&gt;""),"Yes","No")</f>
        <v>No</v>
      </c>
      <c r="V22" s="218"/>
      <c r="W22" s="1"/>
      <c r="X22" s="1"/>
      <c r="Y22" s="1">
        <f ca="1">IF(AllowNegative="Yes",I22-INDIRECT("I"&amp;LeagueInfo!$B$7+1),MAX(I22-INDIRECT("I"&amp;LeagueInfo!$B$7+1),0))</f>
        <v>-8</v>
      </c>
      <c r="Z22" s="145" t="str">
        <f t="shared" si="1"/>
        <v>K2</v>
      </c>
    </row>
    <row r="23" spans="1:26" x14ac:dyDescent="0.25">
      <c r="A23" s="1">
        <f t="shared" si="0"/>
        <v>22</v>
      </c>
      <c r="B23" s="1" t="s">
        <v>320</v>
      </c>
      <c r="C23" s="1" t="s">
        <v>52</v>
      </c>
      <c r="D23" s="1">
        <f>VLOOKUP(E23,BYEs!$A$2:$B$33,2)</f>
        <v>7</v>
      </c>
      <c r="E23" s="1" t="s">
        <v>385</v>
      </c>
      <c r="F23" s="1">
        <v>27.4</v>
      </c>
      <c r="G23" s="1">
        <v>32.5</v>
      </c>
      <c r="H23" s="1">
        <v>30.9</v>
      </c>
      <c r="I23" s="1">
        <v>113</v>
      </c>
      <c r="J23" s="1">
        <v>112.8</v>
      </c>
      <c r="K23" s="1"/>
      <c r="L23" s="1"/>
      <c r="M23" s="1"/>
      <c r="N23" s="1"/>
      <c r="O23" s="1"/>
      <c r="P23" s="1"/>
      <c r="Q23" s="1"/>
      <c r="R23" s="1"/>
      <c r="S23" s="90">
        <f>IF(A23&lt;=LeagueInfo!$B$7,1,0)</f>
        <v>0</v>
      </c>
      <c r="T23" s="90">
        <f t="shared" si="2"/>
        <v>0</v>
      </c>
      <c r="U23" s="47" t="str">
        <f>IF(OR(INDEX(Auction!$H$13:$H$683,MATCH(B23,Auction!$A$13:$A$683,0))&gt;0,IFERROR(INDEX(CheatSheet!$D$37:$D$64,MATCH(B23,CheatSheet!$A$37:$A$64,0)),"")&lt;&gt;""),"Yes","No")</f>
        <v>No</v>
      </c>
      <c r="V23" s="218"/>
      <c r="W23" s="1"/>
      <c r="X23" s="1"/>
      <c r="Y23" s="1">
        <f ca="1">IF(AllowNegative="Yes",I23-INDIRECT("I"&amp;LeagueInfo!$B$7+1),MAX(I23-INDIRECT("I"&amp;LeagueInfo!$B$7+1),0))</f>
        <v>-8.5</v>
      </c>
      <c r="Z23" s="145" t="str">
        <f t="shared" si="1"/>
        <v>K2</v>
      </c>
    </row>
    <row r="24" spans="1:26" x14ac:dyDescent="0.25">
      <c r="A24" s="1">
        <f t="shared" si="0"/>
        <v>23</v>
      </c>
      <c r="B24" s="1" t="s">
        <v>319</v>
      </c>
      <c r="C24" s="1" t="s">
        <v>52</v>
      </c>
      <c r="D24" s="1">
        <f>VLOOKUP(E24,BYEs!$A$2:$B$33,2)</f>
        <v>8</v>
      </c>
      <c r="E24" s="1" t="s">
        <v>359</v>
      </c>
      <c r="F24" s="1">
        <v>24.1</v>
      </c>
      <c r="G24" s="1">
        <v>27.8</v>
      </c>
      <c r="H24" s="1">
        <v>39.4</v>
      </c>
      <c r="I24" s="1">
        <v>111.8</v>
      </c>
      <c r="J24" s="1">
        <v>112.6</v>
      </c>
      <c r="K24" s="1"/>
      <c r="L24" s="1"/>
      <c r="M24" s="1"/>
      <c r="N24" s="1"/>
      <c r="O24" s="1"/>
      <c r="P24" s="1"/>
      <c r="Q24" s="1"/>
      <c r="R24" s="1"/>
      <c r="S24" s="90">
        <f>IF(A24&lt;=LeagueInfo!$B$7,1,0)</f>
        <v>0</v>
      </c>
      <c r="T24" s="90">
        <f t="shared" si="2"/>
        <v>0</v>
      </c>
      <c r="U24" s="47" t="str">
        <f>IF(OR(INDEX(Auction!$H$13:$H$683,MATCH(B24,Auction!$A$13:$A$683,0))&gt;0,IFERROR(INDEX(CheatSheet!$D$37:$D$64,MATCH(B24,CheatSheet!$A$37:$A$64,0)),"")&lt;&gt;""),"Yes","No")</f>
        <v>No</v>
      </c>
      <c r="V24" s="218"/>
      <c r="W24" s="1"/>
      <c r="X24" s="1"/>
      <c r="Y24" s="1">
        <f ca="1">IF(AllowNegative="Yes",I24-INDIRECT("I"&amp;LeagueInfo!$B$7+1),MAX(I24-INDIRECT("I"&amp;LeagueInfo!$B$7+1),0))</f>
        <v>-9.7000000000000028</v>
      </c>
      <c r="Z24" s="145" t="str">
        <f t="shared" si="1"/>
        <v>K2</v>
      </c>
    </row>
    <row r="25" spans="1:26" x14ac:dyDescent="0.25">
      <c r="A25" s="1">
        <f t="shared" si="0"/>
        <v>23</v>
      </c>
      <c r="B25" s="1" t="s">
        <v>818</v>
      </c>
      <c r="C25" s="1" t="s">
        <v>52</v>
      </c>
      <c r="D25" s="1">
        <f>VLOOKUP(E25,BYEs!$A$2:$B$33,2)</f>
        <v>8</v>
      </c>
      <c r="E25" s="1" t="s">
        <v>367</v>
      </c>
      <c r="F25" s="1">
        <v>26.2</v>
      </c>
      <c r="G25" s="1">
        <v>31.4</v>
      </c>
      <c r="H25" s="1">
        <v>33.200000000000003</v>
      </c>
      <c r="I25" s="1">
        <v>111.8</v>
      </c>
      <c r="J25" s="1">
        <v>111.4</v>
      </c>
      <c r="K25" s="1"/>
      <c r="L25" s="1"/>
      <c r="M25" s="1"/>
      <c r="N25" s="1"/>
      <c r="O25" s="1"/>
      <c r="P25" s="1"/>
      <c r="Q25" s="1"/>
      <c r="R25" s="1"/>
      <c r="S25" s="90">
        <f>IF(A25&lt;=LeagueInfo!$B$7,1,0)</f>
        <v>0</v>
      </c>
      <c r="T25" s="90">
        <f t="shared" si="2"/>
        <v>0</v>
      </c>
      <c r="U25" s="47" t="str">
        <f>IF(OR(INDEX(Auction!$H$13:$H$683,MATCH(B25,Auction!$A$13:$A$683,0))&gt;0,IFERROR(INDEX(CheatSheet!$D$37:$D$64,MATCH(B25,CheatSheet!$A$37:$A$64,0)),"")&lt;&gt;""),"Yes","No")</f>
        <v>No</v>
      </c>
      <c r="V25" s="218"/>
      <c r="W25" s="1"/>
      <c r="X25" s="1"/>
      <c r="Y25" s="1">
        <f ca="1">IF(AllowNegative="Yes",I25-INDIRECT("I"&amp;LeagueInfo!$B$7+1),MAX(I25-INDIRECT("I"&amp;LeagueInfo!$B$7+1),0))</f>
        <v>-9.7000000000000028</v>
      </c>
      <c r="Z25" s="145" t="str">
        <f t="shared" si="1"/>
        <v>K2</v>
      </c>
    </row>
    <row r="26" spans="1:26" x14ac:dyDescent="0.25">
      <c r="A26" s="1">
        <f t="shared" si="0"/>
        <v>25</v>
      </c>
      <c r="B26" s="1" t="s">
        <v>826</v>
      </c>
      <c r="C26" s="1" t="s">
        <v>52</v>
      </c>
      <c r="D26" s="1">
        <f>VLOOKUP(E26,BYEs!$A$2:$B$33,2)</f>
        <v>11</v>
      </c>
      <c r="E26" s="1" t="s">
        <v>356</v>
      </c>
      <c r="F26" s="1">
        <v>24.9</v>
      </c>
      <c r="G26" s="1">
        <v>29.3</v>
      </c>
      <c r="H26" s="1">
        <v>36.9</v>
      </c>
      <c r="I26" s="1">
        <v>111.7</v>
      </c>
      <c r="J26" s="1">
        <v>111.1</v>
      </c>
      <c r="K26" s="1"/>
      <c r="L26" s="1"/>
      <c r="M26" s="1"/>
      <c r="N26" s="1"/>
      <c r="O26" s="1"/>
      <c r="P26" s="1"/>
      <c r="Q26" s="1"/>
      <c r="R26" s="1"/>
      <c r="S26" s="90">
        <f>IF(A26&lt;=LeagueInfo!$B$7,1,0)</f>
        <v>0</v>
      </c>
      <c r="T26" s="90">
        <f t="shared" si="2"/>
        <v>0</v>
      </c>
      <c r="U26" s="47" t="str">
        <f>IF(OR(INDEX(Auction!$H$13:$H$683,MATCH(B26,Auction!$A$13:$A$683,0))&gt;0,IFERROR(INDEX(CheatSheet!$D$37:$D$64,MATCH(B26,CheatSheet!$A$37:$A$64,0)),"")&lt;&gt;""),"Yes","No")</f>
        <v>No</v>
      </c>
      <c r="V26" s="218"/>
      <c r="W26" s="1"/>
      <c r="X26" s="1"/>
      <c r="Y26" s="1">
        <f ca="1">IF(AllowNegative="Yes",I26-INDIRECT("I"&amp;LeagueInfo!$B$7+1),MAX(I26-INDIRECT("I"&amp;LeagueInfo!$B$7+1),0))</f>
        <v>-9.7999999999999972</v>
      </c>
      <c r="Z26" s="145" t="str">
        <f t="shared" si="1"/>
        <v>K2</v>
      </c>
    </row>
    <row r="27" spans="1:26" x14ac:dyDescent="0.25">
      <c r="A27" s="1">
        <f t="shared" si="0"/>
        <v>26</v>
      </c>
      <c r="B27" s="1" t="s">
        <v>819</v>
      </c>
      <c r="C27" s="1" t="s">
        <v>52</v>
      </c>
      <c r="D27" s="1">
        <f>VLOOKUP(E27,BYEs!$A$2:$B$33,2)</f>
        <v>11</v>
      </c>
      <c r="E27" s="1" t="s">
        <v>378</v>
      </c>
      <c r="F27" s="1">
        <v>23.7</v>
      </c>
      <c r="G27" s="1">
        <v>27.4</v>
      </c>
      <c r="H27" s="1">
        <v>31.1</v>
      </c>
      <c r="I27" s="1">
        <v>102.3</v>
      </c>
      <c r="J27" s="1">
        <v>109.6</v>
      </c>
      <c r="K27" s="1"/>
      <c r="L27" s="1"/>
      <c r="M27" s="1"/>
      <c r="N27" s="1"/>
      <c r="O27" s="1"/>
      <c r="P27" s="1"/>
      <c r="Q27" s="1"/>
      <c r="R27" s="1"/>
      <c r="S27" s="90">
        <f>IF(A27&lt;=LeagueInfo!$B$7,1,0)</f>
        <v>0</v>
      </c>
      <c r="T27" s="90">
        <f t="shared" si="2"/>
        <v>0</v>
      </c>
      <c r="U27" s="47" t="str">
        <f>IF(OR(INDEX(Auction!$H$13:$H$683,MATCH(B27,Auction!$A$13:$A$683,0))&gt;0,IFERROR(INDEX(CheatSheet!$D$37:$D$64,MATCH(B27,CheatSheet!$A$37:$A$64,0)),"")&lt;&gt;""),"Yes","No")</f>
        <v>No</v>
      </c>
      <c r="V27" s="218"/>
      <c r="W27" s="1"/>
      <c r="X27" s="1"/>
      <c r="Y27" s="1">
        <f ca="1">IF(AllowNegative="Yes",I27-INDIRECT("I"&amp;LeagueInfo!$B$7+1),MAX(I27-INDIRECT("I"&amp;LeagueInfo!$B$7+1),0))</f>
        <v>-19.200000000000003</v>
      </c>
      <c r="Z27" s="145" t="str">
        <f t="shared" si="1"/>
        <v>K2</v>
      </c>
    </row>
    <row r="28" spans="1:26" x14ac:dyDescent="0.25">
      <c r="A28" s="1">
        <f t="shared" si="0"/>
        <v>27</v>
      </c>
      <c r="B28" s="1" t="s">
        <v>821</v>
      </c>
      <c r="C28" s="1" t="s">
        <v>52</v>
      </c>
      <c r="D28" s="1">
        <f>VLOOKUP(E28,BYEs!$A$2:$B$33,2)</f>
        <v>11</v>
      </c>
      <c r="E28" s="1" t="s">
        <v>374</v>
      </c>
      <c r="F28" s="1">
        <v>21.7</v>
      </c>
      <c r="G28" s="1">
        <v>26.8</v>
      </c>
      <c r="H28" s="1">
        <v>35.9</v>
      </c>
      <c r="I28" s="1">
        <v>101</v>
      </c>
      <c r="J28" s="1">
        <v>103.2</v>
      </c>
      <c r="K28" s="1"/>
      <c r="L28" s="1"/>
      <c r="M28" s="1"/>
      <c r="N28" s="1"/>
      <c r="O28" s="1"/>
      <c r="P28" s="1"/>
      <c r="Q28" s="1"/>
      <c r="R28" s="1"/>
      <c r="S28" s="90">
        <f>IF(A28&lt;=LeagueInfo!$B$7,1,0)</f>
        <v>0</v>
      </c>
      <c r="T28" s="90">
        <f t="shared" si="2"/>
        <v>0</v>
      </c>
      <c r="U28" s="47" t="str">
        <f>IF(OR(INDEX(Auction!$H$13:$H$683,MATCH(B28,Auction!$A$13:$A$683,0))&gt;0,IFERROR(INDEX(CheatSheet!$D$37:$D$64,MATCH(B28,CheatSheet!$A$37:$A$64,0)),"")&lt;&gt;""),"Yes","No")</f>
        <v>No</v>
      </c>
      <c r="V28" s="218"/>
      <c r="W28" s="1"/>
      <c r="X28" s="1"/>
      <c r="Y28" s="1">
        <f ca="1">IF(AllowNegative="Yes",I28-INDIRECT("I"&amp;LeagueInfo!$B$7+1),MAX(I28-INDIRECT("I"&amp;LeagueInfo!$B$7+1),0))</f>
        <v>-20.5</v>
      </c>
      <c r="Z28" s="145" t="str">
        <f t="shared" si="1"/>
        <v>K2</v>
      </c>
    </row>
    <row r="29" spans="1:26" x14ac:dyDescent="0.25">
      <c r="A29" s="1">
        <f t="shared" si="0"/>
        <v>28</v>
      </c>
      <c r="B29" s="1" t="s">
        <v>820</v>
      </c>
      <c r="C29" s="1" t="s">
        <v>52</v>
      </c>
      <c r="D29" s="1">
        <f>VLOOKUP(E29,BYEs!$A$2:$B$33,2)</f>
        <v>9</v>
      </c>
      <c r="E29" s="1" t="s">
        <v>376</v>
      </c>
      <c r="F29" s="1">
        <v>23</v>
      </c>
      <c r="G29" s="1">
        <v>28.8</v>
      </c>
      <c r="H29" s="1">
        <v>31.8</v>
      </c>
      <c r="I29" s="1">
        <v>100.9</v>
      </c>
      <c r="J29" s="1">
        <v>102.6</v>
      </c>
      <c r="K29" s="1"/>
      <c r="L29" s="1"/>
      <c r="M29" s="1"/>
      <c r="N29" s="1"/>
      <c r="O29" s="1"/>
      <c r="P29" s="1"/>
      <c r="Q29" s="1"/>
      <c r="R29" s="1"/>
      <c r="S29" s="90">
        <f>IF(A29&lt;=LeagueInfo!$B$7,1,0)</f>
        <v>0</v>
      </c>
      <c r="T29" s="90">
        <f t="shared" si="2"/>
        <v>0</v>
      </c>
      <c r="U29" s="47" t="str">
        <f>IF(OR(INDEX(Auction!$H$13:$H$683,MATCH(B29,Auction!$A$13:$A$683,0))&gt;0,IFERROR(INDEX(CheatSheet!$D$37:$D$64,MATCH(B29,CheatSheet!$A$37:$A$64,0)),"")&lt;&gt;""),"Yes","No")</f>
        <v>No</v>
      </c>
      <c r="V29" s="218"/>
      <c r="W29" s="1"/>
      <c r="X29" s="1"/>
      <c r="Y29" s="1">
        <f ca="1">IF(AllowNegative="Yes",I29-INDIRECT("I"&amp;LeagueInfo!$B$7+1),MAX(I29-INDIRECT("I"&amp;LeagueInfo!$B$7+1),0))</f>
        <v>-20.599999999999994</v>
      </c>
      <c r="Z29" s="145" t="str">
        <f t="shared" si="1"/>
        <v>K2</v>
      </c>
    </row>
    <row r="30" spans="1:26" x14ac:dyDescent="0.25">
      <c r="A30" s="1">
        <f t="shared" si="0"/>
        <v>29</v>
      </c>
      <c r="B30" s="1" t="s">
        <v>829</v>
      </c>
      <c r="C30" s="1" t="s">
        <v>52</v>
      </c>
      <c r="D30" s="1">
        <f>VLOOKUP(E30,BYEs!$A$2:$B$33,2)</f>
        <v>8</v>
      </c>
      <c r="E30" s="1" t="s">
        <v>368</v>
      </c>
      <c r="F30" s="1">
        <v>22.7</v>
      </c>
      <c r="G30" s="1">
        <v>28.3</v>
      </c>
      <c r="H30" s="1">
        <v>32.5</v>
      </c>
      <c r="I30" s="1">
        <v>100.6</v>
      </c>
      <c r="J30" s="1">
        <v>102</v>
      </c>
      <c r="K30" s="1"/>
      <c r="L30" s="1"/>
      <c r="M30" s="1"/>
      <c r="N30" s="1"/>
      <c r="O30" s="1"/>
      <c r="P30" s="1"/>
      <c r="Q30" s="1"/>
      <c r="R30" s="1"/>
      <c r="S30" s="90">
        <f>IF(A30&lt;=LeagueInfo!$B$7,1,0)</f>
        <v>0</v>
      </c>
      <c r="T30" s="90">
        <f t="shared" si="2"/>
        <v>0</v>
      </c>
      <c r="U30" s="47" t="str">
        <f>IF(OR(INDEX(Auction!$H$13:$H$683,MATCH(B30,Auction!$A$13:$A$683,0))&gt;0,IFERROR(INDEX(CheatSheet!$D$37:$D$64,MATCH(B30,CheatSheet!$A$37:$A$64,0)),"")&lt;&gt;""),"Yes","No")</f>
        <v>No</v>
      </c>
      <c r="V30" s="218"/>
      <c r="W30" s="1"/>
      <c r="X30" s="1"/>
      <c r="Y30" s="1">
        <f ca="1">IF(AllowNegative="Yes",I30-INDIRECT("I"&amp;LeagueInfo!$B$7+1),MAX(I30-INDIRECT("I"&amp;LeagueInfo!$B$7+1),0))</f>
        <v>-20.900000000000006</v>
      </c>
      <c r="Z30" s="145" t="str">
        <f t="shared" si="1"/>
        <v>K2</v>
      </c>
    </row>
    <row r="31" spans="1:26" x14ac:dyDescent="0.25">
      <c r="A31" s="1">
        <f t="shared" si="0"/>
        <v>30</v>
      </c>
      <c r="B31" s="1" t="s">
        <v>311</v>
      </c>
      <c r="C31" s="1" t="s">
        <v>52</v>
      </c>
      <c r="D31" s="1">
        <f>VLOOKUP(E31,BYEs!$A$2:$B$33,2)</f>
        <v>11</v>
      </c>
      <c r="E31" s="1" t="s">
        <v>382</v>
      </c>
      <c r="F31" s="1">
        <v>23.5</v>
      </c>
      <c r="G31" s="1">
        <v>28.7</v>
      </c>
      <c r="H31" s="1">
        <v>28.5</v>
      </c>
      <c r="I31" s="1">
        <v>99</v>
      </c>
      <c r="J31" s="1">
        <v>100.9</v>
      </c>
      <c r="K31" s="1"/>
      <c r="L31" s="1"/>
      <c r="M31" s="1"/>
      <c r="N31" s="1"/>
      <c r="O31" s="1"/>
      <c r="P31" s="1"/>
      <c r="Q31" s="1"/>
      <c r="R31" s="1"/>
      <c r="S31" s="90">
        <f>IF(A31&lt;=LeagueInfo!$B$7,1,0)</f>
        <v>0</v>
      </c>
      <c r="T31" s="90">
        <f t="shared" si="2"/>
        <v>0</v>
      </c>
      <c r="U31" s="47" t="str">
        <f>IF(OR(INDEX(Auction!$H$13:$H$683,MATCH(B31,Auction!$A$13:$A$683,0))&gt;0,IFERROR(INDEX(CheatSheet!$D$37:$D$64,MATCH(B31,CheatSheet!$A$37:$A$64,0)),"")&lt;&gt;""),"Yes","No")</f>
        <v>No</v>
      </c>
      <c r="V31" s="218"/>
      <c r="W31" s="1"/>
      <c r="X31" s="1"/>
      <c r="Y31" s="1">
        <f ca="1">IF(AllowNegative="Yes",I31-INDIRECT("I"&amp;LeagueInfo!$B$7+1),MAX(I31-INDIRECT("I"&amp;LeagueInfo!$B$7+1),0))</f>
        <v>-22.5</v>
      </c>
      <c r="Z31" s="145" t="str">
        <f t="shared" si="1"/>
        <v>K2</v>
      </c>
    </row>
    <row r="32" spans="1:26" x14ac:dyDescent="0.25">
      <c r="A32" s="1">
        <f t="shared" si="0"/>
        <v>31</v>
      </c>
      <c r="B32" s="1" t="s">
        <v>822</v>
      </c>
      <c r="C32" s="1" t="s">
        <v>52</v>
      </c>
      <c r="D32" s="1">
        <f>VLOOKUP(E32,BYEs!$A$2:$B$33,2)</f>
        <v>8</v>
      </c>
      <c r="E32" s="1" t="s">
        <v>380</v>
      </c>
      <c r="F32" s="1">
        <v>22.6</v>
      </c>
      <c r="G32" s="1">
        <v>27.3</v>
      </c>
      <c r="H32" s="1">
        <v>28.4</v>
      </c>
      <c r="I32" s="1">
        <v>96.3</v>
      </c>
      <c r="J32" s="1">
        <v>99.4</v>
      </c>
      <c r="K32" s="1"/>
      <c r="L32" s="1"/>
      <c r="M32" s="1"/>
      <c r="N32" s="1"/>
      <c r="O32" s="1"/>
      <c r="P32" s="1"/>
      <c r="Q32" s="1"/>
      <c r="R32" s="1"/>
      <c r="S32" s="90">
        <f>IF(A32&lt;=LeagueInfo!$B$7,1,0)</f>
        <v>0</v>
      </c>
      <c r="T32" s="90">
        <f t="shared" si="2"/>
        <v>0</v>
      </c>
      <c r="U32" s="47" t="str">
        <f>IF(OR(INDEX(Auction!$H$13:$H$683,MATCH(B32,Auction!$A$13:$A$683,0))&gt;0,IFERROR(INDEX(CheatSheet!$D$37:$D$64,MATCH(B32,CheatSheet!$A$37:$A$64,0)),"")&lt;&gt;""),"Yes","No")</f>
        <v>No</v>
      </c>
      <c r="V32" s="218"/>
      <c r="W32" s="1"/>
      <c r="X32" s="1"/>
      <c r="Y32" s="1">
        <f ca="1">IF(AllowNegative="Yes",I32-INDIRECT("I"&amp;LeagueInfo!$B$7+1),MAX(I32-INDIRECT("I"&amp;LeagueInfo!$B$7+1),0))</f>
        <v>-25.200000000000003</v>
      </c>
      <c r="Z32" s="145" t="str">
        <f t="shared" si="1"/>
        <v>K2</v>
      </c>
    </row>
    <row r="33" spans="1:26" x14ac:dyDescent="0.25">
      <c r="A33" s="1">
        <f t="shared" si="0"/>
        <v>32</v>
      </c>
      <c r="B33" s="1" t="s">
        <v>823</v>
      </c>
      <c r="C33" s="1" t="s">
        <v>52</v>
      </c>
      <c r="D33" s="1">
        <f>VLOOKUP(E33,BYEs!$A$2:$B$33,2)</f>
        <v>9</v>
      </c>
      <c r="E33" s="1" t="s">
        <v>387</v>
      </c>
      <c r="F33" s="1">
        <v>22.3</v>
      </c>
      <c r="G33" s="1">
        <v>27.7</v>
      </c>
      <c r="H33" s="1">
        <v>28.2</v>
      </c>
      <c r="I33" s="1">
        <v>94.9</v>
      </c>
      <c r="J33" s="1">
        <v>96.5</v>
      </c>
      <c r="K33" s="1"/>
      <c r="L33" s="1"/>
      <c r="M33" s="1"/>
      <c r="N33" s="1"/>
      <c r="O33" s="1"/>
      <c r="P33" s="1"/>
      <c r="Q33" s="1"/>
      <c r="R33" s="1"/>
      <c r="S33" s="90">
        <f>IF(A33&lt;=LeagueInfo!$B$7,1,0)</f>
        <v>0</v>
      </c>
      <c r="T33" s="90">
        <f t="shared" si="2"/>
        <v>0</v>
      </c>
      <c r="U33" s="47" t="str">
        <f>IF(OR(INDEX(Auction!$H$13:$H$683,MATCH(B33,Auction!$A$13:$A$683,0))&gt;0,IFERROR(INDEX(CheatSheet!$D$37:$D$64,MATCH(B33,CheatSheet!$A$37:$A$64,0)),"")&lt;&gt;""),"Yes","No")</f>
        <v>No</v>
      </c>
      <c r="V33" s="218"/>
      <c r="W33" s="1"/>
      <c r="X33" s="1"/>
      <c r="Y33" s="1">
        <f ca="1">IF(AllowNegative="Yes",I33-INDIRECT("I"&amp;LeagueInfo!$B$7+1),MAX(I33-INDIRECT("I"&amp;LeagueInfo!$B$7+1),0))</f>
        <v>-26.599999999999994</v>
      </c>
      <c r="Z33" s="145" t="str">
        <f t="shared" si="1"/>
        <v>K2</v>
      </c>
    </row>
    <row r="34" spans="1:26" x14ac:dyDescent="0.25">
      <c r="A34" s="1">
        <f t="shared" si="0"/>
        <v>33</v>
      </c>
      <c r="B34" s="1" t="s">
        <v>825</v>
      </c>
      <c r="C34" s="1" t="s">
        <v>52</v>
      </c>
      <c r="D34" s="1">
        <f>VLOOKUP(E34,BYEs!$A$2:$B$33,2)</f>
        <v>6</v>
      </c>
      <c r="E34" s="1" t="s">
        <v>366</v>
      </c>
      <c r="F34" s="1">
        <v>19.8</v>
      </c>
      <c r="G34" s="1">
        <v>23.5</v>
      </c>
      <c r="H34" s="1">
        <v>28</v>
      </c>
      <c r="I34" s="1">
        <v>87.4</v>
      </c>
      <c r="J34" s="1">
        <v>94.7</v>
      </c>
      <c r="K34" s="1"/>
      <c r="L34" s="1"/>
      <c r="M34" s="1"/>
      <c r="N34" s="1"/>
      <c r="O34" s="1"/>
      <c r="P34" s="1"/>
      <c r="Q34" s="1"/>
      <c r="R34" s="1"/>
      <c r="S34" s="90">
        <f>IF(A34&lt;=LeagueInfo!$B$7,1,0)</f>
        <v>0</v>
      </c>
      <c r="T34" s="90">
        <f t="shared" si="2"/>
        <v>0</v>
      </c>
      <c r="U34" s="47" t="str">
        <f>IF(OR(INDEX(Auction!$H$13:$H$683,MATCH(B34,Auction!$A$13:$A$683,0))&gt;0,IFERROR(INDEX(CheatSheet!$D$37:$D$64,MATCH(B34,CheatSheet!$A$37:$A$64,0)),"")&lt;&gt;""),"Yes","No")</f>
        <v>No</v>
      </c>
      <c r="V34" s="218"/>
      <c r="W34" s="1"/>
      <c r="X34" s="1"/>
      <c r="Y34" s="1">
        <f ca="1">IF(AllowNegative="Yes",I34-INDIRECT("I"&amp;LeagueInfo!$B$7+1),MAX(I34-INDIRECT("I"&amp;LeagueInfo!$B$7+1),0))</f>
        <v>-34.099999999999994</v>
      </c>
      <c r="Z34" s="145" t="str">
        <f t="shared" si="1"/>
        <v>K3</v>
      </c>
    </row>
    <row r="35" spans="1:26" x14ac:dyDescent="0.25">
      <c r="A35" s="1">
        <f t="shared" si="0"/>
        <v>34</v>
      </c>
      <c r="B35" s="1" t="s">
        <v>824</v>
      </c>
      <c r="C35" s="1" t="s">
        <v>52</v>
      </c>
      <c r="D35" s="1">
        <f>VLOOKUP(E35,BYEs!$A$2:$B$33,2)</f>
        <v>8</v>
      </c>
      <c r="E35" s="1" t="s">
        <v>368</v>
      </c>
      <c r="F35" s="1">
        <v>18.7</v>
      </c>
      <c r="G35" s="1">
        <v>22.3</v>
      </c>
      <c r="H35" s="1">
        <v>28</v>
      </c>
      <c r="I35" s="1">
        <v>84.2</v>
      </c>
      <c r="J35" s="1">
        <v>77.8</v>
      </c>
      <c r="K35" s="1"/>
      <c r="L35" s="1"/>
      <c r="M35" s="1"/>
      <c r="N35" s="1"/>
      <c r="O35" s="1"/>
      <c r="P35" s="1"/>
      <c r="Q35" s="1"/>
      <c r="R35" s="1"/>
      <c r="S35" s="90">
        <f>IF(A35&lt;=LeagueInfo!$B$7,1,0)</f>
        <v>0</v>
      </c>
      <c r="T35" s="90">
        <f t="shared" ref="T35" si="3">S35</f>
        <v>0</v>
      </c>
      <c r="U35" s="47" t="str">
        <f>IF(OR(INDEX(Auction!$H$13:$H$683,MATCH(B35,Auction!$A$13:$A$683,0))&gt;0,IFERROR(INDEX(CheatSheet!$D$37:$D$64,MATCH(B35,CheatSheet!$A$37:$A$64,0)),"")&lt;&gt;""),"Yes","No")</f>
        <v>No</v>
      </c>
      <c r="V35" s="218"/>
      <c r="W35" s="1"/>
      <c r="X35" s="1"/>
      <c r="Y35" s="1">
        <f ca="1">IF(AllowNegative="Yes",I35-INDIRECT("I"&amp;LeagueInfo!$B$7+1),MAX(I35-INDIRECT("I"&amp;LeagueInfo!$B$7+1),0))</f>
        <v>-37.299999999999997</v>
      </c>
      <c r="Z35" s="145" t="str">
        <f t="shared" si="1"/>
        <v>K3</v>
      </c>
    </row>
    <row r="36" spans="1:26" x14ac:dyDescent="0.25">
      <c r="A36" s="1">
        <f t="shared" si="0"/>
        <v>35</v>
      </c>
      <c r="B36" s="1" t="s">
        <v>827</v>
      </c>
      <c r="C36" s="1" t="s">
        <v>52</v>
      </c>
      <c r="D36" s="1">
        <f>VLOOKUP(E36,BYEs!$A$2:$B$33,2)</f>
        <v>9</v>
      </c>
      <c r="E36" s="1" t="s">
        <v>387</v>
      </c>
      <c r="F36" s="1">
        <v>17.7</v>
      </c>
      <c r="G36" s="1">
        <v>21.3</v>
      </c>
      <c r="H36" s="1">
        <v>21.2</v>
      </c>
      <c r="I36" s="1">
        <v>74.3</v>
      </c>
      <c r="J36" s="1">
        <v>65.599999999999994</v>
      </c>
      <c r="K36" s="1"/>
      <c r="L36" s="1"/>
      <c r="M36" s="1"/>
      <c r="N36" s="1"/>
      <c r="O36" s="1"/>
      <c r="P36" s="1"/>
      <c r="Q36" s="1"/>
      <c r="R36" s="1"/>
      <c r="S36" s="90">
        <f>IF(A36&lt;=LeagueInfo!$B$7,1,0)</f>
        <v>0</v>
      </c>
      <c r="T36" s="90">
        <f t="shared" ref="T36:T37" si="4">S36</f>
        <v>0</v>
      </c>
      <c r="U36" s="47" t="str">
        <f>IF(OR(INDEX(Auction!$H$13:$H$683,MATCH(B36,Auction!$A$13:$A$683,0))&gt;0,IFERROR(INDEX(CheatSheet!$D$37:$D$64,MATCH(B36,CheatSheet!$A$37:$A$64,0)),"")&lt;&gt;""),"Yes","No")</f>
        <v>No</v>
      </c>
      <c r="V36" s="218"/>
      <c r="W36" s="1"/>
      <c r="X36" s="1"/>
      <c r="Y36" s="1">
        <f ca="1">IF(AllowNegative="Yes",I36-INDIRECT("I"&amp;LeagueInfo!$B$7+1),MAX(I36-INDIRECT("I"&amp;LeagueInfo!$B$7+1),0))</f>
        <v>-47.2</v>
      </c>
      <c r="Z36" s="145" t="str">
        <f t="shared" si="1"/>
        <v>K3</v>
      </c>
    </row>
    <row r="37" spans="1:26" x14ac:dyDescent="0.25">
      <c r="A37" s="1">
        <f t="shared" si="0"/>
        <v>36</v>
      </c>
      <c r="B37" s="1" t="s">
        <v>828</v>
      </c>
      <c r="C37" s="1" t="s">
        <v>52</v>
      </c>
      <c r="D37" s="1">
        <f>VLOOKUP(E37,BYEs!$A$2:$B$33,2)</f>
        <v>11</v>
      </c>
      <c r="E37" s="1" t="s">
        <v>357</v>
      </c>
      <c r="F37" s="1">
        <v>14.4</v>
      </c>
      <c r="G37" s="1">
        <v>17.100000000000001</v>
      </c>
      <c r="H37" s="1">
        <v>19.5</v>
      </c>
      <c r="I37" s="1">
        <v>62.7</v>
      </c>
      <c r="J37" s="1">
        <v>61.4</v>
      </c>
      <c r="K37" s="1"/>
      <c r="L37" s="1"/>
      <c r="M37" s="1"/>
      <c r="N37" s="1"/>
      <c r="O37" s="1"/>
      <c r="P37" s="1"/>
      <c r="Q37" s="1"/>
      <c r="R37" s="1"/>
      <c r="S37" s="90">
        <f>IF(A37&lt;=LeagueInfo!$B$7,1,0)</f>
        <v>0</v>
      </c>
      <c r="T37" s="90">
        <f t="shared" si="4"/>
        <v>0</v>
      </c>
      <c r="U37" s="47" t="str">
        <f>IF(OR(INDEX(Auction!$H$13:$H$683,MATCH(B37,Auction!$A$13:$A$683,0))&gt;0,IFERROR(INDEX(CheatSheet!$D$37:$D$64,MATCH(B37,CheatSheet!$A$37:$A$64,0)),"")&lt;&gt;""),"Yes","No")</f>
        <v>No</v>
      </c>
      <c r="V37" s="218"/>
      <c r="W37" s="1"/>
      <c r="X37" s="1"/>
      <c r="Y37" s="1">
        <f ca="1">IF(AllowNegative="Yes",I37-INDIRECT("I"&amp;LeagueInfo!$B$7+1),MAX(I37-INDIRECT("I"&amp;LeagueInfo!$B$7+1),0))</f>
        <v>-58.8</v>
      </c>
      <c r="Z37" s="145" t="str">
        <f t="shared" si="1"/>
        <v>K3</v>
      </c>
    </row>
  </sheetData>
  <sortState ref="A2:J39">
    <sortCondition descending="1" ref="I2"/>
  </sortState>
  <conditionalFormatting sqref="B2:Z2 B3:Y34 S35:Y37 Z3:Z37 C35:D37 A2:A37">
    <cfRule type="expression" dxfId="43" priority="2">
      <formula>$U2="Yes"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LeagueInfo!$H$97:$H$99</xm:f>
          </x14:formula1>
          <xm:sqref>V2:V37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B46"/>
  <sheetViews>
    <sheetView workbookViewId="0">
      <selection activeCell="E33" sqref="E33"/>
    </sheetView>
  </sheetViews>
  <sheetFormatPr defaultColWidth="8.85546875" defaultRowHeight="15" x14ac:dyDescent="0.25"/>
  <cols>
    <col min="1" max="1" width="4.85546875" bestFit="1" customWidth="1"/>
    <col min="2" max="2" width="21.140625" bestFit="1" customWidth="1"/>
    <col min="3" max="3" width="4.42578125" bestFit="1" customWidth="1"/>
    <col min="4" max="4" width="4.42578125" customWidth="1"/>
    <col min="5" max="5" width="5.85546875" bestFit="1" customWidth="1"/>
    <col min="6" max="18" width="0" hidden="1" customWidth="1"/>
    <col min="19" max="19" width="3.42578125" bestFit="1" customWidth="1"/>
    <col min="20" max="20" width="3.42578125" style="1" bestFit="1" customWidth="1"/>
    <col min="21" max="22" width="9.140625" customWidth="1"/>
    <col min="23" max="24" width="9.140625" hidden="1" customWidth="1"/>
    <col min="25" max="25" width="9.140625" customWidth="1"/>
  </cols>
  <sheetData>
    <row r="1" spans="1:26" ht="23.25" x14ac:dyDescent="0.25">
      <c r="A1" s="127" t="s">
        <v>328</v>
      </c>
      <c r="B1" s="127" t="s">
        <v>830</v>
      </c>
      <c r="C1" s="127" t="s">
        <v>24</v>
      </c>
      <c r="D1" s="127" t="s">
        <v>808</v>
      </c>
      <c r="E1" s="127" t="s">
        <v>830</v>
      </c>
      <c r="F1" s="127"/>
      <c r="G1" s="127"/>
      <c r="H1" s="127"/>
      <c r="I1" s="127"/>
      <c r="J1" s="127"/>
      <c r="K1" s="127"/>
      <c r="L1" s="127"/>
      <c r="M1" s="127"/>
      <c r="N1" s="127"/>
      <c r="O1" s="127"/>
      <c r="P1" s="127"/>
      <c r="Q1" s="127"/>
      <c r="R1" s="127"/>
      <c r="S1" s="127" t="s">
        <v>342</v>
      </c>
      <c r="T1" s="127" t="s">
        <v>342</v>
      </c>
      <c r="U1" s="127" t="s">
        <v>344</v>
      </c>
      <c r="V1" s="127" t="s">
        <v>345</v>
      </c>
      <c r="W1" s="1"/>
      <c r="X1" s="1"/>
      <c r="Y1" s="127" t="s">
        <v>347</v>
      </c>
      <c r="Z1" s="127" t="s">
        <v>348</v>
      </c>
    </row>
    <row r="2" spans="1:26" x14ac:dyDescent="0.25">
      <c r="A2" s="1">
        <v>1</v>
      </c>
      <c r="B2" s="1" t="s">
        <v>175</v>
      </c>
      <c r="C2" s="1" t="s">
        <v>58</v>
      </c>
      <c r="D2" s="1">
        <f>VLOOKUP(E2,BYEs!$A$2:$B$33,2)</f>
        <v>5</v>
      </c>
      <c r="E2" s="1" t="s">
        <v>384</v>
      </c>
      <c r="F2" s="1"/>
      <c r="G2" s="1"/>
      <c r="H2" s="1"/>
      <c r="I2" s="1"/>
      <c r="J2" s="1"/>
      <c r="K2" s="1"/>
      <c r="L2" s="1"/>
      <c r="M2" s="1"/>
      <c r="N2" s="1"/>
      <c r="O2" s="1"/>
      <c r="P2" s="1"/>
      <c r="Q2" s="1"/>
      <c r="R2" s="1"/>
      <c r="S2" s="90">
        <f>IF(A2&lt;=LeagueInfo!$B$8,1,0)</f>
        <v>1</v>
      </c>
      <c r="T2" s="90">
        <f>S2</f>
        <v>1</v>
      </c>
      <c r="U2" s="47" t="str">
        <f>IF(OR(INDEX(Auction!$H$13:$H$683,MATCH(B2,Auction!$A$13:$A$683,0))&gt;0,IFERROR(INDEX(CheatSheet!$D$37:$D$64,MATCH(B2,CheatSheet!$A$37:$A$64,0)),"")&lt;&gt;""),"Yes","No")</f>
        <v>No</v>
      </c>
      <c r="V2" s="218"/>
      <c r="W2" s="1"/>
      <c r="X2" s="1"/>
      <c r="Y2" s="1">
        <v>0</v>
      </c>
      <c r="Z2" s="145" t="s">
        <v>831</v>
      </c>
    </row>
    <row r="3" spans="1:26" x14ac:dyDescent="0.25">
      <c r="A3" s="1">
        <v>2</v>
      </c>
      <c r="B3" s="1" t="s">
        <v>256</v>
      </c>
      <c r="C3" s="1" t="s">
        <v>58</v>
      </c>
      <c r="D3" s="1">
        <f>VLOOKUP(E3,BYEs!$A$2:$B$33,2)</f>
        <v>8</v>
      </c>
      <c r="E3" s="1" t="s">
        <v>370</v>
      </c>
      <c r="F3" s="1"/>
      <c r="G3" s="1"/>
      <c r="H3" s="1"/>
      <c r="I3" s="1"/>
      <c r="J3" s="1"/>
      <c r="K3" s="1"/>
      <c r="L3" s="1"/>
      <c r="M3" s="1"/>
      <c r="N3" s="1"/>
      <c r="O3" s="1"/>
      <c r="P3" s="1"/>
      <c r="Q3" s="1"/>
      <c r="R3" s="1"/>
      <c r="S3" s="90">
        <f>IF(A3&lt;=LeagueInfo!$B$8,1,0)</f>
        <v>1</v>
      </c>
      <c r="T3" s="90">
        <f t="shared" ref="T3:T33" si="0">S3</f>
        <v>1</v>
      </c>
      <c r="U3" s="47" t="str">
        <f>IF(OR(INDEX(Auction!$H$13:$H$683,MATCH(B3,Auction!$A$13:$A$683,0))&gt;0,IFERROR(INDEX(CheatSheet!$D$37:$D$64,MATCH(B3,CheatSheet!$A$37:$A$64,0)),"")&lt;&gt;""),"Yes","No")</f>
        <v>No</v>
      </c>
      <c r="V3" s="218"/>
      <c r="W3" s="1"/>
      <c r="X3" s="1"/>
      <c r="Y3" s="1">
        <v>0</v>
      </c>
      <c r="Z3" s="145" t="s">
        <v>832</v>
      </c>
    </row>
    <row r="4" spans="1:26" x14ac:dyDescent="0.25">
      <c r="A4" s="1">
        <v>3</v>
      </c>
      <c r="B4" s="1" t="s">
        <v>232</v>
      </c>
      <c r="C4" s="1" t="s">
        <v>58</v>
      </c>
      <c r="D4" s="1">
        <f>VLOOKUP(E4,BYEs!$A$2:$B$33,2)</f>
        <v>9</v>
      </c>
      <c r="E4" s="1" t="s">
        <v>373</v>
      </c>
      <c r="F4" s="1"/>
      <c r="G4" s="1"/>
      <c r="H4" s="1"/>
      <c r="I4" s="1"/>
      <c r="J4" s="1"/>
      <c r="K4" s="1"/>
      <c r="L4" s="1"/>
      <c r="M4" s="1"/>
      <c r="N4" s="1"/>
      <c r="O4" s="1"/>
      <c r="P4" s="1"/>
      <c r="Q4" s="1"/>
      <c r="R4" s="1"/>
      <c r="S4" s="90">
        <f>IF(A4&lt;=LeagueInfo!$B$8,1,0)</f>
        <v>1</v>
      </c>
      <c r="T4" s="90">
        <f t="shared" si="0"/>
        <v>1</v>
      </c>
      <c r="U4" s="47" t="str">
        <f>IF(OR(INDEX(Auction!$H$13:$H$683,MATCH(B4,Auction!$A$13:$A$683,0))&gt;0,IFERROR(INDEX(CheatSheet!$D$37:$D$64,MATCH(B4,CheatSheet!$A$37:$A$64,0)),"")&lt;&gt;""),"Yes","No")</f>
        <v>No</v>
      </c>
      <c r="V4" s="218"/>
      <c r="W4" s="1"/>
      <c r="X4" s="1"/>
      <c r="Y4" s="1">
        <v>0</v>
      </c>
      <c r="Z4" s="145" t="s">
        <v>832</v>
      </c>
    </row>
    <row r="5" spans="1:26" x14ac:dyDescent="0.25">
      <c r="A5" s="1">
        <v>4</v>
      </c>
      <c r="B5" s="1" t="s">
        <v>218</v>
      </c>
      <c r="C5" s="1" t="s">
        <v>58</v>
      </c>
      <c r="D5" s="1">
        <f>VLOOKUP(E5,BYEs!$A$2:$B$33,2)</f>
        <v>10</v>
      </c>
      <c r="E5" s="1" t="s">
        <v>372</v>
      </c>
      <c r="F5" s="1"/>
      <c r="G5" s="1"/>
      <c r="H5" s="1"/>
      <c r="I5" s="1"/>
      <c r="J5" s="1"/>
      <c r="K5" s="1"/>
      <c r="L5" s="1"/>
      <c r="M5" s="1"/>
      <c r="N5" s="1"/>
      <c r="O5" s="1"/>
      <c r="P5" s="1"/>
      <c r="Q5" s="1"/>
      <c r="R5" s="1"/>
      <c r="S5" s="90">
        <f>IF(A5&lt;=LeagueInfo!$B$8,1,0)</f>
        <v>1</v>
      </c>
      <c r="T5" s="90">
        <f t="shared" si="0"/>
        <v>1</v>
      </c>
      <c r="U5" s="47" t="str">
        <f>IF(OR(INDEX(Auction!$H$13:$H$683,MATCH(B5,Auction!$A$13:$A$683,0))&gt;0,IFERROR(INDEX(CheatSheet!$D$37:$D$64,MATCH(B5,CheatSheet!$A$37:$A$64,0)),"")&lt;&gt;""),"Yes","No")</f>
        <v>No</v>
      </c>
      <c r="V5" s="218"/>
      <c r="W5" s="1"/>
      <c r="X5" s="1"/>
      <c r="Y5" s="1">
        <v>0</v>
      </c>
      <c r="Z5" s="145" t="s">
        <v>832</v>
      </c>
    </row>
    <row r="6" spans="1:26" x14ac:dyDescent="0.25">
      <c r="A6" s="1">
        <v>5</v>
      </c>
      <c r="B6" s="1" t="s">
        <v>212</v>
      </c>
      <c r="C6" s="1" t="s">
        <v>58</v>
      </c>
      <c r="D6" s="1">
        <f>VLOOKUP(E6,BYEs!$A$2:$B$33,2)</f>
        <v>7</v>
      </c>
      <c r="E6" s="1" t="s">
        <v>385</v>
      </c>
      <c r="F6" s="1"/>
      <c r="G6" s="1"/>
      <c r="H6" s="1"/>
      <c r="I6" s="1"/>
      <c r="J6" s="1"/>
      <c r="K6" s="1"/>
      <c r="L6" s="1"/>
      <c r="M6" s="1"/>
      <c r="N6" s="1"/>
      <c r="O6" s="1"/>
      <c r="P6" s="1"/>
      <c r="Q6" s="1"/>
      <c r="R6" s="1"/>
      <c r="S6" s="90">
        <f>IF(A6&lt;=LeagueInfo!$B$8,1,0)</f>
        <v>1</v>
      </c>
      <c r="T6" s="90">
        <f t="shared" si="0"/>
        <v>1</v>
      </c>
      <c r="U6" s="47" t="str">
        <f>IF(OR(INDEX(Auction!$H$13:$H$683,MATCH(B6,Auction!$A$13:$A$683,0))&gt;0,IFERROR(INDEX(CheatSheet!$D$37:$D$64,MATCH(B6,CheatSheet!$A$37:$A$64,0)),"")&lt;&gt;""),"Yes","No")</f>
        <v>No</v>
      </c>
      <c r="V6" s="218"/>
      <c r="W6" s="1"/>
      <c r="X6" s="1"/>
      <c r="Y6" s="1">
        <v>0</v>
      </c>
      <c r="Z6" s="145" t="s">
        <v>834</v>
      </c>
    </row>
    <row r="7" spans="1:26" x14ac:dyDescent="0.25">
      <c r="A7" s="1">
        <v>6</v>
      </c>
      <c r="B7" s="1" t="s">
        <v>186</v>
      </c>
      <c r="C7" s="1" t="s">
        <v>58</v>
      </c>
      <c r="D7" s="1">
        <f>VLOOKUP(E7,BYEs!$A$2:$B$33,2)</f>
        <v>6</v>
      </c>
      <c r="E7" s="1" t="s">
        <v>354</v>
      </c>
      <c r="F7" s="1"/>
      <c r="G7" s="1"/>
      <c r="H7" s="1"/>
      <c r="I7" s="1"/>
      <c r="J7" s="1"/>
      <c r="K7" s="1"/>
      <c r="L7" s="1"/>
      <c r="M7" s="1"/>
      <c r="N7" s="1"/>
      <c r="O7" s="1"/>
      <c r="P7" s="1"/>
      <c r="Q7" s="1"/>
      <c r="R7" s="1"/>
      <c r="S7" s="90">
        <f>IF(A7&lt;=LeagueInfo!$B$8,1,0)</f>
        <v>1</v>
      </c>
      <c r="T7" s="90">
        <f>S7</f>
        <v>1</v>
      </c>
      <c r="U7" s="47" t="str">
        <f>IF(OR(INDEX(Auction!$H$13:$H$683,MATCH(B7,Auction!$A$13:$A$683,0))&gt;0,IFERROR(INDEX(CheatSheet!$D$37:$D$64,MATCH(B7,CheatSheet!$A$37:$A$64,0)),"")&lt;&gt;""),"Yes","No")</f>
        <v>No</v>
      </c>
      <c r="V7" s="218"/>
      <c r="W7" s="1"/>
      <c r="X7" s="1"/>
      <c r="Y7" s="1">
        <v>0</v>
      </c>
      <c r="Z7" s="145" t="s">
        <v>834</v>
      </c>
    </row>
    <row r="8" spans="1:26" x14ac:dyDescent="0.25">
      <c r="A8" s="1">
        <v>7</v>
      </c>
      <c r="B8" s="1" t="s">
        <v>833</v>
      </c>
      <c r="C8" s="1" t="s">
        <v>58</v>
      </c>
      <c r="D8" s="1">
        <f>VLOOKUP(E8,BYEs!$A$2:$B$33,2)</f>
        <v>11</v>
      </c>
      <c r="E8" s="1" t="s">
        <v>357</v>
      </c>
      <c r="F8" s="1"/>
      <c r="G8" s="1"/>
      <c r="H8" s="1"/>
      <c r="I8" s="1"/>
      <c r="J8" s="1"/>
      <c r="K8" s="1"/>
      <c r="L8" s="1"/>
      <c r="M8" s="1"/>
      <c r="N8" s="1"/>
      <c r="O8" s="1"/>
      <c r="P8" s="1"/>
      <c r="Q8" s="1"/>
      <c r="R8" s="1"/>
      <c r="S8" s="90">
        <f>IF(A8&lt;=LeagueInfo!$B$8,1,0)</f>
        <v>1</v>
      </c>
      <c r="T8" s="90">
        <f>S8</f>
        <v>1</v>
      </c>
      <c r="U8" s="47" t="str">
        <f>IF(OR(INDEX(Auction!$H$13:$H$683,MATCH(B8,Auction!$A$13:$A$683,0))&gt;0,IFERROR(INDEX(CheatSheet!$D$37:$D$64,MATCH(B8,CheatSheet!$A$37:$A$64,0)),"")&lt;&gt;""),"Yes","No")</f>
        <v>No</v>
      </c>
      <c r="V8" s="218"/>
      <c r="W8" s="1"/>
      <c r="X8" s="1"/>
      <c r="Y8" s="1">
        <v>0</v>
      </c>
      <c r="Z8" s="145" t="s">
        <v>834</v>
      </c>
    </row>
    <row r="9" spans="1:26" x14ac:dyDescent="0.25">
      <c r="A9" s="1">
        <v>8</v>
      </c>
      <c r="B9" s="1" t="s">
        <v>286</v>
      </c>
      <c r="C9" s="1" t="s">
        <v>58</v>
      </c>
      <c r="D9" s="1">
        <f>VLOOKUP(E9,BYEs!$A$2:$B$33,2)</f>
        <v>10</v>
      </c>
      <c r="E9" s="1" t="s">
        <v>369</v>
      </c>
      <c r="F9" s="1"/>
      <c r="G9" s="1"/>
      <c r="H9" s="1"/>
      <c r="I9" s="1"/>
      <c r="J9" s="1"/>
      <c r="K9" s="1"/>
      <c r="L9" s="1"/>
      <c r="M9" s="1"/>
      <c r="N9" s="1"/>
      <c r="O9" s="1"/>
      <c r="P9" s="1"/>
      <c r="Q9" s="1"/>
      <c r="R9" s="1"/>
      <c r="S9" s="90">
        <f>IF(A9&lt;=LeagueInfo!$B$8,1,0)</f>
        <v>1</v>
      </c>
      <c r="T9" s="90">
        <f>S9</f>
        <v>1</v>
      </c>
      <c r="U9" s="47" t="str">
        <f>IF(OR(INDEX(Auction!$H$13:$H$683,MATCH(B9,Auction!$A$13:$A$683,0))&gt;0,IFERROR(INDEX(CheatSheet!$D$37:$D$64,MATCH(B9,CheatSheet!$A$37:$A$64,0)),"")&lt;&gt;""),"Yes","No")</f>
        <v>No</v>
      </c>
      <c r="V9" s="218"/>
      <c r="W9" s="1"/>
      <c r="X9" s="1"/>
      <c r="Y9" s="1">
        <v>0</v>
      </c>
      <c r="Z9" s="145" t="s">
        <v>834</v>
      </c>
    </row>
    <row r="10" spans="1:26" x14ac:dyDescent="0.25">
      <c r="A10" s="1">
        <v>9</v>
      </c>
      <c r="B10" s="1" t="s">
        <v>219</v>
      </c>
      <c r="C10" s="1" t="s">
        <v>58</v>
      </c>
      <c r="D10" s="1">
        <f>VLOOKUP(E10,BYEs!$A$2:$B$33,2)</f>
        <v>9</v>
      </c>
      <c r="E10" s="1" t="s">
        <v>351</v>
      </c>
      <c r="F10" s="1"/>
      <c r="G10" s="1"/>
      <c r="H10" s="1"/>
      <c r="I10" s="1"/>
      <c r="J10" s="1"/>
      <c r="K10" s="1"/>
      <c r="L10" s="1"/>
      <c r="M10" s="1"/>
      <c r="N10" s="1"/>
      <c r="O10" s="1"/>
      <c r="P10" s="1"/>
      <c r="Q10" s="1"/>
      <c r="R10" s="1"/>
      <c r="S10" s="90">
        <f>IF(A10&lt;=LeagueInfo!$B$8,1,0)</f>
        <v>1</v>
      </c>
      <c r="T10" s="90">
        <f t="shared" si="0"/>
        <v>1</v>
      </c>
      <c r="U10" s="47" t="str">
        <f>IF(OR(INDEX(Auction!$H$13:$H$683,MATCH(B10,Auction!$A$13:$A$683,0))&gt;0,IFERROR(INDEX(CheatSheet!$D$37:$D$64,MATCH(B10,CheatSheet!$A$37:$A$64,0)),"")&lt;&gt;""),"Yes","No")</f>
        <v>No</v>
      </c>
      <c r="V10" s="218"/>
      <c r="W10" s="1"/>
      <c r="X10" s="1"/>
      <c r="Y10" s="1">
        <v>0</v>
      </c>
      <c r="Z10" s="145" t="s">
        <v>834</v>
      </c>
    </row>
    <row r="11" spans="1:26" x14ac:dyDescent="0.25">
      <c r="A11" s="1">
        <v>10</v>
      </c>
      <c r="B11" s="1" t="s">
        <v>288</v>
      </c>
      <c r="C11" s="1" t="s">
        <v>58</v>
      </c>
      <c r="D11" s="1">
        <f>VLOOKUP(E11,BYEs!$A$2:$B$33,2)</f>
        <v>11</v>
      </c>
      <c r="E11" s="1" t="s">
        <v>356</v>
      </c>
      <c r="F11" s="1"/>
      <c r="G11" s="1"/>
      <c r="H11" s="1"/>
      <c r="I11" s="1"/>
      <c r="J11" s="1"/>
      <c r="K11" s="1"/>
      <c r="L11" s="1"/>
      <c r="M11" s="1"/>
      <c r="N11" s="1"/>
      <c r="O11" s="1"/>
      <c r="P11" s="1"/>
      <c r="Q11" s="1"/>
      <c r="R11" s="1"/>
      <c r="S11" s="90">
        <f>IF(A11&lt;=LeagueInfo!$B$8,1,0)</f>
        <v>1</v>
      </c>
      <c r="T11" s="90">
        <f t="shared" si="0"/>
        <v>1</v>
      </c>
      <c r="U11" s="47" t="str">
        <f>IF(OR(INDEX(Auction!$H$13:$H$683,MATCH(B11,Auction!$A$13:$A$683,0))&gt;0,IFERROR(INDEX(CheatSheet!$D$37:$D$64,MATCH(B11,CheatSheet!$A$37:$A$64,0)),"")&lt;&gt;""),"Yes","No")</f>
        <v>No</v>
      </c>
      <c r="V11" s="218"/>
      <c r="W11" s="1"/>
      <c r="X11" s="1"/>
      <c r="Y11" s="1">
        <v>0</v>
      </c>
      <c r="Z11" s="145" t="s">
        <v>835</v>
      </c>
    </row>
    <row r="12" spans="1:26" x14ac:dyDescent="0.25">
      <c r="A12" s="1">
        <v>11</v>
      </c>
      <c r="B12" s="1" t="s">
        <v>299</v>
      </c>
      <c r="C12" s="1" t="s">
        <v>58</v>
      </c>
      <c r="D12" s="1">
        <f>VLOOKUP(E12,BYEs!$A$2:$B$33,2)</f>
        <v>8</v>
      </c>
      <c r="E12" s="1" t="s">
        <v>368</v>
      </c>
      <c r="F12" s="1"/>
      <c r="G12" s="1"/>
      <c r="H12" s="1"/>
      <c r="I12" s="1"/>
      <c r="J12" s="1"/>
      <c r="K12" s="1"/>
      <c r="L12" s="1"/>
      <c r="M12" s="1"/>
      <c r="N12" s="1"/>
      <c r="O12" s="1"/>
      <c r="P12" s="1"/>
      <c r="Q12" s="1"/>
      <c r="R12" s="1"/>
      <c r="S12" s="90">
        <f>IF(A12&lt;=LeagueInfo!$B$8,1,0)</f>
        <v>1</v>
      </c>
      <c r="T12" s="90">
        <f t="shared" si="0"/>
        <v>1</v>
      </c>
      <c r="U12" s="47" t="str">
        <f>IF(OR(INDEX(Auction!$H$13:$H$683,MATCH(B12,Auction!$A$13:$A$683,0))&gt;0,IFERROR(INDEX(CheatSheet!$D$37:$D$64,MATCH(B12,CheatSheet!$A$37:$A$64,0)),"")&lt;&gt;""),"Yes","No")</f>
        <v>No</v>
      </c>
      <c r="V12" s="218"/>
      <c r="W12" s="1"/>
      <c r="X12" s="1"/>
      <c r="Y12" s="1">
        <v>0</v>
      </c>
      <c r="Z12" s="145" t="s">
        <v>835</v>
      </c>
    </row>
    <row r="13" spans="1:26" x14ac:dyDescent="0.25">
      <c r="A13" s="1">
        <v>12</v>
      </c>
      <c r="B13" s="1" t="s">
        <v>305</v>
      </c>
      <c r="C13" s="1" t="s">
        <v>58</v>
      </c>
      <c r="D13" s="1">
        <f>VLOOKUP(E13,BYEs!$A$2:$B$33,2)</f>
        <v>8</v>
      </c>
      <c r="E13" s="1" t="s">
        <v>367</v>
      </c>
      <c r="F13" s="1"/>
      <c r="G13" s="1"/>
      <c r="H13" s="1"/>
      <c r="I13" s="1"/>
      <c r="J13" s="1"/>
      <c r="K13" s="1"/>
      <c r="L13" s="1"/>
      <c r="M13" s="1"/>
      <c r="N13" s="1"/>
      <c r="O13" s="1"/>
      <c r="P13" s="1"/>
      <c r="Q13" s="1"/>
      <c r="R13" s="1"/>
      <c r="S13" s="90">
        <f>IF(A13&lt;=LeagueInfo!$B$8,1,0)</f>
        <v>1</v>
      </c>
      <c r="T13" s="90">
        <f t="shared" si="0"/>
        <v>1</v>
      </c>
      <c r="U13" s="47" t="str">
        <f>IF(OR(INDEX(Auction!$H$13:$H$683,MATCH(B13,Auction!$A$13:$A$683,0))&gt;0,IFERROR(INDEX(CheatSheet!$D$37:$D$64,MATCH(B13,CheatSheet!$A$37:$A$64,0)),"")&lt;&gt;""),"Yes","No")</f>
        <v>No</v>
      </c>
      <c r="V13" s="218"/>
      <c r="W13" s="1"/>
      <c r="X13" s="1"/>
      <c r="Y13" s="1">
        <v>0</v>
      </c>
      <c r="Z13" s="145" t="s">
        <v>835</v>
      </c>
    </row>
    <row r="14" spans="1:26" x14ac:dyDescent="0.25">
      <c r="A14" s="1">
        <v>13</v>
      </c>
      <c r="B14" s="1" t="s">
        <v>296</v>
      </c>
      <c r="C14" s="1" t="s">
        <v>58</v>
      </c>
      <c r="D14" s="1">
        <f>VLOOKUP(E14,BYEs!$A$2:$B$33,2)</f>
        <v>10</v>
      </c>
      <c r="E14" s="1" t="s">
        <v>361</v>
      </c>
      <c r="F14" s="1"/>
      <c r="G14" s="1"/>
      <c r="H14" s="1"/>
      <c r="I14" s="1"/>
      <c r="J14" s="1"/>
      <c r="K14" s="1"/>
      <c r="L14" s="1"/>
      <c r="M14" s="1"/>
      <c r="N14" s="1"/>
      <c r="O14" s="1"/>
      <c r="P14" s="1"/>
      <c r="Q14" s="1"/>
      <c r="R14" s="1"/>
      <c r="S14" s="90">
        <f>IF(A14&lt;=LeagueInfo!$B$8,1,0)</f>
        <v>0</v>
      </c>
      <c r="T14" s="90">
        <f t="shared" si="0"/>
        <v>0</v>
      </c>
      <c r="U14" s="47" t="str">
        <f>IF(OR(INDEX(Auction!$H$13:$H$683,MATCH(B14,Auction!$A$13:$A$683,0))&gt;0,IFERROR(INDEX(CheatSheet!$D$37:$D$64,MATCH(B14,CheatSheet!$A$37:$A$64,0)),"")&lt;&gt;""),"Yes","No")</f>
        <v>No</v>
      </c>
      <c r="V14" s="218"/>
      <c r="W14" s="1"/>
      <c r="X14" s="1"/>
      <c r="Y14" s="1">
        <v>0</v>
      </c>
      <c r="Z14" s="145" t="s">
        <v>835</v>
      </c>
    </row>
    <row r="15" spans="1:26" x14ac:dyDescent="0.25">
      <c r="A15" s="1">
        <v>14</v>
      </c>
      <c r="B15" s="1" t="s">
        <v>300</v>
      </c>
      <c r="C15" s="1" t="s">
        <v>58</v>
      </c>
      <c r="D15" s="1">
        <f>VLOOKUP(E15,BYEs!$A$2:$B$33,2)</f>
        <v>9</v>
      </c>
      <c r="E15" s="1" t="s">
        <v>363</v>
      </c>
      <c r="F15" s="1"/>
      <c r="G15" s="1"/>
      <c r="H15" s="1"/>
      <c r="I15" s="1"/>
      <c r="J15" s="1"/>
      <c r="K15" s="1"/>
      <c r="L15" s="1"/>
      <c r="M15" s="1"/>
      <c r="N15" s="1"/>
      <c r="O15" s="1"/>
      <c r="P15" s="1"/>
      <c r="Q15" s="1"/>
      <c r="R15" s="1"/>
      <c r="S15" s="90">
        <f>IF(A15&lt;=LeagueInfo!$B$8,1,0)</f>
        <v>0</v>
      </c>
      <c r="T15" s="90">
        <f t="shared" si="0"/>
        <v>0</v>
      </c>
      <c r="U15" s="47" t="str">
        <f>IF(OR(INDEX(Auction!$H$13:$H$683,MATCH(B15,Auction!$A$13:$A$683,0))&gt;0,IFERROR(INDEX(CheatSheet!$D$37:$D$64,MATCH(B15,CheatSheet!$A$37:$A$64,0)),"")&lt;&gt;""),"Yes","No")</f>
        <v>No</v>
      </c>
      <c r="V15" s="218"/>
      <c r="W15" s="1"/>
      <c r="X15" s="1"/>
      <c r="Y15" s="1">
        <v>0</v>
      </c>
      <c r="Z15" s="145" t="s">
        <v>836</v>
      </c>
    </row>
    <row r="16" spans="1:26" x14ac:dyDescent="0.25">
      <c r="A16" s="1">
        <v>15</v>
      </c>
      <c r="B16" s="1" t="s">
        <v>298</v>
      </c>
      <c r="C16" s="1" t="s">
        <v>58</v>
      </c>
      <c r="D16" s="1">
        <f>VLOOKUP(E16,BYEs!$A$2:$B$33,2)</f>
        <v>10</v>
      </c>
      <c r="E16" s="1" t="s">
        <v>371</v>
      </c>
      <c r="F16" s="1"/>
      <c r="G16" s="1"/>
      <c r="H16" s="1"/>
      <c r="I16" s="1"/>
      <c r="J16" s="1"/>
      <c r="K16" s="1"/>
      <c r="L16" s="1"/>
      <c r="M16" s="1"/>
      <c r="N16" s="1"/>
      <c r="O16" s="1"/>
      <c r="P16" s="1"/>
      <c r="Q16" s="1"/>
      <c r="R16" s="1"/>
      <c r="S16" s="90">
        <f>IF(A16&lt;=LeagueInfo!$B$8,1,0)</f>
        <v>0</v>
      </c>
      <c r="T16" s="90">
        <f t="shared" si="0"/>
        <v>0</v>
      </c>
      <c r="U16" s="47" t="str">
        <f>IF(OR(INDEX(Auction!$H$13:$H$683,MATCH(B16,Auction!$A$13:$A$683,0))&gt;0,IFERROR(INDEX(CheatSheet!$D$37:$D$64,MATCH(B16,CheatSheet!$A$37:$A$64,0)),"")&lt;&gt;""),"Yes","No")</f>
        <v>No</v>
      </c>
      <c r="V16" s="218"/>
      <c r="W16" s="1"/>
      <c r="X16" s="1"/>
      <c r="Y16" s="1">
        <v>0</v>
      </c>
      <c r="Z16" s="145" t="s">
        <v>836</v>
      </c>
    </row>
    <row r="17" spans="1:26" x14ac:dyDescent="0.25">
      <c r="A17" s="1">
        <v>16</v>
      </c>
      <c r="B17" s="1" t="s">
        <v>303</v>
      </c>
      <c r="C17" s="1" t="s">
        <v>58</v>
      </c>
      <c r="D17" s="1">
        <f>VLOOKUP(E17,BYEs!$A$2:$B$33,2)</f>
        <v>8</v>
      </c>
      <c r="E17" s="1" t="s">
        <v>350</v>
      </c>
      <c r="F17" s="1"/>
      <c r="G17" s="1"/>
      <c r="H17" s="1"/>
      <c r="I17" s="1"/>
      <c r="J17" s="1"/>
      <c r="K17" s="1"/>
      <c r="L17" s="1"/>
      <c r="M17" s="1"/>
      <c r="N17" s="1"/>
      <c r="O17" s="1"/>
      <c r="P17" s="1"/>
      <c r="Q17" s="1"/>
      <c r="R17" s="1"/>
      <c r="S17" s="90">
        <f>IF(A17&lt;=LeagueInfo!$B$8,1,0)</f>
        <v>0</v>
      </c>
      <c r="T17" s="90">
        <f t="shared" si="0"/>
        <v>0</v>
      </c>
      <c r="U17" s="47" t="str">
        <f>IF(OR(INDEX(Auction!$H$13:$H$683,MATCH(B17,Auction!$A$13:$A$683,0))&gt;0,IFERROR(INDEX(CheatSheet!$D$37:$D$64,MATCH(B17,CheatSheet!$A$37:$A$64,0)),"")&lt;&gt;""),"Yes","No")</f>
        <v>No</v>
      </c>
      <c r="V17" s="218"/>
      <c r="W17" s="1"/>
      <c r="X17" s="1"/>
      <c r="Y17" s="1">
        <v>0</v>
      </c>
      <c r="Z17" s="145" t="s">
        <v>836</v>
      </c>
    </row>
    <row r="18" spans="1:26" x14ac:dyDescent="0.25">
      <c r="A18" s="1">
        <v>17</v>
      </c>
      <c r="B18" s="1" t="s">
        <v>246</v>
      </c>
      <c r="C18" s="1" t="s">
        <v>58</v>
      </c>
      <c r="D18" s="1">
        <f>VLOOKUP(E18,BYEs!$A$2:$B$33,2)</f>
        <v>8</v>
      </c>
      <c r="E18" s="1" t="s">
        <v>359</v>
      </c>
      <c r="F18" s="1"/>
      <c r="G18" s="1"/>
      <c r="H18" s="1"/>
      <c r="I18" s="1"/>
      <c r="J18" s="1"/>
      <c r="K18" s="1"/>
      <c r="L18" s="1"/>
      <c r="M18" s="1"/>
      <c r="N18" s="1"/>
      <c r="O18" s="1"/>
      <c r="P18" s="1"/>
      <c r="Q18" s="1"/>
      <c r="R18" s="1"/>
      <c r="S18" s="90">
        <f>IF(A18&lt;=LeagueInfo!$B$8,1,0)</f>
        <v>0</v>
      </c>
      <c r="T18" s="90">
        <f>S18</f>
        <v>0</v>
      </c>
      <c r="U18" s="47" t="str">
        <f>IF(OR(INDEX(Auction!$H$13:$H$683,MATCH(B18,Auction!$A$13:$A$683,0))&gt;0,IFERROR(INDEX(CheatSheet!$D$37:$D$64,MATCH(B18,CheatSheet!$A$37:$A$64,0)),"")&lt;&gt;""),"Yes","No")</f>
        <v>No</v>
      </c>
      <c r="V18" s="218"/>
      <c r="W18" s="1"/>
      <c r="X18" s="1"/>
      <c r="Y18" s="1">
        <v>0</v>
      </c>
      <c r="Z18" s="145" t="s">
        <v>836</v>
      </c>
    </row>
    <row r="19" spans="1:26" x14ac:dyDescent="0.25">
      <c r="A19" s="1">
        <v>18</v>
      </c>
      <c r="B19" s="1" t="s">
        <v>230</v>
      </c>
      <c r="C19" s="1" t="s">
        <v>58</v>
      </c>
      <c r="D19" s="1">
        <f>VLOOKUP(E19,BYEs!$A$2:$B$33,2)</f>
        <v>8</v>
      </c>
      <c r="E19" s="1" t="s">
        <v>380</v>
      </c>
      <c r="F19" s="1"/>
      <c r="G19" s="1"/>
      <c r="H19" s="1"/>
      <c r="I19" s="1"/>
      <c r="J19" s="1"/>
      <c r="K19" s="1"/>
      <c r="L19" s="1"/>
      <c r="M19" s="1"/>
      <c r="N19" s="1"/>
      <c r="O19" s="1"/>
      <c r="P19" s="1"/>
      <c r="Q19" s="1"/>
      <c r="R19" s="1"/>
      <c r="S19" s="90">
        <f>IF(A19&lt;=LeagueInfo!$B$8,1,0)</f>
        <v>0</v>
      </c>
      <c r="T19" s="90">
        <f t="shared" si="0"/>
        <v>0</v>
      </c>
      <c r="U19" s="47" t="str">
        <f>IF(OR(INDEX(Auction!$H$13:$H$683,MATCH(B19,Auction!$A$13:$A$683,0))&gt;0,IFERROR(INDEX(CheatSheet!$D$37:$D$64,MATCH(B19,CheatSheet!$A$37:$A$64,0)),"")&lt;&gt;""),"Yes","No")</f>
        <v>No</v>
      </c>
      <c r="V19" s="218"/>
      <c r="W19" s="1"/>
      <c r="X19" s="1"/>
      <c r="Y19" s="1">
        <v>0</v>
      </c>
      <c r="Z19" s="145" t="s">
        <v>836</v>
      </c>
    </row>
    <row r="20" spans="1:26" x14ac:dyDescent="0.25">
      <c r="A20" s="1">
        <v>19</v>
      </c>
      <c r="B20" s="1" t="s">
        <v>196</v>
      </c>
      <c r="C20" s="1" t="s">
        <v>58</v>
      </c>
      <c r="D20" s="1">
        <f>VLOOKUP(E20,BYEs!$A$2:$B$33,2)</f>
        <v>11</v>
      </c>
      <c r="E20" s="1" t="s">
        <v>374</v>
      </c>
      <c r="F20" s="1"/>
      <c r="G20" s="1"/>
      <c r="H20" s="1"/>
      <c r="I20" s="1"/>
      <c r="J20" s="1"/>
      <c r="K20" s="1"/>
      <c r="L20" s="1"/>
      <c r="M20" s="1"/>
      <c r="N20" s="1"/>
      <c r="O20" s="1"/>
      <c r="P20" s="1"/>
      <c r="Q20" s="1"/>
      <c r="R20" s="1"/>
      <c r="S20" s="90">
        <f>IF(A20&lt;=LeagueInfo!$B$8,1,0)</f>
        <v>0</v>
      </c>
      <c r="T20" s="90">
        <f t="shared" si="0"/>
        <v>0</v>
      </c>
      <c r="U20" s="47" t="str">
        <f>IF(OR(INDEX(Auction!$H$13:$H$683,MATCH(B20,Auction!$A$13:$A$683,0))&gt;0,IFERROR(INDEX(CheatSheet!$D$37:$D$64,MATCH(B20,CheatSheet!$A$37:$A$64,0)),"")&lt;&gt;""),"Yes","No")</f>
        <v>No</v>
      </c>
      <c r="V20" s="218"/>
      <c r="W20" s="1"/>
      <c r="X20" s="1"/>
      <c r="Y20" s="1">
        <v>0</v>
      </c>
      <c r="Z20" s="145" t="s">
        <v>836</v>
      </c>
    </row>
    <row r="21" spans="1:26" x14ac:dyDescent="0.25">
      <c r="A21" s="1">
        <v>20</v>
      </c>
      <c r="B21" s="1" t="s">
        <v>304</v>
      </c>
      <c r="C21" s="1" t="s">
        <v>58</v>
      </c>
      <c r="D21" s="1">
        <f>VLOOKUP(E21,BYEs!$A$2:$B$33,2)</f>
        <v>10</v>
      </c>
      <c r="E21" s="1" t="s">
        <v>365</v>
      </c>
      <c r="F21" s="1"/>
      <c r="G21" s="1"/>
      <c r="H21" s="1"/>
      <c r="I21" s="1"/>
      <c r="J21" s="1"/>
      <c r="K21" s="1"/>
      <c r="L21" s="1"/>
      <c r="M21" s="1"/>
      <c r="N21" s="1"/>
      <c r="O21" s="1"/>
      <c r="P21" s="1"/>
      <c r="Q21" s="1"/>
      <c r="R21" s="1"/>
      <c r="S21" s="90">
        <f>IF(A21&lt;=LeagueInfo!$B$8,1,0)</f>
        <v>0</v>
      </c>
      <c r="T21" s="90">
        <f t="shared" si="0"/>
        <v>0</v>
      </c>
      <c r="U21" s="47" t="str">
        <f>IF(OR(INDEX(Auction!$H$13:$H$683,MATCH(B21,Auction!$A$13:$A$683,0))&gt;0,IFERROR(INDEX(CheatSheet!$D$37:$D$64,MATCH(B21,CheatSheet!$A$37:$A$64,0)),"")&lt;&gt;""),"Yes","No")</f>
        <v>No</v>
      </c>
      <c r="V21" s="218"/>
      <c r="W21" s="1"/>
      <c r="X21" s="1"/>
      <c r="Y21" s="1">
        <v>0</v>
      </c>
      <c r="Z21" s="145" t="s">
        <v>836</v>
      </c>
    </row>
    <row r="22" spans="1:26" x14ac:dyDescent="0.25">
      <c r="A22" s="1">
        <v>21</v>
      </c>
      <c r="B22" s="1" t="s">
        <v>307</v>
      </c>
      <c r="C22" s="1" t="s">
        <v>58</v>
      </c>
      <c r="D22" s="1">
        <f>VLOOKUP(E22,BYEs!$A$2:$B$33,2)</f>
        <v>6</v>
      </c>
      <c r="E22" s="1" t="s">
        <v>366</v>
      </c>
      <c r="F22" s="1"/>
      <c r="G22" s="1"/>
      <c r="H22" s="1"/>
      <c r="I22" s="1"/>
      <c r="J22" s="1"/>
      <c r="K22" s="1"/>
      <c r="L22" s="1"/>
      <c r="M22" s="1"/>
      <c r="N22" s="1"/>
      <c r="O22" s="1"/>
      <c r="P22" s="1"/>
      <c r="Q22" s="1"/>
      <c r="R22" s="1"/>
      <c r="S22" s="90">
        <f>IF(A22&lt;=LeagueInfo!$B$8,1,0)</f>
        <v>0</v>
      </c>
      <c r="T22" s="90">
        <f t="shared" si="0"/>
        <v>0</v>
      </c>
      <c r="U22" s="47" t="str">
        <f>IF(OR(INDEX(Auction!$H$13:$H$683,MATCH(B22,Auction!$A$13:$A$683,0))&gt;0,IFERROR(INDEX(CheatSheet!$D$37:$D$64,MATCH(B22,CheatSheet!$A$37:$A$64,0)),"")&lt;&gt;""),"Yes","No")</f>
        <v>No</v>
      </c>
      <c r="V22" s="218"/>
      <c r="W22" s="1"/>
      <c r="X22" s="1"/>
      <c r="Y22" s="1">
        <v>0</v>
      </c>
      <c r="Z22" s="145" t="s">
        <v>836</v>
      </c>
    </row>
    <row r="23" spans="1:26" x14ac:dyDescent="0.25">
      <c r="A23" s="1">
        <v>22</v>
      </c>
      <c r="B23" s="1" t="s">
        <v>316</v>
      </c>
      <c r="C23" s="1" t="s">
        <v>58</v>
      </c>
      <c r="D23" s="1">
        <f>VLOOKUP(E23,BYEs!$A$2:$B$33,2)</f>
        <v>6</v>
      </c>
      <c r="E23" s="1" t="s">
        <v>364</v>
      </c>
      <c r="F23" s="1"/>
      <c r="G23" s="1"/>
      <c r="H23" s="1"/>
      <c r="I23" s="1"/>
      <c r="J23" s="1"/>
      <c r="K23" s="1"/>
      <c r="L23" s="1"/>
      <c r="M23" s="1"/>
      <c r="N23" s="1"/>
      <c r="O23" s="1"/>
      <c r="P23" s="1"/>
      <c r="Q23" s="1"/>
      <c r="R23" s="1"/>
      <c r="S23" s="90">
        <f>IF(A23&lt;=LeagueInfo!$B$8,1,0)</f>
        <v>0</v>
      </c>
      <c r="T23" s="90">
        <f t="shared" si="0"/>
        <v>0</v>
      </c>
      <c r="U23" s="47" t="str">
        <f>IF(OR(INDEX(Auction!$H$13:$H$683,MATCH(B23,Auction!$A$13:$A$683,0))&gt;0,IFERROR(INDEX(CheatSheet!$D$37:$D$64,MATCH(B23,CheatSheet!$A$37:$A$64,0)),"")&lt;&gt;""),"Yes","No")</f>
        <v>No</v>
      </c>
      <c r="V23" s="218"/>
      <c r="W23" s="1"/>
      <c r="X23" s="1"/>
      <c r="Y23" s="1">
        <v>0</v>
      </c>
      <c r="Z23" s="145" t="s">
        <v>836</v>
      </c>
    </row>
    <row r="24" spans="1:26" x14ac:dyDescent="0.25">
      <c r="A24" s="1">
        <v>23</v>
      </c>
      <c r="B24" s="1" t="s">
        <v>282</v>
      </c>
      <c r="C24" s="1" t="s">
        <v>58</v>
      </c>
      <c r="D24" s="1">
        <f>VLOOKUP(E24,BYEs!$A$2:$B$33,2)</f>
        <v>6</v>
      </c>
      <c r="E24" s="1" t="s">
        <v>360</v>
      </c>
      <c r="F24" s="1"/>
      <c r="G24" s="1"/>
      <c r="H24" s="1"/>
      <c r="I24" s="1"/>
      <c r="J24" s="1"/>
      <c r="K24" s="1"/>
      <c r="L24" s="1"/>
      <c r="M24" s="1"/>
      <c r="N24" s="1"/>
      <c r="O24" s="1"/>
      <c r="P24" s="1"/>
      <c r="Q24" s="1"/>
      <c r="R24" s="1"/>
      <c r="S24" s="90">
        <f>IF(A24&lt;=LeagueInfo!$B$8,1,0)</f>
        <v>0</v>
      </c>
      <c r="T24" s="90">
        <f t="shared" si="0"/>
        <v>0</v>
      </c>
      <c r="U24" s="47" t="str">
        <f>IF(OR(INDEX(Auction!$H$13:$H$683,MATCH(B24,Auction!$A$13:$A$683,0))&gt;0,IFERROR(INDEX(CheatSheet!$D$37:$D$64,MATCH(B24,CheatSheet!$A$37:$A$64,0)),"")&lt;&gt;""),"Yes","No")</f>
        <v>No</v>
      </c>
      <c r="V24" s="218"/>
      <c r="W24" s="1"/>
      <c r="X24" s="1"/>
      <c r="Y24" s="1">
        <v>0</v>
      </c>
      <c r="Z24" s="145" t="s">
        <v>836</v>
      </c>
    </row>
    <row r="25" spans="1:26" x14ac:dyDescent="0.25">
      <c r="A25" s="1">
        <v>24</v>
      </c>
      <c r="B25" s="1" t="s">
        <v>838</v>
      </c>
      <c r="C25" s="1" t="s">
        <v>58</v>
      </c>
      <c r="D25" s="1">
        <f>VLOOKUP(E25,BYEs!$A$2:$B$33,2)</f>
        <v>5</v>
      </c>
      <c r="E25" s="1" t="s">
        <v>358</v>
      </c>
      <c r="F25" s="1"/>
      <c r="G25" s="1"/>
      <c r="H25" s="1"/>
      <c r="I25" s="1"/>
      <c r="J25" s="1"/>
      <c r="K25" s="1"/>
      <c r="L25" s="1"/>
      <c r="M25" s="1"/>
      <c r="N25" s="1"/>
      <c r="O25" s="1"/>
      <c r="P25" s="1"/>
      <c r="Q25" s="1"/>
      <c r="R25" s="1"/>
      <c r="S25" s="90">
        <f>IF(A25&lt;=LeagueInfo!$B$8,1,0)</f>
        <v>0</v>
      </c>
      <c r="T25" s="90">
        <f t="shared" si="0"/>
        <v>0</v>
      </c>
      <c r="U25" s="47" t="str">
        <f>IF(OR(INDEX(Auction!$H$13:$H$683,MATCH(B25,Auction!$A$13:$A$683,0))&gt;0,IFERROR(INDEX(CheatSheet!$D$37:$D$64,MATCH(B25,CheatSheet!$A$37:$A$64,0)),"")&lt;&gt;""),"Yes","No")</f>
        <v>No</v>
      </c>
      <c r="V25" s="218"/>
      <c r="W25" s="1"/>
      <c r="X25" s="1"/>
      <c r="Y25" s="1">
        <v>0</v>
      </c>
      <c r="Z25" s="145" t="s">
        <v>836</v>
      </c>
    </row>
    <row r="26" spans="1:26" x14ac:dyDescent="0.25">
      <c r="A26" s="1">
        <v>25</v>
      </c>
      <c r="B26" s="1" t="s">
        <v>213</v>
      </c>
      <c r="C26" s="1" t="s">
        <v>58</v>
      </c>
      <c r="D26" s="1">
        <f>VLOOKUP(E26,BYEs!$A$2:$B$33,2)</f>
        <v>5</v>
      </c>
      <c r="E26" s="1" t="s">
        <v>353</v>
      </c>
      <c r="F26" s="1"/>
      <c r="G26" s="1"/>
      <c r="H26" s="1"/>
      <c r="I26" s="1"/>
      <c r="J26" s="1"/>
      <c r="K26" s="1"/>
      <c r="L26" s="1"/>
      <c r="M26" s="1"/>
      <c r="N26" s="1"/>
      <c r="O26" s="1"/>
      <c r="P26" s="1"/>
      <c r="Q26" s="1"/>
      <c r="R26" s="1"/>
      <c r="S26" s="90">
        <f>IF(A26&lt;=LeagueInfo!$B$8,1,0)</f>
        <v>0</v>
      </c>
      <c r="T26" s="90">
        <f t="shared" si="0"/>
        <v>0</v>
      </c>
      <c r="U26" s="47" t="str">
        <f>IF(OR(INDEX(Auction!$H$13:$H$683,MATCH(B26,Auction!$A$13:$A$683,0))&gt;0,IFERROR(INDEX(CheatSheet!$D$37:$D$64,MATCH(B26,CheatSheet!$A$37:$A$64,0)),"")&lt;&gt;""),"Yes","No")</f>
        <v>No</v>
      </c>
      <c r="V26" s="218"/>
      <c r="W26" s="1"/>
      <c r="X26" s="1"/>
      <c r="Y26" s="1">
        <v>0</v>
      </c>
      <c r="Z26" s="145" t="s">
        <v>836</v>
      </c>
    </row>
    <row r="27" spans="1:26" x14ac:dyDescent="0.25">
      <c r="A27" s="1">
        <v>26</v>
      </c>
      <c r="B27" s="1" t="s">
        <v>840</v>
      </c>
      <c r="C27" s="1" t="s">
        <v>58</v>
      </c>
      <c r="D27" s="1">
        <f>VLOOKUP(E27,BYEs!$A$2:$B$33,2)</f>
        <v>11</v>
      </c>
      <c r="E27" s="1" t="s">
        <v>355</v>
      </c>
      <c r="F27" s="1"/>
      <c r="G27" s="1"/>
      <c r="H27" s="1"/>
      <c r="I27" s="1"/>
      <c r="J27" s="1"/>
      <c r="K27" s="1"/>
      <c r="L27" s="1"/>
      <c r="M27" s="1"/>
      <c r="N27" s="1"/>
      <c r="O27" s="1"/>
      <c r="P27" s="1"/>
      <c r="Q27" s="1"/>
      <c r="R27" s="1"/>
      <c r="S27" s="90">
        <f>IF(A27&lt;=LeagueInfo!$B$8,1,0)</f>
        <v>0</v>
      </c>
      <c r="T27" s="90">
        <f t="shared" si="0"/>
        <v>0</v>
      </c>
      <c r="U27" s="47" t="str">
        <f>IF(OR(INDEX(Auction!$H$13:$H$683,MATCH(B27,Auction!$A$13:$A$683,0))&gt;0,IFERROR(INDEX(CheatSheet!$D$37:$D$64,MATCH(B27,CheatSheet!$A$37:$A$64,0)),"")&lt;&gt;""),"Yes","No")</f>
        <v>No</v>
      </c>
      <c r="V27" s="218"/>
      <c r="W27" s="1"/>
      <c r="X27" s="1"/>
      <c r="Y27" s="1">
        <v>0</v>
      </c>
      <c r="Z27" s="145" t="s">
        <v>836</v>
      </c>
    </row>
    <row r="28" spans="1:26" x14ac:dyDescent="0.25">
      <c r="A28" s="1">
        <v>27</v>
      </c>
      <c r="B28" s="1" t="s">
        <v>841</v>
      </c>
      <c r="C28" s="1" t="s">
        <v>58</v>
      </c>
      <c r="D28" s="1">
        <f>VLOOKUP(E28,BYEs!$A$2:$B$33,2)</f>
        <v>11</v>
      </c>
      <c r="E28" s="1" t="s">
        <v>378</v>
      </c>
      <c r="F28" s="1"/>
      <c r="G28" s="1"/>
      <c r="H28" s="1"/>
      <c r="I28" s="1"/>
      <c r="J28" s="1"/>
      <c r="K28" s="1"/>
      <c r="L28" s="1"/>
      <c r="M28" s="1"/>
      <c r="N28" s="1"/>
      <c r="O28" s="1"/>
      <c r="P28" s="1"/>
      <c r="Q28" s="1"/>
      <c r="R28" s="1"/>
      <c r="S28" s="90">
        <f>IF(A28&lt;=LeagueInfo!$B$8,1,0)</f>
        <v>0</v>
      </c>
      <c r="T28" s="90">
        <f t="shared" si="0"/>
        <v>0</v>
      </c>
      <c r="U28" s="47" t="str">
        <f>IF(OR(INDEX(Auction!$H$13:$H$683,MATCH(B28,Auction!$A$13:$A$683,0))&gt;0,IFERROR(INDEX(CheatSheet!$D$37:$D$64,MATCH(B28,CheatSheet!$A$37:$A$64,0)),"")&lt;&gt;""),"Yes","No")</f>
        <v>No</v>
      </c>
      <c r="V28" s="218"/>
      <c r="W28" s="1"/>
      <c r="X28" s="1"/>
      <c r="Y28" s="1">
        <v>0</v>
      </c>
      <c r="Z28" s="145" t="s">
        <v>836</v>
      </c>
    </row>
    <row r="29" spans="1:26" x14ac:dyDescent="0.25">
      <c r="A29" s="1">
        <v>28</v>
      </c>
      <c r="B29" s="1" t="s">
        <v>837</v>
      </c>
      <c r="C29" s="1" t="s">
        <v>58</v>
      </c>
      <c r="D29" s="1">
        <f>VLOOKUP(E29,BYEs!$A$2:$B$33,2)</f>
        <v>7</v>
      </c>
      <c r="E29" s="1" t="s">
        <v>362</v>
      </c>
      <c r="F29" s="1"/>
      <c r="G29" s="1"/>
      <c r="H29" s="1"/>
      <c r="I29" s="1"/>
      <c r="J29" s="1"/>
      <c r="K29" s="1"/>
      <c r="L29" s="1"/>
      <c r="M29" s="1"/>
      <c r="N29" s="1"/>
      <c r="O29" s="1"/>
      <c r="P29" s="1"/>
      <c r="Q29" s="1"/>
      <c r="R29" s="1"/>
      <c r="S29" s="90">
        <f>IF(A29&lt;=LeagueInfo!$B$8,1,0)</f>
        <v>0</v>
      </c>
      <c r="T29" s="90">
        <f t="shared" si="0"/>
        <v>0</v>
      </c>
      <c r="U29" s="47" t="str">
        <f>IF(OR(INDEX(Auction!$H$13:$H$683,MATCH(B29,Auction!$A$13:$A$683,0))&gt;0,IFERROR(INDEX(CheatSheet!$D$37:$D$64,MATCH(B29,CheatSheet!$A$37:$A$64,0)),"")&lt;&gt;""),"Yes","No")</f>
        <v>No</v>
      </c>
      <c r="V29" s="218"/>
      <c r="W29" s="1"/>
      <c r="X29" s="1"/>
      <c r="Y29" s="1">
        <v>0</v>
      </c>
      <c r="Z29" s="145" t="s">
        <v>836</v>
      </c>
    </row>
    <row r="30" spans="1:26" x14ac:dyDescent="0.25">
      <c r="A30" s="1">
        <v>29</v>
      </c>
      <c r="B30" s="1" t="s">
        <v>839</v>
      </c>
      <c r="C30" s="1" t="s">
        <v>58</v>
      </c>
      <c r="D30" s="1">
        <f>VLOOKUP(E30,BYEs!$A$2:$B$33,2)</f>
        <v>9</v>
      </c>
      <c r="E30" s="1" t="s">
        <v>376</v>
      </c>
      <c r="F30" s="1"/>
      <c r="G30" s="1"/>
      <c r="H30" s="1"/>
      <c r="I30" s="1"/>
      <c r="J30" s="1"/>
      <c r="K30" s="1"/>
      <c r="L30" s="1"/>
      <c r="M30" s="1"/>
      <c r="N30" s="1"/>
      <c r="O30" s="1"/>
      <c r="P30" s="1"/>
      <c r="Q30" s="1"/>
      <c r="R30" s="1"/>
      <c r="S30" s="90">
        <f>IF(A30&lt;=LeagueInfo!$B$8,1,0)</f>
        <v>0</v>
      </c>
      <c r="T30" s="90">
        <f t="shared" si="0"/>
        <v>0</v>
      </c>
      <c r="U30" s="47" t="str">
        <f>IF(OR(INDEX(Auction!$H$13:$H$683,MATCH(B30,Auction!$A$13:$A$683,0))&gt;0,IFERROR(INDEX(CheatSheet!$D$37:$D$64,MATCH(B30,CheatSheet!$A$37:$A$64,0)),"")&lt;&gt;""),"Yes","No")</f>
        <v>No</v>
      </c>
      <c r="V30" s="218"/>
      <c r="W30" s="1"/>
      <c r="X30" s="1"/>
      <c r="Y30" s="1">
        <v>0</v>
      </c>
      <c r="Z30" s="145" t="s">
        <v>836</v>
      </c>
    </row>
    <row r="31" spans="1:26" x14ac:dyDescent="0.25">
      <c r="A31" s="1">
        <v>30</v>
      </c>
      <c r="B31" s="1" t="s">
        <v>843</v>
      </c>
      <c r="C31" s="1" t="s">
        <v>58</v>
      </c>
      <c r="D31" s="1">
        <f>VLOOKUP(E31,BYEs!$A$2:$B$33,2)</f>
        <v>5</v>
      </c>
      <c r="E31" s="1" t="s">
        <v>352</v>
      </c>
      <c r="F31" s="1"/>
      <c r="G31" s="1"/>
      <c r="H31" s="1"/>
      <c r="I31" s="1"/>
      <c r="J31" s="1"/>
      <c r="K31" s="1"/>
      <c r="L31" s="1"/>
      <c r="M31" s="1"/>
      <c r="N31" s="1"/>
      <c r="O31" s="1"/>
      <c r="P31" s="1"/>
      <c r="Q31" s="1"/>
      <c r="R31" s="1"/>
      <c r="S31" s="90">
        <f>IF(A31&lt;=LeagueInfo!$B$8,1,0)</f>
        <v>0</v>
      </c>
      <c r="T31" s="90">
        <f t="shared" si="0"/>
        <v>0</v>
      </c>
      <c r="U31" s="47" t="str">
        <f>IF(OR(INDEX(Auction!$H$13:$H$683,MATCH(B31,Auction!$A$13:$A$683,0))&gt;0,IFERROR(INDEX(CheatSheet!$D$37:$D$64,MATCH(B31,CheatSheet!$A$37:$A$64,0)),"")&lt;&gt;""),"Yes","No")</f>
        <v>No</v>
      </c>
      <c r="V31" s="218"/>
      <c r="W31" s="1"/>
      <c r="X31" s="1"/>
      <c r="Y31" s="1">
        <v>0</v>
      </c>
      <c r="Z31" s="145" t="s">
        <v>836</v>
      </c>
    </row>
    <row r="32" spans="1:26" x14ac:dyDescent="0.25">
      <c r="A32" s="1">
        <v>31</v>
      </c>
      <c r="B32" s="1" t="s">
        <v>314</v>
      </c>
      <c r="C32" s="1" t="s">
        <v>58</v>
      </c>
      <c r="D32" s="1">
        <f>VLOOKUP(E32,BYEs!$A$2:$B$33,2)</f>
        <v>11</v>
      </c>
      <c r="E32" s="1" t="s">
        <v>382</v>
      </c>
      <c r="F32" s="1"/>
      <c r="G32" s="1"/>
      <c r="H32" s="1"/>
      <c r="I32" s="1"/>
      <c r="J32" s="1"/>
      <c r="K32" s="1"/>
      <c r="L32" s="1"/>
      <c r="M32" s="1"/>
      <c r="N32" s="1"/>
      <c r="O32" s="1"/>
      <c r="P32" s="1"/>
      <c r="Q32" s="1"/>
      <c r="R32" s="1"/>
      <c r="S32" s="90">
        <f>IF(A32&lt;=LeagueInfo!$B$8,1,0)</f>
        <v>0</v>
      </c>
      <c r="T32" s="90">
        <f t="shared" si="0"/>
        <v>0</v>
      </c>
      <c r="U32" s="47" t="str">
        <f>IF(OR(INDEX(Auction!$H$13:$H$683,MATCH(B32,Auction!$A$13:$A$683,0))&gt;0,IFERROR(INDEX(CheatSheet!$D$37:$D$64,MATCH(B32,CheatSheet!$A$37:$A$64,0)),"")&lt;&gt;""),"Yes","No")</f>
        <v>No</v>
      </c>
      <c r="V32" s="218"/>
      <c r="W32" s="1"/>
      <c r="X32" s="1"/>
      <c r="Y32" s="1">
        <v>0</v>
      </c>
      <c r="Z32" s="145" t="s">
        <v>836</v>
      </c>
    </row>
    <row r="33" spans="1:28" x14ac:dyDescent="0.25">
      <c r="A33" s="1">
        <v>32</v>
      </c>
      <c r="B33" s="1" t="s">
        <v>842</v>
      </c>
      <c r="C33" s="1" t="s">
        <v>58</v>
      </c>
      <c r="D33" s="1">
        <f>VLOOKUP(E33,BYEs!$A$2:$B$33,2)</f>
        <v>9</v>
      </c>
      <c r="E33" s="1" t="s">
        <v>387</v>
      </c>
      <c r="F33" s="1"/>
      <c r="G33" s="1"/>
      <c r="H33" s="1"/>
      <c r="I33" s="1"/>
      <c r="J33" s="1"/>
      <c r="K33" s="1"/>
      <c r="L33" s="1"/>
      <c r="M33" s="1"/>
      <c r="N33" s="1"/>
      <c r="O33" s="1"/>
      <c r="P33" s="1"/>
      <c r="Q33" s="1"/>
      <c r="R33" s="1"/>
      <c r="S33" s="90">
        <f>IF(A33&lt;=LeagueInfo!$B$8,1,0)</f>
        <v>0</v>
      </c>
      <c r="T33" s="90">
        <f t="shared" si="0"/>
        <v>0</v>
      </c>
      <c r="U33" s="47" t="str">
        <f>IF(OR(INDEX(Auction!$H$13:$H$683,MATCH(B33,Auction!$A$13:$A$683,0))&gt;0,IFERROR(INDEX(CheatSheet!$D$37:$D$64,MATCH(B33,CheatSheet!$A$37:$A$64,0)),"")&lt;&gt;""),"Yes","No")</f>
        <v>No</v>
      </c>
      <c r="V33" s="218"/>
      <c r="W33" s="1"/>
      <c r="X33" s="1"/>
      <c r="Y33" s="1">
        <v>0</v>
      </c>
      <c r="Z33" s="145" t="s">
        <v>836</v>
      </c>
    </row>
    <row r="34" spans="1:28" x14ac:dyDescent="0.25">
      <c r="A34" s="1"/>
      <c r="B34" s="1"/>
      <c r="C34" s="1"/>
      <c r="D34" s="1"/>
      <c r="E34" s="1"/>
      <c r="F34" s="1"/>
      <c r="G34" s="1"/>
      <c r="H34" s="1"/>
      <c r="I34" s="1"/>
      <c r="J34" s="1"/>
      <c r="K34" s="1"/>
      <c r="L34" s="1"/>
      <c r="M34" s="1"/>
      <c r="N34" s="1"/>
      <c r="O34" s="1"/>
      <c r="P34" s="1"/>
      <c r="Q34" s="1"/>
      <c r="R34" s="1"/>
      <c r="S34" s="1"/>
      <c r="U34" s="1"/>
      <c r="V34" s="1"/>
      <c r="W34" s="1"/>
      <c r="X34" s="1"/>
      <c r="Y34" s="1"/>
      <c r="Z34" s="1"/>
    </row>
    <row r="35" spans="1:28" x14ac:dyDescent="0.25">
      <c r="A35" s="1"/>
      <c r="B35" s="1"/>
      <c r="C35" s="1"/>
      <c r="D35" s="1"/>
      <c r="E35" s="1"/>
      <c r="F35" s="1"/>
      <c r="G35" s="1"/>
      <c r="H35" s="1"/>
      <c r="I35" s="1"/>
      <c r="J35" s="1"/>
      <c r="K35" s="1"/>
      <c r="L35" s="1"/>
      <c r="M35" s="1"/>
      <c r="N35" s="1"/>
      <c r="O35" s="1"/>
      <c r="P35" s="1"/>
      <c r="Q35" s="1"/>
      <c r="R35" s="1"/>
      <c r="S35" s="1"/>
      <c r="U35" s="1"/>
      <c r="V35" s="1"/>
      <c r="W35" s="1"/>
      <c r="X35" s="1"/>
      <c r="Y35" s="1"/>
      <c r="Z35" s="1"/>
    </row>
    <row r="46" spans="1:28" x14ac:dyDescent="0.25">
      <c r="AB46" t="s">
        <v>890</v>
      </c>
    </row>
  </sheetData>
  <sortState ref="B2:T33">
    <sortCondition ref="B2"/>
  </sortState>
  <conditionalFormatting sqref="A2:Z33">
    <cfRule type="expression" dxfId="42" priority="2">
      <formula>$U2="Yes"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LeagueInfo!$H$97:$H$99</xm:f>
          </x14:formula1>
          <xm:sqref>V2:V35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4"/>
  <sheetViews>
    <sheetView workbookViewId="0">
      <selection activeCell="A18" sqref="A18"/>
    </sheetView>
  </sheetViews>
  <sheetFormatPr defaultColWidth="8.85546875" defaultRowHeight="15" x14ac:dyDescent="0.25"/>
  <sheetData>
    <row r="1" spans="1:2" x14ac:dyDescent="0.25">
      <c r="A1" s="6" t="s">
        <v>830</v>
      </c>
      <c r="B1" s="6" t="s">
        <v>808</v>
      </c>
    </row>
    <row r="2" spans="1:2" x14ac:dyDescent="0.25">
      <c r="A2" s="1" t="s">
        <v>370</v>
      </c>
      <c r="B2" s="1">
        <v>8</v>
      </c>
    </row>
    <row r="3" spans="1:2" x14ac:dyDescent="0.25">
      <c r="A3" s="1" t="s">
        <v>353</v>
      </c>
      <c r="B3" s="1">
        <v>5</v>
      </c>
    </row>
    <row r="4" spans="1:2" x14ac:dyDescent="0.25">
      <c r="A4" s="1" t="s">
        <v>371</v>
      </c>
      <c r="B4" s="1">
        <v>10</v>
      </c>
    </row>
    <row r="5" spans="1:2" x14ac:dyDescent="0.25">
      <c r="A5" s="1" t="s">
        <v>364</v>
      </c>
      <c r="B5" s="1">
        <v>6</v>
      </c>
    </row>
    <row r="6" spans="1:2" x14ac:dyDescent="0.25">
      <c r="A6" s="1" t="s">
        <v>357</v>
      </c>
      <c r="B6" s="1">
        <v>11</v>
      </c>
    </row>
    <row r="7" spans="1:2" x14ac:dyDescent="0.25">
      <c r="A7" s="1" t="s">
        <v>376</v>
      </c>
      <c r="B7" s="1">
        <v>9</v>
      </c>
    </row>
    <row r="8" spans="1:2" x14ac:dyDescent="0.25">
      <c r="A8" s="1" t="s">
        <v>366</v>
      </c>
      <c r="B8" s="1">
        <v>6</v>
      </c>
    </row>
    <row r="9" spans="1:2" x14ac:dyDescent="0.25">
      <c r="A9" s="1" t="s">
        <v>387</v>
      </c>
      <c r="B9" s="1">
        <v>9</v>
      </c>
    </row>
    <row r="10" spans="1:2" x14ac:dyDescent="0.25">
      <c r="A10" s="1" t="s">
        <v>360</v>
      </c>
      <c r="B10" s="1">
        <v>6</v>
      </c>
    </row>
    <row r="11" spans="1:2" x14ac:dyDescent="0.25">
      <c r="A11" s="1" t="s">
        <v>384</v>
      </c>
      <c r="B11" s="1">
        <v>5</v>
      </c>
    </row>
    <row r="12" spans="1:2" x14ac:dyDescent="0.25">
      <c r="A12" s="1" t="s">
        <v>362</v>
      </c>
      <c r="B12" s="1">
        <v>7</v>
      </c>
    </row>
    <row r="13" spans="1:2" x14ac:dyDescent="0.25">
      <c r="A13" s="1" t="s">
        <v>350</v>
      </c>
      <c r="B13" s="1">
        <v>8</v>
      </c>
    </row>
    <row r="14" spans="1:2" x14ac:dyDescent="0.25">
      <c r="A14" s="1" t="s">
        <v>385</v>
      </c>
      <c r="B14" s="1">
        <v>7</v>
      </c>
    </row>
    <row r="15" spans="1:2" x14ac:dyDescent="0.25">
      <c r="A15" s="1" t="s">
        <v>355</v>
      </c>
      <c r="B15" s="1">
        <v>11</v>
      </c>
    </row>
    <row r="16" spans="1:2" x14ac:dyDescent="0.25">
      <c r="A16" s="1" t="s">
        <v>367</v>
      </c>
      <c r="B16" s="1">
        <v>8</v>
      </c>
    </row>
    <row r="17" spans="1:2" x14ac:dyDescent="0.25">
      <c r="A17" s="1" t="s">
        <v>372</v>
      </c>
      <c r="B17" s="1">
        <v>10</v>
      </c>
    </row>
    <row r="18" spans="1:2" x14ac:dyDescent="0.25">
      <c r="A18" s="1" t="s">
        <v>380</v>
      </c>
      <c r="B18" s="1">
        <v>8</v>
      </c>
    </row>
    <row r="19" spans="1:2" x14ac:dyDescent="0.25">
      <c r="A19" s="1" t="s">
        <v>374</v>
      </c>
      <c r="B19" s="1">
        <v>11</v>
      </c>
    </row>
    <row r="20" spans="1:2" x14ac:dyDescent="0.25">
      <c r="A20" s="1" t="s">
        <v>373</v>
      </c>
      <c r="B20" s="1">
        <v>9</v>
      </c>
    </row>
    <row r="21" spans="1:2" x14ac:dyDescent="0.25">
      <c r="A21" s="1" t="s">
        <v>351</v>
      </c>
      <c r="B21" s="1">
        <v>9</v>
      </c>
    </row>
    <row r="22" spans="1:2" x14ac:dyDescent="0.25">
      <c r="A22" s="1" t="s">
        <v>352</v>
      </c>
      <c r="B22" s="1">
        <v>5</v>
      </c>
    </row>
    <row r="23" spans="1:2" x14ac:dyDescent="0.25">
      <c r="A23" s="1" t="s">
        <v>368</v>
      </c>
      <c r="B23" s="1">
        <v>8</v>
      </c>
    </row>
    <row r="24" spans="1:2" x14ac:dyDescent="0.25">
      <c r="A24" s="1" t="s">
        <v>382</v>
      </c>
      <c r="B24" s="1">
        <v>11</v>
      </c>
    </row>
    <row r="25" spans="1:2" x14ac:dyDescent="0.25">
      <c r="A25" s="1" t="s">
        <v>365</v>
      </c>
      <c r="B25" s="1">
        <v>10</v>
      </c>
    </row>
    <row r="26" spans="1:2" x14ac:dyDescent="0.25">
      <c r="A26" s="1" t="s">
        <v>369</v>
      </c>
      <c r="B26" s="1">
        <v>10</v>
      </c>
    </row>
    <row r="27" spans="1:2" x14ac:dyDescent="0.25">
      <c r="A27" s="1" t="s">
        <v>363</v>
      </c>
      <c r="B27" s="1">
        <v>9</v>
      </c>
    </row>
    <row r="28" spans="1:2" x14ac:dyDescent="0.25">
      <c r="A28" s="1" t="s">
        <v>361</v>
      </c>
      <c r="B28" s="1">
        <v>9</v>
      </c>
    </row>
    <row r="29" spans="1:2" x14ac:dyDescent="0.25">
      <c r="A29" s="1" t="s">
        <v>354</v>
      </c>
      <c r="B29" s="1">
        <v>6</v>
      </c>
    </row>
    <row r="30" spans="1:2" x14ac:dyDescent="0.25">
      <c r="A30" s="1" t="s">
        <v>378</v>
      </c>
      <c r="B30" s="1">
        <v>11</v>
      </c>
    </row>
    <row r="31" spans="1:2" x14ac:dyDescent="0.25">
      <c r="A31" s="1" t="s">
        <v>356</v>
      </c>
      <c r="B31" s="1">
        <v>11</v>
      </c>
    </row>
    <row r="32" spans="1:2" x14ac:dyDescent="0.25">
      <c r="A32" s="1" t="s">
        <v>359</v>
      </c>
      <c r="B32" s="1">
        <v>8</v>
      </c>
    </row>
    <row r="33" spans="1:2" x14ac:dyDescent="0.25">
      <c r="A33" s="1" t="s">
        <v>358</v>
      </c>
      <c r="B33" s="1">
        <v>5</v>
      </c>
    </row>
    <row r="34" spans="1:2" x14ac:dyDescent="0.25">
      <c r="A34" s="1" t="s">
        <v>844</v>
      </c>
      <c r="B34" s="1">
        <v>0</v>
      </c>
    </row>
  </sheetData>
  <sortState ref="A2:B33">
    <sortCondition ref="A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Q683"/>
  <sheetViews>
    <sheetView workbookViewId="0">
      <selection activeCell="A13" sqref="A13:O683"/>
    </sheetView>
  </sheetViews>
  <sheetFormatPr defaultColWidth="8.85546875" defaultRowHeight="15" x14ac:dyDescent="0.25"/>
  <cols>
    <col min="1" max="1" width="22.42578125" style="1" bestFit="1" customWidth="1"/>
    <col min="2" max="2" width="19.42578125" style="1" bestFit="1" customWidth="1"/>
    <col min="3" max="3" width="6.42578125" style="1" customWidth="1"/>
    <col min="4" max="4" width="9.140625" style="1" customWidth="1"/>
    <col min="5" max="5" width="15.42578125" style="25" bestFit="1" customWidth="1"/>
    <col min="6" max="6" width="13.140625" style="1" customWidth="1"/>
    <col min="7" max="7" width="8" style="1" bestFit="1" customWidth="1"/>
    <col min="8" max="8" width="17.42578125" style="1" bestFit="1" customWidth="1"/>
    <col min="9" max="9" width="11.42578125" style="1" bestFit="1" customWidth="1"/>
    <col min="10" max="10" width="10.42578125" style="5" bestFit="1" customWidth="1"/>
    <col min="11" max="11" width="10.42578125" style="1" bestFit="1" customWidth="1"/>
    <col min="12" max="12" width="11.85546875" style="1" customWidth="1"/>
    <col min="13" max="13" width="13.42578125" style="1" bestFit="1" customWidth="1"/>
    <col min="14" max="14" width="10.42578125" style="1" bestFit="1" customWidth="1"/>
    <col min="15" max="15" width="9.85546875" style="1" bestFit="1" customWidth="1"/>
    <col min="16" max="16" width="8.42578125" style="1" bestFit="1" customWidth="1"/>
    <col min="17" max="17" width="7.42578125" style="1" bestFit="1" customWidth="1"/>
    <col min="18" max="18" width="5" style="1" bestFit="1" customWidth="1"/>
    <col min="19" max="19" width="5.42578125" style="1" customWidth="1"/>
    <col min="20" max="20" width="7.140625" style="1" customWidth="1"/>
    <col min="21" max="21" width="22.42578125" style="1" customWidth="1"/>
    <col min="22" max="22" width="4.42578125" style="1" customWidth="1"/>
    <col min="23" max="23" width="5.42578125" style="1" customWidth="1"/>
    <col min="24" max="24" width="3.42578125" style="1" customWidth="1"/>
    <col min="25" max="25" width="4.140625" style="1" customWidth="1"/>
    <col min="26" max="16384" width="8.85546875" style="1"/>
  </cols>
  <sheetData>
    <row r="1" spans="1:17" x14ac:dyDescent="0.25">
      <c r="A1" s="78" t="str">
        <f ca="1">IF(A2&gt;=1,"Overall Inflation %","Overall Deflation %")</f>
        <v>Overall Inflation %</v>
      </c>
      <c r="B1" s="78" t="s">
        <v>845</v>
      </c>
      <c r="C1" s="79" t="s">
        <v>846</v>
      </c>
      <c r="D1" s="80"/>
      <c r="E1" s="81" t="s">
        <v>847</v>
      </c>
      <c r="F1" s="82" t="s">
        <v>18</v>
      </c>
      <c r="G1" s="83" t="s">
        <v>342</v>
      </c>
      <c r="H1" s="81" t="s">
        <v>848</v>
      </c>
      <c r="I1" s="82" t="s">
        <v>18</v>
      </c>
      <c r="J1" s="83" t="s">
        <v>342</v>
      </c>
      <c r="K1" s="83" t="s">
        <v>849</v>
      </c>
      <c r="L1" s="214"/>
      <c r="M1" s="6"/>
    </row>
    <row r="2" spans="1:17" x14ac:dyDescent="0.25">
      <c r="A2" s="262">
        <f ca="1">(SUMIF($F$13:$F$683,"&gt;0")-SUM($H$13:$H$683))/SUMIFS($F$13:$F$683,$H$13:$H$683,"",$F$13:$F$683,"&gt;0")</f>
        <v>1</v>
      </c>
      <c r="B2" s="84">
        <f>IFERROR(SUMIFS(H$13:H$683,H$13:H$683,"&gt;0",B$13:B$683,"RB",$J$13:$J$683,"No")/SUMIFS(F$13:F$683,H$13:H$683,"&gt;0",B$13:B$683,"RB",$J$13:$J$683,"No"),0)</f>
        <v>0</v>
      </c>
      <c r="C2" s="278">
        <f ca="1">AVERAGEIFS($I$13:$I$683, $G$13:$G$683, 0, $B$13:$B$683, "RB",$I$13:$I$683,"&gt;0")</f>
        <v>20.162227396171524</v>
      </c>
      <c r="D2" s="279"/>
      <c r="E2" s="85" t="str">
        <f t="array" aca="1" ref="E2" ca="1">INDEX(IF($B$13:$B$683="RB",$A$13:$A$683,0),MATCH(F2,$N$13:$N$683,0))</f>
        <v>David Johnson</v>
      </c>
      <c r="F2" s="209">
        <f t="array" aca="1" ref="F2" ca="1">MAX(IF(($H$13:$H$683=0)*($B$13:$B$683="RB"),$N$13:$N$683,0))</f>
        <v>186.21000000000006</v>
      </c>
      <c r="G2" s="210">
        <f ca="1">INDEX($I$13:$I$683,MATCH(F2,$N$13:$N$683,0))</f>
        <v>82.469832234858558</v>
      </c>
      <c r="H2" s="85" t="str">
        <f t="array" aca="1" ref="H2" ca="1">INDEX(IF($B$13:$B$683="RB",$A$13:$A$683,0),MATCH(I2,$N$13:$N$683,0))</f>
        <v>Le'Veon Bell</v>
      </c>
      <c r="I2" s="211">
        <f t="array" aca="1" ref="I2" ca="1">LARGE(IF(($H$13:$H$683=0)*($B$13:$B$683="RB"),$N$13:$N$683,0),2)</f>
        <v>165.4</v>
      </c>
      <c r="J2" s="210">
        <f ca="1">INDEX($I$13:$I$683,MATCH(I2,$N$13:$N$683,0))</f>
        <v>73.378259996969263</v>
      </c>
      <c r="K2" s="133">
        <f ca="1">IFERROR((F2-I2)/F2,0)</f>
        <v>0.1117555448149941</v>
      </c>
      <c r="L2" s="215"/>
    </row>
    <row r="3" spans="1:17" x14ac:dyDescent="0.25">
      <c r="A3" s="78" t="s">
        <v>850</v>
      </c>
      <c r="B3" s="78" t="s">
        <v>851</v>
      </c>
      <c r="C3" s="86" t="s">
        <v>852</v>
      </c>
      <c r="D3" s="80"/>
      <c r="E3" s="81" t="s">
        <v>853</v>
      </c>
      <c r="F3" s="82" t="s">
        <v>18</v>
      </c>
      <c r="G3" s="83" t="s">
        <v>342</v>
      </c>
      <c r="H3" s="81" t="s">
        <v>854</v>
      </c>
      <c r="I3" s="82" t="s">
        <v>18</v>
      </c>
      <c r="J3" s="83" t="s">
        <v>342</v>
      </c>
      <c r="K3" s="87"/>
      <c r="L3" s="214"/>
    </row>
    <row r="4" spans="1:17" x14ac:dyDescent="0.25">
      <c r="A4" s="88">
        <f>LeagueInfo!F3-SUM(Teams!$C$3:$C$22)</f>
        <v>200</v>
      </c>
      <c r="B4" s="84">
        <f>IFERROR(SUMIFS(H$13:H$683,H$13:H$683,"&gt;0",B$13:B$683,"WR",$J$13:$J$683,"No")/SUMIFS(F$13:F$683,H$13:H$683,"&gt;0",B$13:B$683,"WR",$J$13:$J$683,"No"),0)</f>
        <v>0</v>
      </c>
      <c r="C4" s="278">
        <f ca="1">AVERAGEIFS($I$13:$I$683, $G$13:$G$683, 0, $B$13:$B$683, "WR",$I$13:$I$683,"&gt;0")</f>
        <v>12.623842697474641</v>
      </c>
      <c r="D4" s="279"/>
      <c r="E4" s="85" t="str">
        <f t="array" aca="1" ref="E4" ca="1">INDEX(IF($B$13:$B$683="WR",$A$13:$A$683,0),MATCH(F4,$N$13:$N$683,0))</f>
        <v>Julio Jones</v>
      </c>
      <c r="F4" s="209">
        <f t="array" aca="1" ref="F4" ca="1">MAX(IF(($H$13:$H$683=0)*($B$13:$B$683="WR"),$N$13:$N$683,0))</f>
        <v>99.239999999999981</v>
      </c>
      <c r="G4" s="210">
        <f ca="1">INDEX($I$13:$I$683,MATCH(F4,$N$13:$N$683,0))</f>
        <v>44.070999836410692</v>
      </c>
      <c r="H4" s="85" t="str">
        <f t="array" aca="1" ref="H4" ca="1">INDEX(IF($B$13:$B$683="WR",$A$13:$A$683,0),MATCH(I4,$N$13:$N$683,0))</f>
        <v>Antonio Brown</v>
      </c>
      <c r="I4" s="211">
        <f t="array" aca="1" ref="I4" ca="1">LARGE(IF(($H$13:$H$683=0)*($B$13:$B$683="WR"),$N$13:$N$683,0),2)</f>
        <v>97.279999999999973</v>
      </c>
      <c r="J4" s="210">
        <f ca="1">INDEX($I$13:$I$683,MATCH(I4,$N$13:$N$683,0))</f>
        <v>43.214705670804591</v>
      </c>
      <c r="K4" s="133">
        <f ca="1">IFERROR((F4-I4)/F4,0)</f>
        <v>1.9750100765820316E-2</v>
      </c>
      <c r="L4" s="215"/>
    </row>
    <row r="5" spans="1:17" x14ac:dyDescent="0.25">
      <c r="A5" s="78" t="s">
        <v>855</v>
      </c>
      <c r="B5" s="78" t="s">
        <v>856</v>
      </c>
      <c r="C5" s="86" t="s">
        <v>857</v>
      </c>
      <c r="D5" s="80"/>
      <c r="E5" s="81" t="s">
        <v>858</v>
      </c>
      <c r="F5" s="82" t="s">
        <v>18</v>
      </c>
      <c r="G5" s="83" t="s">
        <v>342</v>
      </c>
      <c r="H5" s="81" t="s">
        <v>859</v>
      </c>
      <c r="I5" s="82" t="s">
        <v>18</v>
      </c>
      <c r="J5" s="83" t="s">
        <v>342</v>
      </c>
      <c r="K5" s="87"/>
      <c r="L5" s="214"/>
      <c r="M5" s="77"/>
    </row>
    <row r="6" spans="1:17" x14ac:dyDescent="0.25">
      <c r="A6" s="88">
        <f>Teams!J3</f>
        <v>186</v>
      </c>
      <c r="B6" s="84">
        <f>IFERROR(SUMIFS(H$13:H$683,H$13:H$683,"&gt;0",B$13:B$683,"QB",$J$13:$J$683,"No")/SUMIFS(F$13:F$683,H$13:H$683,"&gt;0",B$13:B$683,"QB",$J$13:$J$683,"No"),0)</f>
        <v>0</v>
      </c>
      <c r="C6" s="278">
        <f ca="1">AVERAGEIFS($I$13:$I$683, $G$13:$G$683, 0, $B$13:$B$683, "QB",$I$13:$I$683,"&gt;0")</f>
        <v>15.780767417607166</v>
      </c>
      <c r="D6" s="279"/>
      <c r="E6" s="85" t="str">
        <f t="array" aca="1" ref="E6" ca="1">INDEX(IF($B$13:$B$683="QB",$A$13:$A$683,0),MATCH(F6,$N$13:$N$683,0))</f>
        <v>Aaron Rodgers</v>
      </c>
      <c r="F6" s="209">
        <f t="array" aca="1" ref="F6" ca="1">MAX(IF(($H$13:$H$683=0)*($B$13:$B$683="QB"),$N$13:$N$683,0))</f>
        <v>98.660000000000039</v>
      </c>
      <c r="G6" s="210">
        <f ca="1">INDEX($I$13:$I$683,MATCH(F6,$N$13:$N$683,0))</f>
        <v>44.164651898880066</v>
      </c>
      <c r="H6" s="85" t="str">
        <f t="array" aca="1" ref="H6" ca="1">INDEX(IF($B$13:$B$683="QB",$A$13:$A$683,0),MATCH(I6,$N$13:$N$683,0))</f>
        <v>Tom Brady</v>
      </c>
      <c r="I6" s="211">
        <f t="array" aca="1" ref="I6" ca="1">LARGE(IF(($H$13:$H$683=0)*($B$13:$B$683="QB"),$N$13:$N$683,0),2)</f>
        <v>76.455999999999975</v>
      </c>
      <c r="J6" s="210">
        <f ca="1">INDEX($I$13:$I$683,MATCH(I6,$N$13:$N$683,0))</f>
        <v>34.464062279942326</v>
      </c>
      <c r="K6" s="133">
        <f ca="1">IFERROR((F6-I6)/F6,0)</f>
        <v>0.22505574700993367</v>
      </c>
      <c r="L6" s="215"/>
    </row>
    <row r="7" spans="1:17" x14ac:dyDescent="0.25">
      <c r="A7" s="78" t="s">
        <v>860</v>
      </c>
      <c r="B7" s="78" t="s">
        <v>861</v>
      </c>
      <c r="C7" s="86" t="s">
        <v>862</v>
      </c>
      <c r="D7" s="80"/>
      <c r="E7" s="81" t="s">
        <v>863</v>
      </c>
      <c r="F7" s="82" t="s">
        <v>18</v>
      </c>
      <c r="G7" s="83" t="s">
        <v>342</v>
      </c>
      <c r="H7" s="81" t="s">
        <v>864</v>
      </c>
      <c r="I7" s="82" t="s">
        <v>18</v>
      </c>
      <c r="J7" s="83" t="s">
        <v>342</v>
      </c>
      <c r="K7" s="87"/>
      <c r="L7" s="214"/>
    </row>
    <row r="8" spans="1:17" x14ac:dyDescent="0.25">
      <c r="A8" s="207">
        <f>A4/(LeagueInfo!F4-COUNTIF(Teams!$C$3:$C$22,"&gt;0"))</f>
        <v>13.333333333333334</v>
      </c>
      <c r="B8" s="84">
        <f>IFERROR(SUMIFS(H$13:H$683,H$13:H$683,"&gt;0",B$13:B$683,"TE",$J$13:$J$683,"No")/SUMIFS(F$13:F$683,H$13:H$683,"&gt;0",B$13:B$683,"TE",$J$13:$J$683,"No"),0)</f>
        <v>0</v>
      </c>
      <c r="C8" s="278">
        <f ca="1">AVERAGEIFS($I$13:$I$683, $G$13:$G$683, 0, $B$13:$B$683, "TE",$I$13:$I$683,"&gt;0")</f>
        <v>10.254057348277405</v>
      </c>
      <c r="D8" s="279"/>
      <c r="E8" s="85" t="str">
        <f t="array" aca="1" ref="E8" ca="1">INDEX(IF($B$13:$B$683="TE",$A$13:$A$683,0),MATCH(F8,$N$13:$N$683,0))</f>
        <v>Rob Gronkowski</v>
      </c>
      <c r="F8" s="209">
        <f t="array" aca="1" ref="F8" ca="1">MAX(IF(($H$13:$H$683=0)*($B$13:$B$683="TE"),$N$13:$N$683,0))</f>
        <v>81.025000000000006</v>
      </c>
      <c r="G8" s="210">
        <f ca="1">INDEX($I$13:$I$683,MATCH(F8,$N$13:$N$683,0))</f>
        <v>36.002191864421611</v>
      </c>
      <c r="H8" s="85" t="str">
        <f t="array" aca="1" ref="H8" ca="1">INDEX(IF($B$13:$B$683="TE",$A$13:$A$683,0),MATCH(I8,$N$13:$N$683,0))</f>
        <v>Travis Kelce</v>
      </c>
      <c r="I8" s="211">
        <f t="array" aca="1" ref="I8" ca="1">LARGE(IF(($H$13:$H$683=0)*($B$13:$B$683="TE"),$N$13:$N$683,0),2)</f>
        <v>53.974999999999987</v>
      </c>
      <c r="J8" s="210">
        <f ca="1">INDEX($I$13:$I$683,MATCH(I8,$N$13:$N$683,0))</f>
        <v>24.184458609500648</v>
      </c>
      <c r="K8" s="133">
        <f ca="1">IFERROR((F8-I8)/F8,0)</f>
        <v>0.33384757790805325</v>
      </c>
      <c r="L8" s="215"/>
    </row>
    <row r="9" spans="1:17" x14ac:dyDescent="0.25">
      <c r="J9" s="1"/>
    </row>
    <row r="10" spans="1:17" x14ac:dyDescent="0.25">
      <c r="A10" s="52" t="s">
        <v>865</v>
      </c>
    </row>
    <row r="11" spans="1:17" x14ac:dyDescent="0.25">
      <c r="A11" s="202"/>
      <c r="B11" s="202"/>
      <c r="C11" s="202"/>
      <c r="D11" s="202"/>
      <c r="E11" s="202"/>
      <c r="F11" s="203"/>
      <c r="G11" s="202"/>
      <c r="H11" s="202"/>
      <c r="I11" s="204"/>
      <c r="J11" s="202"/>
      <c r="K11" s="205"/>
      <c r="L11" s="202"/>
      <c r="M11" s="202"/>
      <c r="N11" s="202"/>
      <c r="O11" s="202"/>
    </row>
    <row r="12" spans="1:17" x14ac:dyDescent="0.25">
      <c r="A12" s="102" t="s">
        <v>89</v>
      </c>
      <c r="B12" s="103" t="s">
        <v>24</v>
      </c>
      <c r="C12" s="103" t="s">
        <v>808</v>
      </c>
      <c r="D12" s="103" t="s">
        <v>830</v>
      </c>
      <c r="E12" s="103" t="s">
        <v>348</v>
      </c>
      <c r="F12" s="103" t="s">
        <v>866</v>
      </c>
      <c r="G12" s="103" t="s">
        <v>867</v>
      </c>
      <c r="H12" s="104" t="s">
        <v>868</v>
      </c>
      <c r="I12" s="103" t="str">
        <f ca="1">IF(A2&gt;=1,"Inflated $","Deflated $")</f>
        <v>Inflated $</v>
      </c>
      <c r="J12" s="105" t="s">
        <v>869</v>
      </c>
      <c r="K12" s="260" t="str">
        <f>CONCATENATE(LeagueInfo!F7," $")</f>
        <v>Yahoo $</v>
      </c>
      <c r="L12" s="107" t="s">
        <v>870</v>
      </c>
      <c r="M12" s="261" t="s">
        <v>871</v>
      </c>
      <c r="N12" s="107" t="s">
        <v>347</v>
      </c>
      <c r="O12" s="107" t="s">
        <v>345</v>
      </c>
      <c r="P12" s="5"/>
      <c r="Q12" s="216"/>
    </row>
    <row r="13" spans="1:17" x14ac:dyDescent="0.25">
      <c r="A13" s="195" t="s">
        <v>94</v>
      </c>
      <c r="B13" s="195" t="s">
        <v>32</v>
      </c>
      <c r="C13" s="195">
        <f ca="1">IFERROR(INDEX(BYEs!$B$2:$B$33,MATCH(D13,BYEs!$A$2:$A$33,0)),"N/A")</f>
        <v>8</v>
      </c>
      <c r="D13" s="195" t="str">
        <f ca="1">INDEX(INDIRECT(""&amp;B13&amp;"!E2:E700"),MATCH(A13,INDIRECT(""&amp;B13&amp;"!B2:B700"),0))</f>
        <v>ARI</v>
      </c>
      <c r="E13" s="194" t="str">
        <f ca="1">INDEX(INDIRECT(""&amp;$B13&amp;"!Z2:Z709"),MATCH($A13,INDIRECT(""&amp;$B13&amp;"!B2:B709"),0))</f>
        <v>RB1</v>
      </c>
      <c r="F13" s="196">
        <f ca="1">IF(LeagueInfo!$H$7="Starter/Bench",INDEX(INDIRECT(""&amp;B13&amp;"!S2:S709"),MATCH(A13,INDIRECT(""&amp;B13&amp;"!B2:B709"),0)),INDEX(INDIRECT(""&amp;B13&amp;"!AA2:AA709"),MATCH(A13,INDIRECT(""&amp;B13&amp;"!B2:B709"),0)))</f>
        <v>82.469832234858558</v>
      </c>
      <c r="G13" s="197">
        <f>IF(H13&gt;0,F13-H13,0)</f>
        <v>0</v>
      </c>
      <c r="H13" s="198"/>
      <c r="I13" s="197">
        <f ca="1">F13*$A$2</f>
        <v>82.469832234858558</v>
      </c>
      <c r="J13" s="197" t="s">
        <v>80</v>
      </c>
      <c r="K13" s="197">
        <f>IF(LeagueInfo!$F$7="Yahoo",IFERROR(INDEX(DefaultAuctionValues!$B$2:$B$359,MATCH(A13,DefaultAuctionValues!$A$2:$A$359,0)),0),IF(LeagueInfo!$F$7="ESPN",IFERROR(INDEX(DefaultAuctionValues!$C$2:$C$359,MATCH(A13,DefaultAuctionValues!$A$2:$A$359,0)),0),IF(LeagueInfo!$F$7="FantasyPros",IFERROR(INDEX(DefaultAuctionValues!$D$2:$D$359,MATCH(A13,DefaultAuctionValues!$A$2:$A$359,0)),0))))</f>
        <v>68</v>
      </c>
      <c r="L13" s="197">
        <f ca="1">I13-K13</f>
        <v>14.469832234858558</v>
      </c>
      <c r="M13" s="213"/>
      <c r="N13" s="208">
        <f ca="1">INDEX(INDIRECT(""&amp;$B13&amp;"!y2:y709"),MATCH($A13,INDIRECT(""&amp;$B13&amp;"!B2:B709"),0))</f>
        <v>186.21000000000006</v>
      </c>
      <c r="O13" s="217" t="str">
        <f ca="1">IF(INDEX(INDIRECT(""&amp;$B13&amp;"!V2:V700"),MATCH($A13,INDIRECT(""&amp;$B13&amp;"!B2:B700"),0))=0,"",INDEX(INDIRECT(""&amp;$B13&amp;"!V2:V700"),MATCH($A13,INDIRECT(""&amp;$B13&amp;"!B2:B700"),0)))</f>
        <v/>
      </c>
    </row>
    <row r="14" spans="1:17" x14ac:dyDescent="0.25">
      <c r="A14" s="195" t="s">
        <v>96</v>
      </c>
      <c r="B14" s="195" t="s">
        <v>32</v>
      </c>
      <c r="C14" s="195">
        <f ca="1">IFERROR(INDEX(BYEs!$B$2:$B$33,MATCH(D14,BYEs!$A$2:$A$33,0)),"N/A")</f>
        <v>9</v>
      </c>
      <c r="D14" s="195" t="str">
        <f ca="1">INDEX(INDIRECT(""&amp;B14&amp;"!E2:E700"),MATCH(A14,INDIRECT(""&amp;B14&amp;"!B2:B700"),0))</f>
        <v>PIT</v>
      </c>
      <c r="E14" s="194" t="str">
        <f ca="1">INDEX(INDIRECT(""&amp;$B14&amp;"!Z2:Z709"),MATCH($A14,INDIRECT(""&amp;$B14&amp;"!B2:B709"),0))</f>
        <v>RB2</v>
      </c>
      <c r="F14" s="196">
        <f ca="1">IF(LeagueInfo!$H$7="Starter/Bench",INDEX(INDIRECT(""&amp;B14&amp;"!S2:S709"),MATCH(A14,INDIRECT(""&amp;B14&amp;"!B2:B709"),0)),INDEX(INDIRECT(""&amp;B14&amp;"!AA2:AA709"),MATCH(A14,INDIRECT(""&amp;B14&amp;"!B2:B709"),0)))</f>
        <v>73.378259996969263</v>
      </c>
      <c r="G14" s="197">
        <f>IF(H14&gt;0,F14-H14,0)</f>
        <v>0</v>
      </c>
      <c r="H14" s="198"/>
      <c r="I14" s="197">
        <f ca="1">F14*$A$2</f>
        <v>73.378259996969263</v>
      </c>
      <c r="J14" s="197" t="s">
        <v>80</v>
      </c>
      <c r="K14" s="197">
        <f>IF(LeagueInfo!$F$7="Yahoo",IFERROR(INDEX(DefaultAuctionValues!$B$2:$B$359,MATCH(A14,DefaultAuctionValues!$A$2:$A$359,0)),0),IF(LeagueInfo!$F$7="ESPN",IFERROR(INDEX(DefaultAuctionValues!$C$2:$C$359,MATCH(A14,DefaultAuctionValues!$A$2:$A$359,0)),0),IF(LeagueInfo!$F$7="FantasyPros",IFERROR(INDEX(DefaultAuctionValues!$D$2:$D$359,MATCH(A14,DefaultAuctionValues!$A$2:$A$359,0)),0))))</f>
        <v>65</v>
      </c>
      <c r="L14" s="197">
        <f ca="1">I14-K14</f>
        <v>8.3782599969692626</v>
      </c>
      <c r="M14" s="213"/>
      <c r="N14" s="208">
        <f ca="1">INDEX(INDIRECT(""&amp;$B14&amp;"!y2:y709"),MATCH($A14,INDIRECT(""&amp;$B14&amp;"!B2:B709"),0))</f>
        <v>165.4</v>
      </c>
      <c r="O14" s="217" t="str">
        <f ca="1">IF(INDEX(INDIRECT(""&amp;$B14&amp;"!V2:V700"),MATCH($A14,INDIRECT(""&amp;$B14&amp;"!B2:B700"),0))=0,"",INDEX(INDIRECT(""&amp;$B14&amp;"!V2:V700"),MATCH($A14,INDIRECT(""&amp;$B14&amp;"!B2:B700"),0)))</f>
        <v/>
      </c>
    </row>
    <row r="15" spans="1:17" x14ac:dyDescent="0.25">
      <c r="A15" s="195" t="s">
        <v>104</v>
      </c>
      <c r="B15" s="195" t="s">
        <v>32</v>
      </c>
      <c r="C15" s="195">
        <f ca="1">IFERROR(INDEX(BYEs!$B$2:$B$33,MATCH(D15,BYEs!$A$2:$A$33,0)),"N/A")</f>
        <v>6</v>
      </c>
      <c r="D15" s="195" t="str">
        <f ca="1">INDEX(INDIRECT(""&amp;B15&amp;"!E2:E700"),MATCH(A15,INDIRECT(""&amp;B15&amp;"!B2:B700"),0))</f>
        <v>BUF</v>
      </c>
      <c r="E15" s="194" t="str">
        <f ca="1">INDEX(INDIRECT(""&amp;$B15&amp;"!Z2:Z709"),MATCH($A15,INDIRECT(""&amp;$B15&amp;"!B2:B709"),0))</f>
        <v>RB4</v>
      </c>
      <c r="F15" s="196">
        <f ca="1">IF(LeagueInfo!$H$7="Starter/Bench",INDEX(INDIRECT(""&amp;B15&amp;"!S2:S709"),MATCH(A15,INDIRECT(""&amp;B15&amp;"!B2:B709"),0)),INDEX(INDIRECT(""&amp;B15&amp;"!AA2:AA709"),MATCH(A15,INDIRECT(""&amp;B15&amp;"!B2:B709"),0)))</f>
        <v>54.220862465424574</v>
      </c>
      <c r="G15" s="197">
        <f>IF(H15&gt;0,F15-H15,0)</f>
        <v>0</v>
      </c>
      <c r="H15" s="198"/>
      <c r="I15" s="197">
        <f ca="1">F15*$A$2</f>
        <v>54.220862465424574</v>
      </c>
      <c r="J15" s="197" t="s">
        <v>80</v>
      </c>
      <c r="K15" s="197">
        <f>IF(LeagueInfo!$F$7="Yahoo",IFERROR(INDEX(DefaultAuctionValues!$B$2:$B$359,MATCH(A15,DefaultAuctionValues!$A$2:$A$359,0)),0),IF(LeagueInfo!$F$7="ESPN",IFERROR(INDEX(DefaultAuctionValues!$C$2:$C$359,MATCH(A15,DefaultAuctionValues!$A$2:$A$359,0)),0),IF(LeagueInfo!$F$7="FantasyPros",IFERROR(INDEX(DefaultAuctionValues!$D$2:$D$359,MATCH(A15,DefaultAuctionValues!$A$2:$A$359,0)),0))))</f>
        <v>57</v>
      </c>
      <c r="L15" s="197">
        <f ca="1">I15-K15</f>
        <v>-2.7791375345754261</v>
      </c>
      <c r="M15" s="213"/>
      <c r="N15" s="208">
        <f ca="1">INDEX(INDIRECT(""&amp;$B15&amp;"!y2:y709"),MATCH($A15,INDIRECT(""&amp;$B15&amp;"!B2:B709"),0))</f>
        <v>121.55000000000004</v>
      </c>
      <c r="O15" s="217" t="str">
        <f ca="1">IF(INDEX(INDIRECT(""&amp;$B15&amp;"!V2:V700"),MATCH($A15,INDIRECT(""&amp;$B15&amp;"!B2:B700"),0))=0,"",INDEX(INDIRECT(""&amp;$B15&amp;"!V2:V700"),MATCH($A15,INDIRECT(""&amp;$B15&amp;"!B2:B700"),0)))</f>
        <v/>
      </c>
    </row>
    <row r="16" spans="1:17" x14ac:dyDescent="0.25">
      <c r="A16" s="195" t="s">
        <v>110</v>
      </c>
      <c r="B16" s="195" t="s">
        <v>32</v>
      </c>
      <c r="C16" s="195">
        <f ca="1">IFERROR(INDEX(BYEs!$B$2:$B$33,MATCH(D16,BYEs!$A$2:$A$33,0)),"N/A")</f>
        <v>5</v>
      </c>
      <c r="D16" s="195" t="str">
        <f ca="1">INDEX(INDIRECT(""&amp;B16&amp;"!E2:E700"),MATCH(A16,INDIRECT(""&amp;B16&amp;"!B2:B700"),0))</f>
        <v>ATL</v>
      </c>
      <c r="E16" s="194" t="str">
        <f ca="1">INDEX(INDIRECT(""&amp;$B16&amp;"!Z2:Z709"),MATCH($A16,INDIRECT(""&amp;$B16&amp;"!B2:B709"),0))</f>
        <v>RB5</v>
      </c>
      <c r="F16" s="196">
        <f ca="1">IF(LeagueInfo!$H$7="Starter/Bench",INDEX(INDIRECT(""&amp;B16&amp;"!S2:S709"),MATCH(A16,INDIRECT(""&amp;B16&amp;"!B2:B709"),0)),INDEX(INDIRECT(""&amp;B16&amp;"!AA2:AA709"),MATCH(A16,INDIRECT(""&amp;B16&amp;"!B2:B709"),0)))</f>
        <v>49.000089363897544</v>
      </c>
      <c r="G16" s="197">
        <f>IF(H16&gt;0,F16-H16,0)</f>
        <v>0</v>
      </c>
      <c r="H16" s="198"/>
      <c r="I16" s="197">
        <f ca="1">F16*$A$2</f>
        <v>49.000089363897544</v>
      </c>
      <c r="J16" s="197" t="s">
        <v>80</v>
      </c>
      <c r="K16" s="197">
        <f>IF(LeagueInfo!$F$7="Yahoo",IFERROR(INDEX(DefaultAuctionValues!$B$2:$B$359,MATCH(A16,DefaultAuctionValues!$A$2:$A$359,0)),0),IF(LeagueInfo!$F$7="ESPN",IFERROR(INDEX(DefaultAuctionValues!$C$2:$C$359,MATCH(A16,DefaultAuctionValues!$A$2:$A$359,0)),0),IF(LeagueInfo!$F$7="FantasyPros",IFERROR(INDEX(DefaultAuctionValues!$D$2:$D$359,MATCH(A16,DefaultAuctionValues!$A$2:$A$359,0)),0))))</f>
        <v>49</v>
      </c>
      <c r="L16" s="197">
        <f ca="1">I16-K16</f>
        <v>8.9363897544103565E-5</v>
      </c>
      <c r="M16" s="213"/>
      <c r="N16" s="208">
        <f ca="1">INDEX(INDIRECT(""&amp;$B16&amp;"!y2:y709"),MATCH($A16,INDIRECT(""&amp;$B16&amp;"!B2:B709"),0))</f>
        <v>109.6</v>
      </c>
      <c r="O16" s="217" t="str">
        <f ca="1">IF(INDEX(INDIRECT(""&amp;$B16&amp;"!V2:V700"),MATCH($A16,INDIRECT(""&amp;$B16&amp;"!B2:B700"),0))=0,"",INDEX(INDIRECT(""&amp;$B16&amp;"!V2:V700"),MATCH($A16,INDIRECT(""&amp;$B16&amp;"!B2:B700"),0)))</f>
        <v/>
      </c>
    </row>
    <row r="17" spans="1:15" x14ac:dyDescent="0.25">
      <c r="A17" s="195" t="s">
        <v>106</v>
      </c>
      <c r="B17" s="195" t="s">
        <v>32</v>
      </c>
      <c r="C17" s="195">
        <f ca="1">IFERROR(INDEX(BYEs!$B$2:$B$33,MATCH(D17,BYEs!$A$2:$A$33,0)),"N/A")</f>
        <v>9</v>
      </c>
      <c r="D17" s="195" t="str">
        <f ca="1">INDEX(INDIRECT(""&amp;B17&amp;"!E2:E700"),MATCH(A17,INDIRECT(""&amp;B17&amp;"!B2:B700"),0))</f>
        <v>CHI</v>
      </c>
      <c r="E17" s="194" t="str">
        <f ca="1">INDEX(INDIRECT(""&amp;$B17&amp;"!Z2:Z709"),MATCH($A17,INDIRECT(""&amp;$B17&amp;"!B2:B709"),0))</f>
        <v>RB5</v>
      </c>
      <c r="F17" s="196">
        <f ca="1">IF(LeagueInfo!$H$7="Starter/Bench",INDEX(INDIRECT(""&amp;B17&amp;"!S2:S709"),MATCH(A17,INDIRECT(""&amp;B17&amp;"!B2:B709"),0)),INDEX(INDIRECT(""&amp;B17&amp;"!AA2:AA709"),MATCH(A17,INDIRECT(""&amp;B17&amp;"!B2:B709"),0)))</f>
        <v>48.462721086501887</v>
      </c>
      <c r="G17" s="197">
        <f>IF(H17&gt;0,F17-H17,0)</f>
        <v>0</v>
      </c>
      <c r="H17" s="198"/>
      <c r="I17" s="197">
        <f ca="1">F17*$A$2</f>
        <v>48.462721086501887</v>
      </c>
      <c r="J17" s="197" t="s">
        <v>80</v>
      </c>
      <c r="K17" s="197">
        <f>IF(LeagueInfo!$F$7="Yahoo",IFERROR(INDEX(DefaultAuctionValues!$B$2:$B$359,MATCH(A17,DefaultAuctionValues!$A$2:$A$359,0)),0),IF(LeagueInfo!$F$7="ESPN",IFERROR(INDEX(DefaultAuctionValues!$C$2:$C$359,MATCH(A17,DefaultAuctionValues!$A$2:$A$359,0)),0),IF(LeagueInfo!$F$7="FantasyPros",IFERROR(INDEX(DefaultAuctionValues!$D$2:$D$359,MATCH(A17,DefaultAuctionValues!$A$2:$A$359,0)),0))))</f>
        <v>51</v>
      </c>
      <c r="L17" s="197">
        <f ca="1">I17-K17</f>
        <v>-2.5372789134981133</v>
      </c>
      <c r="M17" s="213"/>
      <c r="N17" s="208">
        <f ca="1">INDEX(INDIRECT(""&amp;$B17&amp;"!y2:y709"),MATCH($A17,INDIRECT(""&amp;$B17&amp;"!B2:B709"),0))</f>
        <v>108.37</v>
      </c>
      <c r="O17" s="217" t="str">
        <f ca="1">IF(INDEX(INDIRECT(""&amp;$B17&amp;"!V2:V700"),MATCH($A17,INDIRECT(""&amp;$B17&amp;"!B2:B700"),0))=0,"",INDEX(INDIRECT(""&amp;$B17&amp;"!V2:V700"),MATCH($A17,INDIRECT(""&amp;$B17&amp;"!B2:B700"),0)))</f>
        <v/>
      </c>
    </row>
    <row r="18" spans="1:15" x14ac:dyDescent="0.25">
      <c r="A18" s="195" t="s">
        <v>105</v>
      </c>
      <c r="B18" s="195" t="s">
        <v>32</v>
      </c>
      <c r="C18" s="195">
        <f ca="1">IFERROR(INDEX(BYEs!$B$2:$B$33,MATCH(D18,BYEs!$A$2:$A$33,0)),"N/A")</f>
        <v>9</v>
      </c>
      <c r="D18" s="195" t="str">
        <f ca="1">INDEX(INDIRECT(""&amp;B18&amp;"!E2:E700"),MATCH(A18,INDIRECT(""&amp;B18&amp;"!B2:B700"),0))</f>
        <v>LAC</v>
      </c>
      <c r="E18" s="194" t="str">
        <f ca="1">INDEX(INDIRECT(""&amp;$B18&amp;"!Z2:Z709"),MATCH($A18,INDIRECT(""&amp;$B18&amp;"!B2:B709"),0))</f>
        <v>RB5</v>
      </c>
      <c r="F18" s="196">
        <f ca="1">IF(LeagueInfo!$H$7="Starter/Bench",INDEX(INDIRECT(""&amp;B18&amp;"!S2:S709"),MATCH(A18,INDIRECT(""&amp;B18&amp;"!B2:B709"),0)),INDEX(INDIRECT(""&amp;B18&amp;"!AA2:AA709"),MATCH(A18,INDIRECT(""&amp;B18&amp;"!B2:B709"),0)))</f>
        <v>48.26612293623517</v>
      </c>
      <c r="G18" s="197">
        <f>IF(H18&gt;0,F18-H18,0)</f>
        <v>0</v>
      </c>
      <c r="H18" s="198"/>
      <c r="I18" s="197">
        <f ca="1">F18*$A$2</f>
        <v>48.26612293623517</v>
      </c>
      <c r="J18" s="197" t="s">
        <v>80</v>
      </c>
      <c r="K18" s="197">
        <f>IF(LeagueInfo!$F$7="Yahoo",IFERROR(INDEX(DefaultAuctionValues!$B$2:$B$359,MATCH(A18,DefaultAuctionValues!$A$2:$A$359,0)),0),IF(LeagueInfo!$F$7="ESPN",IFERROR(INDEX(DefaultAuctionValues!$C$2:$C$359,MATCH(A18,DefaultAuctionValues!$A$2:$A$359,0)),0),IF(LeagueInfo!$F$7="FantasyPros",IFERROR(INDEX(DefaultAuctionValues!$D$2:$D$359,MATCH(A18,DefaultAuctionValues!$A$2:$A$359,0)),0))))</f>
        <v>54</v>
      </c>
      <c r="L18" s="197">
        <f ca="1">I18-K18</f>
        <v>-5.7338770637648295</v>
      </c>
      <c r="M18" s="213"/>
      <c r="N18" s="208">
        <f ca="1">INDEX(INDIRECT(""&amp;$B18&amp;"!y2:y709"),MATCH($A18,INDIRECT(""&amp;$B18&amp;"!B2:B709"),0))</f>
        <v>107.91999999999999</v>
      </c>
      <c r="O18" s="217" t="str">
        <f ca="1">IF(INDEX(INDIRECT(""&amp;$B18&amp;"!V2:V700"),MATCH($A18,INDIRECT(""&amp;$B18&amp;"!B2:B700"),0))=0,"",INDEX(INDIRECT(""&amp;$B18&amp;"!V2:V700"),MATCH($A18,INDIRECT(""&amp;$B18&amp;"!B2:B700"),0)))</f>
        <v/>
      </c>
    </row>
    <row r="19" spans="1:15" x14ac:dyDescent="0.25">
      <c r="A19" s="195" t="s">
        <v>108</v>
      </c>
      <c r="B19" s="195" t="s">
        <v>32</v>
      </c>
      <c r="C19" s="195">
        <f ca="1">IFERROR(INDEX(BYEs!$B$2:$B$33,MATCH(D19,BYEs!$A$2:$A$33,0)),"N/A")</f>
        <v>11</v>
      </c>
      <c r="D19" s="195" t="str">
        <f ca="1">INDEX(INDIRECT(""&amp;B19&amp;"!E2:E700"),MATCH(A19,INDIRECT(""&amp;B19&amp;"!B2:B700"),0))</f>
        <v>MIA</v>
      </c>
      <c r="E19" s="194" t="str">
        <f ca="1">INDEX(INDIRECT(""&amp;$B19&amp;"!Z2:Z709"),MATCH($A19,INDIRECT(""&amp;$B19&amp;"!B2:B709"),0))</f>
        <v>RB5</v>
      </c>
      <c r="F19" s="196">
        <f ca="1">IF(LeagueInfo!$H$7="Starter/Bench",INDEX(INDIRECT(""&amp;B19&amp;"!S2:S709"),MATCH(A19,INDIRECT(""&amp;B19&amp;"!B2:B709"),0)),INDEX(INDIRECT(""&amp;B19&amp;"!AA2:AA709"),MATCH(A19,INDIRECT(""&amp;B19&amp;"!B2:B709"),0)))</f>
        <v>46.898673579935632</v>
      </c>
      <c r="G19" s="197">
        <f>IF(H19&gt;0,F19-H19,0)</f>
        <v>0</v>
      </c>
      <c r="H19" s="198"/>
      <c r="I19" s="197">
        <f ca="1">F19*$A$2</f>
        <v>46.898673579935632</v>
      </c>
      <c r="J19" s="197" t="s">
        <v>80</v>
      </c>
      <c r="K19" s="197">
        <f>IF(LeagueInfo!$F$7="Yahoo",IFERROR(INDEX(DefaultAuctionValues!$B$2:$B$359,MATCH(A19,DefaultAuctionValues!$A$2:$A$359,0)),0),IF(LeagueInfo!$F$7="ESPN",IFERROR(INDEX(DefaultAuctionValues!$C$2:$C$359,MATCH(A19,DefaultAuctionValues!$A$2:$A$359,0)),0),IF(LeagueInfo!$F$7="FantasyPros",IFERROR(INDEX(DefaultAuctionValues!$D$2:$D$359,MATCH(A19,DefaultAuctionValues!$A$2:$A$359,0)),0))))</f>
        <v>48</v>
      </c>
      <c r="L19" s="197">
        <f ca="1">I19-K19</f>
        <v>-1.1013264200643675</v>
      </c>
      <c r="M19" s="213"/>
      <c r="N19" s="208">
        <f ca="1">INDEX(INDIRECT(""&amp;$B19&amp;"!y2:y709"),MATCH($A19,INDIRECT(""&amp;$B19&amp;"!B2:B709"),0))</f>
        <v>104.78999999999999</v>
      </c>
      <c r="O19" s="217" t="str">
        <f ca="1">IF(INDEX(INDIRECT(""&amp;$B19&amp;"!V2:V700"),MATCH($A19,INDIRECT(""&amp;$B19&amp;"!B2:B700"),0))=0,"",INDEX(INDIRECT(""&amp;$B19&amp;"!V2:V700"),MATCH($A19,INDIRECT(""&amp;$B19&amp;"!B2:B700"),0)))</f>
        <v/>
      </c>
    </row>
    <row r="20" spans="1:15" x14ac:dyDescent="0.25">
      <c r="A20" s="195" t="s">
        <v>122</v>
      </c>
      <c r="B20" s="195" t="s">
        <v>33</v>
      </c>
      <c r="C20" s="195">
        <f ca="1">IFERROR(INDEX(BYEs!$B$2:$B$33,MATCH(D20,BYEs!$A$2:$A$33,0)),"N/A")</f>
        <v>8</v>
      </c>
      <c r="D20" s="195" t="str">
        <f ca="1">INDEX(INDIRECT(""&amp;B20&amp;"!E2:E700"),MATCH(A20,INDIRECT(""&amp;B20&amp;"!B2:B700"),0))</f>
        <v>GB</v>
      </c>
      <c r="E20" s="194" t="str">
        <f ca="1">INDEX(INDIRECT(""&amp;$B20&amp;"!Z2:Z709"),MATCH($A20,INDIRECT(""&amp;$B20&amp;"!B2:B709"),0))</f>
        <v>QB1</v>
      </c>
      <c r="F20" s="196">
        <f ca="1">IF(LeagueInfo!$H$7="Starter/Bench",INDEX(INDIRECT(""&amp;B20&amp;"!S2:S709"),MATCH(A20,INDIRECT(""&amp;B20&amp;"!B2:B709"),0)),INDEX(INDIRECT(""&amp;B20&amp;"!AA2:AA709"),MATCH(A20,INDIRECT(""&amp;B20&amp;"!B2:B709"),0)))</f>
        <v>44.164651898880066</v>
      </c>
      <c r="G20" s="197">
        <f>IF(H20&gt;0,F20-H20,0)</f>
        <v>0</v>
      </c>
      <c r="H20" s="198"/>
      <c r="I20" s="197">
        <f ca="1">F20*$A$2</f>
        <v>44.164651898880066</v>
      </c>
      <c r="J20" s="197" t="s">
        <v>80</v>
      </c>
      <c r="K20" s="197">
        <f>IF(LeagueInfo!$F$7="Yahoo",IFERROR(INDEX(DefaultAuctionValues!$B$2:$B$359,MATCH(A20,DefaultAuctionValues!$A$2:$A$359,0)),0),IF(LeagueInfo!$F$7="ESPN",IFERROR(INDEX(DefaultAuctionValues!$C$2:$C$359,MATCH(A20,DefaultAuctionValues!$A$2:$A$359,0)),0),IF(LeagueInfo!$F$7="FantasyPros",IFERROR(INDEX(DefaultAuctionValues!$D$2:$D$359,MATCH(A20,DefaultAuctionValues!$A$2:$A$359,0)),0))))</f>
        <v>34</v>
      </c>
      <c r="L20" s="197">
        <f ca="1">I20-K20</f>
        <v>10.164651898880066</v>
      </c>
      <c r="M20" s="213"/>
      <c r="N20" s="208">
        <f ca="1">INDEX(INDIRECT(""&amp;$B20&amp;"!y2:y709"),MATCH($A20,INDIRECT(""&amp;$B20&amp;"!B2:B709"),0))</f>
        <v>98.660000000000039</v>
      </c>
      <c r="O20" s="217" t="str">
        <f ca="1">IF(INDEX(INDIRECT(""&amp;$B20&amp;"!V2:V700"),MATCH($A20,INDIRECT(""&amp;$B20&amp;"!B2:B700"),0))=0,"",INDEX(INDIRECT(""&amp;$B20&amp;"!V2:V700"),MATCH($A20,INDIRECT(""&amp;$B20&amp;"!B2:B700"),0)))</f>
        <v/>
      </c>
    </row>
    <row r="21" spans="1:15" x14ac:dyDescent="0.25">
      <c r="A21" s="195" t="s">
        <v>102</v>
      </c>
      <c r="B21" s="195" t="s">
        <v>39</v>
      </c>
      <c r="C21" s="195">
        <f ca="1">IFERROR(INDEX(BYEs!$B$2:$B$33,MATCH(D21,BYEs!$A$2:$A$33,0)),"N/A")</f>
        <v>5</v>
      </c>
      <c r="D21" s="195" t="str">
        <f ca="1">INDEX(INDIRECT(""&amp;B21&amp;"!E2:E700"),MATCH(A21,INDIRECT(""&amp;B21&amp;"!B2:B700"),0))</f>
        <v>ATL</v>
      </c>
      <c r="E21" s="194" t="str">
        <f ca="1">INDEX(INDIRECT(""&amp;$B21&amp;"!Z2:Z709"),MATCH($A21,INDIRECT(""&amp;$B21&amp;"!B2:B709"),0))</f>
        <v>WR1</v>
      </c>
      <c r="F21" s="196">
        <f ca="1">IF(LeagueInfo!$H$7="Starter/Bench",INDEX(INDIRECT(""&amp;B21&amp;"!S2:S709"),MATCH(A21,INDIRECT(""&amp;B21&amp;"!B2:B709"),0)),INDEX(INDIRECT(""&amp;B21&amp;"!AA2:AA709"),MATCH(A21,INDIRECT(""&amp;B21&amp;"!B2:B709"),0)))</f>
        <v>44.070999836410692</v>
      </c>
      <c r="G21" s="197">
        <f>IF(H21&gt;0,F21-H21,0)</f>
        <v>0</v>
      </c>
      <c r="H21" s="198"/>
      <c r="I21" s="197">
        <f ca="1">F21*$A$2</f>
        <v>44.070999836410692</v>
      </c>
      <c r="J21" s="197" t="s">
        <v>80</v>
      </c>
      <c r="K21" s="197">
        <f>IF(LeagueInfo!$F$7="Yahoo",IFERROR(INDEX(DefaultAuctionValues!$B$2:$B$359,MATCH(A21,DefaultAuctionValues!$A$2:$A$359,0)),0),IF(LeagueInfo!$F$7="ESPN",IFERROR(INDEX(DefaultAuctionValues!$C$2:$C$359,MATCH(A21,DefaultAuctionValues!$A$2:$A$359,0)),0),IF(LeagueInfo!$F$7="FantasyPros",IFERROR(INDEX(DefaultAuctionValues!$D$2:$D$359,MATCH(A21,DefaultAuctionValues!$A$2:$A$359,0)),0))))</f>
        <v>60</v>
      </c>
      <c r="L21" s="197">
        <f ca="1">I21-K21</f>
        <v>-15.929000163589308</v>
      </c>
      <c r="M21" s="213"/>
      <c r="N21" s="208">
        <f ca="1">INDEX(INDIRECT(""&amp;$B21&amp;"!y2:y709"),MATCH($A21,INDIRECT(""&amp;$B21&amp;"!B2:B709"),0))</f>
        <v>99.239999999999981</v>
      </c>
      <c r="O21" s="217" t="str">
        <f ca="1">IF(INDEX(INDIRECT(""&amp;$B21&amp;"!V2:V700"),MATCH($A21,INDIRECT(""&amp;$B21&amp;"!B2:B700"),0))=0,"",INDEX(INDIRECT(""&amp;$B21&amp;"!V2:V700"),MATCH($A21,INDIRECT(""&amp;$B21&amp;"!B2:B700"),0)))</f>
        <v/>
      </c>
    </row>
    <row r="22" spans="1:15" x14ac:dyDescent="0.25">
      <c r="A22" s="195" t="s">
        <v>100</v>
      </c>
      <c r="B22" s="195" t="s">
        <v>39</v>
      </c>
      <c r="C22" s="195">
        <f ca="1">IFERROR(INDEX(BYEs!$B$2:$B$33,MATCH(D22,BYEs!$A$2:$A$33,0)),"N/A")</f>
        <v>9</v>
      </c>
      <c r="D22" s="195" t="str">
        <f ca="1">INDEX(INDIRECT(""&amp;B22&amp;"!E2:E700"),MATCH(A22,INDIRECT(""&amp;B22&amp;"!B2:B700"),0))</f>
        <v>PIT</v>
      </c>
      <c r="E22" s="194" t="str">
        <f ca="1">INDEX(INDIRECT(""&amp;$B22&amp;"!Z2:Z709"),MATCH($A22,INDIRECT(""&amp;$B22&amp;"!B2:B709"),0))</f>
        <v>WR1</v>
      </c>
      <c r="F22" s="196">
        <f ca="1">IF(LeagueInfo!$H$7="Starter/Bench",INDEX(INDIRECT(""&amp;B22&amp;"!S2:S709"),MATCH(A22,INDIRECT(""&amp;B22&amp;"!B2:B709"),0)),INDEX(INDIRECT(""&amp;B22&amp;"!AA2:AA709"),MATCH(A22,INDIRECT(""&amp;B22&amp;"!B2:B709"),0)))</f>
        <v>43.214705670804591</v>
      </c>
      <c r="G22" s="197">
        <f>IF(H22&gt;0,F22-H22,0)</f>
        <v>0</v>
      </c>
      <c r="H22" s="198"/>
      <c r="I22" s="197">
        <f ca="1">F22*$A$2</f>
        <v>43.214705670804591</v>
      </c>
      <c r="J22" s="197" t="s">
        <v>80</v>
      </c>
      <c r="K22" s="197">
        <f>IF(LeagueInfo!$F$7="Yahoo",IFERROR(INDEX(DefaultAuctionValues!$B$2:$B$359,MATCH(A22,DefaultAuctionValues!$A$2:$A$359,0)),0),IF(LeagueInfo!$F$7="ESPN",IFERROR(INDEX(DefaultAuctionValues!$C$2:$C$359,MATCH(A22,DefaultAuctionValues!$A$2:$A$359,0)),0),IF(LeagueInfo!$F$7="FantasyPros",IFERROR(INDEX(DefaultAuctionValues!$D$2:$D$359,MATCH(A22,DefaultAuctionValues!$A$2:$A$359,0)),0))))</f>
        <v>61</v>
      </c>
      <c r="L22" s="197">
        <f ca="1">I22-K22</f>
        <v>-17.785294329195409</v>
      </c>
      <c r="M22" s="213"/>
      <c r="N22" s="208">
        <f ca="1">INDEX(INDIRECT(""&amp;$B22&amp;"!y2:y709"),MATCH($A22,INDIRECT(""&amp;$B22&amp;"!B2:B709"),0))</f>
        <v>97.279999999999973</v>
      </c>
      <c r="O22" s="217" t="str">
        <f ca="1">IF(INDEX(INDIRECT(""&amp;$B22&amp;"!V2:V700"),MATCH($A22,INDIRECT(""&amp;$B22&amp;"!B2:B700"),0))=0,"",INDEX(INDIRECT(""&amp;$B22&amp;"!V2:V700"),MATCH($A22,INDIRECT(""&amp;$B22&amp;"!B2:B700"),0)))</f>
        <v/>
      </c>
    </row>
    <row r="23" spans="1:15" x14ac:dyDescent="0.25">
      <c r="A23" s="195" t="s">
        <v>113</v>
      </c>
      <c r="B23" s="195" t="s">
        <v>32</v>
      </c>
      <c r="C23" s="195">
        <f ca="1">IFERROR(INDEX(BYEs!$B$2:$B$33,MATCH(D23,BYEs!$A$2:$A$33,0)),"N/A")</f>
        <v>8</v>
      </c>
      <c r="D23" s="195" t="str">
        <f ca="1">INDEX(INDIRECT(""&amp;B23&amp;"!E2:E700"),MATCH(A23,INDIRECT(""&amp;B23&amp;"!B2:B700"),0))</f>
        <v>TEN</v>
      </c>
      <c r="E23" s="194" t="str">
        <f ca="1">INDEX(INDIRECT(""&amp;$B23&amp;"!Z2:Z709"),MATCH($A23,INDIRECT(""&amp;$B23&amp;"!B2:B709"),0))</f>
        <v>RB6</v>
      </c>
      <c r="F23" s="196">
        <f ca="1">IF(LeagueInfo!$H$7="Starter/Bench",INDEX(INDIRECT(""&amp;B23&amp;"!S2:S709"),MATCH(A23,INDIRECT(""&amp;B23&amp;"!B2:B709"),0)),INDEX(INDIRECT(""&amp;B23&amp;"!AA2:AA709"),MATCH(A23,INDIRECT(""&amp;B23&amp;"!B2:B709"),0)))</f>
        <v>42.302645711478377</v>
      </c>
      <c r="G23" s="197">
        <f>IF(H23&gt;0,F23-H23,0)</f>
        <v>0</v>
      </c>
      <c r="H23" s="198"/>
      <c r="I23" s="197">
        <f ca="1">F23*$A$2</f>
        <v>42.302645711478377</v>
      </c>
      <c r="J23" s="197" t="s">
        <v>80</v>
      </c>
      <c r="K23" s="197">
        <f>IF(LeagueInfo!$F$7="Yahoo",IFERROR(INDEX(DefaultAuctionValues!$B$2:$B$359,MATCH(A23,DefaultAuctionValues!$A$2:$A$359,0)),0),IF(LeagueInfo!$F$7="ESPN",IFERROR(INDEX(DefaultAuctionValues!$C$2:$C$359,MATCH(A23,DefaultAuctionValues!$A$2:$A$359,0)),0),IF(LeagueInfo!$F$7="FantasyPros",IFERROR(INDEX(DefaultAuctionValues!$D$2:$D$359,MATCH(A23,DefaultAuctionValues!$A$2:$A$359,0)),0))))</f>
        <v>41</v>
      </c>
      <c r="L23" s="197">
        <f ca="1">I23-K23</f>
        <v>1.3026457114783767</v>
      </c>
      <c r="M23" s="213"/>
      <c r="N23" s="208">
        <f ca="1">INDEX(INDIRECT(""&amp;$B23&amp;"!y2:y709"),MATCH($A23,INDIRECT(""&amp;$B23&amp;"!B2:B709"),0))</f>
        <v>94.269999999999982</v>
      </c>
      <c r="O23" s="217" t="str">
        <f ca="1">IF(INDEX(INDIRECT(""&amp;$B23&amp;"!V2:V700"),MATCH($A23,INDIRECT(""&amp;$B23&amp;"!B2:B700"),0))=0,"",INDEX(INDIRECT(""&amp;$B23&amp;"!V2:V700"),MATCH($A23,INDIRECT(""&amp;$B23&amp;"!B2:B700"),0)))</f>
        <v/>
      </c>
    </row>
    <row r="24" spans="1:15" x14ac:dyDescent="0.25">
      <c r="A24" s="195" t="s">
        <v>118</v>
      </c>
      <c r="B24" s="195" t="s">
        <v>32</v>
      </c>
      <c r="C24" s="195">
        <f ca="1">IFERROR(INDEX(BYEs!$B$2:$B$33,MATCH(D24,BYEs!$A$2:$A$33,0)),"N/A")</f>
        <v>8</v>
      </c>
      <c r="D24" s="195" t="str">
        <f ca="1">INDEX(INDIRECT(""&amp;B24&amp;"!E2:E700"),MATCH(A24,INDIRECT(""&amp;B24&amp;"!B2:B700"),0))</f>
        <v>LAR</v>
      </c>
      <c r="E24" s="194" t="str">
        <f ca="1">INDEX(INDIRECT(""&amp;$B24&amp;"!Z2:Z709"),MATCH($A24,INDIRECT(""&amp;$B24&amp;"!B2:B709"),0))</f>
        <v>RB6</v>
      </c>
      <c r="F24" s="196">
        <f ca="1">IF(LeagueInfo!$H$7="Starter/Bench",INDEX(INDIRECT(""&amp;B24&amp;"!S2:S709"),MATCH(A24,INDIRECT(""&amp;B24&amp;"!B2:B709"),0)),INDEX(INDIRECT(""&amp;B24&amp;"!AA2:AA709"),MATCH(A24,INDIRECT(""&amp;B24&amp;"!B2:B709"),0)))</f>
        <v>39.707550127957859</v>
      </c>
      <c r="G24" s="197">
        <f>IF(H24&gt;0,F24-H24,0)</f>
        <v>0</v>
      </c>
      <c r="H24" s="198"/>
      <c r="I24" s="197">
        <f ca="1">F24*$A$2</f>
        <v>39.707550127957859</v>
      </c>
      <c r="J24" s="197" t="s">
        <v>80</v>
      </c>
      <c r="K24" s="197">
        <f>IF(LeagueInfo!$F$7="Yahoo",IFERROR(INDEX(DefaultAuctionValues!$B$2:$B$359,MATCH(A24,DefaultAuctionValues!$A$2:$A$359,0)),0),IF(LeagueInfo!$F$7="ESPN",IFERROR(INDEX(DefaultAuctionValues!$C$2:$C$359,MATCH(A24,DefaultAuctionValues!$A$2:$A$359,0)),0),IF(LeagueInfo!$F$7="FantasyPros",IFERROR(INDEX(DefaultAuctionValues!$D$2:$D$359,MATCH(A24,DefaultAuctionValues!$A$2:$A$359,0)),0))))</f>
        <v>34</v>
      </c>
      <c r="L24" s="197">
        <f ca="1">I24-K24</f>
        <v>5.7075501279578589</v>
      </c>
      <c r="M24" s="213"/>
      <c r="N24" s="208">
        <f ca="1">INDEX(INDIRECT(""&amp;$B24&amp;"!y2:y709"),MATCH($A24,INDIRECT(""&amp;$B24&amp;"!B2:B709"),0))</f>
        <v>88.330000000000013</v>
      </c>
      <c r="O24" s="217" t="str">
        <f ca="1">IF(INDEX(INDIRECT(""&amp;$B24&amp;"!V2:V700"),MATCH($A24,INDIRECT(""&amp;$B24&amp;"!B2:B700"),0))=0,"",INDEX(INDIRECT(""&amp;$B24&amp;"!V2:V700"),MATCH($A24,INDIRECT(""&amp;$B24&amp;"!B2:B700"),0)))</f>
        <v/>
      </c>
    </row>
    <row r="25" spans="1:15" x14ac:dyDescent="0.25">
      <c r="A25" s="195" t="s">
        <v>101</v>
      </c>
      <c r="B25" s="195" t="s">
        <v>39</v>
      </c>
      <c r="C25" s="195">
        <f ca="1">IFERROR(INDEX(BYEs!$B$2:$B$33,MATCH(D25,BYEs!$A$2:$A$33,0)),"N/A")</f>
        <v>8</v>
      </c>
      <c r="D25" s="195" t="str">
        <f ca="1">INDEX(INDIRECT(""&amp;B25&amp;"!E2:E700"),MATCH(A25,INDIRECT(""&amp;B25&amp;"!B2:B700"),0))</f>
        <v>NYG</v>
      </c>
      <c r="E25" s="194" t="str">
        <f ca="1">INDEX(INDIRECT(""&amp;$B25&amp;"!Z2:Z709"),MATCH($A25,INDIRECT(""&amp;$B25&amp;"!B2:B709"),0))</f>
        <v>WR2</v>
      </c>
      <c r="F25" s="196">
        <f ca="1">IF(LeagueInfo!$H$7="Starter/Bench",INDEX(INDIRECT(""&amp;B25&amp;"!S2:S709"),MATCH(A25,INDIRECT(""&amp;B25&amp;"!B2:B709"),0)),INDEX(INDIRECT(""&amp;B25&amp;"!AA2:AA709"),MATCH(A25,INDIRECT(""&amp;B25&amp;"!B2:B709"),0)))</f>
        <v>37.48277737858416</v>
      </c>
      <c r="G25" s="197">
        <f>IF(H25&gt;0,F25-H25,0)</f>
        <v>0</v>
      </c>
      <c r="H25" s="198"/>
      <c r="I25" s="197">
        <f ca="1">F25*$A$2</f>
        <v>37.48277737858416</v>
      </c>
      <c r="J25" s="197" t="s">
        <v>80</v>
      </c>
      <c r="K25" s="197">
        <f>IF(LeagueInfo!$F$7="Yahoo",IFERROR(INDEX(DefaultAuctionValues!$B$2:$B$359,MATCH(A25,DefaultAuctionValues!$A$2:$A$359,0)),0),IF(LeagueInfo!$F$7="ESPN",IFERROR(INDEX(DefaultAuctionValues!$C$2:$C$359,MATCH(A25,DefaultAuctionValues!$A$2:$A$359,0)),0),IF(LeagueInfo!$F$7="FantasyPros",IFERROR(INDEX(DefaultAuctionValues!$D$2:$D$359,MATCH(A25,DefaultAuctionValues!$A$2:$A$359,0)),0))))</f>
        <v>60</v>
      </c>
      <c r="L25" s="197">
        <f ca="1">I25-K25</f>
        <v>-22.51722262141584</v>
      </c>
      <c r="M25" s="213"/>
      <c r="N25" s="208">
        <f ca="1">INDEX(INDIRECT(""&amp;$B25&amp;"!y2:y709"),MATCH($A25,INDIRECT(""&amp;$B25&amp;"!B2:B709"),0))</f>
        <v>84.16</v>
      </c>
      <c r="O25" s="217" t="str">
        <f ca="1">IF(INDEX(INDIRECT(""&amp;$B25&amp;"!V2:V700"),MATCH($A25,INDIRECT(""&amp;$B25&amp;"!B2:B700"),0))=0,"",INDEX(INDIRECT(""&amp;$B25&amp;"!V2:V700"),MATCH($A25,INDIRECT(""&amp;$B25&amp;"!B2:B700"),0)))</f>
        <v/>
      </c>
    </row>
    <row r="26" spans="1:15" x14ac:dyDescent="0.25">
      <c r="A26" s="195" t="s">
        <v>117</v>
      </c>
      <c r="B26" s="195" t="s">
        <v>47</v>
      </c>
      <c r="C26" s="195">
        <f ca="1">IFERROR(INDEX(BYEs!$B$2:$B$33,MATCH(D26,BYEs!$A$2:$A$33,0)),"N/A")</f>
        <v>9</v>
      </c>
      <c r="D26" s="195" t="str">
        <f ca="1">INDEX(INDIRECT(""&amp;B26&amp;"!E2:E700"),MATCH(A26,INDIRECT(""&amp;B26&amp;"!B2:B700"),0))</f>
        <v>NE</v>
      </c>
      <c r="E26" s="194" t="str">
        <f ca="1">INDEX(INDIRECT(""&amp;$B26&amp;"!Z2:Z709"),MATCH($A26,INDIRECT(""&amp;$B26&amp;"!B2:B709"),0))</f>
        <v>TE1</v>
      </c>
      <c r="F26" s="196">
        <f ca="1">IF(LeagueInfo!$H$7="Starter/Bench",INDEX(INDIRECT(""&amp;B26&amp;"!S2:S709"),MATCH(A26,INDIRECT(""&amp;B26&amp;"!B2:B709"),0)),INDEX(INDIRECT(""&amp;B26&amp;"!AA2:AA709"),MATCH(A26,INDIRECT(""&amp;B26&amp;"!B2:B709"),0)))</f>
        <v>36.002191864421611</v>
      </c>
      <c r="G26" s="197">
        <f>IF(H26&gt;0,F26-H26,0)</f>
        <v>0</v>
      </c>
      <c r="H26" s="198"/>
      <c r="I26" s="197">
        <f ca="1">F26*$A$2</f>
        <v>36.002191864421611</v>
      </c>
      <c r="J26" s="197" t="s">
        <v>80</v>
      </c>
      <c r="K26" s="197">
        <f>IF(LeagueInfo!$F$7="Yahoo",IFERROR(INDEX(DefaultAuctionValues!$B$2:$B$359,MATCH(A26,DefaultAuctionValues!$A$2:$A$359,0)),0),IF(LeagueInfo!$F$7="ESPN",IFERROR(INDEX(DefaultAuctionValues!$C$2:$C$359,MATCH(A26,DefaultAuctionValues!$A$2:$A$359,0)),0),IF(LeagueInfo!$F$7="FantasyPros",IFERROR(INDEX(DefaultAuctionValues!$D$2:$D$359,MATCH(A26,DefaultAuctionValues!$A$2:$A$359,0)),0))))</f>
        <v>34</v>
      </c>
      <c r="L26" s="197">
        <f ca="1">I26-K26</f>
        <v>2.0021918644216115</v>
      </c>
      <c r="M26" s="213"/>
      <c r="N26" s="208">
        <f ca="1">INDEX(INDIRECT(""&amp;$B26&amp;"!y2:y709"),MATCH($A26,INDIRECT(""&amp;$B26&amp;"!B2:B709"),0))</f>
        <v>81.025000000000006</v>
      </c>
      <c r="O26" s="217" t="str">
        <f ca="1">IF(INDEX(INDIRECT(""&amp;$B26&amp;"!V2:V700"),MATCH($A26,INDIRECT(""&amp;$B26&amp;"!B2:B700"),0))=0,"",INDEX(INDIRECT(""&amp;$B26&amp;"!V2:V700"),MATCH($A26,INDIRECT(""&amp;$B26&amp;"!B2:B700"),0)))</f>
        <v/>
      </c>
    </row>
    <row r="27" spans="1:15" x14ac:dyDescent="0.25">
      <c r="A27" s="195" t="s">
        <v>120</v>
      </c>
      <c r="B27" s="195" t="s">
        <v>32</v>
      </c>
      <c r="C27" s="195">
        <f ca="1">IFERROR(INDEX(BYEs!$B$2:$B$33,MATCH(D27,BYEs!$A$2:$A$33,0)),"N/A")</f>
        <v>7</v>
      </c>
      <c r="D27" s="195" t="str">
        <f ca="1">INDEX(INDIRECT(""&amp;B27&amp;"!E2:E700"),MATCH(A27,INDIRECT(""&amp;B27&amp;"!B2:B700"),0))</f>
        <v>HOU</v>
      </c>
      <c r="E27" s="194" t="str">
        <f ca="1">INDEX(INDIRECT(""&amp;$B27&amp;"!Z2:Z709"),MATCH($A27,INDIRECT(""&amp;$B27&amp;"!B2:B709"),0))</f>
        <v>RB6</v>
      </c>
      <c r="F27" s="196">
        <f ca="1">IF(LeagueInfo!$H$7="Starter/Bench",INDEX(INDIRECT(""&amp;B27&amp;"!S2:S709"),MATCH(A27,INDIRECT(""&amp;B27&amp;"!B2:B709"),0)),INDEX(INDIRECT(""&amp;B27&amp;"!AA2:AA709"),MATCH(A27,INDIRECT(""&amp;B27&amp;"!B2:B709"),0)))</f>
        <v>35.862964078297807</v>
      </c>
      <c r="G27" s="197">
        <f>IF(H27&gt;0,F27-H27,0)</f>
        <v>0</v>
      </c>
      <c r="H27" s="198"/>
      <c r="I27" s="197">
        <f ca="1">F27*$A$2</f>
        <v>35.862964078297807</v>
      </c>
      <c r="J27" s="197" t="s">
        <v>80</v>
      </c>
      <c r="K27" s="197">
        <f>IF(LeagueInfo!$F$7="Yahoo",IFERROR(INDEX(DefaultAuctionValues!$B$2:$B$359,MATCH(A27,DefaultAuctionValues!$A$2:$A$359,0)),0),IF(LeagueInfo!$F$7="ESPN",IFERROR(INDEX(DefaultAuctionValues!$C$2:$C$359,MATCH(A27,DefaultAuctionValues!$A$2:$A$359,0)),0),IF(LeagueInfo!$F$7="FantasyPros",IFERROR(INDEX(DefaultAuctionValues!$D$2:$D$359,MATCH(A27,DefaultAuctionValues!$A$2:$A$359,0)),0))))</f>
        <v>32</v>
      </c>
      <c r="L27" s="197">
        <f ca="1">I27-K27</f>
        <v>3.8629640782978072</v>
      </c>
      <c r="M27" s="213"/>
      <c r="N27" s="208">
        <f ca="1">INDEX(INDIRECT(""&amp;$B27&amp;"!y2:y709"),MATCH($A27,INDIRECT(""&amp;$B27&amp;"!B2:B709"),0))</f>
        <v>79.53000000000003</v>
      </c>
      <c r="O27" s="217" t="str">
        <f ca="1">IF(INDEX(INDIRECT(""&amp;$B27&amp;"!V2:V700"),MATCH($A27,INDIRECT(""&amp;$B27&amp;"!B2:B700"),0))=0,"",INDEX(INDIRECT(""&amp;$B27&amp;"!V2:V700"),MATCH($A27,INDIRECT(""&amp;$B27&amp;"!B2:B700"),0)))</f>
        <v/>
      </c>
    </row>
    <row r="28" spans="1:15" x14ac:dyDescent="0.25">
      <c r="A28" s="195" t="s">
        <v>121</v>
      </c>
      <c r="B28" s="195" t="s">
        <v>32</v>
      </c>
      <c r="C28" s="195">
        <f ca="1">IFERROR(INDEX(BYEs!$B$2:$B$33,MATCH(D28,BYEs!$A$2:$A$33,0)),"N/A")</f>
        <v>8</v>
      </c>
      <c r="D28" s="195" t="str">
        <f ca="1">INDEX(INDIRECT(""&amp;B28&amp;"!E2:E700"),MATCH(A28,INDIRECT(""&amp;B28&amp;"!B2:B700"),0))</f>
        <v>JAC</v>
      </c>
      <c r="E28" s="194" t="str">
        <f ca="1">INDEX(INDIRECT(""&amp;$B28&amp;"!Z2:Z709"),MATCH($A28,INDIRECT(""&amp;$B28&amp;"!B2:B709"),0))</f>
        <v>RB6</v>
      </c>
      <c r="F28" s="196">
        <f ca="1">IF(LeagueInfo!$H$7="Starter/Bench",INDEX(INDIRECT(""&amp;B28&amp;"!S2:S709"),MATCH(A28,INDIRECT(""&amp;B28&amp;"!B2:B709"),0)),INDEX(INDIRECT(""&amp;B28&amp;"!AA2:AA709"),MATCH(A28,INDIRECT(""&amp;B28&amp;"!B2:B709"),0)))</f>
        <v>34.517358960916781</v>
      </c>
      <c r="G28" s="197">
        <f>IF(H28&gt;0,F28-H28,0)</f>
        <v>0</v>
      </c>
      <c r="H28" s="198"/>
      <c r="I28" s="197">
        <f ca="1">F28*$A$2</f>
        <v>34.517358960916781</v>
      </c>
      <c r="J28" s="197" t="s">
        <v>80</v>
      </c>
      <c r="K28" s="197">
        <f>IF(LeagueInfo!$F$7="Yahoo",IFERROR(INDEX(DefaultAuctionValues!$B$2:$B$359,MATCH(A28,DefaultAuctionValues!$A$2:$A$359,0)),0),IF(LeagueInfo!$F$7="ESPN",IFERROR(INDEX(DefaultAuctionValues!$C$2:$C$359,MATCH(A28,DefaultAuctionValues!$A$2:$A$359,0)),0),IF(LeagueInfo!$F$7="FantasyPros",IFERROR(INDEX(DefaultAuctionValues!$D$2:$D$359,MATCH(A28,DefaultAuctionValues!$A$2:$A$359,0)),0))))</f>
        <v>35</v>
      </c>
      <c r="L28" s="197">
        <f ca="1">I28-K28</f>
        <v>-0.48264103908321943</v>
      </c>
      <c r="M28" s="213"/>
      <c r="N28" s="208">
        <f ca="1">INDEX(INDIRECT(""&amp;$B28&amp;"!y2:y709"),MATCH($A28,INDIRECT(""&amp;$B28&amp;"!B2:B709"),0))</f>
        <v>76.449999999999989</v>
      </c>
      <c r="O28" s="217" t="str">
        <f ca="1">IF(INDEX(INDIRECT(""&amp;$B28&amp;"!V2:V700"),MATCH($A28,INDIRECT(""&amp;$B28&amp;"!B2:B700"),0))=0,"",INDEX(INDIRECT(""&amp;$B28&amp;"!V2:V700"),MATCH($A28,INDIRECT(""&amp;$B28&amp;"!B2:B700"),0)))</f>
        <v/>
      </c>
    </row>
    <row r="29" spans="1:15" x14ac:dyDescent="0.25">
      <c r="A29" s="195" t="s">
        <v>125</v>
      </c>
      <c r="B29" s="195" t="s">
        <v>33</v>
      </c>
      <c r="C29" s="195">
        <f ca="1">IFERROR(INDEX(BYEs!$B$2:$B$33,MATCH(D29,BYEs!$A$2:$A$33,0)),"N/A")</f>
        <v>9</v>
      </c>
      <c r="D29" s="195" t="str">
        <f ca="1">INDEX(INDIRECT(""&amp;B29&amp;"!E2:E700"),MATCH(A29,INDIRECT(""&amp;B29&amp;"!B2:B700"),0))</f>
        <v>NE</v>
      </c>
      <c r="E29" s="194" t="str">
        <f ca="1">INDEX(INDIRECT(""&amp;$B29&amp;"!Z2:Z709"),MATCH($A29,INDIRECT(""&amp;$B29&amp;"!B2:B709"),0))</f>
        <v>QB2</v>
      </c>
      <c r="F29" s="196">
        <f ca="1">IF(LeagueInfo!$H$7="Starter/Bench",INDEX(INDIRECT(""&amp;B29&amp;"!S2:S709"),MATCH(A29,INDIRECT(""&amp;B29&amp;"!B2:B709"),0)),INDEX(INDIRECT(""&amp;B29&amp;"!AA2:AA709"),MATCH(A29,INDIRECT(""&amp;B29&amp;"!B2:B709"),0)))</f>
        <v>34.464062279942326</v>
      </c>
      <c r="G29" s="197">
        <f>IF(H29&gt;0,F29-H29,0)</f>
        <v>0</v>
      </c>
      <c r="H29" s="198"/>
      <c r="I29" s="197">
        <f ca="1">F29*$A$2</f>
        <v>34.464062279942326</v>
      </c>
      <c r="J29" s="197" t="s">
        <v>80</v>
      </c>
      <c r="K29" s="197">
        <f>IF(LeagueInfo!$F$7="Yahoo",IFERROR(INDEX(DefaultAuctionValues!$B$2:$B$359,MATCH(A29,DefaultAuctionValues!$A$2:$A$359,0)),0),IF(LeagueInfo!$F$7="ESPN",IFERROR(INDEX(DefaultAuctionValues!$C$2:$C$359,MATCH(A29,DefaultAuctionValues!$A$2:$A$359,0)),0),IF(LeagueInfo!$F$7="FantasyPros",IFERROR(INDEX(DefaultAuctionValues!$D$2:$D$359,MATCH(A29,DefaultAuctionValues!$A$2:$A$359,0)),0))))</f>
        <v>28</v>
      </c>
      <c r="L29" s="197">
        <f ca="1">I29-K29</f>
        <v>6.4640622799423255</v>
      </c>
      <c r="M29" s="213"/>
      <c r="N29" s="208">
        <f ca="1">INDEX(INDIRECT(""&amp;$B29&amp;"!y2:y709"),MATCH($A29,INDIRECT(""&amp;$B29&amp;"!B2:B709"),0))</f>
        <v>76.455999999999975</v>
      </c>
      <c r="O29" s="217" t="str">
        <f ca="1">IF(INDEX(INDIRECT(""&amp;$B29&amp;"!V2:V700"),MATCH($A29,INDIRECT(""&amp;$B29&amp;"!B2:B700"),0))=0,"",INDEX(INDIRECT(""&amp;$B29&amp;"!V2:V700"),MATCH($A29,INDIRECT(""&amp;$B29&amp;"!B2:B700"),0)))</f>
        <v/>
      </c>
    </row>
    <row r="30" spans="1:15" x14ac:dyDescent="0.25">
      <c r="A30" s="195" t="s">
        <v>103</v>
      </c>
      <c r="B30" s="195" t="s">
        <v>39</v>
      </c>
      <c r="C30" s="195">
        <f ca="1">IFERROR(INDEX(BYEs!$B$2:$B$33,MATCH(D30,BYEs!$A$2:$A$33,0)),"N/A")</f>
        <v>11</v>
      </c>
      <c r="D30" s="195" t="str">
        <f ca="1">INDEX(INDIRECT(""&amp;B30&amp;"!E2:E700"),MATCH(A30,INDIRECT(""&amp;B30&amp;"!B2:B700"),0))</f>
        <v>TB</v>
      </c>
      <c r="E30" s="194" t="str">
        <f ca="1">INDEX(INDIRECT(""&amp;$B30&amp;"!Z2:Z709"),MATCH($A30,INDIRECT(""&amp;$B30&amp;"!B2:B709"),0))</f>
        <v>WR2</v>
      </c>
      <c r="F30" s="196">
        <f ca="1">IF(LeagueInfo!$H$7="Starter/Bench",INDEX(INDIRECT(""&amp;B30&amp;"!S2:S709"),MATCH(A30,INDIRECT(""&amp;B30&amp;"!B2:B709"),0)),INDEX(INDIRECT(""&amp;B30&amp;"!AA2:AA709"),MATCH(A30,INDIRECT(""&amp;B30&amp;"!B2:B709"),0)))</f>
        <v>34.380895452153894</v>
      </c>
      <c r="G30" s="197">
        <f>IF(H30&gt;0,F30-H30,0)</f>
        <v>0</v>
      </c>
      <c r="H30" s="198"/>
      <c r="I30" s="197">
        <f ca="1">F30*$A$2</f>
        <v>34.380895452153894</v>
      </c>
      <c r="J30" s="197" t="s">
        <v>80</v>
      </c>
      <c r="K30" s="197">
        <f>IF(LeagueInfo!$F$7="Yahoo",IFERROR(INDEX(DefaultAuctionValues!$B$2:$B$359,MATCH(A30,DefaultAuctionValues!$A$2:$A$359,0)),0),IF(LeagueInfo!$F$7="ESPN",IFERROR(INDEX(DefaultAuctionValues!$C$2:$C$359,MATCH(A30,DefaultAuctionValues!$A$2:$A$359,0)),0),IF(LeagueInfo!$F$7="FantasyPros",IFERROR(INDEX(DefaultAuctionValues!$D$2:$D$359,MATCH(A30,DefaultAuctionValues!$A$2:$A$359,0)),0))))</f>
        <v>58</v>
      </c>
      <c r="L30" s="197">
        <f ca="1">I30-K30</f>
        <v>-23.619104547846106</v>
      </c>
      <c r="M30" s="213"/>
      <c r="N30" s="208">
        <f ca="1">INDEX(INDIRECT(""&amp;$B30&amp;"!y2:y709"),MATCH($A30,INDIRECT(""&amp;$B30&amp;"!B2:B709"),0))</f>
        <v>77.06</v>
      </c>
      <c r="O30" s="217" t="str">
        <f ca="1">IF(INDEX(INDIRECT(""&amp;$B30&amp;"!V2:V700"),MATCH($A30,INDIRECT(""&amp;$B30&amp;"!B2:B700"),0))=0,"",INDEX(INDIRECT(""&amp;$B30&amp;"!V2:V700"),MATCH($A30,INDIRECT(""&amp;$B30&amp;"!B2:B700"),0)))</f>
        <v/>
      </c>
    </row>
    <row r="31" spans="1:15" x14ac:dyDescent="0.25">
      <c r="A31" s="195" t="s">
        <v>109</v>
      </c>
      <c r="B31" s="195" t="s">
        <v>39</v>
      </c>
      <c r="C31" s="195">
        <f ca="1">IFERROR(INDEX(BYEs!$B$2:$B$33,MATCH(D31,BYEs!$A$2:$A$33,0)),"N/A")</f>
        <v>8</v>
      </c>
      <c r="D31" s="195" t="str">
        <f ca="1">INDEX(INDIRECT(""&amp;B31&amp;"!E2:E700"),MATCH(A31,INDIRECT(""&amp;B31&amp;"!B2:B700"),0))</f>
        <v>GB</v>
      </c>
      <c r="E31" s="194" t="str">
        <f ca="1">INDEX(INDIRECT(""&amp;$B31&amp;"!Z2:Z709"),MATCH($A31,INDIRECT(""&amp;$B31&amp;"!B2:B709"),0))</f>
        <v>WR3</v>
      </c>
      <c r="F31" s="196">
        <f ca="1">IF(LeagueInfo!$H$7="Starter/Bench",INDEX(INDIRECT(""&amp;B31&amp;"!S2:S709"),MATCH(A31,INDIRECT(""&amp;B31&amp;"!B2:B709"),0)),INDEX(INDIRECT(""&amp;B31&amp;"!AA2:AA709"),MATCH(A31,INDIRECT(""&amp;B31&amp;"!B2:B709"),0)))</f>
        <v>34.236723475291633</v>
      </c>
      <c r="G31" s="197">
        <f>IF(H31&gt;0,F31-H31,0)</f>
        <v>0</v>
      </c>
      <c r="H31" s="198"/>
      <c r="I31" s="197">
        <f ca="1">F31*$A$2</f>
        <v>34.236723475291633</v>
      </c>
      <c r="J31" s="197" t="s">
        <v>80</v>
      </c>
      <c r="K31" s="197">
        <f>IF(LeagueInfo!$F$7="Yahoo",IFERROR(INDEX(DefaultAuctionValues!$B$2:$B$359,MATCH(A31,DefaultAuctionValues!$A$2:$A$359,0)),0),IF(LeagueInfo!$F$7="ESPN",IFERROR(INDEX(DefaultAuctionValues!$C$2:$C$359,MATCH(A31,DefaultAuctionValues!$A$2:$A$359,0)),0),IF(LeagueInfo!$F$7="FantasyPros",IFERROR(INDEX(DefaultAuctionValues!$D$2:$D$359,MATCH(A31,DefaultAuctionValues!$A$2:$A$359,0)),0))))</f>
        <v>48</v>
      </c>
      <c r="L31" s="197">
        <f ca="1">I31-K31</f>
        <v>-13.763276524708367</v>
      </c>
      <c r="M31" s="213"/>
      <c r="N31" s="208">
        <f ca="1">INDEX(INDIRECT(""&amp;$B31&amp;"!y2:y709"),MATCH($A31,INDIRECT(""&amp;$B31&amp;"!B2:B709"),0))</f>
        <v>76.72999999999999</v>
      </c>
      <c r="O31" s="217" t="str">
        <f ca="1">IF(INDEX(INDIRECT(""&amp;$B31&amp;"!V2:V700"),MATCH($A31,INDIRECT(""&amp;$B31&amp;"!B2:B700"),0))=0,"",INDEX(INDIRECT(""&amp;$B31&amp;"!V2:V700"),MATCH($A31,INDIRECT(""&amp;$B31&amp;"!B2:B700"),0)))</f>
        <v/>
      </c>
    </row>
    <row r="32" spans="1:15" x14ac:dyDescent="0.25">
      <c r="A32" s="195" t="s">
        <v>98</v>
      </c>
      <c r="B32" s="195" t="s">
        <v>32</v>
      </c>
      <c r="C32" s="195">
        <f ca="1">IFERROR(INDEX(BYEs!$B$2:$B$33,MATCH(D32,BYEs!$A$2:$A$33,0)),"N/A")</f>
        <v>6</v>
      </c>
      <c r="D32" s="195" t="str">
        <f ca="1">INDEX(INDIRECT(""&amp;B32&amp;"!E2:E700"),MATCH(A32,INDIRECT(""&amp;B32&amp;"!B2:B700"),0))</f>
        <v>DAL</v>
      </c>
      <c r="E32" s="194" t="str">
        <f ca="1">INDEX(INDIRECT(""&amp;$B32&amp;"!Z2:Z709"),MATCH($A32,INDIRECT(""&amp;$B32&amp;"!B2:B709"),0))</f>
        <v>RB7</v>
      </c>
      <c r="F32" s="196">
        <f ca="1">IF(LeagueInfo!$H$7="Starter/Bench",INDEX(INDIRECT(""&amp;B32&amp;"!S2:S709"),MATCH(A32,INDIRECT(""&amp;B32&amp;"!B2:B709"),0)),INDEX(INDIRECT(""&amp;B32&amp;"!AA2:AA709"),MATCH(A32,INDIRECT(""&amp;B32&amp;"!B2:B709"),0)))</f>
        <v>33.075639192294261</v>
      </c>
      <c r="G32" s="197">
        <f>IF(H32&gt;0,F32-H32,0)</f>
        <v>0</v>
      </c>
      <c r="H32" s="198"/>
      <c r="I32" s="197">
        <f ca="1">F32*$A$2</f>
        <v>33.075639192294261</v>
      </c>
      <c r="J32" s="197" t="s">
        <v>80</v>
      </c>
      <c r="K32" s="197">
        <f>IF(LeagueInfo!$F$7="Yahoo",IFERROR(INDEX(DefaultAuctionValues!$B$2:$B$359,MATCH(A32,DefaultAuctionValues!$A$2:$A$359,0)),0),IF(LeagueInfo!$F$7="ESPN",IFERROR(INDEX(DefaultAuctionValues!$C$2:$C$359,MATCH(A32,DefaultAuctionValues!$A$2:$A$359,0)),0),IF(LeagueInfo!$F$7="FantasyPros",IFERROR(INDEX(DefaultAuctionValues!$D$2:$D$359,MATCH(A32,DefaultAuctionValues!$A$2:$A$359,0)),0))))</f>
        <v>55</v>
      </c>
      <c r="L32" s="197">
        <f ca="1">I32-K32</f>
        <v>-21.924360807705739</v>
      </c>
      <c r="M32" s="213"/>
      <c r="N32" s="208">
        <f ca="1">INDEX(INDIRECT(""&amp;$B32&amp;"!y2:y709"),MATCH($A32,INDIRECT(""&amp;$B32&amp;"!B2:B709"),0))</f>
        <v>73.150000000000006</v>
      </c>
      <c r="O32" s="217" t="str">
        <f ca="1">IF(INDEX(INDIRECT(""&amp;$B32&amp;"!V2:V700"),MATCH($A32,INDIRECT(""&amp;$B32&amp;"!B2:B700"),0))=0,"",INDEX(INDIRECT(""&amp;$B32&amp;"!V2:V700"),MATCH($A32,INDIRECT(""&amp;$B32&amp;"!B2:B700"),0)))</f>
        <v/>
      </c>
    </row>
    <row r="33" spans="1:15" x14ac:dyDescent="0.25">
      <c r="A33" s="195" t="s">
        <v>134</v>
      </c>
      <c r="B33" s="195" t="s">
        <v>33</v>
      </c>
      <c r="C33" s="195">
        <f ca="1">IFERROR(INDEX(BYEs!$B$2:$B$33,MATCH(D33,BYEs!$A$2:$A$33,0)),"N/A")</f>
        <v>5</v>
      </c>
      <c r="D33" s="195" t="str">
        <f ca="1">INDEX(INDIRECT(""&amp;B33&amp;"!E2:E700"),MATCH(A33,INDIRECT(""&amp;B33&amp;"!B2:B700"),0))</f>
        <v>NO</v>
      </c>
      <c r="E33" s="194" t="str">
        <f ca="1">INDEX(INDIRECT(""&amp;$B33&amp;"!Z2:Z709"),MATCH($A33,INDIRECT(""&amp;$B33&amp;"!B2:B709"),0))</f>
        <v>QB2</v>
      </c>
      <c r="F33" s="196">
        <f ca="1">IF(LeagueInfo!$H$7="Starter/Bench",INDEX(INDIRECT(""&amp;B33&amp;"!S2:S709"),MATCH(A33,INDIRECT(""&amp;B33&amp;"!B2:B709"),0)),INDEX(INDIRECT(""&amp;B33&amp;"!AA2:AA709"),MATCH(A33,INDIRECT(""&amp;B33&amp;"!B2:B709"),0)))</f>
        <v>30.584525448012638</v>
      </c>
      <c r="G33" s="197">
        <f>IF(H33&gt;0,F33-H33,0)</f>
        <v>0</v>
      </c>
      <c r="H33" s="198"/>
      <c r="I33" s="197">
        <f ca="1">F33*$A$2</f>
        <v>30.584525448012638</v>
      </c>
      <c r="J33" s="197" t="s">
        <v>80</v>
      </c>
      <c r="K33" s="197">
        <f>IF(LeagueInfo!$F$7="Yahoo",IFERROR(INDEX(DefaultAuctionValues!$B$2:$B$359,MATCH(A33,DefaultAuctionValues!$A$2:$A$359,0)),0),IF(LeagueInfo!$F$7="ESPN",IFERROR(INDEX(DefaultAuctionValues!$C$2:$C$359,MATCH(A33,DefaultAuctionValues!$A$2:$A$359,0)),0),IF(LeagueInfo!$F$7="FantasyPros",IFERROR(INDEX(DefaultAuctionValues!$D$2:$D$359,MATCH(A33,DefaultAuctionValues!$A$2:$A$359,0)),0))))</f>
        <v>19</v>
      </c>
      <c r="L33" s="197">
        <f ca="1">I33-K33</f>
        <v>11.584525448012638</v>
      </c>
      <c r="M33" s="213"/>
      <c r="N33" s="208">
        <f ca="1">INDEX(INDIRECT(""&amp;$B33&amp;"!y2:y709"),MATCH($A33,INDIRECT(""&amp;$B33&amp;"!B2:B709"),0))</f>
        <v>67.575999999999979</v>
      </c>
      <c r="O33" s="217" t="str">
        <f ca="1">IF(INDEX(INDIRECT(""&amp;$B33&amp;"!V2:V700"),MATCH($A33,INDIRECT(""&amp;$B33&amp;"!B2:B700"),0))=0,"",INDEX(INDIRECT(""&amp;$B33&amp;"!V2:V700"),MATCH($A33,INDIRECT(""&amp;$B33&amp;"!B2:B700"),0)))</f>
        <v/>
      </c>
    </row>
    <row r="34" spans="1:15" x14ac:dyDescent="0.25">
      <c r="A34" s="195" t="s">
        <v>130</v>
      </c>
      <c r="B34" s="195" t="s">
        <v>32</v>
      </c>
      <c r="C34" s="195">
        <f ca="1">IFERROR(INDEX(BYEs!$B$2:$B$33,MATCH(D34,BYEs!$A$2:$A$33,0)),"N/A")</f>
        <v>9</v>
      </c>
      <c r="D34" s="195" t="str">
        <f ca="1">INDEX(INDIRECT(""&amp;B34&amp;"!E2:E700"),MATCH(A34,INDIRECT(""&amp;B34&amp;"!B2:B700"),0))</f>
        <v>CLE</v>
      </c>
      <c r="E34" s="194" t="str">
        <f ca="1">INDEX(INDIRECT(""&amp;$B34&amp;"!Z2:Z709"),MATCH($A34,INDIRECT(""&amp;$B34&amp;"!B2:B709"),0))</f>
        <v>RB7</v>
      </c>
      <c r="F34" s="196">
        <f ca="1">IF(LeagueInfo!$H$7="Starter/Bench",INDEX(INDIRECT(""&amp;B34&amp;"!S2:S709"),MATCH(A34,INDIRECT(""&amp;B34&amp;"!B2:B709"),0)),INDEX(INDIRECT(""&amp;B34&amp;"!AA2:AA709"),MATCH(A34,INDIRECT(""&amp;B34&amp;"!B2:B709"),0)))</f>
        <v>29.873273766838782</v>
      </c>
      <c r="G34" s="197">
        <f>IF(H34&gt;0,F34-H34,0)</f>
        <v>0</v>
      </c>
      <c r="H34" s="198"/>
      <c r="I34" s="197">
        <f ca="1">F34*$A$2</f>
        <v>29.873273766838782</v>
      </c>
      <c r="J34" s="197" t="s">
        <v>80</v>
      </c>
      <c r="K34" s="197">
        <f>IF(LeagueInfo!$F$7="Yahoo",IFERROR(INDEX(DefaultAuctionValues!$B$2:$B$359,MATCH(A34,DefaultAuctionValues!$A$2:$A$359,0)),0),IF(LeagueInfo!$F$7="ESPN",IFERROR(INDEX(DefaultAuctionValues!$C$2:$C$359,MATCH(A34,DefaultAuctionValues!$A$2:$A$359,0)),0),IF(LeagueInfo!$F$7="FantasyPros",IFERROR(INDEX(DefaultAuctionValues!$D$2:$D$359,MATCH(A34,DefaultAuctionValues!$A$2:$A$359,0)),0))))</f>
        <v>27</v>
      </c>
      <c r="L34" s="197">
        <f ca="1">I34-K34</f>
        <v>2.873273766838782</v>
      </c>
      <c r="M34" s="213"/>
      <c r="N34" s="208">
        <f ca="1">INDEX(INDIRECT(""&amp;$B34&amp;"!y2:y709"),MATCH($A34,INDIRECT(""&amp;$B34&amp;"!B2:B709"),0))</f>
        <v>65.819999999999993</v>
      </c>
      <c r="O34" s="217" t="str">
        <f ca="1">IF(INDEX(INDIRECT(""&amp;$B34&amp;"!V2:V700"),MATCH($A34,INDIRECT(""&amp;$B34&amp;"!B2:B700"),0))=0,"",INDEX(INDIRECT(""&amp;$B34&amp;"!V2:V700"),MATCH($A34,INDIRECT(""&amp;$B34&amp;"!B2:B700"),0)))</f>
        <v/>
      </c>
    </row>
    <row r="35" spans="1:15" x14ac:dyDescent="0.25">
      <c r="A35" s="195" t="s">
        <v>107</v>
      </c>
      <c r="B35" s="195" t="s">
        <v>39</v>
      </c>
      <c r="C35" s="195">
        <f ca="1">IFERROR(INDEX(BYEs!$B$2:$B$33,MATCH(D35,BYEs!$A$2:$A$33,0)),"N/A")</f>
        <v>6</v>
      </c>
      <c r="D35" s="195" t="str">
        <f ca="1">INDEX(INDIRECT(""&amp;B35&amp;"!E2:E700"),MATCH(A35,INDIRECT(""&amp;B35&amp;"!B2:B700"),0))</f>
        <v>CIN</v>
      </c>
      <c r="E35" s="194" t="str">
        <f ca="1">INDEX(INDIRECT(""&amp;$B35&amp;"!Z2:Z709"),MATCH($A35,INDIRECT(""&amp;$B35&amp;"!B2:B709"),0))</f>
        <v>WR3</v>
      </c>
      <c r="F35" s="196">
        <f ca="1">IF(LeagueInfo!$H$7="Starter/Bench",INDEX(INDIRECT(""&amp;B35&amp;"!S2:S709"),MATCH(A35,INDIRECT(""&amp;B35&amp;"!B2:B709"),0)),INDEX(INDIRECT(""&amp;B35&amp;"!AA2:AA709"),MATCH(A35,INDIRECT(""&amp;B35&amp;"!B2:B709"),0)))</f>
        <v>29.758654496994424</v>
      </c>
      <c r="G35" s="197">
        <f>IF(H35&gt;0,F35-H35,0)</f>
        <v>0</v>
      </c>
      <c r="H35" s="198"/>
      <c r="I35" s="197">
        <f ca="1">F35*$A$2</f>
        <v>29.758654496994424</v>
      </c>
      <c r="J35" s="197" t="s">
        <v>80</v>
      </c>
      <c r="K35" s="197">
        <f>IF(LeagueInfo!$F$7="Yahoo",IFERROR(INDEX(DefaultAuctionValues!$B$2:$B$359,MATCH(A35,DefaultAuctionValues!$A$2:$A$359,0)),0),IF(LeagueInfo!$F$7="ESPN",IFERROR(INDEX(DefaultAuctionValues!$C$2:$C$359,MATCH(A35,DefaultAuctionValues!$A$2:$A$359,0)),0),IF(LeagueInfo!$F$7="FantasyPros",IFERROR(INDEX(DefaultAuctionValues!$D$2:$D$359,MATCH(A35,DefaultAuctionValues!$A$2:$A$359,0)),0))))</f>
        <v>51</v>
      </c>
      <c r="L35" s="197">
        <f ca="1">I35-K35</f>
        <v>-21.241345503005576</v>
      </c>
      <c r="M35" s="213"/>
      <c r="N35" s="208">
        <f ca="1">INDEX(INDIRECT(""&amp;$B35&amp;"!y2:y709"),MATCH($A35,INDIRECT(""&amp;$B35&amp;"!B2:B709"),0))</f>
        <v>66.480000000000018</v>
      </c>
      <c r="O35" s="217" t="str">
        <f ca="1">IF(INDEX(INDIRECT(""&amp;$B35&amp;"!V2:V700"),MATCH($A35,INDIRECT(""&amp;$B35&amp;"!B2:B700"),0))=0,"",INDEX(INDIRECT(""&amp;$B35&amp;"!V2:V700"),MATCH($A35,INDIRECT(""&amp;$B35&amp;"!B2:B700"),0)))</f>
        <v/>
      </c>
    </row>
    <row r="36" spans="1:15" x14ac:dyDescent="0.25">
      <c r="A36" s="195" t="s">
        <v>136</v>
      </c>
      <c r="B36" s="195" t="s">
        <v>32</v>
      </c>
      <c r="C36" s="195">
        <f ca="1">IFERROR(INDEX(BYEs!$B$2:$B$33,MATCH(D36,BYEs!$A$2:$A$33,0)),"N/A")</f>
        <v>10</v>
      </c>
      <c r="D36" s="195" t="str">
        <f ca="1">INDEX(INDIRECT(""&amp;B36&amp;"!E2:E700"),MATCH(A36,INDIRECT(""&amp;B36&amp;"!B2:B700"),0))</f>
        <v>OAK</v>
      </c>
      <c r="E36" s="194" t="str">
        <f ca="1">INDEX(INDIRECT(""&amp;$B36&amp;"!Z2:Z709"),MATCH($A36,INDIRECT(""&amp;$B36&amp;"!B2:B709"),0))</f>
        <v>RB7</v>
      </c>
      <c r="F36" s="196">
        <f ca="1">IF(LeagueInfo!$H$7="Starter/Bench",INDEX(INDIRECT(""&amp;B36&amp;"!S2:S709"),MATCH(A36,INDIRECT(""&amp;B36&amp;"!B2:B709"),0)),INDEX(INDIRECT(""&amp;B36&amp;"!AA2:AA709"),MATCH(A36,INDIRECT(""&amp;B36&amp;"!B2:B709"),0)))</f>
        <v>28.488349019404428</v>
      </c>
      <c r="G36" s="197">
        <f>IF(H36&gt;0,F36-H36,0)</f>
        <v>0</v>
      </c>
      <c r="H36" s="198"/>
      <c r="I36" s="197">
        <f ca="1">F36*$A$2</f>
        <v>28.488349019404428</v>
      </c>
      <c r="J36" s="197" t="s">
        <v>80</v>
      </c>
      <c r="K36" s="197">
        <f>IF(LeagueInfo!$F$7="Yahoo",IFERROR(INDEX(DefaultAuctionValues!$B$2:$B$359,MATCH(A36,DefaultAuctionValues!$A$2:$A$359,0)),0),IF(LeagueInfo!$F$7="ESPN",IFERROR(INDEX(DefaultAuctionValues!$C$2:$C$359,MATCH(A36,DefaultAuctionValues!$A$2:$A$359,0)),0),IF(LeagueInfo!$F$7="FantasyPros",IFERROR(INDEX(DefaultAuctionValues!$D$2:$D$359,MATCH(A36,DefaultAuctionValues!$A$2:$A$359,0)),0))))</f>
        <v>19</v>
      </c>
      <c r="L36" s="197">
        <f ca="1">I36-K36</f>
        <v>9.4883490194044278</v>
      </c>
      <c r="M36" s="213"/>
      <c r="N36" s="208">
        <f ca="1">INDEX(INDIRECT(""&amp;$B36&amp;"!y2:y709"),MATCH($A36,INDIRECT(""&amp;$B36&amp;"!B2:B709"),0))</f>
        <v>62.650000000000006</v>
      </c>
      <c r="O36" s="217" t="str">
        <f ca="1">IF(INDEX(INDIRECT(""&amp;$B36&amp;"!V2:V700"),MATCH($A36,INDIRECT(""&amp;$B36&amp;"!B2:B700"),0))=0,"",INDEX(INDIRECT(""&amp;$B36&amp;"!V2:V700"),MATCH($A36,INDIRECT(""&amp;$B36&amp;"!B2:B700"),0)))</f>
        <v/>
      </c>
    </row>
    <row r="37" spans="1:15" x14ac:dyDescent="0.25">
      <c r="A37" s="195" t="s">
        <v>156</v>
      </c>
      <c r="B37" s="195" t="s">
        <v>32</v>
      </c>
      <c r="C37" s="195">
        <f ca="1">IFERROR(INDEX(BYEs!$B$2:$B$33,MATCH(D37,BYEs!$A$2:$A$33,0)),"N/A")</f>
        <v>9</v>
      </c>
      <c r="D37" s="195" t="str">
        <f ca="1">INDEX(INDIRECT(""&amp;B37&amp;"!E2:E700"),MATCH(A37,INDIRECT(""&amp;B37&amp;"!B2:B700"),0))</f>
        <v>MIN</v>
      </c>
      <c r="E37" s="194" t="str">
        <f ca="1">INDEX(INDIRECT(""&amp;$B37&amp;"!Z2:Z709"),MATCH($A37,INDIRECT(""&amp;$B37&amp;"!B2:B709"),0))</f>
        <v>RB7</v>
      </c>
      <c r="F37" s="196">
        <f ca="1">IF(LeagueInfo!$H$7="Starter/Bench",INDEX(INDIRECT(""&amp;B37&amp;"!S2:S709"),MATCH(A37,INDIRECT(""&amp;B37&amp;"!B2:B709"),0)),INDEX(INDIRECT(""&amp;B37&amp;"!AA2:AA709"),MATCH(A37,INDIRECT(""&amp;B37&amp;"!B2:B709"),0)))</f>
        <v>28.352914738109583</v>
      </c>
      <c r="G37" s="197">
        <f>IF(H37&gt;0,F37-H37,0)</f>
        <v>0</v>
      </c>
      <c r="H37" s="198"/>
      <c r="I37" s="197">
        <f ca="1">F37*$A$2</f>
        <v>28.352914738109583</v>
      </c>
      <c r="J37" s="197" t="s">
        <v>80</v>
      </c>
      <c r="K37" s="197">
        <f>IF(LeagueInfo!$F$7="Yahoo",IFERROR(INDEX(DefaultAuctionValues!$B$2:$B$359,MATCH(A37,DefaultAuctionValues!$A$2:$A$359,0)),0),IF(LeagueInfo!$F$7="ESPN",IFERROR(INDEX(DefaultAuctionValues!$C$2:$C$359,MATCH(A37,DefaultAuctionValues!$A$2:$A$359,0)),0),IF(LeagueInfo!$F$7="FantasyPros",IFERROR(INDEX(DefaultAuctionValues!$D$2:$D$359,MATCH(A37,DefaultAuctionValues!$A$2:$A$359,0)),0))))</f>
        <v>8</v>
      </c>
      <c r="L37" s="197">
        <f ca="1">I37-K37</f>
        <v>20.352914738109583</v>
      </c>
      <c r="M37" s="213"/>
      <c r="N37" s="208">
        <f ca="1">INDEX(INDIRECT(""&amp;$B37&amp;"!y2:y709"),MATCH($A37,INDIRECT(""&amp;$B37&amp;"!B2:B709"),0))</f>
        <v>62.34</v>
      </c>
      <c r="O37" s="217" t="str">
        <f ca="1">IF(INDEX(INDIRECT(""&amp;$B37&amp;"!V2:V700"),MATCH($A37,INDIRECT(""&amp;$B37&amp;"!B2:B700"),0))=0,"",INDEX(INDIRECT(""&amp;$B37&amp;"!V2:V700"),MATCH($A37,INDIRECT(""&amp;$B37&amp;"!B2:B700"),0)))</f>
        <v/>
      </c>
    </row>
    <row r="38" spans="1:15" x14ac:dyDescent="0.25">
      <c r="A38" s="195" t="s">
        <v>153</v>
      </c>
      <c r="B38" s="195" t="s">
        <v>33</v>
      </c>
      <c r="C38" s="195">
        <f ca="1">IFERROR(INDEX(BYEs!$B$2:$B$33,MATCH(D38,BYEs!$A$2:$A$33,0)),"N/A")</f>
        <v>5</v>
      </c>
      <c r="D38" s="195" t="str">
        <f ca="1">INDEX(INDIRECT(""&amp;B38&amp;"!E2:E700"),MATCH(A38,INDIRECT(""&amp;B38&amp;"!B2:B700"),0))</f>
        <v>ATL</v>
      </c>
      <c r="E38" s="194" t="str">
        <f ca="1">INDEX(INDIRECT(""&amp;$B38&amp;"!Z2:Z709"),MATCH($A38,INDIRECT(""&amp;$B38&amp;"!B2:B709"),0))</f>
        <v>QB2</v>
      </c>
      <c r="F38" s="196">
        <f ca="1">IF(LeagueInfo!$H$7="Starter/Bench",INDEX(INDIRECT(""&amp;B38&amp;"!S2:S709"),MATCH(A38,INDIRECT(""&amp;B38&amp;"!B2:B709"),0)),INDEX(INDIRECT(""&amp;B38&amp;"!AA2:AA709"),MATCH(A38,INDIRECT(""&amp;B38&amp;"!B2:B709"),0)))</f>
        <v>27.681862980519295</v>
      </c>
      <c r="G38" s="197">
        <f>IF(H38&gt;0,F38-H38,0)</f>
        <v>0</v>
      </c>
      <c r="H38" s="198"/>
      <c r="I38" s="197">
        <f ca="1">F38*$A$2</f>
        <v>27.681862980519295</v>
      </c>
      <c r="J38" s="197" t="s">
        <v>80</v>
      </c>
      <c r="K38" s="197">
        <f>IF(LeagueInfo!$F$7="Yahoo",IFERROR(INDEX(DefaultAuctionValues!$B$2:$B$359,MATCH(A38,DefaultAuctionValues!$A$2:$A$359,0)),0),IF(LeagueInfo!$F$7="ESPN",IFERROR(INDEX(DefaultAuctionValues!$C$2:$C$359,MATCH(A38,DefaultAuctionValues!$A$2:$A$359,0)),0),IF(LeagueInfo!$F$7="FantasyPros",IFERROR(INDEX(DefaultAuctionValues!$D$2:$D$359,MATCH(A38,DefaultAuctionValues!$A$2:$A$359,0)),0))))</f>
        <v>6</v>
      </c>
      <c r="L38" s="197">
        <f ca="1">I38-K38</f>
        <v>21.681862980519295</v>
      </c>
      <c r="M38" s="213"/>
      <c r="N38" s="208">
        <f ca="1">INDEX(INDIRECT(""&amp;$B38&amp;"!y2:y709"),MATCH($A38,INDIRECT(""&amp;$B38&amp;"!B2:B709"),0))</f>
        <v>60.931999999999974</v>
      </c>
      <c r="O38" s="217" t="str">
        <f ca="1">IF(INDEX(INDIRECT(""&amp;$B38&amp;"!V2:V700"),MATCH($A38,INDIRECT(""&amp;$B38&amp;"!B2:B700"),0))=0,"",INDEX(INDIRECT(""&amp;$B38&amp;"!V2:V700"),MATCH($A38,INDIRECT(""&amp;$B38&amp;"!B2:B700"),0)))</f>
        <v/>
      </c>
    </row>
    <row r="39" spans="1:15" x14ac:dyDescent="0.25">
      <c r="A39" s="195" t="s">
        <v>111</v>
      </c>
      <c r="B39" s="195" t="s">
        <v>39</v>
      </c>
      <c r="C39" s="195">
        <f ca="1">IFERROR(INDEX(BYEs!$B$2:$B$33,MATCH(D39,BYEs!$A$2:$A$33,0)),"N/A")</f>
        <v>5</v>
      </c>
      <c r="D39" s="195" t="str">
        <f ca="1">INDEX(INDIRECT(""&amp;B39&amp;"!E2:E700"),MATCH(A39,INDIRECT(""&amp;B39&amp;"!B2:B700"),0))</f>
        <v>NO</v>
      </c>
      <c r="E39" s="194" t="str">
        <f ca="1">INDEX(INDIRECT(""&amp;$B39&amp;"!Z2:Z709"),MATCH($A39,INDIRECT(""&amp;$B39&amp;"!B2:B709"),0))</f>
        <v>WR4</v>
      </c>
      <c r="F39" s="196">
        <f ca="1">IF(LeagueInfo!$H$7="Starter/Bench",INDEX(INDIRECT(""&amp;B39&amp;"!S2:S709"),MATCH(A39,INDIRECT(""&amp;B39&amp;"!B2:B709"),0)),INDEX(INDIRECT(""&amp;B39&amp;"!AA2:AA709"),MATCH(A39,INDIRECT(""&amp;B39&amp;"!B2:B709"),0)))</f>
        <v>27.66597640859991</v>
      </c>
      <c r="G39" s="197">
        <f>IF(H39&gt;0,F39-H39,0)</f>
        <v>0</v>
      </c>
      <c r="H39" s="198"/>
      <c r="I39" s="197">
        <f ca="1">F39*$A$2</f>
        <v>27.66597640859991</v>
      </c>
      <c r="J39" s="197" t="s">
        <v>80</v>
      </c>
      <c r="K39" s="197">
        <f>IF(LeagueInfo!$F$7="Yahoo",IFERROR(INDEX(DefaultAuctionValues!$B$2:$B$359,MATCH(A39,DefaultAuctionValues!$A$2:$A$359,0)),0),IF(LeagueInfo!$F$7="ESPN",IFERROR(INDEX(DefaultAuctionValues!$C$2:$C$359,MATCH(A39,DefaultAuctionValues!$A$2:$A$359,0)),0),IF(LeagueInfo!$F$7="FantasyPros",IFERROR(INDEX(DefaultAuctionValues!$D$2:$D$359,MATCH(A39,DefaultAuctionValues!$A$2:$A$359,0)),0))))</f>
        <v>44</v>
      </c>
      <c r="L39" s="197">
        <f ca="1">I39-K39</f>
        <v>-16.33402359140009</v>
      </c>
      <c r="M39" s="213"/>
      <c r="N39" s="208">
        <f ca="1">INDEX(INDIRECT(""&amp;$B39&amp;"!y2:y709"),MATCH($A39,INDIRECT(""&amp;$B39&amp;"!B2:B709"),0))</f>
        <v>61.689999999999991</v>
      </c>
      <c r="O39" s="217" t="str">
        <f ca="1">IF(INDEX(INDIRECT(""&amp;$B39&amp;"!V2:V700"),MATCH($A39,INDIRECT(""&amp;$B39&amp;"!B2:B700"),0))=0,"",INDEX(INDIRECT(""&amp;$B39&amp;"!V2:V700"),MATCH($A39,INDIRECT(""&amp;$B39&amp;"!B2:B700"),0)))</f>
        <v/>
      </c>
    </row>
    <row r="40" spans="1:15" x14ac:dyDescent="0.25">
      <c r="A40" s="195" t="s">
        <v>114</v>
      </c>
      <c r="B40" s="195" t="s">
        <v>39</v>
      </c>
      <c r="C40" s="195">
        <f ca="1">IFERROR(INDEX(BYEs!$B$2:$B$33,MATCH(D40,BYEs!$A$2:$A$33,0)),"N/A")</f>
        <v>11</v>
      </c>
      <c r="D40" s="195" t="str">
        <f ca="1">INDEX(INDIRECT(""&amp;B40&amp;"!E2:E700"),MATCH(A40,INDIRECT(""&amp;B40&amp;"!B2:B700"),0))</f>
        <v>IND</v>
      </c>
      <c r="E40" s="194" t="str">
        <f ca="1">INDEX(INDIRECT(""&amp;$B40&amp;"!Z2:Z709"),MATCH($A40,INDIRECT(""&amp;$B40&amp;"!B2:B709"),0))</f>
        <v>WR4</v>
      </c>
      <c r="F40" s="196">
        <f ca="1">IF(LeagueInfo!$H$7="Starter/Bench",INDEX(INDIRECT(""&amp;B40&amp;"!S2:S709"),MATCH(A40,INDIRECT(""&amp;B40&amp;"!B2:B709"),0)),INDEX(INDIRECT(""&amp;B40&amp;"!AA2:AA709"),MATCH(A40,INDIRECT(""&amp;B40&amp;"!B2:B709"),0)))</f>
        <v>25.424757495559447</v>
      </c>
      <c r="G40" s="197">
        <f>IF(H40&gt;0,F40-H40,0)</f>
        <v>0</v>
      </c>
      <c r="H40" s="198"/>
      <c r="I40" s="197">
        <f ca="1">F40*$A$2</f>
        <v>25.424757495559447</v>
      </c>
      <c r="J40" s="197" t="s">
        <v>80</v>
      </c>
      <c r="K40" s="197">
        <f>IF(LeagueInfo!$F$7="Yahoo",IFERROR(INDEX(DefaultAuctionValues!$B$2:$B$359,MATCH(A40,DefaultAuctionValues!$A$2:$A$359,0)),0),IF(LeagueInfo!$F$7="ESPN",IFERROR(INDEX(DefaultAuctionValues!$C$2:$C$359,MATCH(A40,DefaultAuctionValues!$A$2:$A$359,0)),0),IF(LeagueInfo!$F$7="FantasyPros",IFERROR(INDEX(DefaultAuctionValues!$D$2:$D$359,MATCH(A40,DefaultAuctionValues!$A$2:$A$359,0)),0))))</f>
        <v>38</v>
      </c>
      <c r="L40" s="197">
        <f ca="1">I40-K40</f>
        <v>-12.575242504440553</v>
      </c>
      <c r="M40" s="213"/>
      <c r="N40" s="208">
        <f ca="1">INDEX(INDIRECT(""&amp;$B40&amp;"!y2:y709"),MATCH($A40,INDIRECT(""&amp;$B40&amp;"!B2:B709"),0))</f>
        <v>56.559999999999995</v>
      </c>
      <c r="O40" s="217" t="str">
        <f ca="1">IF(INDEX(INDIRECT(""&amp;$B40&amp;"!V2:V700"),MATCH($A40,INDIRECT(""&amp;$B40&amp;"!B2:B700"),0))=0,"",INDEX(INDIRECT(""&amp;$B40&amp;"!V2:V700"),MATCH($A40,INDIRECT(""&amp;$B40&amp;"!B2:B700"),0)))</f>
        <v/>
      </c>
    </row>
    <row r="41" spans="1:15" x14ac:dyDescent="0.25">
      <c r="A41" s="195" t="s">
        <v>149</v>
      </c>
      <c r="B41" s="195" t="s">
        <v>32</v>
      </c>
      <c r="C41" s="195">
        <f ca="1">IFERROR(INDEX(BYEs!$B$2:$B$33,MATCH(D41,BYEs!$A$2:$A$33,0)),"N/A")</f>
        <v>8</v>
      </c>
      <c r="D41" s="195" t="str">
        <f ca="1">INDEX(INDIRECT(""&amp;B41&amp;"!E2:E700"),MATCH(A41,INDIRECT(""&amp;B41&amp;"!B2:B700"),0))</f>
        <v>GB</v>
      </c>
      <c r="E41" s="194" t="str">
        <f ca="1">INDEX(INDIRECT(""&amp;$B41&amp;"!Z2:Z709"),MATCH($A41,INDIRECT(""&amp;$B41&amp;"!B2:B709"),0))</f>
        <v>RB8</v>
      </c>
      <c r="F41" s="196">
        <f ca="1">IF(LeagueInfo!$H$7="Starter/Bench",INDEX(INDIRECT(""&amp;B41&amp;"!S2:S709"),MATCH(A41,INDIRECT(""&amp;B41&amp;"!B2:B709"),0)),INDEX(INDIRECT(""&amp;B41&amp;"!AA2:AA709"),MATCH(A41,INDIRECT(""&amp;B41&amp;"!B2:B709"),0)))</f>
        <v>24.805410337741442</v>
      </c>
      <c r="G41" s="197">
        <f>IF(H41&gt;0,F41-H41,0)</f>
        <v>0</v>
      </c>
      <c r="H41" s="198"/>
      <c r="I41" s="197">
        <f ca="1">F41*$A$2</f>
        <v>24.805410337741442</v>
      </c>
      <c r="J41" s="197" t="s">
        <v>80</v>
      </c>
      <c r="K41" s="197">
        <f>IF(LeagueInfo!$F$7="Yahoo",IFERROR(INDEX(DefaultAuctionValues!$B$2:$B$359,MATCH(A41,DefaultAuctionValues!$A$2:$A$359,0)),0),IF(LeagueInfo!$F$7="ESPN",IFERROR(INDEX(DefaultAuctionValues!$C$2:$C$359,MATCH(A41,DefaultAuctionValues!$A$2:$A$359,0)),0),IF(LeagueInfo!$F$7="FantasyPros",IFERROR(INDEX(DefaultAuctionValues!$D$2:$D$359,MATCH(A41,DefaultAuctionValues!$A$2:$A$359,0)),0))))</f>
        <v>11</v>
      </c>
      <c r="L41" s="197">
        <f ca="1">I41-K41</f>
        <v>13.805410337741442</v>
      </c>
      <c r="M41" s="213"/>
      <c r="N41" s="208">
        <f ca="1">INDEX(INDIRECT(""&amp;$B41&amp;"!y2:y709"),MATCH($A41,INDIRECT(""&amp;$B41&amp;"!B2:B709"),0))</f>
        <v>54.22</v>
      </c>
      <c r="O41" s="217" t="str">
        <f ca="1">IF(INDEX(INDIRECT(""&amp;$B41&amp;"!V2:V700"),MATCH($A41,INDIRECT(""&amp;$B41&amp;"!B2:B700"),0))=0,"",INDEX(INDIRECT(""&amp;$B41&amp;"!V2:V700"),MATCH($A41,INDIRECT(""&amp;$B41&amp;"!B2:B700"),0)))</f>
        <v/>
      </c>
    </row>
    <row r="42" spans="1:15" x14ac:dyDescent="0.25">
      <c r="A42" s="195" t="s">
        <v>126</v>
      </c>
      <c r="B42" s="195" t="s">
        <v>32</v>
      </c>
      <c r="C42" s="195">
        <f ca="1">IFERROR(INDEX(BYEs!$B$2:$B$33,MATCH(D42,BYEs!$A$2:$A$33,0)),"N/A")</f>
        <v>11</v>
      </c>
      <c r="D42" s="195" t="str">
        <f ca="1">INDEX(INDIRECT(""&amp;B42&amp;"!E2:E700"),MATCH(A42,INDIRECT(""&amp;B42&amp;"!B2:B700"),0))</f>
        <v>CAR</v>
      </c>
      <c r="E42" s="194" t="str">
        <f ca="1">INDEX(INDIRECT(""&amp;$B42&amp;"!Z2:Z709"),MATCH($A42,INDIRECT(""&amp;$B42&amp;"!B2:B709"),0))</f>
        <v>RB8</v>
      </c>
      <c r="F42" s="196">
        <f ca="1">IF(LeagueInfo!$H$7="Starter/Bench",INDEX(INDIRECT(""&amp;B42&amp;"!S2:S709"),MATCH(A42,INDIRECT(""&amp;B42&amp;"!B2:B709"),0)),INDEX(INDIRECT(""&amp;B42&amp;"!AA2:AA709"),MATCH(A42,INDIRECT(""&amp;B42&amp;"!B2:B709"),0)))</f>
        <v>24.407845189424322</v>
      </c>
      <c r="G42" s="197">
        <f>IF(H42&gt;0,F42-H42,0)</f>
        <v>0</v>
      </c>
      <c r="H42" s="198"/>
      <c r="I42" s="197">
        <f ca="1">F42*$A$2</f>
        <v>24.407845189424322</v>
      </c>
      <c r="J42" s="197" t="s">
        <v>80</v>
      </c>
      <c r="K42" s="197">
        <f>IF(LeagueInfo!$F$7="Yahoo",IFERROR(INDEX(DefaultAuctionValues!$B$2:$B$359,MATCH(A42,DefaultAuctionValues!$A$2:$A$359,0)),0),IF(LeagueInfo!$F$7="ESPN",IFERROR(INDEX(DefaultAuctionValues!$C$2:$C$359,MATCH(A42,DefaultAuctionValues!$A$2:$A$359,0)),0),IF(LeagueInfo!$F$7="FantasyPros",IFERROR(INDEX(DefaultAuctionValues!$D$2:$D$359,MATCH(A42,DefaultAuctionValues!$A$2:$A$359,0)),0))))</f>
        <v>28</v>
      </c>
      <c r="L42" s="197">
        <f ca="1">I42-K42</f>
        <v>-3.5921548105756784</v>
      </c>
      <c r="M42" s="213"/>
      <c r="N42" s="208">
        <f ca="1">INDEX(INDIRECT(""&amp;$B42&amp;"!y2:y709"),MATCH($A42,INDIRECT(""&amp;$B42&amp;"!B2:B709"),0))</f>
        <v>53.31</v>
      </c>
      <c r="O42" s="217" t="str">
        <f ca="1">IF(INDEX(INDIRECT(""&amp;$B42&amp;"!V2:V700"),MATCH($A42,INDIRECT(""&amp;$B42&amp;"!B2:B700"),0))=0,"",INDEX(INDIRECT(""&amp;$B42&amp;"!V2:V700"),MATCH($A42,INDIRECT(""&amp;$B42&amp;"!B2:B700"),0)))</f>
        <v/>
      </c>
    </row>
    <row r="43" spans="1:15" x14ac:dyDescent="0.25">
      <c r="A43" s="195" t="s">
        <v>141</v>
      </c>
      <c r="B43" s="195" t="s">
        <v>32</v>
      </c>
      <c r="C43" s="195">
        <f ca="1">IFERROR(INDEX(BYEs!$B$2:$B$33,MATCH(D43,BYEs!$A$2:$A$33,0)),"N/A")</f>
        <v>5</v>
      </c>
      <c r="D43" s="195" t="str">
        <f ca="1">INDEX(INDIRECT(""&amp;B43&amp;"!E2:E700"),MATCH(A43,INDIRECT(""&amp;B43&amp;"!B2:B700"),0))</f>
        <v>NO</v>
      </c>
      <c r="E43" s="194" t="str">
        <f ca="1">INDEX(INDIRECT(""&amp;$B43&amp;"!Z2:Z709"),MATCH($A43,INDIRECT(""&amp;$B43&amp;"!B2:B709"),0))</f>
        <v>RB8</v>
      </c>
      <c r="F43" s="196">
        <f ca="1">IF(LeagueInfo!$H$7="Starter/Bench",INDEX(INDIRECT(""&amp;B43&amp;"!S2:S709"),MATCH(A43,INDIRECT(""&amp;B43&amp;"!B2:B709"),0)),INDEX(INDIRECT(""&amp;B43&amp;"!AA2:AA709"),MATCH(A43,INDIRECT(""&amp;B43&amp;"!B2:B709"),0)))</f>
        <v>24.298623994831708</v>
      </c>
      <c r="G43" s="197">
        <f>IF(H43&gt;0,F43-H43,0)</f>
        <v>0</v>
      </c>
      <c r="H43" s="198"/>
      <c r="I43" s="197">
        <f ca="1">F43*$A$2</f>
        <v>24.298623994831708</v>
      </c>
      <c r="J43" s="197" t="s">
        <v>80</v>
      </c>
      <c r="K43" s="197">
        <f>IF(LeagueInfo!$F$7="Yahoo",IFERROR(INDEX(DefaultAuctionValues!$B$2:$B$359,MATCH(A43,DefaultAuctionValues!$A$2:$A$359,0)),0),IF(LeagueInfo!$F$7="ESPN",IFERROR(INDEX(DefaultAuctionValues!$C$2:$C$359,MATCH(A43,DefaultAuctionValues!$A$2:$A$359,0)),0),IF(LeagueInfo!$F$7="FantasyPros",IFERROR(INDEX(DefaultAuctionValues!$D$2:$D$359,MATCH(A43,DefaultAuctionValues!$A$2:$A$359,0)),0))))</f>
        <v>9</v>
      </c>
      <c r="L43" s="197">
        <f ca="1">I43-K43</f>
        <v>15.298623994831708</v>
      </c>
      <c r="M43" s="213"/>
      <c r="N43" s="208">
        <f ca="1">INDEX(INDIRECT(""&amp;$B43&amp;"!y2:y709"),MATCH($A43,INDIRECT(""&amp;$B43&amp;"!B2:B709"),0))</f>
        <v>53.06</v>
      </c>
      <c r="O43" s="217" t="str">
        <f ca="1">IF(INDEX(INDIRECT(""&amp;$B43&amp;"!V2:V700"),MATCH($A43,INDIRECT(""&amp;$B43&amp;"!B2:B700"),0))=0,"",INDEX(INDIRECT(""&amp;$B43&amp;"!V2:V700"),MATCH($A43,INDIRECT(""&amp;$B43&amp;"!B2:B700"),0)))</f>
        <v/>
      </c>
    </row>
    <row r="44" spans="1:15" x14ac:dyDescent="0.25">
      <c r="A44" s="195" t="s">
        <v>133</v>
      </c>
      <c r="B44" s="195" t="s">
        <v>47</v>
      </c>
      <c r="C44" s="195">
        <f ca="1">IFERROR(INDEX(BYEs!$B$2:$B$33,MATCH(D44,BYEs!$A$2:$A$33,0)),"N/A")</f>
        <v>10</v>
      </c>
      <c r="D44" s="195" t="str">
        <f ca="1">INDEX(INDIRECT(""&amp;B44&amp;"!E2:E700"),MATCH(A44,INDIRECT(""&amp;B44&amp;"!B2:B700"),0))</f>
        <v>KC</v>
      </c>
      <c r="E44" s="194" t="str">
        <f ca="1">INDEX(INDIRECT(""&amp;$B44&amp;"!Z2:Z709"),MATCH($A44,INDIRECT(""&amp;$B44&amp;"!B2:B709"),0))</f>
        <v>TE4</v>
      </c>
      <c r="F44" s="196">
        <f ca="1">IF(LeagueInfo!$H$7="Starter/Bench",INDEX(INDIRECT(""&amp;B44&amp;"!S2:S709"),MATCH(A44,INDIRECT(""&amp;B44&amp;"!B2:B709"),0)),INDEX(INDIRECT(""&amp;B44&amp;"!AA2:AA709"),MATCH(A44,INDIRECT(""&amp;B44&amp;"!B2:B709"),0)))</f>
        <v>24.184458609500648</v>
      </c>
      <c r="G44" s="197">
        <f>IF(H44&gt;0,F44-H44,0)</f>
        <v>0</v>
      </c>
      <c r="H44" s="198"/>
      <c r="I44" s="197">
        <f ca="1">F44*$A$2</f>
        <v>24.184458609500648</v>
      </c>
      <c r="J44" s="197" t="s">
        <v>80</v>
      </c>
      <c r="K44" s="197">
        <f>IF(LeagueInfo!$F$7="Yahoo",IFERROR(INDEX(DefaultAuctionValues!$B$2:$B$359,MATCH(A44,DefaultAuctionValues!$A$2:$A$359,0)),0),IF(LeagueInfo!$F$7="ESPN",IFERROR(INDEX(DefaultAuctionValues!$C$2:$C$359,MATCH(A44,DefaultAuctionValues!$A$2:$A$359,0)),0),IF(LeagueInfo!$F$7="FantasyPros",IFERROR(INDEX(DefaultAuctionValues!$D$2:$D$359,MATCH(A44,DefaultAuctionValues!$A$2:$A$359,0)),0))))</f>
        <v>23</v>
      </c>
      <c r="L44" s="197">
        <f ca="1">I44-K44</f>
        <v>1.1844586095006484</v>
      </c>
      <c r="M44" s="213"/>
      <c r="N44" s="208">
        <f ca="1">INDEX(INDIRECT(""&amp;$B44&amp;"!y2:y709"),MATCH($A44,INDIRECT(""&amp;$B44&amp;"!B2:B709"),0))</f>
        <v>53.974999999999987</v>
      </c>
      <c r="O44" s="217" t="str">
        <f ca="1">IF(INDEX(INDIRECT(""&amp;$B44&amp;"!V2:V700"),MATCH($A44,INDIRECT(""&amp;$B44&amp;"!B2:B700"),0))=0,"",INDEX(INDIRECT(""&amp;$B44&amp;"!V2:V700"),MATCH($A44,INDIRECT(""&amp;$B44&amp;"!B2:B700"),0)))</f>
        <v/>
      </c>
    </row>
    <row r="45" spans="1:15" x14ac:dyDescent="0.25">
      <c r="A45" s="195" t="s">
        <v>165</v>
      </c>
      <c r="B45" s="195" t="s">
        <v>33</v>
      </c>
      <c r="C45" s="195">
        <f ca="1">IFERROR(INDEX(BYEs!$B$2:$B$33,MATCH(D45,BYEs!$A$2:$A$33,0)),"N/A")</f>
        <v>6</v>
      </c>
      <c r="D45" s="195" t="str">
        <f ca="1">INDEX(INDIRECT(""&amp;B45&amp;"!E2:E700"),MATCH(A45,INDIRECT(""&amp;B45&amp;"!B2:B700"),0))</f>
        <v>SEA</v>
      </c>
      <c r="E45" s="194" t="str">
        <f ca="1">INDEX(INDIRECT(""&amp;$B45&amp;"!Z2:Z709"),MATCH($A45,INDIRECT(""&amp;$B45&amp;"!B2:B709"),0))</f>
        <v>QB2</v>
      </c>
      <c r="F45" s="196">
        <f ca="1">IF(LeagueInfo!$H$7="Starter/Bench",INDEX(INDIRECT(""&amp;B45&amp;"!S2:S709"),MATCH(A45,INDIRECT(""&amp;B45&amp;"!B2:B709"),0)),INDEX(INDIRECT(""&amp;B45&amp;"!AA2:AA709"),MATCH(A45,INDIRECT(""&amp;B45&amp;"!B2:B709"),0)))</f>
        <v>24.132611041037688</v>
      </c>
      <c r="G45" s="197">
        <f>IF(H45&gt;0,F45-H45,0)</f>
        <v>0</v>
      </c>
      <c r="H45" s="198"/>
      <c r="I45" s="197">
        <f ca="1">F45*$A$2</f>
        <v>24.132611041037688</v>
      </c>
      <c r="J45" s="197" t="s">
        <v>80</v>
      </c>
      <c r="K45" s="197">
        <f>IF(LeagueInfo!$F$7="Yahoo",IFERROR(INDEX(DefaultAuctionValues!$B$2:$B$359,MATCH(A45,DefaultAuctionValues!$A$2:$A$359,0)),0),IF(LeagueInfo!$F$7="ESPN",IFERROR(INDEX(DefaultAuctionValues!$C$2:$C$359,MATCH(A45,DefaultAuctionValues!$A$2:$A$359,0)),0),IF(LeagueInfo!$F$7="FantasyPros",IFERROR(INDEX(DefaultAuctionValues!$D$2:$D$359,MATCH(A45,DefaultAuctionValues!$A$2:$A$359,0)),0))))</f>
        <v>6</v>
      </c>
      <c r="L45" s="197">
        <f ca="1">I45-K45</f>
        <v>18.132611041037688</v>
      </c>
      <c r="M45" s="213"/>
      <c r="N45" s="208">
        <f ca="1">INDEX(INDIRECT(""&amp;$B45&amp;"!y2:y709"),MATCH($A45,INDIRECT(""&amp;$B45&amp;"!B2:B709"),0))</f>
        <v>52.808000000000007</v>
      </c>
      <c r="O45" s="217" t="str">
        <f ca="1">IF(INDEX(INDIRECT(""&amp;$B45&amp;"!V2:V700"),MATCH($A45,INDIRECT(""&amp;$B45&amp;"!B2:B700"),0))=0,"",INDEX(INDIRECT(""&amp;$B45&amp;"!V2:V700"),MATCH($A45,INDIRECT(""&amp;$B45&amp;"!B2:B700"),0)))</f>
        <v/>
      </c>
    </row>
    <row r="46" spans="1:15" x14ac:dyDescent="0.25">
      <c r="A46" s="195" t="s">
        <v>187</v>
      </c>
      <c r="B46" s="195" t="s">
        <v>32</v>
      </c>
      <c r="C46" s="195">
        <f ca="1">IFERROR(INDEX(BYEs!$B$2:$B$33,MATCH(D46,BYEs!$A$2:$A$33,0)),"N/A")</f>
        <v>10</v>
      </c>
      <c r="D46" s="195" t="str">
        <f ca="1">INDEX(INDIRECT(""&amp;B46&amp;"!E2:E700"),MATCH(A46,INDIRECT(""&amp;B46&amp;"!B2:B700"),0))</f>
        <v>KC</v>
      </c>
      <c r="E46" s="194" t="str">
        <f ca="1">INDEX(INDIRECT(""&amp;$B46&amp;"!Z2:Z709"),MATCH($A46,INDIRECT(""&amp;$B46&amp;"!B2:B709"),0))</f>
        <v>RB8</v>
      </c>
      <c r="F46" s="196">
        <f ca="1">IF(LeagueInfo!$H$7="Starter/Bench",INDEX(INDIRECT(""&amp;B46&amp;"!S2:S709"),MATCH(A46,INDIRECT(""&amp;B46&amp;"!B2:B709"),0)),INDEX(INDIRECT(""&amp;B46&amp;"!AA2:AA709"),MATCH(A46,INDIRECT(""&amp;B46&amp;"!B2:B709"),0)))</f>
        <v>23.569026414953033</v>
      </c>
      <c r="G46" s="197">
        <f>IF(H46&gt;0,F46-H46,0)</f>
        <v>0</v>
      </c>
      <c r="H46" s="198"/>
      <c r="I46" s="197">
        <f ca="1">F46*$A$2</f>
        <v>23.569026414953033</v>
      </c>
      <c r="J46" s="197" t="s">
        <v>80</v>
      </c>
      <c r="K46" s="197">
        <f>IF(LeagueInfo!$F$7="Yahoo",IFERROR(INDEX(DefaultAuctionValues!$B$2:$B$359,MATCH(A46,DefaultAuctionValues!$A$2:$A$359,0)),0),IF(LeagueInfo!$F$7="ESPN",IFERROR(INDEX(DefaultAuctionValues!$C$2:$C$359,MATCH(A46,DefaultAuctionValues!$A$2:$A$359,0)),0),IF(LeagueInfo!$F$7="FantasyPros",IFERROR(INDEX(DefaultAuctionValues!$D$2:$D$359,MATCH(A46,DefaultAuctionValues!$A$2:$A$359,0)),0))))</f>
        <v>3</v>
      </c>
      <c r="L46" s="197">
        <f ca="1">I46-K46</f>
        <v>20.569026414953033</v>
      </c>
      <c r="M46" s="213"/>
      <c r="N46" s="208">
        <f ca="1">INDEX(INDIRECT(""&amp;$B46&amp;"!y2:y709"),MATCH($A46,INDIRECT(""&amp;$B46&amp;"!B2:B709"),0))</f>
        <v>51.389999999999986</v>
      </c>
      <c r="O46" s="217" t="str">
        <f ca="1">IF(INDEX(INDIRECT(""&amp;$B46&amp;"!V2:V700"),MATCH($A46,INDIRECT(""&amp;$B46&amp;"!B2:B700"),0))=0,"",INDEX(INDIRECT(""&amp;$B46&amp;"!V2:V700"),MATCH($A46,INDIRECT(""&amp;$B46&amp;"!B2:B700"),0)))</f>
        <v/>
      </c>
    </row>
    <row r="47" spans="1:15" x14ac:dyDescent="0.25">
      <c r="A47" s="195" t="s">
        <v>112</v>
      </c>
      <c r="B47" s="195" t="s">
        <v>39</v>
      </c>
      <c r="C47" s="195">
        <f ca="1">IFERROR(INDEX(BYEs!$B$2:$B$33,MATCH(D47,BYEs!$A$2:$A$33,0)),"N/A")</f>
        <v>6</v>
      </c>
      <c r="D47" s="195" t="str">
        <f ca="1">INDEX(INDIRECT(""&amp;B47&amp;"!E2:E700"),MATCH(A47,INDIRECT(""&amp;B47&amp;"!B2:B700"),0))</f>
        <v>DAL</v>
      </c>
      <c r="E47" s="194" t="str">
        <f ca="1">INDEX(INDIRECT(""&amp;$B47&amp;"!Z2:Z709"),MATCH($A47,INDIRECT(""&amp;$B47&amp;"!B2:B709"),0))</f>
        <v>WR4</v>
      </c>
      <c r="F47" s="196">
        <f ca="1">IF(LeagueInfo!$H$7="Starter/Bench",INDEX(INDIRECT(""&amp;B47&amp;"!S2:S709"),MATCH(A47,INDIRECT(""&amp;B47&amp;"!B2:B709"),0)),INDEX(INDIRECT(""&amp;B47&amp;"!AA2:AA709"),MATCH(A47,INDIRECT(""&amp;B47&amp;"!B2:B709"),0)))</f>
        <v>23.476251384027201</v>
      </c>
      <c r="G47" s="197">
        <f>IF(H47&gt;0,F47-H47,0)</f>
        <v>0</v>
      </c>
      <c r="H47" s="198"/>
      <c r="I47" s="197">
        <f ca="1">F47*$A$2</f>
        <v>23.476251384027201</v>
      </c>
      <c r="J47" s="197" t="s">
        <v>80</v>
      </c>
      <c r="K47" s="197">
        <f>IF(LeagueInfo!$F$7="Yahoo",IFERROR(INDEX(DefaultAuctionValues!$B$2:$B$359,MATCH(A47,DefaultAuctionValues!$A$2:$A$359,0)),0),IF(LeagueInfo!$F$7="ESPN",IFERROR(INDEX(DefaultAuctionValues!$C$2:$C$359,MATCH(A47,DefaultAuctionValues!$A$2:$A$359,0)),0),IF(LeagueInfo!$F$7="FantasyPros",IFERROR(INDEX(DefaultAuctionValues!$D$2:$D$359,MATCH(A47,DefaultAuctionValues!$A$2:$A$359,0)),0))))</f>
        <v>41</v>
      </c>
      <c r="L47" s="197">
        <f ca="1">I47-K47</f>
        <v>-17.523748615972799</v>
      </c>
      <c r="M47" s="213"/>
      <c r="N47" s="208">
        <f ca="1">INDEX(INDIRECT(""&amp;$B47&amp;"!y2:y709"),MATCH($A47,INDIRECT(""&amp;$B47&amp;"!B2:B709"),0))</f>
        <v>52.100000000000016</v>
      </c>
      <c r="O47" s="217" t="str">
        <f ca="1">IF(INDEX(INDIRECT(""&amp;$B47&amp;"!V2:V700"),MATCH($A47,INDIRECT(""&amp;$B47&amp;"!B2:B700"),0))=0,"",INDEX(INDIRECT(""&amp;$B47&amp;"!V2:V700"),MATCH($A47,INDIRECT(""&amp;$B47&amp;"!B2:B700"),0)))</f>
        <v/>
      </c>
    </row>
    <row r="48" spans="1:15" x14ac:dyDescent="0.25">
      <c r="A48" s="195" t="s">
        <v>137</v>
      </c>
      <c r="B48" s="195" t="s">
        <v>32</v>
      </c>
      <c r="C48" s="195">
        <f ca="1">IFERROR(INDEX(BYEs!$B$2:$B$33,MATCH(D48,BYEs!$A$2:$A$33,0)),"N/A")</f>
        <v>11</v>
      </c>
      <c r="D48" s="195" t="str">
        <f ca="1">INDEX(INDIRECT(""&amp;B48&amp;"!E2:E700"),MATCH(A48,INDIRECT(""&amp;B48&amp;"!B2:B700"),0))</f>
        <v>SF</v>
      </c>
      <c r="E48" s="194" t="str">
        <f ca="1">INDEX(INDIRECT(""&amp;$B48&amp;"!Z2:Z709"),MATCH($A48,INDIRECT(""&amp;$B48&amp;"!B2:B709"),0))</f>
        <v>RB8</v>
      </c>
      <c r="F48" s="196">
        <f ca="1">IF(LeagueInfo!$H$7="Starter/Bench",INDEX(INDIRECT(""&amp;B48&amp;"!S2:S709"),MATCH(A48,INDIRECT(""&amp;B48&amp;"!B2:B709"),0)),INDEX(INDIRECT(""&amp;B48&amp;"!AA2:AA709"),MATCH(A48,INDIRECT(""&amp;B48&amp;"!B2:B709"),0)))</f>
        <v>23.472911763711529</v>
      </c>
      <c r="G48" s="197">
        <f>IF(H48&gt;0,F48-H48,0)</f>
        <v>0</v>
      </c>
      <c r="H48" s="198"/>
      <c r="I48" s="197">
        <f ca="1">F48*$A$2</f>
        <v>23.472911763711529</v>
      </c>
      <c r="J48" s="197" t="s">
        <v>80</v>
      </c>
      <c r="K48" s="197">
        <f>IF(LeagueInfo!$F$7="Yahoo",IFERROR(INDEX(DefaultAuctionValues!$B$2:$B$359,MATCH(A48,DefaultAuctionValues!$A$2:$A$359,0)),0),IF(LeagueInfo!$F$7="ESPN",IFERROR(INDEX(DefaultAuctionValues!$C$2:$C$359,MATCH(A48,DefaultAuctionValues!$A$2:$A$359,0)),0),IF(LeagueInfo!$F$7="FantasyPros",IFERROR(INDEX(DefaultAuctionValues!$D$2:$D$359,MATCH(A48,DefaultAuctionValues!$A$2:$A$359,0)),0))))</f>
        <v>16</v>
      </c>
      <c r="L48" s="197">
        <f ca="1">I48-K48</f>
        <v>7.4729117637115294</v>
      </c>
      <c r="M48" s="213"/>
      <c r="N48" s="208">
        <f ca="1">INDEX(INDIRECT(""&amp;$B48&amp;"!y2:y709"),MATCH($A48,INDIRECT(""&amp;$B48&amp;"!B2:B709"),0))</f>
        <v>51.169999999999987</v>
      </c>
      <c r="O48" s="217" t="str">
        <f ca="1">IF(INDEX(INDIRECT(""&amp;$B48&amp;"!V2:V700"),MATCH($A48,INDIRECT(""&amp;$B48&amp;"!B2:B700"),0))=0,"",INDEX(INDIRECT(""&amp;$B48&amp;"!V2:V700"),MATCH($A48,INDIRECT(""&amp;$B48&amp;"!B2:B700"),0)))</f>
        <v/>
      </c>
    </row>
    <row r="49" spans="1:15" x14ac:dyDescent="0.25">
      <c r="A49" s="195" t="s">
        <v>116</v>
      </c>
      <c r="B49" s="195" t="s">
        <v>39</v>
      </c>
      <c r="C49" s="195">
        <f ca="1">IFERROR(INDEX(BYEs!$B$2:$B$33,MATCH(D49,BYEs!$A$2:$A$33,0)),"N/A")</f>
        <v>6</v>
      </c>
      <c r="D49" s="195" t="str">
        <f ca="1">INDEX(INDIRECT(""&amp;B49&amp;"!E2:E700"),MATCH(A49,INDIRECT(""&amp;B49&amp;"!B2:B700"),0))</f>
        <v>SEA</v>
      </c>
      <c r="E49" s="194" t="str">
        <f ca="1">INDEX(INDIRECT(""&amp;$B49&amp;"!Z2:Z709"),MATCH($A49,INDIRECT(""&amp;$B49&amp;"!B2:B709"),0))</f>
        <v>WR4</v>
      </c>
      <c r="F49" s="196">
        <f ca="1">IF(LeagueInfo!$H$7="Starter/Bench",INDEX(INDIRECT(""&amp;B49&amp;"!S2:S709"),MATCH(A49,INDIRECT(""&amp;B49&amp;"!B2:B709"),0)),INDEX(INDIRECT(""&amp;B49&amp;"!AA2:AA709"),MATCH(A49,INDIRECT(""&amp;B49&amp;"!B2:B709"),0)))</f>
        <v>22.912670019929301</v>
      </c>
      <c r="G49" s="197">
        <f>IF(H49&gt;0,F49-H49,0)</f>
        <v>0</v>
      </c>
      <c r="H49" s="198"/>
      <c r="I49" s="197">
        <f ca="1">F49*$A$2</f>
        <v>22.912670019929301</v>
      </c>
      <c r="J49" s="197" t="s">
        <v>80</v>
      </c>
      <c r="K49" s="197">
        <f>IF(LeagueInfo!$F$7="Yahoo",IFERROR(INDEX(DefaultAuctionValues!$B$2:$B$359,MATCH(A49,DefaultAuctionValues!$A$2:$A$359,0)),0),IF(LeagueInfo!$F$7="ESPN",IFERROR(INDEX(DefaultAuctionValues!$C$2:$C$359,MATCH(A49,DefaultAuctionValues!$A$2:$A$359,0)),0),IF(LeagueInfo!$F$7="FantasyPros",IFERROR(INDEX(DefaultAuctionValues!$D$2:$D$359,MATCH(A49,DefaultAuctionValues!$A$2:$A$359,0)),0))))</f>
        <v>36</v>
      </c>
      <c r="L49" s="197">
        <f ca="1">I49-K49</f>
        <v>-13.087329980070699</v>
      </c>
      <c r="M49" s="213"/>
      <c r="N49" s="208">
        <f ca="1">INDEX(INDIRECT(""&amp;$B49&amp;"!y2:y709"),MATCH($A49,INDIRECT(""&amp;$B49&amp;"!B2:B709"),0))</f>
        <v>50.809999999999995</v>
      </c>
      <c r="O49" s="217" t="str">
        <f ca="1">IF(INDEX(INDIRECT(""&amp;$B49&amp;"!V2:V700"),MATCH($A49,INDIRECT(""&amp;$B49&amp;"!B2:B700"),0))=0,"",INDEX(INDIRECT(""&amp;$B49&amp;"!V2:V700"),MATCH($A49,INDIRECT(""&amp;$B49&amp;"!B2:B700"),0)))</f>
        <v/>
      </c>
    </row>
    <row r="50" spans="1:15" x14ac:dyDescent="0.25">
      <c r="A50" s="195" t="s">
        <v>147</v>
      </c>
      <c r="B50" s="195" t="s">
        <v>47</v>
      </c>
      <c r="C50" s="195">
        <f ca="1">IFERROR(INDEX(BYEs!$B$2:$B$33,MATCH(D50,BYEs!$A$2:$A$33,0)),"N/A")</f>
        <v>11</v>
      </c>
      <c r="D50" s="195" t="str">
        <f ca="1">INDEX(INDIRECT(""&amp;B50&amp;"!E2:E700"),MATCH(A50,INDIRECT(""&amp;B50&amp;"!B2:B700"),0))</f>
        <v>CAR</v>
      </c>
      <c r="E50" s="194" t="str">
        <f ca="1">INDEX(INDIRECT(""&amp;$B50&amp;"!Z2:Z709"),MATCH($A50,INDIRECT(""&amp;$B50&amp;"!B2:B709"),0))</f>
        <v>TE4</v>
      </c>
      <c r="F50" s="196">
        <f ca="1">IF(LeagueInfo!$H$7="Starter/Bench",INDEX(INDIRECT(""&amp;B50&amp;"!S2:S709"),MATCH(A50,INDIRECT(""&amp;B50&amp;"!B2:B709"),0)),INDEX(INDIRECT(""&amp;B50&amp;"!AA2:AA709"),MATCH(A50,INDIRECT(""&amp;B50&amp;"!B2:B709"),0)))</f>
        <v>22.900017361091493</v>
      </c>
      <c r="G50" s="197">
        <f>IF(H50&gt;0,F50-H50,0)</f>
        <v>0</v>
      </c>
      <c r="H50" s="198"/>
      <c r="I50" s="197">
        <f ca="1">F50*$A$2</f>
        <v>22.900017361091493</v>
      </c>
      <c r="J50" s="197" t="s">
        <v>80</v>
      </c>
      <c r="K50" s="197">
        <f>IF(LeagueInfo!$F$7="Yahoo",IFERROR(INDEX(DefaultAuctionValues!$B$2:$B$359,MATCH(A50,DefaultAuctionValues!$A$2:$A$359,0)),0),IF(LeagueInfo!$F$7="ESPN",IFERROR(INDEX(DefaultAuctionValues!$C$2:$C$359,MATCH(A50,DefaultAuctionValues!$A$2:$A$359,0)),0),IF(LeagueInfo!$F$7="FantasyPros",IFERROR(INDEX(DefaultAuctionValues!$D$2:$D$359,MATCH(A50,DefaultAuctionValues!$A$2:$A$359,0)),0))))</f>
        <v>11</v>
      </c>
      <c r="L50" s="197">
        <f ca="1">I50-K50</f>
        <v>11.900017361091493</v>
      </c>
      <c r="M50" s="213"/>
      <c r="N50" s="208">
        <f ca="1">INDEX(INDIRECT(""&amp;$B50&amp;"!y2:y709"),MATCH($A50,INDIRECT(""&amp;$B50&amp;"!B2:B709"),0))</f>
        <v>51.034999999999989</v>
      </c>
      <c r="O50" s="217" t="str">
        <f ca="1">IF(INDEX(INDIRECT(""&amp;$B50&amp;"!V2:V700"),MATCH($A50,INDIRECT(""&amp;$B50&amp;"!B2:B700"),0))=0,"",INDEX(INDIRECT(""&amp;$B50&amp;"!V2:V700"),MATCH($A50,INDIRECT(""&amp;$B50&amp;"!B2:B700"),0)))</f>
        <v/>
      </c>
    </row>
    <row r="51" spans="1:15" x14ac:dyDescent="0.25">
      <c r="A51" s="195" t="s">
        <v>128</v>
      </c>
      <c r="B51" s="195" t="s">
        <v>32</v>
      </c>
      <c r="C51" s="195">
        <f ca="1">IFERROR(INDEX(BYEs!$B$2:$B$33,MATCH(D51,BYEs!$A$2:$A$33,0)),"N/A")</f>
        <v>6</v>
      </c>
      <c r="D51" s="195" t="str">
        <f ca="1">INDEX(INDIRECT(""&amp;B51&amp;"!E2:E700"),MATCH(A51,INDIRECT(""&amp;B51&amp;"!B2:B700"),0))</f>
        <v>CIN</v>
      </c>
      <c r="E51" s="194" t="str">
        <f ca="1">INDEX(INDIRECT(""&amp;$B51&amp;"!Z2:Z709"),MATCH($A51,INDIRECT(""&amp;$B51&amp;"!B2:B709"),0))</f>
        <v>RB8</v>
      </c>
      <c r="F51" s="196">
        <f ca="1">IF(LeagueInfo!$H$7="Starter/Bench",INDEX(INDIRECT(""&amp;B51&amp;"!S2:S709"),MATCH(A51,INDIRECT(""&amp;B51&amp;"!B2:B709"),0)),INDEX(INDIRECT(""&amp;B51&amp;"!AA2:AA709"),MATCH(A51,INDIRECT(""&amp;B51&amp;"!B2:B709"),0)))</f>
        <v>22.852535378425483</v>
      </c>
      <c r="G51" s="197">
        <f>IF(H51&gt;0,F51-H51,0)</f>
        <v>0</v>
      </c>
      <c r="H51" s="198"/>
      <c r="I51" s="197">
        <f ca="1">F51*$A$2</f>
        <v>22.852535378425483</v>
      </c>
      <c r="J51" s="197" t="s">
        <v>80</v>
      </c>
      <c r="K51" s="197">
        <f>IF(LeagueInfo!$F$7="Yahoo",IFERROR(INDEX(DefaultAuctionValues!$B$2:$B$359,MATCH(A51,DefaultAuctionValues!$A$2:$A$359,0)),0),IF(LeagueInfo!$F$7="ESPN",IFERROR(INDEX(DefaultAuctionValues!$C$2:$C$359,MATCH(A51,DefaultAuctionValues!$A$2:$A$359,0)),0),IF(LeagueInfo!$F$7="FantasyPros",IFERROR(INDEX(DefaultAuctionValues!$D$2:$D$359,MATCH(A51,DefaultAuctionValues!$A$2:$A$359,0)),0))))</f>
        <v>24</v>
      </c>
      <c r="L51" s="197">
        <f ca="1">I51-K51</f>
        <v>-1.1474646215745175</v>
      </c>
      <c r="M51" s="213"/>
      <c r="N51" s="208">
        <f ca="1">INDEX(INDIRECT(""&amp;$B51&amp;"!y2:y709"),MATCH($A51,INDIRECT(""&amp;$B51&amp;"!B2:B709"),0))</f>
        <v>49.75</v>
      </c>
      <c r="O51" s="217" t="str">
        <f ca="1">IF(INDEX(INDIRECT(""&amp;$B51&amp;"!V2:V700"),MATCH($A51,INDIRECT(""&amp;$B51&amp;"!B2:B700"),0))=0,"",INDEX(INDIRECT(""&amp;$B51&amp;"!V2:V700"),MATCH($A51,INDIRECT(""&amp;$B51&amp;"!B2:B700"),0)))</f>
        <v/>
      </c>
    </row>
    <row r="52" spans="1:15" x14ac:dyDescent="0.25">
      <c r="A52" s="195" t="s">
        <v>115</v>
      </c>
      <c r="B52" s="195" t="s">
        <v>39</v>
      </c>
      <c r="C52" s="195">
        <f ca="1">IFERROR(INDEX(BYEs!$B$2:$B$33,MATCH(D52,BYEs!$A$2:$A$33,0)),"N/A")</f>
        <v>10</v>
      </c>
      <c r="D52" s="195" t="str">
        <f ca="1">INDEX(INDIRECT(""&amp;B52&amp;"!E2:E700"),MATCH(A52,INDIRECT(""&amp;B52&amp;"!B2:B700"),0))</f>
        <v>OAK</v>
      </c>
      <c r="E52" s="194" t="str">
        <f ca="1">INDEX(INDIRECT(""&amp;$B52&amp;"!Z2:Z709"),MATCH($A52,INDIRECT(""&amp;$B52&amp;"!B2:B709"),0))</f>
        <v>WR4</v>
      </c>
      <c r="F52" s="196">
        <f ca="1">IF(LeagueInfo!$H$7="Starter/Bench",INDEX(INDIRECT(""&amp;B52&amp;"!S2:S709"),MATCH(A52,INDIRECT(""&amp;B52&amp;"!B2:B709"),0)),INDEX(INDIRECT(""&amp;B52&amp;"!AA2:AA709"),MATCH(A52,INDIRECT(""&amp;B52&amp;"!B2:B709"),0)))</f>
        <v>22.681121087392956</v>
      </c>
      <c r="G52" s="197">
        <f>IF(H52&gt;0,F52-H52,0)</f>
        <v>0</v>
      </c>
      <c r="H52" s="198"/>
      <c r="I52" s="197">
        <f ca="1">F52*$A$2</f>
        <v>22.681121087392956</v>
      </c>
      <c r="J52" s="197" t="s">
        <v>80</v>
      </c>
      <c r="K52" s="197">
        <f>IF(LeagueInfo!$F$7="Yahoo",IFERROR(INDEX(DefaultAuctionValues!$B$2:$B$359,MATCH(A52,DefaultAuctionValues!$A$2:$A$359,0)),0),IF(LeagueInfo!$F$7="ESPN",IFERROR(INDEX(DefaultAuctionValues!$C$2:$C$359,MATCH(A52,DefaultAuctionValues!$A$2:$A$359,0)),0),IF(LeagueInfo!$F$7="FantasyPros",IFERROR(INDEX(DefaultAuctionValues!$D$2:$D$359,MATCH(A52,DefaultAuctionValues!$A$2:$A$359,0)),0))))</f>
        <v>36</v>
      </c>
      <c r="L52" s="197">
        <f ca="1">I52-K52</f>
        <v>-13.318878912607044</v>
      </c>
      <c r="M52" s="213"/>
      <c r="N52" s="208">
        <f ca="1">INDEX(INDIRECT(""&amp;$B52&amp;"!y2:y709"),MATCH($A52,INDIRECT(""&amp;$B52&amp;"!B2:B709"),0))</f>
        <v>50.279999999999994</v>
      </c>
      <c r="O52" s="217" t="str">
        <f ca="1">IF(INDEX(INDIRECT(""&amp;$B52&amp;"!V2:V700"),MATCH($A52,INDIRECT(""&amp;$B52&amp;"!B2:B700"),0))=0,"",INDEX(INDIRECT(""&amp;$B52&amp;"!V2:V700"),MATCH($A52,INDIRECT(""&amp;$B52&amp;"!B2:B700"),0)))</f>
        <v/>
      </c>
    </row>
    <row r="53" spans="1:15" x14ac:dyDescent="0.25">
      <c r="A53" s="195" t="s">
        <v>180</v>
      </c>
      <c r="B53" s="195" t="s">
        <v>32</v>
      </c>
      <c r="C53" s="195">
        <f ca="1">IFERROR(INDEX(BYEs!$B$2:$B$33,MATCH(D53,BYEs!$A$2:$A$33,0)),"N/A")</f>
        <v>11</v>
      </c>
      <c r="D53" s="195" t="str">
        <f ca="1">INDEX(INDIRECT(""&amp;B53&amp;"!E2:E700"),MATCH(A53,INDIRECT(""&amp;B53&amp;"!B2:B700"),0))</f>
        <v>NYJ</v>
      </c>
      <c r="E53" s="194" t="str">
        <f ca="1">INDEX(INDIRECT(""&amp;$B53&amp;"!Z2:Z709"),MATCH($A53,INDIRECT(""&amp;$B53&amp;"!B2:B709"),0))</f>
        <v>RB8</v>
      </c>
      <c r="F53" s="196">
        <f ca="1">IF(LeagueInfo!$H$7="Starter/Bench",INDEX(INDIRECT(""&amp;B53&amp;"!S2:S709"),MATCH(A53,INDIRECT(""&amp;B53&amp;"!B2:B709"),0)),INDEX(INDIRECT(""&amp;B53&amp;"!AA2:AA709"),MATCH(A53,INDIRECT(""&amp;B53&amp;"!B2:B709"),0)))</f>
        <v>22.157888580816447</v>
      </c>
      <c r="G53" s="197">
        <f>IF(H53&gt;0,F53-H53,0)</f>
        <v>0</v>
      </c>
      <c r="H53" s="198"/>
      <c r="I53" s="197">
        <f ca="1">F53*$A$2</f>
        <v>22.157888580816447</v>
      </c>
      <c r="J53" s="197" t="s">
        <v>80</v>
      </c>
      <c r="K53" s="197">
        <f>IF(LeagueInfo!$F$7="Yahoo",IFERROR(INDEX(DefaultAuctionValues!$B$2:$B$359,MATCH(A53,DefaultAuctionValues!$A$2:$A$359,0)),0),IF(LeagueInfo!$F$7="ESPN",IFERROR(INDEX(DefaultAuctionValues!$C$2:$C$359,MATCH(A53,DefaultAuctionValues!$A$2:$A$359,0)),0),IF(LeagueInfo!$F$7="FantasyPros",IFERROR(INDEX(DefaultAuctionValues!$D$2:$D$359,MATCH(A53,DefaultAuctionValues!$A$2:$A$359,0)),0))))</f>
        <v>2</v>
      </c>
      <c r="L53" s="197">
        <f ca="1">I53-K53</f>
        <v>20.157888580816447</v>
      </c>
      <c r="M53" s="213"/>
      <c r="N53" s="208">
        <f ca="1">INDEX(INDIRECT(""&amp;$B53&amp;"!y2:y709"),MATCH($A53,INDIRECT(""&amp;$B53&amp;"!B2:B709"),0))</f>
        <v>48.16</v>
      </c>
      <c r="O53" s="217" t="str">
        <f ca="1">IF(INDEX(INDIRECT(""&amp;$B53&amp;"!V2:V700"),MATCH($A53,INDIRECT(""&amp;$B53&amp;"!B2:B700"),0))=0,"",INDEX(INDIRECT(""&amp;$B53&amp;"!V2:V700"),MATCH($A53,INDIRECT(""&amp;$B53&amp;"!B2:B700"),0)))</f>
        <v/>
      </c>
    </row>
    <row r="54" spans="1:15" x14ac:dyDescent="0.25">
      <c r="A54" s="195" t="s">
        <v>123</v>
      </c>
      <c r="B54" s="195" t="s">
        <v>39</v>
      </c>
      <c r="C54" s="195">
        <f ca="1">IFERROR(INDEX(BYEs!$B$2:$B$33,MATCH(D54,BYEs!$A$2:$A$33,0)),"N/A")</f>
        <v>9</v>
      </c>
      <c r="D54" s="195" t="str">
        <f ca="1">INDEX(INDIRECT(""&amp;B54&amp;"!E2:E700"),MATCH(A54,INDIRECT(""&amp;B54&amp;"!B2:B700"),0))</f>
        <v>NE</v>
      </c>
      <c r="E54" s="194" t="str">
        <f ca="1">INDEX(INDIRECT(""&amp;$B54&amp;"!Z2:Z709"),MATCH($A54,INDIRECT(""&amp;$B54&amp;"!B2:B709"),0))</f>
        <v>WR4</v>
      </c>
      <c r="F54" s="196">
        <f ca="1">IF(LeagueInfo!$H$7="Starter/Bench",INDEX(INDIRECT(""&amp;B54&amp;"!S2:S709"),MATCH(A54,INDIRECT(""&amp;B54&amp;"!B2:B709"),0)),INDEX(INDIRECT(""&amp;B54&amp;"!AA2:AA709"),MATCH(A54,INDIRECT(""&amp;B54&amp;"!B2:B709"),0)))</f>
        <v>21.794244987300921</v>
      </c>
      <c r="G54" s="197">
        <f>IF(H54&gt;0,F54-H54,0)</f>
        <v>0</v>
      </c>
      <c r="H54" s="198"/>
      <c r="I54" s="197">
        <f ca="1">F54*$A$2</f>
        <v>21.794244987300921</v>
      </c>
      <c r="J54" s="197" t="s">
        <v>80</v>
      </c>
      <c r="K54" s="197">
        <f>IF(LeagueInfo!$F$7="Yahoo",IFERROR(INDEX(DefaultAuctionValues!$B$2:$B$359,MATCH(A54,DefaultAuctionValues!$A$2:$A$359,0)),0),IF(LeagueInfo!$F$7="ESPN",IFERROR(INDEX(DefaultAuctionValues!$C$2:$C$359,MATCH(A54,DefaultAuctionValues!$A$2:$A$359,0)),0),IF(LeagueInfo!$F$7="FantasyPros",IFERROR(INDEX(DefaultAuctionValues!$D$2:$D$359,MATCH(A54,DefaultAuctionValues!$A$2:$A$359,0)),0))))</f>
        <v>34</v>
      </c>
      <c r="L54" s="197">
        <f ca="1">I54-K54</f>
        <v>-12.205755012699079</v>
      </c>
      <c r="M54" s="213"/>
      <c r="N54" s="208">
        <f ca="1">INDEX(INDIRECT(""&amp;$B54&amp;"!y2:y709"),MATCH($A54,INDIRECT(""&amp;$B54&amp;"!B2:B709"),0))</f>
        <v>48.249999999999993</v>
      </c>
      <c r="O54" s="217" t="str">
        <f ca="1">IF(INDEX(INDIRECT(""&amp;$B54&amp;"!V2:V700"),MATCH($A54,INDIRECT(""&amp;$B54&amp;"!B2:B700"),0))=0,"",INDEX(INDIRECT(""&amp;$B54&amp;"!V2:V700"),MATCH($A54,INDIRECT(""&amp;$B54&amp;"!B2:B700"),0)))</f>
        <v/>
      </c>
    </row>
    <row r="55" spans="1:15" x14ac:dyDescent="0.25">
      <c r="A55" s="195" t="s">
        <v>171</v>
      </c>
      <c r="B55" s="195" t="s">
        <v>33</v>
      </c>
      <c r="C55" s="195">
        <f ca="1">IFERROR(INDEX(BYEs!$B$2:$B$33,MATCH(D55,BYEs!$A$2:$A$33,0)),"N/A")</f>
        <v>11</v>
      </c>
      <c r="D55" s="195" t="str">
        <f ca="1">INDEX(INDIRECT(""&amp;B55&amp;"!E2:E700"),MATCH(A55,INDIRECT(""&amp;B55&amp;"!B2:B700"),0))</f>
        <v>CAR</v>
      </c>
      <c r="E55" s="194" t="str">
        <f ca="1">INDEX(INDIRECT(""&amp;$B55&amp;"!Z2:Z709"),MATCH($A55,INDIRECT(""&amp;$B55&amp;"!B2:B709"),0))</f>
        <v>QB3</v>
      </c>
      <c r="F55" s="196">
        <f ca="1">IF(LeagueInfo!$H$7="Starter/Bench",INDEX(INDIRECT(""&amp;B55&amp;"!S2:S709"),MATCH(A55,INDIRECT(""&amp;B55&amp;"!B2:B709"),0)),INDEX(INDIRECT(""&amp;B55&amp;"!AA2:AA709"),MATCH(A55,INDIRECT(""&amp;B55&amp;"!B2:B709"),0)))</f>
        <v>20.102785845348539</v>
      </c>
      <c r="G55" s="197">
        <f>IF(H55&gt;0,F55-H55,0)</f>
        <v>0</v>
      </c>
      <c r="H55" s="198"/>
      <c r="I55" s="197">
        <f ca="1">F55*$A$2</f>
        <v>20.102785845348539</v>
      </c>
      <c r="J55" s="197" t="s">
        <v>80</v>
      </c>
      <c r="K55" s="197">
        <f>IF(LeagueInfo!$F$7="Yahoo",IFERROR(INDEX(DefaultAuctionValues!$B$2:$B$359,MATCH(A55,DefaultAuctionValues!$A$2:$A$359,0)),0),IF(LeagueInfo!$F$7="ESPN",IFERROR(INDEX(DefaultAuctionValues!$C$2:$C$359,MATCH(A55,DefaultAuctionValues!$A$2:$A$359,0)),0),IF(LeagueInfo!$F$7="FantasyPros",IFERROR(INDEX(DefaultAuctionValues!$D$2:$D$359,MATCH(A55,DefaultAuctionValues!$A$2:$A$359,0)),0))))</f>
        <v>3</v>
      </c>
      <c r="L55" s="197">
        <f ca="1">I55-K55</f>
        <v>17.102785845348539</v>
      </c>
      <c r="M55" s="213"/>
      <c r="N55" s="208">
        <f ca="1">INDEX(INDIRECT(""&amp;$B55&amp;"!y2:y709"),MATCH($A55,INDIRECT(""&amp;$B55&amp;"!B2:B709"),0))</f>
        <v>43.583999999999961</v>
      </c>
      <c r="O55" s="217" t="str">
        <f ca="1">IF(INDEX(INDIRECT(""&amp;$B55&amp;"!V2:V700"),MATCH($A55,INDIRECT(""&amp;$B55&amp;"!B2:B700"),0))=0,"",INDEX(INDIRECT(""&amp;$B55&amp;"!V2:V700"),MATCH($A55,INDIRECT(""&amp;$B55&amp;"!B2:B700"),0)))</f>
        <v/>
      </c>
    </row>
    <row r="56" spans="1:15" x14ac:dyDescent="0.25">
      <c r="A56" s="195" t="s">
        <v>188</v>
      </c>
      <c r="B56" s="195" t="s">
        <v>33</v>
      </c>
      <c r="C56" s="195">
        <f ca="1">IFERROR(INDEX(BYEs!$B$2:$B$33,MATCH(D56,BYEs!$A$2:$A$33,0)),"N/A")</f>
        <v>11</v>
      </c>
      <c r="D56" s="195" t="str">
        <f ca="1">INDEX(INDIRECT(""&amp;B56&amp;"!E2:E700"),MATCH(A56,INDIRECT(""&amp;B56&amp;"!B2:B700"),0))</f>
        <v>TB</v>
      </c>
      <c r="E56" s="194" t="str">
        <f ca="1">INDEX(INDIRECT(""&amp;$B56&amp;"!Z2:Z709"),MATCH($A56,INDIRECT(""&amp;$B56&amp;"!B2:B709"),0))</f>
        <v>QB3</v>
      </c>
      <c r="F56" s="196">
        <f ca="1">IF(LeagueInfo!$H$7="Starter/Bench",INDEX(INDIRECT(""&amp;B56&amp;"!S2:S709"),MATCH(A56,INDIRECT(""&amp;B56&amp;"!B2:B709"),0)),INDEX(INDIRECT(""&amp;B56&amp;"!AA2:AA709"),MATCH(A56,INDIRECT(""&amp;B56&amp;"!B2:B709"),0)))</f>
        <v>19.576776572190525</v>
      </c>
      <c r="G56" s="197">
        <f>IF(H56&gt;0,F56-H56,0)</f>
        <v>0</v>
      </c>
      <c r="H56" s="198"/>
      <c r="I56" s="197">
        <f ca="1">F56*$A$2</f>
        <v>19.576776572190525</v>
      </c>
      <c r="J56" s="197" t="s">
        <v>80</v>
      </c>
      <c r="K56" s="197">
        <f>IF(LeagueInfo!$F$7="Yahoo",IFERROR(INDEX(DefaultAuctionValues!$B$2:$B$359,MATCH(A56,DefaultAuctionValues!$A$2:$A$359,0)),0),IF(LeagueInfo!$F$7="ESPN",IFERROR(INDEX(DefaultAuctionValues!$C$2:$C$359,MATCH(A56,DefaultAuctionValues!$A$2:$A$359,0)),0),IF(LeagueInfo!$F$7="FantasyPros",IFERROR(INDEX(DefaultAuctionValues!$D$2:$D$359,MATCH(A56,DefaultAuctionValues!$A$2:$A$359,0)),0))))</f>
        <v>3</v>
      </c>
      <c r="L56" s="197">
        <f ca="1">I56-K56</f>
        <v>16.576776572190525</v>
      </c>
      <c r="M56" s="213"/>
      <c r="N56" s="208">
        <f ca="1">INDEX(INDIRECT(""&amp;$B56&amp;"!y2:y709"),MATCH($A56,INDIRECT(""&amp;$B56&amp;"!B2:B709"),0))</f>
        <v>42.38000000000001</v>
      </c>
      <c r="O56" s="217" t="str">
        <f ca="1">IF(INDEX(INDIRECT(""&amp;$B56&amp;"!V2:V700"),MATCH($A56,INDIRECT(""&amp;$B56&amp;"!B2:B700"),0))=0,"",INDEX(INDIRECT(""&amp;$B56&amp;"!V2:V700"),MATCH($A56,INDIRECT(""&amp;$B56&amp;"!B2:B700"),0)))</f>
        <v/>
      </c>
    </row>
    <row r="57" spans="1:15" x14ac:dyDescent="0.25">
      <c r="A57" s="195" t="s">
        <v>159</v>
      </c>
      <c r="B57" s="195" t="s">
        <v>32</v>
      </c>
      <c r="C57" s="195">
        <f ca="1">IFERROR(INDEX(BYEs!$B$2:$B$33,MATCH(D57,BYEs!$A$2:$A$33,0)),"N/A")</f>
        <v>5</v>
      </c>
      <c r="D57" s="195" t="str">
        <f ca="1">INDEX(INDIRECT(""&amp;B57&amp;"!E2:E700"),MATCH(A57,INDIRECT(""&amp;B57&amp;"!B2:B700"),0))</f>
        <v>ATL</v>
      </c>
      <c r="E57" s="194" t="str">
        <f ca="1">INDEX(INDIRECT(""&amp;$B57&amp;"!Z2:Z709"),MATCH($A57,INDIRECT(""&amp;$B57&amp;"!B2:B709"),0))</f>
        <v>RB8</v>
      </c>
      <c r="F57" s="196">
        <f ca="1">IF(LeagueInfo!$H$7="Starter/Bench",INDEX(INDIRECT(""&amp;B57&amp;"!S2:S709"),MATCH(A57,INDIRECT(""&amp;B57&amp;"!B2:B709"),0)),INDEX(INDIRECT(""&amp;B57&amp;"!AA2:AA709"),MATCH(A57,INDIRECT(""&amp;B57&amp;"!B2:B709"),0)))</f>
        <v>19.086588588872111</v>
      </c>
      <c r="G57" s="197">
        <f>IF(H57&gt;0,F57-H57,0)</f>
        <v>0</v>
      </c>
      <c r="H57" s="198"/>
      <c r="I57" s="197">
        <f ca="1">F57*$A$2</f>
        <v>19.086588588872111</v>
      </c>
      <c r="J57" s="197" t="s">
        <v>80</v>
      </c>
      <c r="K57" s="197">
        <f>IF(LeagueInfo!$F$7="Yahoo",IFERROR(INDEX(DefaultAuctionValues!$B$2:$B$359,MATCH(A57,DefaultAuctionValues!$A$2:$A$359,0)),0),IF(LeagueInfo!$F$7="ESPN",IFERROR(INDEX(DefaultAuctionValues!$C$2:$C$359,MATCH(A57,DefaultAuctionValues!$A$2:$A$359,0)),0),IF(LeagueInfo!$F$7="FantasyPros",IFERROR(INDEX(DefaultAuctionValues!$D$2:$D$359,MATCH(A57,DefaultAuctionValues!$A$2:$A$359,0)),0))))</f>
        <v>4</v>
      </c>
      <c r="L57" s="197">
        <f ca="1">I57-K57</f>
        <v>15.086588588872111</v>
      </c>
      <c r="M57" s="213"/>
      <c r="N57" s="208">
        <f ca="1">INDEX(INDIRECT(""&amp;$B57&amp;"!y2:y709"),MATCH($A57,INDIRECT(""&amp;$B57&amp;"!B2:B709"),0))</f>
        <v>41.129999999999995</v>
      </c>
      <c r="O57" s="217" t="str">
        <f ca="1">IF(INDEX(INDIRECT(""&amp;$B57&amp;"!V2:V700"),MATCH($A57,INDIRECT(""&amp;$B57&amp;"!B2:B700"),0))=0,"",INDEX(INDIRECT(""&amp;$B57&amp;"!V2:V700"),MATCH($A57,INDIRECT(""&amp;$B57&amp;"!B2:B700"),0)))</f>
        <v/>
      </c>
    </row>
    <row r="58" spans="1:15" x14ac:dyDescent="0.25">
      <c r="A58" s="195" t="s">
        <v>183</v>
      </c>
      <c r="B58" s="195" t="s">
        <v>32</v>
      </c>
      <c r="C58" s="195">
        <f ca="1">IFERROR(INDEX(BYEs!$B$2:$B$33,MATCH(D58,BYEs!$A$2:$A$33,0)),"N/A")</f>
        <v>7</v>
      </c>
      <c r="D58" s="195" t="str">
        <f ca="1">INDEX(INDIRECT(""&amp;B58&amp;"!E2:E700"),MATCH(A58,INDIRECT(""&amp;B58&amp;"!B2:B700"),0))</f>
        <v>DET</v>
      </c>
      <c r="E58" s="194" t="str">
        <f ca="1">INDEX(INDIRECT(""&amp;$B58&amp;"!Z2:Z709"),MATCH($A58,INDIRECT(""&amp;$B58&amp;"!B2:B709"),0))</f>
        <v>RB8</v>
      </c>
      <c r="F58" s="196">
        <f ca="1">IF(LeagueInfo!$H$7="Starter/Bench",INDEX(INDIRECT(""&amp;B58&amp;"!S2:S709"),MATCH(A58,INDIRECT(""&amp;B58&amp;"!B2:B709"),0)),INDEX(INDIRECT(""&amp;B58&amp;"!AA2:AA709"),MATCH(A58,INDIRECT(""&amp;B58&amp;"!B2:B709"),0)))</f>
        <v>18.990473937630611</v>
      </c>
      <c r="G58" s="197">
        <f>IF(H58&gt;0,F58-H58,0)</f>
        <v>0</v>
      </c>
      <c r="H58" s="198"/>
      <c r="I58" s="197">
        <f ca="1">F58*$A$2</f>
        <v>18.990473937630611</v>
      </c>
      <c r="J58" s="197" t="s">
        <v>80</v>
      </c>
      <c r="K58" s="197">
        <f>IF(LeagueInfo!$F$7="Yahoo",IFERROR(INDEX(DefaultAuctionValues!$B$2:$B$359,MATCH(A58,DefaultAuctionValues!$A$2:$A$359,0)),0),IF(LeagueInfo!$F$7="ESPN",IFERROR(INDEX(DefaultAuctionValues!$C$2:$C$359,MATCH(A58,DefaultAuctionValues!$A$2:$A$359,0)),0),IF(LeagueInfo!$F$7="FantasyPros",IFERROR(INDEX(DefaultAuctionValues!$D$2:$D$359,MATCH(A58,DefaultAuctionValues!$A$2:$A$359,0)),0))))</f>
        <v>2</v>
      </c>
      <c r="L58" s="197">
        <f ca="1">I58-K58</f>
        <v>16.990473937630611</v>
      </c>
      <c r="M58" s="213"/>
      <c r="N58" s="208">
        <f ca="1">INDEX(INDIRECT(""&amp;$B58&amp;"!y2:y709"),MATCH($A58,INDIRECT(""&amp;$B58&amp;"!B2:B709"),0))</f>
        <v>40.909999999999997</v>
      </c>
      <c r="O58" s="217" t="str">
        <f ca="1">IF(INDEX(INDIRECT(""&amp;$B58&amp;"!V2:V700"),MATCH($A58,INDIRECT(""&amp;$B58&amp;"!B2:B700"),0))=0,"",INDEX(INDIRECT(""&amp;$B58&amp;"!V2:V700"),MATCH($A58,INDIRECT(""&amp;$B58&amp;"!B2:B700"),0)))</f>
        <v/>
      </c>
    </row>
    <row r="59" spans="1:15" x14ac:dyDescent="0.25">
      <c r="A59" s="195" t="s">
        <v>189</v>
      </c>
      <c r="B59" s="195" t="s">
        <v>32</v>
      </c>
      <c r="C59" s="195">
        <f ca="1">IFERROR(INDEX(BYEs!$B$2:$B$33,MATCH(D59,BYEs!$A$2:$A$33,0)),"N/A")</f>
        <v>11</v>
      </c>
      <c r="D59" s="195" t="str">
        <f ca="1">INDEX(INDIRECT(""&amp;B59&amp;"!E2:E700"),MATCH(A59,INDIRECT(""&amp;B59&amp;"!B2:B700"),0))</f>
        <v>IND</v>
      </c>
      <c r="E59" s="194" t="str">
        <f ca="1">INDEX(INDIRECT(""&amp;$B59&amp;"!Z2:Z709"),MATCH($A59,INDIRECT(""&amp;$B59&amp;"!B2:B709"),0))</f>
        <v>RB8</v>
      </c>
      <c r="F59" s="196">
        <f ca="1">IF(LeagueInfo!$H$7="Starter/Bench",INDEX(INDIRECT(""&amp;B59&amp;"!S2:S709"),MATCH(A59,INDIRECT(""&amp;B59&amp;"!B2:B709"),0)),INDEX(INDIRECT(""&amp;B59&amp;"!AA2:AA709"),MATCH(A59,INDIRECT(""&amp;B59&amp;"!B2:B709"),0)))</f>
        <v>18.2128190321312</v>
      </c>
      <c r="G59" s="197">
        <f>IF(H59&gt;0,F59-H59,0)</f>
        <v>0</v>
      </c>
      <c r="H59" s="198"/>
      <c r="I59" s="197">
        <f ca="1">F59*$A$2</f>
        <v>18.2128190321312</v>
      </c>
      <c r="J59" s="197" t="s">
        <v>80</v>
      </c>
      <c r="K59" s="197">
        <f>IF(LeagueInfo!$F$7="Yahoo",IFERROR(INDEX(DefaultAuctionValues!$B$2:$B$359,MATCH(A59,DefaultAuctionValues!$A$2:$A$359,0)),0),IF(LeagueInfo!$F$7="ESPN",IFERROR(INDEX(DefaultAuctionValues!$C$2:$C$359,MATCH(A59,DefaultAuctionValues!$A$2:$A$359,0)),0),IF(LeagueInfo!$F$7="FantasyPros",IFERROR(INDEX(DefaultAuctionValues!$D$2:$D$359,MATCH(A59,DefaultAuctionValues!$A$2:$A$359,0)),0))))</f>
        <v>2</v>
      </c>
      <c r="L59" s="197">
        <f ca="1">I59-K59</f>
        <v>16.2128190321312</v>
      </c>
      <c r="M59" s="213"/>
      <c r="N59" s="208">
        <f ca="1">INDEX(INDIRECT(""&amp;$B59&amp;"!y2:y709"),MATCH($A59,INDIRECT(""&amp;$B59&amp;"!B2:B709"),0))</f>
        <v>39.130000000000024</v>
      </c>
      <c r="O59" s="217" t="str">
        <f ca="1">IF(INDEX(INDIRECT(""&amp;$B59&amp;"!V2:V700"),MATCH($A59,INDIRECT(""&amp;$B59&amp;"!B2:B700"),0))=0,"",INDEX(INDIRECT(""&amp;$B59&amp;"!V2:V700"),MATCH($A59,INDIRECT(""&amp;$B59&amp;"!B2:B700"),0)))</f>
        <v/>
      </c>
    </row>
    <row r="60" spans="1:15" x14ac:dyDescent="0.25">
      <c r="A60" s="195" t="s">
        <v>119</v>
      </c>
      <c r="B60" s="195" t="s">
        <v>39</v>
      </c>
      <c r="C60" s="195">
        <f ca="1">IFERROR(INDEX(BYEs!$B$2:$B$33,MATCH(D60,BYEs!$A$2:$A$33,0)),"N/A")</f>
        <v>7</v>
      </c>
      <c r="D60" s="195" t="str">
        <f ca="1">INDEX(INDIRECT(""&amp;B60&amp;"!E2:E700"),MATCH(A60,INDIRECT(""&amp;B60&amp;"!B2:B700"),0))</f>
        <v>HOU</v>
      </c>
      <c r="E60" s="194" t="str">
        <f ca="1">INDEX(INDIRECT(""&amp;$B60&amp;"!Z2:Z709"),MATCH($A60,INDIRECT(""&amp;$B60&amp;"!B2:B709"),0))</f>
        <v>WR5</v>
      </c>
      <c r="F60" s="196">
        <f ca="1">IF(LeagueInfo!$H$7="Starter/Bench",INDEX(INDIRECT(""&amp;B60&amp;"!S2:S709"),MATCH(A60,INDIRECT(""&amp;B60&amp;"!B2:B709"),0)),INDEX(INDIRECT(""&amp;B60&amp;"!AA2:AA709"),MATCH(A60,INDIRECT(""&amp;B60&amp;"!B2:B709"),0)))</f>
        <v>17.604519962728201</v>
      </c>
      <c r="G60" s="197">
        <f>IF(H60&gt;0,F60-H60,0)</f>
        <v>0</v>
      </c>
      <c r="H60" s="198"/>
      <c r="I60" s="197">
        <f ca="1">F60*$A$2</f>
        <v>17.604519962728201</v>
      </c>
      <c r="J60" s="197" t="s">
        <v>80</v>
      </c>
      <c r="K60" s="197">
        <f>IF(LeagueInfo!$F$7="Yahoo",IFERROR(INDEX(DefaultAuctionValues!$B$2:$B$359,MATCH(A60,DefaultAuctionValues!$A$2:$A$359,0)),0),IF(LeagueInfo!$F$7="ESPN",IFERROR(INDEX(DefaultAuctionValues!$C$2:$C$359,MATCH(A60,DefaultAuctionValues!$A$2:$A$359,0)),0),IF(LeagueInfo!$F$7="FantasyPros",IFERROR(INDEX(DefaultAuctionValues!$D$2:$D$359,MATCH(A60,DefaultAuctionValues!$A$2:$A$359,0)),0))))</f>
        <v>33</v>
      </c>
      <c r="L60" s="197">
        <f ca="1">I60-K60</f>
        <v>-15.395480037271799</v>
      </c>
      <c r="M60" s="213"/>
      <c r="N60" s="208">
        <f ca="1">INDEX(INDIRECT(""&amp;$B60&amp;"!y2:y709"),MATCH($A60,INDIRECT(""&amp;$B60&amp;"!B2:B709"),0))</f>
        <v>38.659999999999989</v>
      </c>
      <c r="O60" s="217" t="str">
        <f ca="1">IF(INDEX(INDIRECT(""&amp;$B60&amp;"!V2:V700"),MATCH($A60,INDIRECT(""&amp;$B60&amp;"!B2:B700"),0))=0,"",INDEX(INDIRECT(""&amp;$B60&amp;"!V2:V700"),MATCH($A60,INDIRECT(""&amp;$B60&amp;"!B2:B700"),0)))</f>
        <v/>
      </c>
    </row>
    <row r="61" spans="1:15" x14ac:dyDescent="0.25">
      <c r="A61" s="195" t="s">
        <v>139</v>
      </c>
      <c r="B61" s="195" t="s">
        <v>47</v>
      </c>
      <c r="C61" s="195">
        <f ca="1">IFERROR(INDEX(BYEs!$B$2:$B$33,MATCH(D61,BYEs!$A$2:$A$33,0)),"N/A")</f>
        <v>5</v>
      </c>
      <c r="D61" s="195" t="str">
        <f ca="1">INDEX(INDIRECT(""&amp;B61&amp;"!E2:E700"),MATCH(A61,INDIRECT(""&amp;B61&amp;"!B2:B700"),0))</f>
        <v>WAS</v>
      </c>
      <c r="E61" s="194" t="str">
        <f ca="1">INDEX(INDIRECT(""&amp;$B61&amp;"!Z2:Z709"),MATCH($A61,INDIRECT(""&amp;$B61&amp;"!B2:B709"),0))</f>
        <v>TE5</v>
      </c>
      <c r="F61" s="196">
        <f ca="1">IF(LeagueInfo!$H$7="Starter/Bench",INDEX(INDIRECT(""&amp;B61&amp;"!S2:S709"),MATCH(A61,INDIRECT(""&amp;B61&amp;"!B2:B709"),0)),INDEX(INDIRECT(""&amp;B61&amp;"!AA2:AA709"),MATCH(A61,INDIRECT(""&amp;B61&amp;"!B2:B709"),0)))</f>
        <v>17.521965739351128</v>
      </c>
      <c r="G61" s="197">
        <f>IF(H61&gt;0,F61-H61,0)</f>
        <v>0</v>
      </c>
      <c r="H61" s="198"/>
      <c r="I61" s="197">
        <f ca="1">F61*$A$2</f>
        <v>17.521965739351128</v>
      </c>
      <c r="J61" s="197" t="s">
        <v>80</v>
      </c>
      <c r="K61" s="197">
        <f>IF(LeagueInfo!$F$7="Yahoo",IFERROR(INDEX(DefaultAuctionValues!$B$2:$B$359,MATCH(A61,DefaultAuctionValues!$A$2:$A$359,0)),0),IF(LeagueInfo!$F$7="ESPN",IFERROR(INDEX(DefaultAuctionValues!$C$2:$C$359,MATCH(A61,DefaultAuctionValues!$A$2:$A$359,0)),0),IF(LeagueInfo!$F$7="FantasyPros",IFERROR(INDEX(DefaultAuctionValues!$D$2:$D$359,MATCH(A61,DefaultAuctionValues!$A$2:$A$359,0)),0))))</f>
        <v>11</v>
      </c>
      <c r="L61" s="197">
        <f ca="1">I61-K61</f>
        <v>6.5219657393511277</v>
      </c>
      <c r="M61" s="213"/>
      <c r="N61" s="208">
        <f ca="1">INDEX(INDIRECT(""&amp;$B61&amp;"!y2:y709"),MATCH($A61,INDIRECT(""&amp;$B61&amp;"!B2:B709"),0))</f>
        <v>38.725000000000001</v>
      </c>
      <c r="O61" s="217" t="str">
        <f ca="1">IF(INDEX(INDIRECT(""&amp;$B61&amp;"!V2:V700"),MATCH($A61,INDIRECT(""&amp;$B61&amp;"!B2:B700"),0))=0,"",INDEX(INDIRECT(""&amp;$B61&amp;"!V2:V700"),MATCH($A61,INDIRECT(""&amp;$B61&amp;"!B2:B700"),0)))</f>
        <v/>
      </c>
    </row>
    <row r="62" spans="1:15" x14ac:dyDescent="0.25">
      <c r="A62" s="195" t="s">
        <v>157</v>
      </c>
      <c r="B62" s="195" t="s">
        <v>47</v>
      </c>
      <c r="C62" s="195">
        <f ca="1">IFERROR(INDEX(BYEs!$B$2:$B$33,MATCH(D62,BYEs!$A$2:$A$33,0)),"N/A")</f>
        <v>6</v>
      </c>
      <c r="D62" s="195" t="str">
        <f ca="1">INDEX(INDIRECT(""&amp;B62&amp;"!E2:E700"),MATCH(A62,INDIRECT(""&amp;B62&amp;"!B2:B700"),0))</f>
        <v>SEA</v>
      </c>
      <c r="E62" s="194" t="str">
        <f ca="1">INDEX(INDIRECT(""&amp;$B62&amp;"!Z2:Z709"),MATCH($A62,INDIRECT(""&amp;$B62&amp;"!B2:B709"),0))</f>
        <v>TE5</v>
      </c>
      <c r="F62" s="196">
        <f ca="1">IF(LeagueInfo!$H$7="Starter/Bench",INDEX(INDIRECT(""&amp;B62&amp;"!S2:S709"),MATCH(A62,INDIRECT(""&amp;B62&amp;"!B2:B709"),0)),INDEX(INDIRECT(""&amp;B62&amp;"!AA2:AA709"),MATCH(A62,INDIRECT(""&amp;B62&amp;"!B2:B709"),0)))</f>
        <v>17.500121500432613</v>
      </c>
      <c r="G62" s="197">
        <f>IF(H62&gt;0,F62-H62,0)</f>
        <v>0</v>
      </c>
      <c r="H62" s="198"/>
      <c r="I62" s="197">
        <f ca="1">F62*$A$2</f>
        <v>17.500121500432613</v>
      </c>
      <c r="J62" s="197" t="s">
        <v>80</v>
      </c>
      <c r="K62" s="197">
        <f>IF(LeagueInfo!$F$7="Yahoo",IFERROR(INDEX(DefaultAuctionValues!$B$2:$B$359,MATCH(A62,DefaultAuctionValues!$A$2:$A$359,0)),0),IF(LeagueInfo!$F$7="ESPN",IFERROR(INDEX(DefaultAuctionValues!$C$2:$C$359,MATCH(A62,DefaultAuctionValues!$A$2:$A$359,0)),0),IF(LeagueInfo!$F$7="FantasyPros",IFERROR(INDEX(DefaultAuctionValues!$D$2:$D$359,MATCH(A62,DefaultAuctionValues!$A$2:$A$359,0)),0))))</f>
        <v>7</v>
      </c>
      <c r="L62" s="197">
        <f ca="1">I62-K62</f>
        <v>10.500121500432613</v>
      </c>
      <c r="M62" s="213"/>
      <c r="N62" s="208">
        <f ca="1">INDEX(INDIRECT(""&amp;$B62&amp;"!y2:y709"),MATCH($A62,INDIRECT(""&amp;$B62&amp;"!B2:B709"),0))</f>
        <v>38.675000000000018</v>
      </c>
      <c r="O62" s="217" t="str">
        <f ca="1">IF(INDEX(INDIRECT(""&amp;$B62&amp;"!V2:V700"),MATCH($A62,INDIRECT(""&amp;$B62&amp;"!B2:B700"),0))=0,"",INDEX(INDIRECT(""&amp;$B62&amp;"!V2:V700"),MATCH($A62,INDIRECT(""&amp;$B62&amp;"!B2:B700"),0)))</f>
        <v/>
      </c>
    </row>
    <row r="63" spans="1:15" x14ac:dyDescent="0.25">
      <c r="A63" s="195" t="s">
        <v>124</v>
      </c>
      <c r="B63" s="195" t="s">
        <v>39</v>
      </c>
      <c r="C63" s="195">
        <f ca="1">IFERROR(INDEX(BYEs!$B$2:$B$33,MATCH(D63,BYEs!$A$2:$A$33,0)),"N/A")</f>
        <v>5</v>
      </c>
      <c r="D63" s="195" t="str">
        <f ca="1">INDEX(INDIRECT(""&amp;B63&amp;"!E2:E700"),MATCH(A63,INDIRECT(""&amp;B63&amp;"!B2:B700"),0))</f>
        <v>DEN</v>
      </c>
      <c r="E63" s="194" t="str">
        <f ca="1">INDEX(INDIRECT(""&amp;$B63&amp;"!Z2:Z709"),MATCH($A63,INDIRECT(""&amp;$B63&amp;"!B2:B709"),0))</f>
        <v>WR5</v>
      </c>
      <c r="F63" s="196">
        <f ca="1">IF(LeagueInfo!$H$7="Starter/Bench",INDEX(INDIRECT(""&amp;B63&amp;"!S2:S709"),MATCH(A63,INDIRECT(""&amp;B63&amp;"!B2:B709"),0)),INDEX(INDIRECT(""&amp;B63&amp;"!AA2:AA709"),MATCH(A63,INDIRECT(""&amp;B63&amp;"!B2:B709"),0)))</f>
        <v>16.979774729658438</v>
      </c>
      <c r="G63" s="197">
        <f>IF(H63&gt;0,F63-H63,0)</f>
        <v>0</v>
      </c>
      <c r="H63" s="198"/>
      <c r="I63" s="197">
        <f ca="1">F63*$A$2</f>
        <v>16.979774729658438</v>
      </c>
      <c r="J63" s="197" t="s">
        <v>80</v>
      </c>
      <c r="K63" s="197">
        <f>IF(LeagueInfo!$F$7="Yahoo",IFERROR(INDEX(DefaultAuctionValues!$B$2:$B$359,MATCH(A63,DefaultAuctionValues!$A$2:$A$359,0)),0),IF(LeagueInfo!$F$7="ESPN",IFERROR(INDEX(DefaultAuctionValues!$C$2:$C$359,MATCH(A63,DefaultAuctionValues!$A$2:$A$359,0)),0),IF(LeagueInfo!$F$7="FantasyPros",IFERROR(INDEX(DefaultAuctionValues!$D$2:$D$359,MATCH(A63,DefaultAuctionValues!$A$2:$A$359,0)),0))))</f>
        <v>27</v>
      </c>
      <c r="L63" s="197">
        <f ca="1">I63-K63</f>
        <v>-10.020225270341562</v>
      </c>
      <c r="M63" s="213"/>
      <c r="N63" s="208">
        <f ca="1">INDEX(INDIRECT(""&amp;$B63&amp;"!y2:y709"),MATCH($A63,INDIRECT(""&amp;$B63&amp;"!B2:B709"),0))</f>
        <v>37.229999999999983</v>
      </c>
      <c r="O63" s="217" t="str">
        <f ca="1">IF(INDEX(INDIRECT(""&amp;$B63&amp;"!V2:V700"),MATCH($A63,INDIRECT(""&amp;$B63&amp;"!B2:B700"),0))=0,"",INDEX(INDIRECT(""&amp;$B63&amp;"!V2:V700"),MATCH($A63,INDIRECT(""&amp;$B63&amp;"!B2:B700"),0)))</f>
        <v/>
      </c>
    </row>
    <row r="64" spans="1:15" x14ac:dyDescent="0.25">
      <c r="A64" s="195" t="s">
        <v>127</v>
      </c>
      <c r="B64" s="195" t="s">
        <v>39</v>
      </c>
      <c r="C64" s="195">
        <f ca="1">IFERROR(INDEX(BYEs!$B$2:$B$33,MATCH(D64,BYEs!$A$2:$A$33,0)),"N/A")</f>
        <v>8</v>
      </c>
      <c r="D64" s="195" t="str">
        <f ca="1">INDEX(INDIRECT(""&amp;B64&amp;"!E2:E700"),MATCH(A64,INDIRECT(""&amp;B64&amp;"!B2:B700"),0))</f>
        <v>JAC</v>
      </c>
      <c r="E64" s="194" t="str">
        <f ca="1">INDEX(INDIRECT(""&amp;$B64&amp;"!Z2:Z709"),MATCH($A64,INDIRECT(""&amp;$B64&amp;"!B2:B709"),0))</f>
        <v>WR5</v>
      </c>
      <c r="F64" s="196">
        <f ca="1">IF(LeagueInfo!$H$7="Starter/Bench",INDEX(INDIRECT(""&amp;B64&amp;"!S2:S709"),MATCH(A64,INDIRECT(""&amp;B64&amp;"!B2:B709"),0)),INDEX(INDIRECT(""&amp;B64&amp;"!AA2:AA709"),MATCH(A64,INDIRECT(""&amp;B64&amp;"!B2:B709"),0)))</f>
        <v>16.914242012902868</v>
      </c>
      <c r="G64" s="197">
        <f>IF(H64&gt;0,F64-H64,0)</f>
        <v>0</v>
      </c>
      <c r="H64" s="198"/>
      <c r="I64" s="197">
        <f ca="1">F64*$A$2</f>
        <v>16.914242012902868</v>
      </c>
      <c r="J64" s="197" t="s">
        <v>80</v>
      </c>
      <c r="K64" s="197">
        <f>IF(LeagueInfo!$F$7="Yahoo",IFERROR(INDEX(DefaultAuctionValues!$B$2:$B$359,MATCH(A64,DefaultAuctionValues!$A$2:$A$359,0)),0),IF(LeagueInfo!$F$7="ESPN",IFERROR(INDEX(DefaultAuctionValues!$C$2:$C$359,MATCH(A64,DefaultAuctionValues!$A$2:$A$359,0)),0),IF(LeagueInfo!$F$7="FantasyPros",IFERROR(INDEX(DefaultAuctionValues!$D$2:$D$359,MATCH(A64,DefaultAuctionValues!$A$2:$A$359,0)),0))))</f>
        <v>21</v>
      </c>
      <c r="L64" s="197">
        <f ca="1">I64-K64</f>
        <v>-4.0857579870971321</v>
      </c>
      <c r="M64" s="213"/>
      <c r="N64" s="208">
        <f ca="1">INDEX(INDIRECT(""&amp;$B64&amp;"!y2:y709"),MATCH($A64,INDIRECT(""&amp;$B64&amp;"!B2:B709"),0))</f>
        <v>37.079999999999977</v>
      </c>
      <c r="O64" s="217" t="str">
        <f ca="1">IF(INDEX(INDIRECT(""&amp;$B64&amp;"!V2:V700"),MATCH($A64,INDIRECT(""&amp;$B64&amp;"!B2:B700"),0))=0,"",INDEX(INDIRECT(""&amp;$B64&amp;"!V2:V700"),MATCH($A64,INDIRECT(""&amp;$B64&amp;"!B2:B700"),0)))</f>
        <v/>
      </c>
    </row>
    <row r="65" spans="1:15" x14ac:dyDescent="0.25">
      <c r="A65" s="195" t="s">
        <v>145</v>
      </c>
      <c r="B65" s="195" t="s">
        <v>32</v>
      </c>
      <c r="C65" s="195">
        <f ca="1">IFERROR(INDEX(BYEs!$B$2:$B$33,MATCH(D65,BYEs!$A$2:$A$33,0)),"N/A")</f>
        <v>5</v>
      </c>
      <c r="D65" s="195" t="str">
        <f ca="1">INDEX(INDIRECT(""&amp;B65&amp;"!E2:E700"),MATCH(A65,INDIRECT(""&amp;B65&amp;"!B2:B700"),0))</f>
        <v>DEN</v>
      </c>
      <c r="E65" s="194" t="str">
        <f ca="1">INDEX(INDIRECT(""&amp;$B65&amp;"!Z2:Z709"),MATCH($A65,INDIRECT(""&amp;$B65&amp;"!B2:B709"),0))</f>
        <v>RB9</v>
      </c>
      <c r="F65" s="196">
        <f ca="1">IF(LeagueInfo!$H$7="Starter/Bench",INDEX(INDIRECT(""&amp;B65&amp;"!S2:S709"),MATCH(A65,INDIRECT(""&amp;B65&amp;"!B2:B709"),0)),INDEX(INDIRECT(""&amp;B65&amp;"!AA2:AA709"),MATCH(A65,INDIRECT(""&amp;B65&amp;"!B2:B709"),0)))</f>
        <v>15.993444358009246</v>
      </c>
      <c r="G65" s="197">
        <f>IF(H65&gt;0,F65-H65,0)</f>
        <v>0</v>
      </c>
      <c r="H65" s="198"/>
      <c r="I65" s="197">
        <f ca="1">F65*$A$2</f>
        <v>15.993444358009246</v>
      </c>
      <c r="J65" s="197" t="s">
        <v>80</v>
      </c>
      <c r="K65" s="197">
        <f>IF(LeagueInfo!$F$7="Yahoo",IFERROR(INDEX(DefaultAuctionValues!$B$2:$B$359,MATCH(A65,DefaultAuctionValues!$A$2:$A$359,0)),0),IF(LeagueInfo!$F$7="ESPN",IFERROR(INDEX(DefaultAuctionValues!$C$2:$C$359,MATCH(A65,DefaultAuctionValues!$A$2:$A$359,0)),0),IF(LeagueInfo!$F$7="FantasyPros",IFERROR(INDEX(DefaultAuctionValues!$D$2:$D$359,MATCH(A65,DefaultAuctionValues!$A$2:$A$359,0)),0))))</f>
        <v>8</v>
      </c>
      <c r="L65" s="197">
        <f ca="1">I65-K65</f>
        <v>7.9934443580092456</v>
      </c>
      <c r="M65" s="213"/>
      <c r="N65" s="208">
        <f ca="1">INDEX(INDIRECT(""&amp;$B65&amp;"!y2:y709"),MATCH($A65,INDIRECT(""&amp;$B65&amp;"!B2:B709"),0))</f>
        <v>34.049999999999983</v>
      </c>
      <c r="O65" s="217" t="str">
        <f ca="1">IF(INDEX(INDIRECT(""&amp;$B65&amp;"!V2:V700"),MATCH($A65,INDIRECT(""&amp;$B65&amp;"!B2:B700"),0))=0,"",INDEX(INDIRECT(""&amp;$B65&amp;"!V2:V700"),MATCH($A65,INDIRECT(""&amp;$B65&amp;"!B2:B700"),0)))</f>
        <v/>
      </c>
    </row>
    <row r="66" spans="1:15" x14ac:dyDescent="0.25">
      <c r="A66" s="195" t="s">
        <v>148</v>
      </c>
      <c r="B66" s="195" t="s">
        <v>39</v>
      </c>
      <c r="C66" s="195">
        <f ca="1">IFERROR(INDEX(BYEs!$B$2:$B$33,MATCH(D66,BYEs!$A$2:$A$33,0)),"N/A")</f>
        <v>10</v>
      </c>
      <c r="D66" s="195" t="str">
        <f ca="1">INDEX(INDIRECT(""&amp;B66&amp;"!E2:E700"),MATCH(A66,INDIRECT(""&amp;B66&amp;"!B2:B700"),0))</f>
        <v>OAK</v>
      </c>
      <c r="E66" s="194" t="str">
        <f ca="1">INDEX(INDIRECT(""&amp;$B66&amp;"!Z2:Z709"),MATCH($A66,INDIRECT(""&amp;$B66&amp;"!B2:B709"),0))</f>
        <v>WR5</v>
      </c>
      <c r="F66" s="196">
        <f ca="1">IF(LeagueInfo!$H$7="Starter/Bench",INDEX(INDIRECT(""&amp;B66&amp;"!S2:S709"),MATCH(A66,INDIRECT(""&amp;B66&amp;"!B2:B709"),0)),INDEX(INDIRECT(""&amp;B66&amp;"!AA2:AA709"),MATCH(A66,INDIRECT(""&amp;B66&amp;"!B2:B709"),0)))</f>
        <v>15.258448702878827</v>
      </c>
      <c r="G66" s="197">
        <f>IF(H66&gt;0,F66-H66,0)</f>
        <v>0</v>
      </c>
      <c r="H66" s="198"/>
      <c r="I66" s="197">
        <f ca="1">F66*$A$2</f>
        <v>15.258448702878827</v>
      </c>
      <c r="J66" s="197" t="s">
        <v>80</v>
      </c>
      <c r="K66" s="197">
        <f>IF(LeagueInfo!$F$7="Yahoo",IFERROR(INDEX(DefaultAuctionValues!$B$2:$B$359,MATCH(A66,DefaultAuctionValues!$A$2:$A$359,0)),0),IF(LeagueInfo!$F$7="ESPN",IFERROR(INDEX(DefaultAuctionValues!$C$2:$C$359,MATCH(A66,DefaultAuctionValues!$A$2:$A$359,0)),0),IF(LeagueInfo!$F$7="FantasyPros",IFERROR(INDEX(DefaultAuctionValues!$D$2:$D$359,MATCH(A66,DefaultAuctionValues!$A$2:$A$359,0)),0))))</f>
        <v>10</v>
      </c>
      <c r="L66" s="197">
        <f ca="1">I66-K66</f>
        <v>5.2584487028788267</v>
      </c>
      <c r="M66" s="213"/>
      <c r="N66" s="208">
        <f ca="1">INDEX(INDIRECT(""&amp;$B66&amp;"!y2:y709"),MATCH($A66,INDIRECT(""&amp;$B66&amp;"!B2:B709"),0))</f>
        <v>33.289999999999985</v>
      </c>
      <c r="O66" s="217" t="str">
        <f ca="1">IF(INDEX(INDIRECT(""&amp;$B66&amp;"!V2:V700"),MATCH($A66,INDIRECT(""&amp;$B66&amp;"!B2:B700"),0))=0,"",INDEX(INDIRECT(""&amp;$B66&amp;"!V2:V700"),MATCH($A66,INDIRECT(""&amp;$B66&amp;"!B2:B700"),0)))</f>
        <v/>
      </c>
    </row>
    <row r="67" spans="1:15" x14ac:dyDescent="0.25">
      <c r="A67" s="195" t="s">
        <v>205</v>
      </c>
      <c r="B67" s="195" t="s">
        <v>32</v>
      </c>
      <c r="C67" s="195">
        <f ca="1">IFERROR(INDEX(BYEs!$B$2:$B$33,MATCH(D67,BYEs!$A$2:$A$33,0)),"N/A")</f>
        <v>10</v>
      </c>
      <c r="D67" s="195" t="str">
        <f ca="1">INDEX(INDIRECT(""&amp;B67&amp;"!E2:E700"),MATCH(A67,INDIRECT(""&amp;B67&amp;"!B2:B700"),0))</f>
        <v>BAL</v>
      </c>
      <c r="E67" s="194" t="str">
        <f ca="1">INDEX(INDIRECT(""&amp;$B67&amp;"!Z2:Z709"),MATCH($A67,INDIRECT(""&amp;$B67&amp;"!B2:B709"),0))</f>
        <v>RB9</v>
      </c>
      <c r="F67" s="196">
        <f ca="1">IF(LeagueInfo!$H$7="Starter/Bench",INDEX(INDIRECT(""&amp;B67&amp;"!S2:S709"),MATCH(A67,INDIRECT(""&amp;B67&amp;"!B2:B709"),0)),INDEX(INDIRECT(""&amp;B67&amp;"!AA2:AA709"),MATCH(A67,INDIRECT(""&amp;B67&amp;"!B2:B709"),0)))</f>
        <v>15.058510932296464</v>
      </c>
      <c r="G67" s="197">
        <f>IF(H67&gt;0,F67-H67,0)</f>
        <v>0</v>
      </c>
      <c r="H67" s="198"/>
      <c r="I67" s="197">
        <f ca="1">F67*$A$2</f>
        <v>15.058510932296464</v>
      </c>
      <c r="J67" s="197" t="s">
        <v>80</v>
      </c>
      <c r="K67" s="197">
        <f>IF(LeagueInfo!$F$7="Yahoo",IFERROR(INDEX(DefaultAuctionValues!$B$2:$B$359,MATCH(A67,DefaultAuctionValues!$A$2:$A$359,0)),0),IF(LeagueInfo!$F$7="ESPN",IFERROR(INDEX(DefaultAuctionValues!$C$2:$C$359,MATCH(A67,DefaultAuctionValues!$A$2:$A$359,0)),0),IF(LeagueInfo!$F$7="FantasyPros",IFERROR(INDEX(DefaultAuctionValues!$D$2:$D$359,MATCH(A67,DefaultAuctionValues!$A$2:$A$359,0)),0))))</f>
        <v>1</v>
      </c>
      <c r="L67" s="197">
        <f ca="1">I67-K67</f>
        <v>14.058510932296464</v>
      </c>
      <c r="M67" s="213"/>
      <c r="N67" s="208">
        <f ca="1">INDEX(INDIRECT(""&amp;$B67&amp;"!y2:y709"),MATCH($A67,INDIRECT(""&amp;$B67&amp;"!B2:B709"),0))</f>
        <v>31.909999999999997</v>
      </c>
      <c r="O67" s="217" t="str">
        <f ca="1">IF(INDEX(INDIRECT(""&amp;$B67&amp;"!V2:V700"),MATCH($A67,INDIRECT(""&amp;$B67&amp;"!B2:B700"),0))=0,"",INDEX(INDIRECT(""&amp;$B67&amp;"!V2:V700"),MATCH($A67,INDIRECT(""&amp;$B67&amp;"!B2:B700"),0)))</f>
        <v/>
      </c>
    </row>
    <row r="68" spans="1:15" x14ac:dyDescent="0.25">
      <c r="A68" s="195" t="s">
        <v>129</v>
      </c>
      <c r="B68" s="195" t="s">
        <v>39</v>
      </c>
      <c r="C68" s="195">
        <f ca="1">IFERROR(INDEX(BYEs!$B$2:$B$33,MATCH(D68,BYEs!$A$2:$A$33,0)),"N/A")</f>
        <v>10</v>
      </c>
      <c r="D68" s="195" t="str">
        <f ca="1">INDEX(INDIRECT(""&amp;B68&amp;"!E2:E700"),MATCH(A68,INDIRECT(""&amp;B68&amp;"!B2:B700"),0))</f>
        <v>PHI</v>
      </c>
      <c r="E68" s="194" t="str">
        <f ca="1">INDEX(INDIRECT(""&amp;$B68&amp;"!Z2:Z709"),MATCH($A68,INDIRECT(""&amp;$B68&amp;"!B2:B709"),0))</f>
        <v>WR5</v>
      </c>
      <c r="F68" s="196">
        <f ca="1">IF(LeagueInfo!$H$7="Starter/Bench",INDEX(INDIRECT(""&amp;B68&amp;"!S2:S709"),MATCH(A68,INDIRECT(""&amp;B68&amp;"!B2:B709"),0)),INDEX(INDIRECT(""&amp;B68&amp;"!AA2:AA709"),MATCH(A68,INDIRECT(""&amp;B68&amp;"!B2:B709"),0)))</f>
        <v>14.956998205803197</v>
      </c>
      <c r="G68" s="197">
        <f>IF(H68&gt;0,F68-H68,0)</f>
        <v>0</v>
      </c>
      <c r="H68" s="198"/>
      <c r="I68" s="197">
        <f ca="1">F68*$A$2</f>
        <v>14.956998205803197</v>
      </c>
      <c r="J68" s="197" t="s">
        <v>80</v>
      </c>
      <c r="K68" s="197">
        <f>IF(LeagueInfo!$F$7="Yahoo",IFERROR(INDEX(DefaultAuctionValues!$B$2:$B$359,MATCH(A68,DefaultAuctionValues!$A$2:$A$359,0)),0),IF(LeagueInfo!$F$7="ESPN",IFERROR(INDEX(DefaultAuctionValues!$C$2:$C$359,MATCH(A68,DefaultAuctionValues!$A$2:$A$359,0)),0),IF(LeagueInfo!$F$7="FantasyPros",IFERROR(INDEX(DefaultAuctionValues!$D$2:$D$359,MATCH(A68,DefaultAuctionValues!$A$2:$A$359,0)),0))))</f>
        <v>22</v>
      </c>
      <c r="L68" s="197">
        <f ca="1">I68-K68</f>
        <v>-7.0430017941968028</v>
      </c>
      <c r="M68" s="213"/>
      <c r="N68" s="208">
        <f ca="1">INDEX(INDIRECT(""&amp;$B68&amp;"!y2:y709"),MATCH($A68,INDIRECT(""&amp;$B68&amp;"!B2:B709"),0))</f>
        <v>32.599999999999959</v>
      </c>
      <c r="O68" s="217" t="str">
        <f ca="1">IF(INDEX(INDIRECT(""&amp;$B68&amp;"!V2:V700"),MATCH($A68,INDIRECT(""&amp;$B68&amp;"!B2:B700"),0))=0,"",INDEX(INDIRECT(""&amp;$B68&amp;"!V2:V700"),MATCH($A68,INDIRECT(""&amp;$B68&amp;"!B2:B700"),0)))</f>
        <v/>
      </c>
    </row>
    <row r="69" spans="1:15" x14ac:dyDescent="0.25">
      <c r="A69" s="195" t="s">
        <v>164</v>
      </c>
      <c r="B69" s="195" t="s">
        <v>33</v>
      </c>
      <c r="C69" s="195">
        <f ca="1">IFERROR(INDEX(BYEs!$B$2:$B$33,MATCH(D69,BYEs!$A$2:$A$33,0)),"N/A")</f>
        <v>8</v>
      </c>
      <c r="D69" s="195" t="str">
        <f ca="1">INDEX(INDIRECT(""&amp;B69&amp;"!E2:E700"),MATCH(A69,INDIRECT(""&amp;B69&amp;"!B2:B700"),0))</f>
        <v>TEN</v>
      </c>
      <c r="E69" s="194" t="str">
        <f ca="1">INDEX(INDIRECT(""&amp;$B69&amp;"!Z2:Z709"),MATCH($A69,INDIRECT(""&amp;$B69&amp;"!B2:B709"),0))</f>
        <v>QB3</v>
      </c>
      <c r="F69" s="196">
        <f ca="1">IF(LeagueInfo!$H$7="Starter/Bench",INDEX(INDIRECT(""&amp;B69&amp;"!S2:S709"),MATCH(A69,INDIRECT(""&amp;B69&amp;"!B2:B709"),0)),INDEX(INDIRECT(""&amp;B69&amp;"!AA2:AA709"),MATCH(A69,INDIRECT(""&amp;B69&amp;"!B2:B709"),0)))</f>
        <v>14.647842502614997</v>
      </c>
      <c r="G69" s="197">
        <f>IF(H69&gt;0,F69-H69,0)</f>
        <v>0</v>
      </c>
      <c r="H69" s="198"/>
      <c r="I69" s="197">
        <f ca="1">F69*$A$2</f>
        <v>14.647842502614997</v>
      </c>
      <c r="J69" s="197" t="s">
        <v>80</v>
      </c>
      <c r="K69" s="197">
        <f>IF(LeagueInfo!$F$7="Yahoo",IFERROR(INDEX(DefaultAuctionValues!$B$2:$B$359,MATCH(A69,DefaultAuctionValues!$A$2:$A$359,0)),0),IF(LeagueInfo!$F$7="ESPN",IFERROR(INDEX(DefaultAuctionValues!$C$2:$C$359,MATCH(A69,DefaultAuctionValues!$A$2:$A$359,0)),0),IF(LeagueInfo!$F$7="FantasyPros",IFERROR(INDEX(DefaultAuctionValues!$D$2:$D$359,MATCH(A69,DefaultAuctionValues!$A$2:$A$359,0)),0))))</f>
        <v>5</v>
      </c>
      <c r="L69" s="197">
        <f ca="1">I69-K69</f>
        <v>9.6478425026149974</v>
      </c>
      <c r="M69" s="213"/>
      <c r="N69" s="208">
        <f ca="1">INDEX(INDIRECT(""&amp;$B69&amp;"!y2:y709"),MATCH($A69,INDIRECT(""&amp;$B69&amp;"!B2:B709"),0))</f>
        <v>31.098000000000027</v>
      </c>
      <c r="O69" s="217" t="str">
        <f ca="1">IF(INDEX(INDIRECT(""&amp;$B69&amp;"!V2:V700"),MATCH($A69,INDIRECT(""&amp;$B69&amp;"!B2:B700"),0))=0,"",INDEX(INDIRECT(""&amp;$B69&amp;"!V2:V700"),MATCH($A69,INDIRECT(""&amp;$B69&amp;"!B2:B700"),0)))</f>
        <v/>
      </c>
    </row>
    <row r="70" spans="1:15" x14ac:dyDescent="0.25">
      <c r="A70" s="195" t="s">
        <v>173</v>
      </c>
      <c r="B70" s="195" t="s">
        <v>32</v>
      </c>
      <c r="C70" s="195">
        <f ca="1">IFERROR(INDEX(BYEs!$B$2:$B$33,MATCH(D70,BYEs!$A$2:$A$33,0)),"N/A")</f>
        <v>8</v>
      </c>
      <c r="D70" s="195" t="str">
        <f ca="1">INDEX(INDIRECT(""&amp;B70&amp;"!E2:E700"),MATCH(A70,INDIRECT(""&amp;B70&amp;"!B2:B700"),0))</f>
        <v>NYG</v>
      </c>
      <c r="E70" s="194" t="str">
        <f ca="1">INDEX(INDIRECT(""&amp;$B70&amp;"!Z2:Z709"),MATCH($A70,INDIRECT(""&amp;$B70&amp;"!B2:B709"),0))</f>
        <v>RB9</v>
      </c>
      <c r="F70" s="196">
        <f ca="1">IF(LeagueInfo!$H$7="Starter/Bench",INDEX(INDIRECT(""&amp;B70&amp;"!S2:S709"),MATCH(A70,INDIRECT(""&amp;B70&amp;"!B2:B709"),0)),INDEX(INDIRECT(""&amp;B70&amp;"!AA2:AA709"),MATCH(A70,INDIRECT(""&amp;B70&amp;"!B2:B709"),0)))</f>
        <v>14.162897136637028</v>
      </c>
      <c r="G70" s="197">
        <f>IF(H70&gt;0,F70-H70,0)</f>
        <v>0</v>
      </c>
      <c r="H70" s="198"/>
      <c r="I70" s="197">
        <f ca="1">F70*$A$2</f>
        <v>14.162897136637028</v>
      </c>
      <c r="J70" s="197" t="s">
        <v>80</v>
      </c>
      <c r="K70" s="197">
        <f>IF(LeagueInfo!$F$7="Yahoo",IFERROR(INDEX(DefaultAuctionValues!$B$2:$B$359,MATCH(A70,DefaultAuctionValues!$A$2:$A$359,0)),0),IF(LeagueInfo!$F$7="ESPN",IFERROR(INDEX(DefaultAuctionValues!$C$2:$C$359,MATCH(A70,DefaultAuctionValues!$A$2:$A$359,0)),0),IF(LeagueInfo!$F$7="FantasyPros",IFERROR(INDEX(DefaultAuctionValues!$D$2:$D$359,MATCH(A70,DefaultAuctionValues!$A$2:$A$359,0)),0))))</f>
        <v>2</v>
      </c>
      <c r="L70" s="197">
        <f ca="1">I70-K70</f>
        <v>12.162897136637028</v>
      </c>
      <c r="M70" s="213"/>
      <c r="N70" s="208">
        <f ca="1">INDEX(INDIRECT(""&amp;$B70&amp;"!y2:y709"),MATCH($A70,INDIRECT(""&amp;$B70&amp;"!B2:B709"),0))</f>
        <v>29.860000000000014</v>
      </c>
      <c r="O70" s="217" t="str">
        <f ca="1">IF(INDEX(INDIRECT(""&amp;$B70&amp;"!V2:V700"),MATCH($A70,INDIRECT(""&amp;$B70&amp;"!B2:B700"),0))=0,"",INDEX(INDIRECT(""&amp;$B70&amp;"!V2:V700"),MATCH($A70,INDIRECT(""&amp;$B70&amp;"!B2:B700"),0)))</f>
        <v/>
      </c>
    </row>
    <row r="71" spans="1:15" x14ac:dyDescent="0.25">
      <c r="A71" s="195" t="s">
        <v>198</v>
      </c>
      <c r="B71" s="195" t="s">
        <v>33</v>
      </c>
      <c r="C71" s="195">
        <f ca="1">IFERROR(INDEX(BYEs!$B$2:$B$33,MATCH(D71,BYEs!$A$2:$A$33,0)),"N/A")</f>
        <v>5</v>
      </c>
      <c r="D71" s="195" t="str">
        <f ca="1">INDEX(INDIRECT(""&amp;B71&amp;"!E2:E700"),MATCH(A71,INDIRECT(""&amp;B71&amp;"!B2:B700"),0))</f>
        <v>WAS</v>
      </c>
      <c r="E71" s="194" t="str">
        <f ca="1">INDEX(INDIRECT(""&amp;$B71&amp;"!Z2:Z709"),MATCH($A71,INDIRECT(""&amp;$B71&amp;"!B2:B709"),0))</f>
        <v>QB3</v>
      </c>
      <c r="F71" s="196">
        <f ca="1">IF(LeagueInfo!$H$7="Starter/Bench",INDEX(INDIRECT(""&amp;B71&amp;"!S2:S709"),MATCH(A71,INDIRECT(""&amp;B71&amp;"!B2:B709"),0)),INDEX(INDIRECT(""&amp;B71&amp;"!AA2:AA709"),MATCH(A71,INDIRECT(""&amp;B71&amp;"!B2:B709"),0)))</f>
        <v>14.089503755857516</v>
      </c>
      <c r="G71" s="197">
        <f>IF(H71&gt;0,F71-H71,0)</f>
        <v>0</v>
      </c>
      <c r="H71" s="198"/>
      <c r="I71" s="197">
        <f ca="1">F71*$A$2</f>
        <v>14.089503755857516</v>
      </c>
      <c r="J71" s="197" t="s">
        <v>80</v>
      </c>
      <c r="K71" s="197">
        <f>IF(LeagueInfo!$F$7="Yahoo",IFERROR(INDEX(DefaultAuctionValues!$B$2:$B$359,MATCH(A71,DefaultAuctionValues!$A$2:$A$359,0)),0),IF(LeagueInfo!$F$7="ESPN",IFERROR(INDEX(DefaultAuctionValues!$C$2:$C$359,MATCH(A71,DefaultAuctionValues!$A$2:$A$359,0)),0),IF(LeagueInfo!$F$7="FantasyPros",IFERROR(INDEX(DefaultAuctionValues!$D$2:$D$359,MATCH(A71,DefaultAuctionValues!$A$2:$A$359,0)),0))))</f>
        <v>2</v>
      </c>
      <c r="L71" s="197">
        <f ca="1">I71-K71</f>
        <v>12.089503755857516</v>
      </c>
      <c r="M71" s="213"/>
      <c r="N71" s="208">
        <f ca="1">INDEX(INDIRECT(""&amp;$B71&amp;"!y2:y709"),MATCH($A71,INDIRECT(""&amp;$B71&amp;"!B2:B709"),0))</f>
        <v>29.819999999999951</v>
      </c>
      <c r="O71" s="217" t="str">
        <f ca="1">IF(INDEX(INDIRECT(""&amp;$B71&amp;"!V2:V700"),MATCH($A71,INDIRECT(""&amp;$B71&amp;"!B2:B700"),0))=0,"",INDEX(INDIRECT(""&amp;$B71&amp;"!V2:V700"),MATCH($A71,INDIRECT(""&amp;$B71&amp;"!B2:B700"),0)))</f>
        <v/>
      </c>
    </row>
    <row r="72" spans="1:15" x14ac:dyDescent="0.25">
      <c r="A72" s="195" t="s">
        <v>142</v>
      </c>
      <c r="B72" s="195" t="s">
        <v>33</v>
      </c>
      <c r="C72" s="195">
        <f ca="1">IFERROR(INDEX(BYEs!$B$2:$B$33,MATCH(D72,BYEs!$A$2:$A$33,0)),"N/A")</f>
        <v>11</v>
      </c>
      <c r="D72" s="195" t="str">
        <f ca="1">INDEX(INDIRECT(""&amp;B72&amp;"!E2:E700"),MATCH(A72,INDIRECT(""&amp;B72&amp;"!B2:B700"),0))</f>
        <v>IND</v>
      </c>
      <c r="E72" s="194" t="str">
        <f ca="1">INDEX(INDIRECT(""&amp;$B72&amp;"!Z2:Z709"),MATCH($A72,INDIRECT(""&amp;$B72&amp;"!B2:B709"),0))</f>
        <v>QB3</v>
      </c>
      <c r="F72" s="196">
        <f ca="1">IF(LeagueInfo!$H$7="Starter/Bench",INDEX(INDIRECT(""&amp;B72&amp;"!S2:S709"),MATCH(A72,INDIRECT(""&amp;B72&amp;"!B2:B709"),0)),INDEX(INDIRECT(""&amp;B72&amp;"!AA2:AA709"),MATCH(A72,INDIRECT(""&amp;B72&amp;"!B2:B709"),0)))</f>
        <v>13.718151694242639</v>
      </c>
      <c r="G72" s="197">
        <f>IF(H72&gt;0,F72-H72,0)</f>
        <v>0</v>
      </c>
      <c r="H72" s="198"/>
      <c r="I72" s="197">
        <f ca="1">F72*$A$2</f>
        <v>13.718151694242639</v>
      </c>
      <c r="J72" s="197" t="s">
        <v>80</v>
      </c>
      <c r="K72" s="197">
        <f>IF(LeagueInfo!$F$7="Yahoo",IFERROR(INDEX(DefaultAuctionValues!$B$2:$B$359,MATCH(A72,DefaultAuctionValues!$A$2:$A$359,0)),0),IF(LeagueInfo!$F$7="ESPN",IFERROR(INDEX(DefaultAuctionValues!$C$2:$C$359,MATCH(A72,DefaultAuctionValues!$A$2:$A$359,0)),0),IF(LeagueInfo!$F$7="FantasyPros",IFERROR(INDEX(DefaultAuctionValues!$D$2:$D$359,MATCH(A72,DefaultAuctionValues!$A$2:$A$359,0)),0))))</f>
        <v>10</v>
      </c>
      <c r="L72" s="197">
        <f ca="1">I72-K72</f>
        <v>3.7181516942426391</v>
      </c>
      <c r="M72" s="213"/>
      <c r="N72" s="208">
        <f ca="1">INDEX(INDIRECT(""&amp;$B72&amp;"!y2:y709"),MATCH($A72,INDIRECT(""&amp;$B72&amp;"!B2:B709"),0))</f>
        <v>28.969999999999985</v>
      </c>
      <c r="O72" s="217" t="str">
        <f ca="1">IF(INDEX(INDIRECT(""&amp;$B72&amp;"!V2:V700"),MATCH($A72,INDIRECT(""&amp;$B72&amp;"!B2:B700"),0))=0,"",INDEX(INDIRECT(""&amp;$B72&amp;"!V2:V700"),MATCH($A72,INDIRECT(""&amp;$B72&amp;"!B2:B700"),0)))</f>
        <v/>
      </c>
    </row>
    <row r="73" spans="1:15" x14ac:dyDescent="0.25">
      <c r="A73" s="195" t="s">
        <v>140</v>
      </c>
      <c r="B73" s="195" t="s">
        <v>32</v>
      </c>
      <c r="C73" s="195">
        <f ca="1">IFERROR(INDEX(BYEs!$B$2:$B$33,MATCH(D73,BYEs!$A$2:$A$33,0)),"N/A")</f>
        <v>9</v>
      </c>
      <c r="D73" s="195" t="str">
        <f ca="1">INDEX(INDIRECT(""&amp;B73&amp;"!E2:E700"),MATCH(A73,INDIRECT(""&amp;B73&amp;"!B2:B700"),0))</f>
        <v>NE</v>
      </c>
      <c r="E73" s="194" t="str">
        <f ca="1">INDEX(INDIRECT(""&amp;$B73&amp;"!Z2:Z709"),MATCH($A73,INDIRECT(""&amp;$B73&amp;"!B2:B709"),0))</f>
        <v>RB9</v>
      </c>
      <c r="F73" s="196">
        <f ca="1">IF(LeagueInfo!$H$7="Starter/Bench",INDEX(INDIRECT(""&amp;B73&amp;"!S2:S709"),MATCH(A73,INDIRECT(""&amp;B73&amp;"!B2:B709"),0)),INDEX(INDIRECT(""&amp;B73&amp;"!AA2:AA709"),MATCH(A73,INDIRECT(""&amp;B73&amp;"!B2:B709"),0)))</f>
        <v>13.634266554808761</v>
      </c>
      <c r="G73" s="197">
        <f>IF(H73&gt;0,F73-H73,0)</f>
        <v>0</v>
      </c>
      <c r="H73" s="198"/>
      <c r="I73" s="197">
        <f ca="1">F73*$A$2</f>
        <v>13.634266554808761</v>
      </c>
      <c r="J73" s="197" t="s">
        <v>80</v>
      </c>
      <c r="K73" s="197">
        <f>IF(LeagueInfo!$F$7="Yahoo",IFERROR(INDEX(DefaultAuctionValues!$B$2:$B$359,MATCH(A73,DefaultAuctionValues!$A$2:$A$359,0)),0),IF(LeagueInfo!$F$7="ESPN",IFERROR(INDEX(DefaultAuctionValues!$C$2:$C$359,MATCH(A73,DefaultAuctionValues!$A$2:$A$359,0)),0),IF(LeagueInfo!$F$7="FantasyPros",IFERROR(INDEX(DefaultAuctionValues!$D$2:$D$359,MATCH(A73,DefaultAuctionValues!$A$2:$A$359,0)),0))))</f>
        <v>13</v>
      </c>
      <c r="L73" s="197">
        <f ca="1">I73-K73</f>
        <v>0.63426655480876093</v>
      </c>
      <c r="M73" s="213"/>
      <c r="N73" s="208">
        <f ca="1">INDEX(INDIRECT(""&amp;$B73&amp;"!y2:y709"),MATCH($A73,INDIRECT(""&amp;$B73&amp;"!B2:B709"),0))</f>
        <v>28.649999999999991</v>
      </c>
      <c r="O73" s="217" t="str">
        <f ca="1">IF(INDEX(INDIRECT(""&amp;$B73&amp;"!V2:V700"),MATCH($A73,INDIRECT(""&amp;$B73&amp;"!B2:B700"),0))=0,"",INDEX(INDIRECT(""&amp;$B73&amp;"!V2:V700"),MATCH($A73,INDIRECT(""&amp;$B73&amp;"!B2:B700"),0)))</f>
        <v/>
      </c>
    </row>
    <row r="74" spans="1:15" x14ac:dyDescent="0.25">
      <c r="A74" s="195" t="s">
        <v>549</v>
      </c>
      <c r="B74" s="195" t="s">
        <v>39</v>
      </c>
      <c r="C74" s="195">
        <f ca="1">IFERROR(INDEX(BYEs!$B$2:$B$33,MATCH(D74,BYEs!$A$2:$A$33,0)),"N/A")</f>
        <v>5</v>
      </c>
      <c r="D74" s="195" t="str">
        <f ca="1">INDEX(INDIRECT(""&amp;B74&amp;"!E2:E700"),MATCH(A74,INDIRECT(""&amp;B74&amp;"!B2:B700"),0))</f>
        <v>WAS</v>
      </c>
      <c r="E74" s="194" t="str">
        <f ca="1">INDEX(INDIRECT(""&amp;$B74&amp;"!Z2:Z709"),MATCH($A74,INDIRECT(""&amp;$B74&amp;"!B2:B709"),0))</f>
        <v>WR6</v>
      </c>
      <c r="F74" s="196">
        <f ca="1">IF(LeagueInfo!$H$7="Starter/Bench",INDEX(INDIRECT(""&amp;B74&amp;"!S2:S709"),MATCH(A74,INDIRECT(""&amp;B74&amp;"!B2:B709"),0)),INDEX(INDIRECT(""&amp;B74&amp;"!AA2:AA709"),MATCH(A74,INDIRECT(""&amp;B74&amp;"!B2:B709"),0)))</f>
        <v>13.231303331239896</v>
      </c>
      <c r="G74" s="197">
        <f>IF(H74&gt;0,F74-H74,0)</f>
        <v>0</v>
      </c>
      <c r="H74" s="198"/>
      <c r="I74" s="197">
        <f ca="1">F74*$A$2</f>
        <v>13.231303331239896</v>
      </c>
      <c r="J74" s="197" t="s">
        <v>80</v>
      </c>
      <c r="K74" s="197">
        <f>IF(LeagueInfo!$F$7="Yahoo",IFERROR(INDEX(DefaultAuctionValues!$B$2:$B$359,MATCH(A74,DefaultAuctionValues!$A$2:$A$359,0)),0),IF(LeagueInfo!$F$7="ESPN",IFERROR(INDEX(DefaultAuctionValues!$C$2:$C$359,MATCH(A74,DefaultAuctionValues!$A$2:$A$359,0)),0),IF(LeagueInfo!$F$7="FantasyPros",IFERROR(INDEX(DefaultAuctionValues!$D$2:$D$359,MATCH(A74,DefaultAuctionValues!$A$2:$A$359,0)),0))))</f>
        <v>21</v>
      </c>
      <c r="L74" s="197">
        <f ca="1">I74-K74</f>
        <v>-7.7686966687601036</v>
      </c>
      <c r="M74" s="213"/>
      <c r="N74" s="208">
        <f ca="1">INDEX(INDIRECT(""&amp;$B74&amp;"!y2:y709"),MATCH($A74,INDIRECT(""&amp;$B74&amp;"!B2:B709"),0))</f>
        <v>28.65</v>
      </c>
      <c r="O74" s="217" t="str">
        <f ca="1">IF(INDEX(INDIRECT(""&amp;$B74&amp;"!V2:V700"),MATCH($A74,INDIRECT(""&amp;$B74&amp;"!B2:B700"),0))=0,"",INDEX(INDIRECT(""&amp;$B74&amp;"!V2:V700"),MATCH($A74,INDIRECT(""&amp;$B74&amp;"!B2:B700"),0)))</f>
        <v/>
      </c>
    </row>
    <row r="75" spans="1:15" x14ac:dyDescent="0.25">
      <c r="A75" s="195" t="s">
        <v>204</v>
      </c>
      <c r="B75" s="195" t="s">
        <v>47</v>
      </c>
      <c r="C75" s="195">
        <f ca="1">IFERROR(INDEX(BYEs!$B$2:$B$33,MATCH(D75,BYEs!$A$2:$A$33,0)),"N/A")</f>
        <v>9</v>
      </c>
      <c r="D75" s="195" t="str">
        <f ca="1">INDEX(INDIRECT(""&amp;B75&amp;"!E2:E700"),MATCH(A75,INDIRECT(""&amp;B75&amp;"!B2:B700"),0))</f>
        <v>MIN</v>
      </c>
      <c r="E75" s="194" t="str">
        <f ca="1">INDEX(INDIRECT(""&amp;$B75&amp;"!Z2:Z709"),MATCH($A75,INDIRECT(""&amp;$B75&amp;"!B2:B709"),0))</f>
        <v>TE6</v>
      </c>
      <c r="F75" s="196">
        <f ca="1">IF(LeagueInfo!$H$7="Starter/Bench",INDEX(INDIRECT(""&amp;B75&amp;"!S2:S709"),MATCH(A75,INDIRECT(""&amp;B75&amp;"!B2:B709"),0)),INDEX(INDIRECT(""&amp;B75&amp;"!AA2:AA709"),MATCH(A75,INDIRECT(""&amp;B75&amp;"!B2:B709"),0)))</f>
        <v>13.20991297683468</v>
      </c>
      <c r="G75" s="197">
        <f>IF(H75&gt;0,F75-H75,0)</f>
        <v>0</v>
      </c>
      <c r="H75" s="198"/>
      <c r="I75" s="197">
        <f ca="1">F75*$A$2</f>
        <v>13.20991297683468</v>
      </c>
      <c r="J75" s="197" t="s">
        <v>80</v>
      </c>
      <c r="K75" s="197">
        <f>IF(LeagueInfo!$F$7="Yahoo",IFERROR(INDEX(DefaultAuctionValues!$B$2:$B$359,MATCH(A75,DefaultAuctionValues!$A$2:$A$359,0)),0),IF(LeagueInfo!$F$7="ESPN",IFERROR(INDEX(DefaultAuctionValues!$C$2:$C$359,MATCH(A75,DefaultAuctionValues!$A$2:$A$359,0)),0),IF(LeagueInfo!$F$7="FantasyPros",IFERROR(INDEX(DefaultAuctionValues!$D$2:$D$359,MATCH(A75,DefaultAuctionValues!$A$2:$A$359,0)),0))))</f>
        <v>2</v>
      </c>
      <c r="L75" s="197">
        <f ca="1">I75-K75</f>
        <v>11.20991297683468</v>
      </c>
      <c r="M75" s="213"/>
      <c r="N75" s="208">
        <f ca="1">INDEX(INDIRECT(""&amp;$B75&amp;"!y2:y709"),MATCH($A75,INDIRECT(""&amp;$B75&amp;"!B2:B709"),0))</f>
        <v>28.854999999999997</v>
      </c>
      <c r="O75" s="217" t="str">
        <f ca="1">IF(INDEX(INDIRECT(""&amp;$B75&amp;"!V2:V700"),MATCH($A75,INDIRECT(""&amp;$B75&amp;"!B2:B700"),0))=0,"",INDEX(INDIRECT(""&amp;$B75&amp;"!V2:V700"),MATCH($A75,INDIRECT(""&amp;$B75&amp;"!B2:B700"),0)))</f>
        <v/>
      </c>
    </row>
    <row r="76" spans="1:15" x14ac:dyDescent="0.25">
      <c r="A76" s="195" t="s">
        <v>178</v>
      </c>
      <c r="B76" s="195" t="s">
        <v>47</v>
      </c>
      <c r="C76" s="195">
        <f ca="1">IFERROR(INDEX(BYEs!$B$2:$B$33,MATCH(D76,BYEs!$A$2:$A$33,0)),"N/A")</f>
        <v>6</v>
      </c>
      <c r="D76" s="195" t="str">
        <f ca="1">INDEX(INDIRECT(""&amp;B76&amp;"!E2:E700"),MATCH(A76,INDIRECT(""&amp;B76&amp;"!B2:B700"),0))</f>
        <v>CIN</v>
      </c>
      <c r="E76" s="194" t="str">
        <f ca="1">INDEX(INDIRECT(""&amp;$B76&amp;"!Z2:Z709"),MATCH($A76,INDIRECT(""&amp;$B76&amp;"!B2:B709"),0))</f>
        <v>TE6</v>
      </c>
      <c r="F76" s="196">
        <f ca="1">IF(LeagueInfo!$H$7="Starter/Bench",INDEX(INDIRECT(""&amp;B76&amp;"!S2:S709"),MATCH(A76,INDIRECT(""&amp;B76&amp;"!B2:B709"),0)),INDEX(INDIRECT(""&amp;B76&amp;"!AA2:AA709"),MATCH(A76,INDIRECT(""&amp;B76&amp;"!B2:B709"),0)))</f>
        <v>13.179331042348752</v>
      </c>
      <c r="G76" s="197">
        <f>IF(H76&gt;0,F76-H76,0)</f>
        <v>0</v>
      </c>
      <c r="H76" s="198"/>
      <c r="I76" s="197">
        <f ca="1">F76*$A$2</f>
        <v>13.179331042348752</v>
      </c>
      <c r="J76" s="197" t="s">
        <v>80</v>
      </c>
      <c r="K76" s="197">
        <f>IF(LeagueInfo!$F$7="Yahoo",IFERROR(INDEX(DefaultAuctionValues!$B$2:$B$359,MATCH(A76,DefaultAuctionValues!$A$2:$A$359,0)),0),IF(LeagueInfo!$F$7="ESPN",IFERROR(INDEX(DefaultAuctionValues!$C$2:$C$359,MATCH(A76,DefaultAuctionValues!$A$2:$A$359,0)),0),IF(LeagueInfo!$F$7="FantasyPros",IFERROR(INDEX(DefaultAuctionValues!$D$2:$D$359,MATCH(A76,DefaultAuctionValues!$A$2:$A$359,0)),0))))</f>
        <v>3</v>
      </c>
      <c r="L76" s="197">
        <f ca="1">I76-K76</f>
        <v>10.179331042348752</v>
      </c>
      <c r="M76" s="213"/>
      <c r="N76" s="208">
        <f ca="1">INDEX(INDIRECT(""&amp;$B76&amp;"!y2:y709"),MATCH($A76,INDIRECT(""&amp;$B76&amp;"!B2:B709"),0))</f>
        <v>28.785000000000004</v>
      </c>
      <c r="O76" s="217" t="str">
        <f ca="1">IF(INDEX(INDIRECT(""&amp;$B76&amp;"!V2:V700"),MATCH($A76,INDIRECT(""&amp;$B76&amp;"!B2:B700"),0))=0,"",INDEX(INDIRECT(""&amp;$B76&amp;"!V2:V700"),MATCH($A76,INDIRECT(""&amp;$B76&amp;"!B2:B700"),0)))</f>
        <v/>
      </c>
    </row>
    <row r="77" spans="1:15" x14ac:dyDescent="0.25">
      <c r="A77" s="195" t="s">
        <v>190</v>
      </c>
      <c r="B77" s="195" t="s">
        <v>33</v>
      </c>
      <c r="C77" s="195">
        <f ca="1">IFERROR(INDEX(BYEs!$B$2:$B$33,MATCH(D77,BYEs!$A$2:$A$33,0)),"N/A")</f>
        <v>6</v>
      </c>
      <c r="D77" s="195" t="str">
        <f ca="1">INDEX(INDIRECT(""&amp;B77&amp;"!E2:E700"),MATCH(A77,INDIRECT(""&amp;B77&amp;"!B2:B700"),0))</f>
        <v>DAL</v>
      </c>
      <c r="E77" s="194" t="str">
        <f ca="1">INDEX(INDIRECT(""&amp;$B77&amp;"!Z2:Z709"),MATCH($A77,INDIRECT(""&amp;$B77&amp;"!B2:B709"),0))</f>
        <v>QB3</v>
      </c>
      <c r="F77" s="196">
        <f ca="1">IF(LeagueInfo!$H$7="Starter/Bench",INDEX(INDIRECT(""&amp;B77&amp;"!S2:S709"),MATCH(A77,INDIRECT(""&amp;B77&amp;"!B2:B709"),0)),INDEX(INDIRECT(""&amp;B77&amp;"!AA2:AA709"),MATCH(A77,INDIRECT(""&amp;B77&amp;"!B2:B709"),0)))</f>
        <v>12.835644441934317</v>
      </c>
      <c r="G77" s="197">
        <f>IF(H77&gt;0,F77-H77,0)</f>
        <v>0</v>
      </c>
      <c r="H77" s="198"/>
      <c r="I77" s="197">
        <f ca="1">F77*$A$2</f>
        <v>12.835644441934317</v>
      </c>
      <c r="J77" s="197" t="s">
        <v>80</v>
      </c>
      <c r="K77" s="197">
        <f>IF(LeagueInfo!$F$7="Yahoo",IFERROR(INDEX(DefaultAuctionValues!$B$2:$B$359,MATCH(A77,DefaultAuctionValues!$A$2:$A$359,0)),0),IF(LeagueInfo!$F$7="ESPN",IFERROR(INDEX(DefaultAuctionValues!$C$2:$C$359,MATCH(A77,DefaultAuctionValues!$A$2:$A$359,0)),0),IF(LeagueInfo!$F$7="FantasyPros",IFERROR(INDEX(DefaultAuctionValues!$D$2:$D$359,MATCH(A77,DefaultAuctionValues!$A$2:$A$359,0)),0))))</f>
        <v>2</v>
      </c>
      <c r="L77" s="197">
        <f ca="1">I77-K77</f>
        <v>10.835644441934317</v>
      </c>
      <c r="M77" s="213"/>
      <c r="N77" s="208">
        <f ca="1">INDEX(INDIRECT(""&amp;$B77&amp;"!y2:y709"),MATCH($A77,INDIRECT(""&amp;$B77&amp;"!B2:B709"),0))</f>
        <v>26.950000000000003</v>
      </c>
      <c r="O77" s="217" t="str">
        <f ca="1">IF(INDEX(INDIRECT(""&amp;$B77&amp;"!V2:V700"),MATCH($A77,INDIRECT(""&amp;$B77&amp;"!B2:B700"),0))=0,"",INDEX(INDIRECT(""&amp;$B77&amp;"!V2:V700"),MATCH($A77,INDIRECT(""&amp;$B77&amp;"!B2:B700"),0)))</f>
        <v/>
      </c>
    </row>
    <row r="78" spans="1:15" x14ac:dyDescent="0.25">
      <c r="A78" s="195" t="s">
        <v>432</v>
      </c>
      <c r="B78" s="195" t="s">
        <v>32</v>
      </c>
      <c r="C78" s="195">
        <f ca="1">IFERROR(INDEX(BYEs!$B$2:$B$33,MATCH(D78,BYEs!$A$2:$A$33,0)),"N/A")</f>
        <v>5</v>
      </c>
      <c r="D78" s="195" t="str">
        <f ca="1">INDEX(INDIRECT(""&amp;B78&amp;"!E2:E700"),MATCH(A78,INDIRECT(""&amp;B78&amp;"!B2:B700"),0))</f>
        <v>WAS</v>
      </c>
      <c r="E78" s="194" t="str">
        <f ca="1">INDEX(INDIRECT(""&amp;$B78&amp;"!Z2:Z709"),MATCH($A78,INDIRECT(""&amp;$B78&amp;"!B2:B709"),0))</f>
        <v>RB9</v>
      </c>
      <c r="F78" s="196">
        <f ca="1">IF(LeagueInfo!$H$7="Starter/Bench",INDEX(INDIRECT(""&amp;B78&amp;"!S2:S709"),MATCH(A78,INDIRECT(""&amp;B78&amp;"!B2:B709"),0)),INDEX(INDIRECT(""&amp;B78&amp;"!AA2:AA709"),MATCH(A78,INDIRECT(""&amp;B78&amp;"!B2:B709"),0)))</f>
        <v>12.71243967244709</v>
      </c>
      <c r="G78" s="197">
        <f>IF(H78&gt;0,F78-H78,0)</f>
        <v>0</v>
      </c>
      <c r="H78" s="198"/>
      <c r="I78" s="197">
        <f ca="1">F78*$A$2</f>
        <v>12.71243967244709</v>
      </c>
      <c r="J78" s="197" t="s">
        <v>80</v>
      </c>
      <c r="K78" s="197">
        <f>IF(LeagueInfo!$F$7="Yahoo",IFERROR(INDEX(DefaultAuctionValues!$B$2:$B$359,MATCH(A78,DefaultAuctionValues!$A$2:$A$359,0)),0),IF(LeagueInfo!$F$7="ESPN",IFERROR(INDEX(DefaultAuctionValues!$C$2:$C$359,MATCH(A78,DefaultAuctionValues!$A$2:$A$359,0)),0),IF(LeagueInfo!$F$7="FantasyPros",IFERROR(INDEX(DefaultAuctionValues!$D$2:$D$359,MATCH(A78,DefaultAuctionValues!$A$2:$A$359,0)),0))))</f>
        <v>0</v>
      </c>
      <c r="L78" s="197">
        <f ca="1">I78-K78</f>
        <v>12.71243967244709</v>
      </c>
      <c r="M78" s="213"/>
      <c r="N78" s="208">
        <f ca="1">INDEX(INDIRECT(""&amp;$B78&amp;"!y2:y709"),MATCH($A78,INDIRECT(""&amp;$B78&amp;"!B2:B709"),0))</f>
        <v>26.539999999999992</v>
      </c>
      <c r="O78" s="217" t="str">
        <f ca="1">IF(INDEX(INDIRECT(""&amp;$B78&amp;"!V2:V700"),MATCH($A78,INDIRECT(""&amp;$B78&amp;"!B2:B700"),0))=0,"",INDEX(INDIRECT(""&amp;$B78&amp;"!V2:V700"),MATCH($A78,INDIRECT(""&amp;$B78&amp;"!B2:B700"),0)))</f>
        <v/>
      </c>
    </row>
    <row r="79" spans="1:15" x14ac:dyDescent="0.25">
      <c r="A79" s="195" t="s">
        <v>132</v>
      </c>
      <c r="B79" s="195" t="s">
        <v>32</v>
      </c>
      <c r="C79" s="195">
        <f ca="1">IFERROR(INDEX(BYEs!$B$2:$B$33,MATCH(D79,BYEs!$A$2:$A$33,0)),"N/A")</f>
        <v>6</v>
      </c>
      <c r="D79" s="195" t="str">
        <f ca="1">INDEX(INDIRECT(""&amp;B79&amp;"!E2:E700"),MATCH(A79,INDIRECT(""&amp;B79&amp;"!B2:B700"),0))</f>
        <v>SEA</v>
      </c>
      <c r="E79" s="194" t="str">
        <f ca="1">INDEX(INDIRECT(""&amp;$B79&amp;"!Z2:Z709"),MATCH($A79,INDIRECT(""&amp;$B79&amp;"!B2:B709"),0))</f>
        <v>RB9</v>
      </c>
      <c r="F79" s="196">
        <f ca="1">IF(LeagueInfo!$H$7="Starter/Bench",INDEX(INDIRECT(""&amp;B79&amp;"!S2:S709"),MATCH(A79,INDIRECT(""&amp;B79&amp;"!B2:B709"),0)),INDEX(INDIRECT(""&amp;B79&amp;"!AA2:AA709"),MATCH(A79,INDIRECT(""&amp;B79&amp;"!B2:B709"),0)))</f>
        <v>12.609456457316117</v>
      </c>
      <c r="G79" s="197">
        <f>IF(H79&gt;0,F79-H79,0)</f>
        <v>0</v>
      </c>
      <c r="H79" s="198"/>
      <c r="I79" s="197">
        <f ca="1">F79*$A$2</f>
        <v>12.609456457316117</v>
      </c>
      <c r="J79" s="197" t="s">
        <v>80</v>
      </c>
      <c r="K79" s="197">
        <f>IF(LeagueInfo!$F$7="Yahoo",IFERROR(INDEX(DefaultAuctionValues!$B$2:$B$359,MATCH(A79,DefaultAuctionValues!$A$2:$A$359,0)),0),IF(LeagueInfo!$F$7="ESPN",IFERROR(INDEX(DefaultAuctionValues!$C$2:$C$359,MATCH(A79,DefaultAuctionValues!$A$2:$A$359,0)),0),IF(LeagueInfo!$F$7="FantasyPros",IFERROR(INDEX(DefaultAuctionValues!$D$2:$D$359,MATCH(A79,DefaultAuctionValues!$A$2:$A$359,0)),0))))</f>
        <v>15</v>
      </c>
      <c r="L79" s="197">
        <f ca="1">I79-K79</f>
        <v>-2.3905435426838828</v>
      </c>
      <c r="M79" s="213"/>
      <c r="N79" s="208">
        <f ca="1">INDEX(INDIRECT(""&amp;$B79&amp;"!y2:y709"),MATCH($A79,INDIRECT(""&amp;$B79&amp;"!B2:B709"),0))</f>
        <v>26.325000000000003</v>
      </c>
      <c r="O79" s="217" t="str">
        <f ca="1">IF(INDEX(INDIRECT(""&amp;$B79&amp;"!V2:V700"),MATCH($A79,INDIRECT(""&amp;$B79&amp;"!B2:B700"),0))=0,"",INDEX(INDIRECT(""&amp;$B79&amp;"!V2:V700"),MATCH($A79,INDIRECT(""&amp;$B79&amp;"!B2:B700"),0)))</f>
        <v/>
      </c>
    </row>
    <row r="80" spans="1:15" x14ac:dyDescent="0.25">
      <c r="A80" s="195" t="s">
        <v>146</v>
      </c>
      <c r="B80" s="195" t="s">
        <v>39</v>
      </c>
      <c r="C80" s="195">
        <f ca="1">IFERROR(INDEX(BYEs!$B$2:$B$33,MATCH(D80,BYEs!$A$2:$A$33,0)),"N/A")</f>
        <v>10</v>
      </c>
      <c r="D80" s="195" t="str">
        <f ca="1">INDEX(INDIRECT(""&amp;B80&amp;"!E2:E700"),MATCH(A80,INDIRECT(""&amp;B80&amp;"!B2:B700"),0))</f>
        <v>KC</v>
      </c>
      <c r="E80" s="194" t="str">
        <f ca="1">INDEX(INDIRECT(""&amp;$B80&amp;"!Z2:Z709"),MATCH($A80,INDIRECT(""&amp;$B80&amp;"!B2:B709"),0))</f>
        <v>WR6</v>
      </c>
      <c r="F80" s="196">
        <f ca="1">IF(LeagueInfo!$H$7="Starter/Bench",INDEX(INDIRECT(""&amp;B80&amp;"!S2:S709"),MATCH(A80,INDIRECT(""&amp;B80&amp;"!B2:B709"),0)),INDEX(INDIRECT(""&amp;B80&amp;"!AA2:AA709"),MATCH(A80,INDIRECT(""&amp;B80&amp;"!B2:B709"),0)))</f>
        <v>12.418697643470844</v>
      </c>
      <c r="G80" s="197">
        <f>IF(H80&gt;0,F80-H80,0)</f>
        <v>0</v>
      </c>
      <c r="H80" s="198"/>
      <c r="I80" s="197">
        <f ca="1">F80*$A$2</f>
        <v>12.418697643470844</v>
      </c>
      <c r="J80" s="197" t="s">
        <v>80</v>
      </c>
      <c r="K80" s="197">
        <f>IF(LeagueInfo!$F$7="Yahoo",IFERROR(INDEX(DefaultAuctionValues!$B$2:$B$359,MATCH(A80,DefaultAuctionValues!$A$2:$A$359,0)),0),IF(LeagueInfo!$F$7="ESPN",IFERROR(INDEX(DefaultAuctionValues!$C$2:$C$359,MATCH(A80,DefaultAuctionValues!$A$2:$A$359,0)),0),IF(LeagueInfo!$F$7="FantasyPros",IFERROR(INDEX(DefaultAuctionValues!$D$2:$D$359,MATCH(A80,DefaultAuctionValues!$A$2:$A$359,0)),0))))</f>
        <v>13</v>
      </c>
      <c r="L80" s="197">
        <f ca="1">I80-K80</f>
        <v>-0.58130235652915552</v>
      </c>
      <c r="M80" s="213"/>
      <c r="N80" s="208">
        <f ca="1">INDEX(INDIRECT(""&amp;$B80&amp;"!y2:y709"),MATCH($A80,INDIRECT(""&amp;$B80&amp;"!B2:B709"),0))</f>
        <v>26.790000000000013</v>
      </c>
      <c r="O80" s="217" t="str">
        <f ca="1">IF(INDEX(INDIRECT(""&amp;$B80&amp;"!V2:V700"),MATCH($A80,INDIRECT(""&amp;$B80&amp;"!B2:B700"),0))=0,"",INDEX(INDIRECT(""&amp;$B80&amp;"!V2:V700"),MATCH($A80,INDIRECT(""&amp;$B80&amp;"!B2:B700"),0)))</f>
        <v/>
      </c>
    </row>
    <row r="81" spans="1:15" x14ac:dyDescent="0.25">
      <c r="A81" s="195" t="s">
        <v>138</v>
      </c>
      <c r="B81" s="195" t="s">
        <v>39</v>
      </c>
      <c r="C81" s="195">
        <f ca="1">IFERROR(INDEX(BYEs!$B$2:$B$33,MATCH(D81,BYEs!$A$2:$A$33,0)),"N/A")</f>
        <v>8</v>
      </c>
      <c r="D81" s="195" t="str">
        <f ca="1">INDEX(INDIRECT(""&amp;B81&amp;"!E2:E700"),MATCH(A81,INDIRECT(""&amp;B81&amp;"!B2:B700"),0))</f>
        <v>GB</v>
      </c>
      <c r="E81" s="194" t="str">
        <f ca="1">INDEX(INDIRECT(""&amp;$B81&amp;"!Z2:Z709"),MATCH($A81,INDIRECT(""&amp;$B81&amp;"!B2:B709"),0))</f>
        <v>WR6</v>
      </c>
      <c r="F81" s="196">
        <f ca="1">IF(LeagueInfo!$H$7="Starter/Bench",INDEX(INDIRECT(""&amp;B81&amp;"!S2:S709"),MATCH(A81,INDIRECT(""&amp;B81&amp;"!B2:B709"),0)),INDEX(INDIRECT(""&amp;B81&amp;"!AA2:AA709"),MATCH(A81,INDIRECT(""&amp;B81&amp;"!B2:B709"),0)))</f>
        <v>12.340058383364147</v>
      </c>
      <c r="G81" s="197">
        <f>IF(H81&gt;0,F81-H81,0)</f>
        <v>0</v>
      </c>
      <c r="H81" s="198"/>
      <c r="I81" s="197">
        <f ca="1">F81*$A$2</f>
        <v>12.340058383364147</v>
      </c>
      <c r="J81" s="197" t="s">
        <v>80</v>
      </c>
      <c r="K81" s="197">
        <f>IF(LeagueInfo!$F$7="Yahoo",IFERROR(INDEX(DefaultAuctionValues!$B$2:$B$359,MATCH(A81,DefaultAuctionValues!$A$2:$A$359,0)),0),IF(LeagueInfo!$F$7="ESPN",IFERROR(INDEX(DefaultAuctionValues!$C$2:$C$359,MATCH(A81,DefaultAuctionValues!$A$2:$A$359,0)),0),IF(LeagueInfo!$F$7="FantasyPros",IFERROR(INDEX(DefaultAuctionValues!$D$2:$D$359,MATCH(A81,DefaultAuctionValues!$A$2:$A$359,0)),0))))</f>
        <v>14</v>
      </c>
      <c r="L81" s="197">
        <f ca="1">I81-K81</f>
        <v>-1.6599416166358534</v>
      </c>
      <c r="M81" s="213"/>
      <c r="N81" s="208">
        <f ca="1">INDEX(INDIRECT(""&amp;$B81&amp;"!y2:y709"),MATCH($A81,INDIRECT(""&amp;$B81&amp;"!B2:B709"),0))</f>
        <v>26.609999999999978</v>
      </c>
      <c r="O81" s="217" t="str">
        <f ca="1">IF(INDEX(INDIRECT(""&amp;$B81&amp;"!V2:V700"),MATCH($A81,INDIRECT(""&amp;$B81&amp;"!B2:B700"),0))=0,"",INDEX(INDIRECT(""&amp;$B81&amp;"!V2:V700"),MATCH($A81,INDIRECT(""&amp;$B81&amp;"!B2:B700"),0)))</f>
        <v/>
      </c>
    </row>
    <row r="82" spans="1:15" x14ac:dyDescent="0.25">
      <c r="A82" s="195" t="s">
        <v>169</v>
      </c>
      <c r="B82" s="195" t="s">
        <v>39</v>
      </c>
      <c r="C82" s="195">
        <f ca="1">IFERROR(INDEX(BYEs!$B$2:$B$33,MATCH(D82,BYEs!$A$2:$A$33,0)),"N/A")</f>
        <v>7</v>
      </c>
      <c r="D82" s="195" t="str">
        <f ca="1">INDEX(INDIRECT(""&amp;B82&amp;"!E2:E700"),MATCH(A82,INDIRECT(""&amp;B82&amp;"!B2:B700"),0))</f>
        <v>DET</v>
      </c>
      <c r="E82" s="194" t="str">
        <f ca="1">INDEX(INDIRECT(""&amp;$B82&amp;"!Z2:Z709"),MATCH($A82,INDIRECT(""&amp;$B82&amp;"!B2:B709"),0))</f>
        <v>WR6</v>
      </c>
      <c r="F82" s="196">
        <f ca="1">IF(LeagueInfo!$H$7="Starter/Bench",INDEX(INDIRECT(""&amp;B82&amp;"!S2:S709"),MATCH(A82,INDIRECT(""&amp;B82&amp;"!B2:B709"),0)),INDEX(INDIRECT(""&amp;B82&amp;"!AA2:AA709"),MATCH(A82,INDIRECT(""&amp;B82&amp;"!B2:B709"),0)))</f>
        <v>12.213361797636717</v>
      </c>
      <c r="G82" s="197">
        <f>IF(H82&gt;0,F82-H82,0)</f>
        <v>0</v>
      </c>
      <c r="H82" s="198"/>
      <c r="I82" s="197">
        <f ca="1">F82*$A$2</f>
        <v>12.213361797636717</v>
      </c>
      <c r="J82" s="197" t="s">
        <v>80</v>
      </c>
      <c r="K82" s="197">
        <f>IF(LeagueInfo!$F$7="Yahoo",IFERROR(INDEX(DefaultAuctionValues!$B$2:$B$359,MATCH(A82,DefaultAuctionValues!$A$2:$A$359,0)),0),IF(LeagueInfo!$F$7="ESPN",IFERROR(INDEX(DefaultAuctionValues!$C$2:$C$359,MATCH(A82,DefaultAuctionValues!$A$2:$A$359,0)),0),IF(LeagueInfo!$F$7="FantasyPros",IFERROR(INDEX(DefaultAuctionValues!$D$2:$D$359,MATCH(A82,DefaultAuctionValues!$A$2:$A$359,0)),0))))</f>
        <v>4</v>
      </c>
      <c r="L82" s="197">
        <f ca="1">I82-K82</f>
        <v>8.2133617976367166</v>
      </c>
      <c r="M82" s="213"/>
      <c r="N82" s="208">
        <f ca="1">INDEX(INDIRECT(""&amp;$B82&amp;"!y2:y709"),MATCH($A82,INDIRECT(""&amp;$B82&amp;"!B2:B709"),0))</f>
        <v>26.319999999999986</v>
      </c>
      <c r="O82" s="217" t="str">
        <f ca="1">IF(INDEX(INDIRECT(""&amp;$B82&amp;"!V2:V700"),MATCH($A82,INDIRECT(""&amp;$B82&amp;"!B2:B700"),0))=0,"",INDEX(INDIRECT(""&amp;$B82&amp;"!V2:V700"),MATCH($A82,INDIRECT(""&amp;$B82&amp;"!B2:B700"),0)))</f>
        <v/>
      </c>
    </row>
    <row r="83" spans="1:15" x14ac:dyDescent="0.25">
      <c r="A83" s="195" t="s">
        <v>167</v>
      </c>
      <c r="B83" s="195" t="s">
        <v>39</v>
      </c>
      <c r="C83" s="195">
        <f ca="1">IFERROR(INDEX(BYEs!$B$2:$B$33,MATCH(D83,BYEs!$A$2:$A$33,0)),"N/A")</f>
        <v>11</v>
      </c>
      <c r="D83" s="195" t="str">
        <f ca="1">INDEX(INDIRECT(""&amp;B83&amp;"!E2:E700"),MATCH(A83,INDIRECT(""&amp;B83&amp;"!B2:B700"),0))</f>
        <v>CAR</v>
      </c>
      <c r="E83" s="194" t="str">
        <f ca="1">INDEX(INDIRECT(""&amp;$B83&amp;"!Z2:Z709"),MATCH($A83,INDIRECT(""&amp;$B83&amp;"!B2:B709"),0))</f>
        <v>WR6</v>
      </c>
      <c r="F83" s="196">
        <f ca="1">IF(LeagueInfo!$H$7="Starter/Bench",INDEX(INDIRECT(""&amp;B83&amp;"!S2:S709"),MATCH(A83,INDIRECT(""&amp;B83&amp;"!B2:B709"),0)),INDEX(INDIRECT(""&amp;B83&amp;"!AA2:AA709"),MATCH(A83,INDIRECT(""&amp;B83&amp;"!B2:B709"),0)))</f>
        <v>12.112878298611502</v>
      </c>
      <c r="G83" s="197">
        <f>IF(H83&gt;0,F83-H83,0)</f>
        <v>0</v>
      </c>
      <c r="H83" s="198"/>
      <c r="I83" s="197">
        <f ca="1">F83*$A$2</f>
        <v>12.112878298611502</v>
      </c>
      <c r="J83" s="197" t="s">
        <v>80</v>
      </c>
      <c r="K83" s="197">
        <f>IF(LeagueInfo!$F$7="Yahoo",IFERROR(INDEX(DefaultAuctionValues!$B$2:$B$359,MATCH(A83,DefaultAuctionValues!$A$2:$A$359,0)),0),IF(LeagueInfo!$F$7="ESPN",IFERROR(INDEX(DefaultAuctionValues!$C$2:$C$359,MATCH(A83,DefaultAuctionValues!$A$2:$A$359,0)),0),IF(LeagueInfo!$F$7="FantasyPros",IFERROR(INDEX(DefaultAuctionValues!$D$2:$D$359,MATCH(A83,DefaultAuctionValues!$A$2:$A$359,0)),0))))</f>
        <v>5</v>
      </c>
      <c r="L83" s="197">
        <f ca="1">I83-K83</f>
        <v>7.112878298611502</v>
      </c>
      <c r="M83" s="213"/>
      <c r="N83" s="208">
        <f ca="1">INDEX(INDIRECT(""&amp;$B83&amp;"!y2:y709"),MATCH($A83,INDIRECT(""&amp;$B83&amp;"!B2:B709"),0))</f>
        <v>26.089999999999968</v>
      </c>
      <c r="O83" s="217" t="str">
        <f ca="1">IF(INDEX(INDIRECT(""&amp;$B83&amp;"!V2:V700"),MATCH($A83,INDIRECT(""&amp;$B83&amp;"!B2:B700"),0))=0,"",INDEX(INDIRECT(""&amp;$B83&amp;"!V2:V700"),MATCH($A83,INDIRECT(""&amp;$B83&amp;"!B2:B700"),0)))</f>
        <v/>
      </c>
    </row>
    <row r="84" spans="1:15" x14ac:dyDescent="0.25">
      <c r="A84" s="195" t="s">
        <v>224</v>
      </c>
      <c r="B84" s="195" t="s">
        <v>33</v>
      </c>
      <c r="C84" s="195">
        <f ca="1">IFERROR(INDEX(BYEs!$B$2:$B$33,MATCH(D84,BYEs!$A$2:$A$33,0)),"N/A")</f>
        <v>7</v>
      </c>
      <c r="D84" s="195" t="str">
        <f ca="1">INDEX(INDIRECT(""&amp;B84&amp;"!E2:E700"),MATCH(A84,INDIRECT(""&amp;B84&amp;"!B2:B700"),0))</f>
        <v>DET</v>
      </c>
      <c r="E84" s="194" t="str">
        <f ca="1">INDEX(INDIRECT(""&amp;$B84&amp;"!Z2:Z709"),MATCH($A84,INDIRECT(""&amp;$B84&amp;"!B2:B709"),0))</f>
        <v>QB3</v>
      </c>
      <c r="F84" s="196">
        <f ca="1">IF(LeagueInfo!$H$7="Starter/Bench",INDEX(INDIRECT(""&amp;B84&amp;"!S2:S709"),MATCH(A84,INDIRECT(""&amp;B84&amp;"!B2:B709"),0)),INDEX(INDIRECT(""&amp;B84&amp;"!AA2:AA709"),MATCH(A84,INDIRECT(""&amp;B84&amp;"!B2:B709"),0)))</f>
        <v>12.076338697126456</v>
      </c>
      <c r="G84" s="197">
        <f>IF(H84&gt;0,F84-H84,0)</f>
        <v>0</v>
      </c>
      <c r="H84" s="198"/>
      <c r="I84" s="197">
        <f ca="1">F84*$A$2</f>
        <v>12.076338697126456</v>
      </c>
      <c r="J84" s="197" t="s">
        <v>80</v>
      </c>
      <c r="K84" s="197">
        <f>IF(LeagueInfo!$F$7="Yahoo",IFERROR(INDEX(DefaultAuctionValues!$B$2:$B$359,MATCH(A84,DefaultAuctionValues!$A$2:$A$359,0)),0),IF(LeagueInfo!$F$7="ESPN",IFERROR(INDEX(DefaultAuctionValues!$C$2:$C$359,MATCH(A84,DefaultAuctionValues!$A$2:$A$359,0)),0),IF(LeagueInfo!$F$7="FantasyPros",IFERROR(INDEX(DefaultAuctionValues!$D$2:$D$359,MATCH(A84,DefaultAuctionValues!$A$2:$A$359,0)),0))))</f>
        <v>1</v>
      </c>
      <c r="L84" s="197">
        <f ca="1">I84-K84</f>
        <v>11.076338697126456</v>
      </c>
      <c r="M84" s="213"/>
      <c r="N84" s="208">
        <f ca="1">INDEX(INDIRECT(""&amp;$B84&amp;"!y2:y709"),MATCH($A84,INDIRECT(""&amp;$B84&amp;"!B2:B709"),0))</f>
        <v>25.212000000000003</v>
      </c>
      <c r="O84" s="217" t="str">
        <f ca="1">IF(INDEX(INDIRECT(""&amp;$B84&amp;"!V2:V700"),MATCH($A84,INDIRECT(""&amp;$B84&amp;"!B2:B700"),0))=0,"",INDEX(INDIRECT(""&amp;$B84&amp;"!V2:V700"),MATCH($A84,INDIRECT(""&amp;$B84&amp;"!B2:B700"),0)))</f>
        <v/>
      </c>
    </row>
    <row r="85" spans="1:15" x14ac:dyDescent="0.25">
      <c r="A85" s="195" t="s">
        <v>154</v>
      </c>
      <c r="B85" s="195" t="s">
        <v>39</v>
      </c>
      <c r="C85" s="195">
        <f ca="1">IFERROR(INDEX(BYEs!$B$2:$B$33,MATCH(D85,BYEs!$A$2:$A$33,0)),"N/A")</f>
        <v>5</v>
      </c>
      <c r="D85" s="195" t="str">
        <f ca="1">INDEX(INDIRECT(""&amp;B85&amp;"!E2:E700"),MATCH(A85,INDIRECT(""&amp;B85&amp;"!B2:B700"),0))</f>
        <v>DEN</v>
      </c>
      <c r="E85" s="194" t="str">
        <f ca="1">INDEX(INDIRECT(""&amp;$B85&amp;"!Z2:Z709"),MATCH($A85,INDIRECT(""&amp;$B85&amp;"!B2:B709"),0))</f>
        <v>WR6</v>
      </c>
      <c r="F85" s="196">
        <f ca="1">IF(LeagueInfo!$H$7="Starter/Bench",INDEX(INDIRECT(""&amp;B85&amp;"!S2:S709"),MATCH(A85,INDIRECT(""&amp;B85&amp;"!B2:B709"),0)),INDEX(INDIRECT(""&amp;B85&amp;"!AA2:AA709"),MATCH(A85,INDIRECT(""&amp;B85&amp;"!B2:B709"),0)))</f>
        <v>11.811427801535899</v>
      </c>
      <c r="G85" s="197">
        <f>IF(H85&gt;0,F85-H85,0)</f>
        <v>0</v>
      </c>
      <c r="H85" s="198"/>
      <c r="I85" s="197">
        <f ca="1">F85*$A$2</f>
        <v>11.811427801535899</v>
      </c>
      <c r="J85" s="197" t="s">
        <v>80</v>
      </c>
      <c r="K85" s="197">
        <f>IF(LeagueInfo!$F$7="Yahoo",IFERROR(INDEX(DefaultAuctionValues!$B$2:$B$359,MATCH(A85,DefaultAuctionValues!$A$2:$A$359,0)),0),IF(LeagueInfo!$F$7="ESPN",IFERROR(INDEX(DefaultAuctionValues!$C$2:$C$359,MATCH(A85,DefaultAuctionValues!$A$2:$A$359,0)),0),IF(LeagueInfo!$F$7="FantasyPros",IFERROR(INDEX(DefaultAuctionValues!$D$2:$D$359,MATCH(A85,DefaultAuctionValues!$A$2:$A$359,0)),0))))</f>
        <v>6</v>
      </c>
      <c r="L85" s="197">
        <f ca="1">I85-K85</f>
        <v>5.8114278015358991</v>
      </c>
      <c r="M85" s="213"/>
      <c r="N85" s="208">
        <f ca="1">INDEX(INDIRECT(""&amp;$B85&amp;"!y2:y709"),MATCH($A85,INDIRECT(""&amp;$B85&amp;"!B2:B709"),0))</f>
        <v>25.4</v>
      </c>
      <c r="O85" s="217" t="str">
        <f ca="1">IF(INDEX(INDIRECT(""&amp;$B85&amp;"!V2:V700"),MATCH($A85,INDIRECT(""&amp;$B85&amp;"!B2:B700"),0))=0,"",INDEX(INDIRECT(""&amp;$B85&amp;"!V2:V700"),MATCH($A85,INDIRECT(""&amp;$B85&amp;"!B2:B700"),0)))</f>
        <v/>
      </c>
    </row>
    <row r="86" spans="1:15" x14ac:dyDescent="0.25">
      <c r="A86" s="195" t="s">
        <v>168</v>
      </c>
      <c r="B86" s="195" t="s">
        <v>39</v>
      </c>
      <c r="C86" s="195">
        <f ca="1">IFERROR(INDEX(BYEs!$B$2:$B$33,MATCH(D86,BYEs!$A$2:$A$33,0)),"N/A")</f>
        <v>8</v>
      </c>
      <c r="D86" s="195" t="str">
        <f ca="1">INDEX(INDIRECT(""&amp;B86&amp;"!E2:E700"),MATCH(A86,INDIRECT(""&amp;B86&amp;"!B2:B700"),0))</f>
        <v>ARI</v>
      </c>
      <c r="E86" s="194" t="str">
        <f ca="1">INDEX(INDIRECT(""&amp;$B86&amp;"!Z2:Z709"),MATCH($A86,INDIRECT(""&amp;$B86&amp;"!B2:B709"),0))</f>
        <v>WR6</v>
      </c>
      <c r="F86" s="196">
        <f ca="1">IF(LeagueInfo!$H$7="Starter/Bench",INDEX(INDIRECT(""&amp;B86&amp;"!S2:S709"),MATCH(A86,INDIRECT(""&amp;B86&amp;"!B2:B709"),0)),INDEX(INDIRECT(""&amp;B86&amp;"!AA2:AA709"),MATCH(A86,INDIRECT(""&amp;B86&amp;"!B2:B709"),0)))</f>
        <v>11.776477019266256</v>
      </c>
      <c r="G86" s="197">
        <f>IF(H86&gt;0,F86-H86,0)</f>
        <v>0</v>
      </c>
      <c r="H86" s="198"/>
      <c r="I86" s="197">
        <f ca="1">F86*$A$2</f>
        <v>11.776477019266256</v>
      </c>
      <c r="J86" s="197" t="s">
        <v>80</v>
      </c>
      <c r="K86" s="197">
        <f>IF(LeagueInfo!$F$7="Yahoo",IFERROR(INDEX(DefaultAuctionValues!$B$2:$B$359,MATCH(A86,DefaultAuctionValues!$A$2:$A$359,0)),0),IF(LeagueInfo!$F$7="ESPN",IFERROR(INDEX(DefaultAuctionValues!$C$2:$C$359,MATCH(A86,DefaultAuctionValues!$A$2:$A$359,0)),0),IF(LeagueInfo!$F$7="FantasyPros",IFERROR(INDEX(DefaultAuctionValues!$D$2:$D$359,MATCH(A86,DefaultAuctionValues!$A$2:$A$359,0)),0))))</f>
        <v>4</v>
      </c>
      <c r="L86" s="197">
        <f ca="1">I86-K86</f>
        <v>7.776477019266256</v>
      </c>
      <c r="M86" s="213"/>
      <c r="N86" s="208">
        <f ca="1">INDEX(INDIRECT(""&amp;$B86&amp;"!y2:y709"),MATCH($A86,INDIRECT(""&amp;$B86&amp;"!B2:B709"),0))</f>
        <v>25.319999999999986</v>
      </c>
      <c r="O86" s="217" t="str">
        <f ca="1">IF(INDEX(INDIRECT(""&amp;$B86&amp;"!V2:V700"),MATCH($A86,INDIRECT(""&amp;$B86&amp;"!B2:B700"),0))=0,"",INDEX(INDIRECT(""&amp;$B86&amp;"!V2:V700"),MATCH($A86,INDIRECT(""&amp;$B86&amp;"!B2:B700"),0)))</f>
        <v/>
      </c>
    </row>
    <row r="87" spans="1:15" x14ac:dyDescent="0.25">
      <c r="A87" s="195" t="s">
        <v>181</v>
      </c>
      <c r="B87" s="195" t="s">
        <v>33</v>
      </c>
      <c r="C87" s="195">
        <f ca="1">IFERROR(INDEX(BYEs!$B$2:$B$33,MATCH(D87,BYEs!$A$2:$A$33,0)),"N/A")</f>
        <v>9</v>
      </c>
      <c r="D87" s="195" t="str">
        <f ca="1">INDEX(INDIRECT(""&amp;B87&amp;"!E2:E700"),MATCH(A87,INDIRECT(""&amp;B87&amp;"!B2:B700"),0))</f>
        <v>PIT</v>
      </c>
      <c r="E87" s="194" t="str">
        <f ca="1">INDEX(INDIRECT(""&amp;$B87&amp;"!Z2:Z709"),MATCH($A87,INDIRECT(""&amp;$B87&amp;"!B2:B709"),0))</f>
        <v>QB3</v>
      </c>
      <c r="F87" s="196">
        <f ca="1">IF(LeagueInfo!$H$7="Starter/Bench",INDEX(INDIRECT(""&amp;B87&amp;"!S2:S709"),MATCH(A87,INDIRECT(""&amp;B87&amp;"!B2:B709"),0)),INDEX(INDIRECT(""&amp;B87&amp;"!AA2:AA709"),MATCH(A87,INDIRECT(""&amp;B87&amp;"!B2:B709"),0)))</f>
        <v>11.685002479628755</v>
      </c>
      <c r="G87" s="197">
        <f>IF(H87&gt;0,F87-H87,0)</f>
        <v>0</v>
      </c>
      <c r="H87" s="198"/>
      <c r="I87" s="197">
        <f ca="1">F87*$A$2</f>
        <v>11.685002479628755</v>
      </c>
      <c r="J87" s="197" t="s">
        <v>80</v>
      </c>
      <c r="K87" s="197">
        <f>IF(LeagueInfo!$F$7="Yahoo",IFERROR(INDEX(DefaultAuctionValues!$B$2:$B$359,MATCH(A87,DefaultAuctionValues!$A$2:$A$359,0)),0),IF(LeagueInfo!$F$7="ESPN",IFERROR(INDEX(DefaultAuctionValues!$C$2:$C$359,MATCH(A87,DefaultAuctionValues!$A$2:$A$359,0)),0),IF(LeagueInfo!$F$7="FantasyPros",IFERROR(INDEX(DefaultAuctionValues!$D$2:$D$359,MATCH(A87,DefaultAuctionValues!$A$2:$A$359,0)),0))))</f>
        <v>2</v>
      </c>
      <c r="L87" s="197">
        <f ca="1">I87-K87</f>
        <v>9.6850024796287553</v>
      </c>
      <c r="M87" s="213"/>
      <c r="N87" s="208">
        <f ca="1">INDEX(INDIRECT(""&amp;$B87&amp;"!y2:y709"),MATCH($A87,INDIRECT(""&amp;$B87&amp;"!B2:B709"),0))</f>
        <v>24.395000000000024</v>
      </c>
      <c r="O87" s="217" t="str">
        <f ca="1">IF(INDEX(INDIRECT(""&amp;$B87&amp;"!V2:V700"),MATCH($A87,INDIRECT(""&amp;$B87&amp;"!B2:B700"),0))=0,"",INDEX(INDIRECT(""&amp;$B87&amp;"!V2:V700"),MATCH($A87,INDIRECT(""&amp;$B87&amp;"!B2:B700"),0)))</f>
        <v/>
      </c>
    </row>
    <row r="88" spans="1:15" x14ac:dyDescent="0.25">
      <c r="A88" s="195" t="s">
        <v>177</v>
      </c>
      <c r="B88" s="195" t="s">
        <v>47</v>
      </c>
      <c r="C88" s="195">
        <f ca="1">IFERROR(INDEX(BYEs!$B$2:$B$33,MATCH(D88,BYEs!$A$2:$A$33,0)),"N/A")</f>
        <v>8</v>
      </c>
      <c r="D88" s="195" t="str">
        <f ca="1">INDEX(INDIRECT(""&amp;B88&amp;"!E2:E700"),MATCH(A88,INDIRECT(""&amp;B88&amp;"!B2:B700"),0))</f>
        <v>TEN</v>
      </c>
      <c r="E88" s="194" t="str">
        <f ca="1">INDEX(INDIRECT(""&amp;$B88&amp;"!Z2:Z709"),MATCH($A88,INDIRECT(""&amp;$B88&amp;"!B2:B709"),0))</f>
        <v>TE6</v>
      </c>
      <c r="F88" s="196">
        <f ca="1">IF(LeagueInfo!$H$7="Starter/Bench",INDEX(INDIRECT(""&amp;B88&amp;"!S2:S709"),MATCH(A88,INDIRECT(""&amp;B88&amp;"!B2:B709"),0)),INDEX(INDIRECT(""&amp;B88&amp;"!AA2:AA709"),MATCH(A88,INDIRECT(""&amp;B88&amp;"!B2:B709"),0)))</f>
        <v>11.680816252538069</v>
      </c>
      <c r="G88" s="197">
        <f>IF(H88&gt;0,F88-H88,0)</f>
        <v>0</v>
      </c>
      <c r="H88" s="198"/>
      <c r="I88" s="197">
        <f ca="1">F88*$A$2</f>
        <v>11.680816252538069</v>
      </c>
      <c r="J88" s="197" t="s">
        <v>80</v>
      </c>
      <c r="K88" s="197">
        <f>IF(LeagueInfo!$F$7="Yahoo",IFERROR(INDEX(DefaultAuctionValues!$B$2:$B$359,MATCH(A88,DefaultAuctionValues!$A$2:$A$359,0)),0),IF(LeagueInfo!$F$7="ESPN",IFERROR(INDEX(DefaultAuctionValues!$C$2:$C$359,MATCH(A88,DefaultAuctionValues!$A$2:$A$359,0)),0),IF(LeagueInfo!$F$7="FantasyPros",IFERROR(INDEX(DefaultAuctionValues!$D$2:$D$359,MATCH(A88,DefaultAuctionValues!$A$2:$A$359,0)),0))))</f>
        <v>3</v>
      </c>
      <c r="L88" s="197">
        <f ca="1">I88-K88</f>
        <v>8.6808162525380688</v>
      </c>
      <c r="M88" s="213"/>
      <c r="N88" s="208">
        <f ca="1">INDEX(INDIRECT(""&amp;$B88&amp;"!y2:y709"),MATCH($A88,INDIRECT(""&amp;$B88&amp;"!B2:B709"),0))</f>
        <v>25.354999999999997</v>
      </c>
      <c r="O88" s="217" t="str">
        <f ca="1">IF(INDEX(INDIRECT(""&amp;$B88&amp;"!V2:V700"),MATCH($A88,INDIRECT(""&amp;$B88&amp;"!B2:B700"),0))=0,"",INDEX(INDIRECT(""&amp;$B88&amp;"!V2:V700"),MATCH($A88,INDIRECT(""&amp;$B88&amp;"!B2:B700"),0)))</f>
        <v/>
      </c>
    </row>
    <row r="89" spans="1:15" x14ac:dyDescent="0.25">
      <c r="A89" s="195" t="s">
        <v>231</v>
      </c>
      <c r="B89" s="195" t="s">
        <v>33</v>
      </c>
      <c r="C89" s="195">
        <f ca="1">IFERROR(INDEX(BYEs!$B$2:$B$33,MATCH(D89,BYEs!$A$2:$A$33,0)),"N/A")</f>
        <v>9</v>
      </c>
      <c r="D89" s="195" t="str">
        <f ca="1">INDEX(INDIRECT(""&amp;B89&amp;"!E2:E700"),MATCH(A89,INDIRECT(""&amp;B89&amp;"!B2:B700"),0))</f>
        <v>LAC</v>
      </c>
      <c r="E89" s="194" t="str">
        <f ca="1">INDEX(INDIRECT(""&amp;$B89&amp;"!Z2:Z709"),MATCH($A89,INDIRECT(""&amp;$B89&amp;"!B2:B709"),0))</f>
        <v>QB3</v>
      </c>
      <c r="F89" s="196">
        <f ca="1">IF(LeagueInfo!$H$7="Starter/Bench",INDEX(INDIRECT(""&amp;B89&amp;"!S2:S709"),MATCH(A89,INDIRECT(""&amp;B89&amp;"!B2:B709"),0)),INDEX(INDIRECT(""&amp;B89&amp;"!AA2:AA709"),MATCH(A89,INDIRECT(""&amp;B89&amp;"!B2:B709"),0)))</f>
        <v>11.655783986033423</v>
      </c>
      <c r="G89" s="197">
        <f>IF(H89&gt;0,F89-H89,0)</f>
        <v>0</v>
      </c>
      <c r="H89" s="198"/>
      <c r="I89" s="197">
        <f ca="1">F89*$A$2</f>
        <v>11.655783986033423</v>
      </c>
      <c r="J89" s="197" t="s">
        <v>80</v>
      </c>
      <c r="K89" s="197">
        <f>IF(LeagueInfo!$F$7="Yahoo",IFERROR(INDEX(DefaultAuctionValues!$B$2:$B$359,MATCH(A89,DefaultAuctionValues!$A$2:$A$359,0)),0),IF(LeagueInfo!$F$7="ESPN",IFERROR(INDEX(DefaultAuctionValues!$C$2:$C$359,MATCH(A89,DefaultAuctionValues!$A$2:$A$359,0)),0),IF(LeagueInfo!$F$7="FantasyPros",IFERROR(INDEX(DefaultAuctionValues!$D$2:$D$359,MATCH(A89,DefaultAuctionValues!$A$2:$A$359,0)),0))))</f>
        <v>1</v>
      </c>
      <c r="L89" s="197">
        <f ca="1">I89-K89</f>
        <v>10.655783986033423</v>
      </c>
      <c r="M89" s="213"/>
      <c r="N89" s="208">
        <f ca="1">INDEX(INDIRECT(""&amp;$B89&amp;"!y2:y709"),MATCH($A89,INDIRECT(""&amp;$B89&amp;"!B2:B709"),0))</f>
        <v>24.333999999999961</v>
      </c>
      <c r="O89" s="217" t="str">
        <f ca="1">IF(INDEX(INDIRECT(""&amp;$B89&amp;"!V2:V700"),MATCH($A89,INDIRECT(""&amp;$B89&amp;"!B2:B700"),0))=0,"",INDEX(INDIRECT(""&amp;$B89&amp;"!V2:V700"),MATCH($A89,INDIRECT(""&amp;$B89&amp;"!B2:B700"),0)))</f>
        <v/>
      </c>
    </row>
    <row r="90" spans="1:15" x14ac:dyDescent="0.25">
      <c r="A90" s="195" t="s">
        <v>223</v>
      </c>
      <c r="B90" s="195" t="s">
        <v>47</v>
      </c>
      <c r="C90" s="195">
        <f ca="1">IFERROR(INDEX(BYEs!$B$2:$B$33,MATCH(D90,BYEs!$A$2:$A$33,0)),"N/A")</f>
        <v>10</v>
      </c>
      <c r="D90" s="195" t="str">
        <f ca="1">INDEX(INDIRECT(""&amp;B90&amp;"!E2:E700"),MATCH(A90,INDIRECT(""&amp;B90&amp;"!B2:B700"),0))</f>
        <v>PHI</v>
      </c>
      <c r="E90" s="194" t="str">
        <f ca="1">INDEX(INDIRECT(""&amp;$B90&amp;"!Z2:Z709"),MATCH($A90,INDIRECT(""&amp;$B90&amp;"!B2:B709"),0))</f>
        <v>TE6</v>
      </c>
      <c r="F90" s="196">
        <f ca="1">IF(LeagueInfo!$H$7="Starter/Bench",INDEX(INDIRECT(""&amp;B90&amp;"!S2:S709"),MATCH(A90,INDIRECT(""&amp;B90&amp;"!B2:B709"),0)),INDEX(INDIRECT(""&amp;B90&amp;"!AA2:AA709"),MATCH(A90,INDIRECT(""&amp;B90&amp;"!B2:B709"),0)))</f>
        <v>11.130341431791294</v>
      </c>
      <c r="G90" s="197">
        <f>IF(H90&gt;0,F90-H90,0)</f>
        <v>0</v>
      </c>
      <c r="H90" s="198"/>
      <c r="I90" s="197">
        <f ca="1">F90*$A$2</f>
        <v>11.130341431791294</v>
      </c>
      <c r="J90" s="197" t="s">
        <v>80</v>
      </c>
      <c r="K90" s="197">
        <f>IF(LeagueInfo!$F$7="Yahoo",IFERROR(INDEX(DefaultAuctionValues!$B$2:$B$359,MATCH(A90,DefaultAuctionValues!$A$2:$A$359,0)),0),IF(LeagueInfo!$F$7="ESPN",IFERROR(INDEX(DefaultAuctionValues!$C$2:$C$359,MATCH(A90,DefaultAuctionValues!$A$2:$A$359,0)),0),IF(LeagueInfo!$F$7="FantasyPros",IFERROR(INDEX(DefaultAuctionValues!$D$2:$D$359,MATCH(A90,DefaultAuctionValues!$A$2:$A$359,0)),0))))</f>
        <v>1</v>
      </c>
      <c r="L90" s="197">
        <f ca="1">I90-K90</f>
        <v>10.130341431791294</v>
      </c>
      <c r="M90" s="213"/>
      <c r="N90" s="208">
        <f ca="1">INDEX(INDIRECT(""&amp;$B90&amp;"!y2:y709"),MATCH($A90,INDIRECT(""&amp;$B90&amp;"!B2:B709"),0))</f>
        <v>24.095000000000006</v>
      </c>
      <c r="O90" s="217" t="str">
        <f ca="1">IF(INDEX(INDIRECT(""&amp;$B90&amp;"!V2:V700"),MATCH($A90,INDIRECT(""&amp;$B90&amp;"!B2:B700"),0))=0,"",INDEX(INDIRECT(""&amp;$B90&amp;"!V2:V700"),MATCH($A90,INDIRECT(""&amp;$B90&amp;"!B2:B700"),0)))</f>
        <v/>
      </c>
    </row>
    <row r="91" spans="1:15" x14ac:dyDescent="0.25">
      <c r="A91" s="195" t="s">
        <v>158</v>
      </c>
      <c r="B91" s="195" t="s">
        <v>32</v>
      </c>
      <c r="C91" s="195">
        <f ca="1">IFERROR(INDEX(BYEs!$B$2:$B$33,MATCH(D91,BYEs!$A$2:$A$33,0)),"N/A")</f>
        <v>11</v>
      </c>
      <c r="D91" s="195" t="str">
        <f ca="1">INDEX(INDIRECT(""&amp;B91&amp;"!E2:E700"),MATCH(A91,INDIRECT(""&amp;B91&amp;"!B2:B700"),0))</f>
        <v>TB</v>
      </c>
      <c r="E91" s="194" t="str">
        <f ca="1">INDEX(INDIRECT(""&amp;$B91&amp;"!Z2:Z709"),MATCH($A91,INDIRECT(""&amp;$B91&amp;"!B2:B709"),0))</f>
        <v>RB9</v>
      </c>
      <c r="F91" s="196">
        <f ca="1">IF(LeagueInfo!$H$7="Starter/Bench",INDEX(INDIRECT(""&amp;B91&amp;"!S2:S709"),MATCH(A91,INDIRECT(""&amp;B91&amp;"!B2:B709"),0)),INDEX(INDIRECT(""&amp;B91&amp;"!AA2:AA709"),MATCH(A91,INDIRECT(""&amp;B91&amp;"!B2:B709"),0)))</f>
        <v>11.009624185048844</v>
      </c>
      <c r="G91" s="197">
        <f>IF(H91&gt;0,F91-H91,0)</f>
        <v>0</v>
      </c>
      <c r="H91" s="198"/>
      <c r="I91" s="197">
        <f ca="1">F91*$A$2</f>
        <v>11.009624185048844</v>
      </c>
      <c r="J91" s="197" t="s">
        <v>80</v>
      </c>
      <c r="K91" s="197">
        <f>IF(LeagueInfo!$F$7="Yahoo",IFERROR(INDEX(DefaultAuctionValues!$B$2:$B$359,MATCH(A91,DefaultAuctionValues!$A$2:$A$359,0)),0),IF(LeagueInfo!$F$7="ESPN",IFERROR(INDEX(DefaultAuctionValues!$C$2:$C$359,MATCH(A91,DefaultAuctionValues!$A$2:$A$359,0)),0),IF(LeagueInfo!$F$7="FantasyPros",IFERROR(INDEX(DefaultAuctionValues!$D$2:$D$359,MATCH(A91,DefaultAuctionValues!$A$2:$A$359,0)),0))))</f>
        <v>5</v>
      </c>
      <c r="L91" s="197">
        <f ca="1">I91-K91</f>
        <v>6.0096241850488443</v>
      </c>
      <c r="M91" s="213"/>
      <c r="N91" s="208">
        <f ca="1">INDEX(INDIRECT(""&amp;$B91&amp;"!y2:y709"),MATCH($A91,INDIRECT(""&amp;$B91&amp;"!B2:B709"),0))</f>
        <v>22.984999999999992</v>
      </c>
      <c r="O91" s="217" t="str">
        <f ca="1">IF(INDEX(INDIRECT(""&amp;$B91&amp;"!V2:V700"),MATCH($A91,INDIRECT(""&amp;$B91&amp;"!B2:B700"),0))=0,"",INDEX(INDIRECT(""&amp;$B91&amp;"!V2:V700"),MATCH($A91,INDIRECT(""&amp;$B91&amp;"!B2:B700"),0)))</f>
        <v/>
      </c>
    </row>
    <row r="92" spans="1:15" x14ac:dyDescent="0.25">
      <c r="A92" s="195" t="s">
        <v>195</v>
      </c>
      <c r="B92" s="195" t="s">
        <v>33</v>
      </c>
      <c r="C92" s="195">
        <f ca="1">IFERROR(INDEX(BYEs!$B$2:$B$33,MATCH(D92,BYEs!$A$2:$A$33,0)),"N/A")</f>
        <v>10</v>
      </c>
      <c r="D92" s="195" t="str">
        <f ca="1">INDEX(INDIRECT(""&amp;B92&amp;"!E2:E700"),MATCH(A92,INDIRECT(""&amp;B92&amp;"!B2:B700"),0))</f>
        <v>OAK</v>
      </c>
      <c r="E92" s="194" t="str">
        <f ca="1">INDEX(INDIRECT(""&amp;$B92&amp;"!Z2:Z709"),MATCH($A92,INDIRECT(""&amp;$B92&amp;"!B2:B709"),0))</f>
        <v>QB3</v>
      </c>
      <c r="F92" s="196">
        <f ca="1">IF(LeagueInfo!$H$7="Starter/Bench",INDEX(INDIRECT(""&amp;B92&amp;"!S2:S709"),MATCH(A92,INDIRECT(""&amp;B92&amp;"!B2:B709"),0)),INDEX(INDIRECT(""&amp;B92&amp;"!AA2:AA709"),MATCH(A92,INDIRECT(""&amp;B92&amp;"!B2:B709"),0)))</f>
        <v>10.818985489131958</v>
      </c>
      <c r="G92" s="197">
        <f>IF(H92&gt;0,F92-H92,0)</f>
        <v>0</v>
      </c>
      <c r="H92" s="198"/>
      <c r="I92" s="197">
        <f ca="1">F92*$A$2</f>
        <v>10.818985489131958</v>
      </c>
      <c r="J92" s="197" t="s">
        <v>80</v>
      </c>
      <c r="K92" s="197">
        <f>IF(LeagueInfo!$F$7="Yahoo",IFERROR(INDEX(DefaultAuctionValues!$B$2:$B$359,MATCH(A92,DefaultAuctionValues!$A$2:$A$359,0)),0),IF(LeagueInfo!$F$7="ESPN",IFERROR(INDEX(DefaultAuctionValues!$C$2:$C$359,MATCH(A92,DefaultAuctionValues!$A$2:$A$359,0)),0),IF(LeagueInfo!$F$7="FantasyPros",IFERROR(INDEX(DefaultAuctionValues!$D$2:$D$359,MATCH(A92,DefaultAuctionValues!$A$2:$A$359,0)),0))))</f>
        <v>2</v>
      </c>
      <c r="L92" s="197">
        <f ca="1">I92-K92</f>
        <v>8.8189854891319577</v>
      </c>
      <c r="M92" s="213"/>
      <c r="N92" s="208">
        <f ca="1">INDEX(INDIRECT(""&amp;$B92&amp;"!y2:y709"),MATCH($A92,INDIRECT(""&amp;$B92&amp;"!B2:B709"),0))</f>
        <v>22.586999999999975</v>
      </c>
      <c r="O92" s="217" t="str">
        <f ca="1">IF(INDEX(INDIRECT(""&amp;$B92&amp;"!V2:V700"),MATCH($A92,INDIRECT(""&amp;$B92&amp;"!B2:B700"),0))=0,"",INDEX(INDIRECT(""&amp;$B92&amp;"!V2:V700"),MATCH($A92,INDIRECT(""&amp;$B92&amp;"!B2:B700"),0)))</f>
        <v/>
      </c>
    </row>
    <row r="93" spans="1:15" x14ac:dyDescent="0.25">
      <c r="A93" s="195" t="s">
        <v>184</v>
      </c>
      <c r="B93" s="195" t="s">
        <v>47</v>
      </c>
      <c r="C93" s="195">
        <f ca="1">IFERROR(INDEX(BYEs!$B$2:$B$33,MATCH(D93,BYEs!$A$2:$A$33,0)),"N/A")</f>
        <v>8</v>
      </c>
      <c r="D93" s="195" t="str">
        <f ca="1">INDEX(INDIRECT(""&amp;B93&amp;"!E2:E700"),MATCH(A93,INDIRECT(""&amp;B93&amp;"!B2:B700"),0))</f>
        <v>GB</v>
      </c>
      <c r="E93" s="194" t="str">
        <f ca="1">INDEX(INDIRECT(""&amp;$B93&amp;"!Z2:Z709"),MATCH($A93,INDIRECT(""&amp;$B93&amp;"!B2:B709"),0))</f>
        <v>TE7</v>
      </c>
      <c r="F93" s="196">
        <f ca="1">IF(LeagueInfo!$H$7="Starter/Bench",INDEX(INDIRECT(""&amp;B93&amp;"!S2:S709"),MATCH(A93,INDIRECT(""&amp;B93&amp;"!B2:B709"),0)),INDEX(INDIRECT(""&amp;B93&amp;"!AA2:AA709"),MATCH(A93,INDIRECT(""&amp;B93&amp;"!B2:B709"),0)))</f>
        <v>10.448801177533372</v>
      </c>
      <c r="G93" s="197">
        <f>IF(H93&gt;0,F93-H93,0)</f>
        <v>0</v>
      </c>
      <c r="H93" s="198"/>
      <c r="I93" s="197">
        <f ca="1">F93*$A$2</f>
        <v>10.448801177533372</v>
      </c>
      <c r="J93" s="197" t="s">
        <v>80</v>
      </c>
      <c r="K93" s="197">
        <f>IF(LeagueInfo!$F$7="Yahoo",IFERROR(INDEX(DefaultAuctionValues!$B$2:$B$359,MATCH(A93,DefaultAuctionValues!$A$2:$A$359,0)),0),IF(LeagueInfo!$F$7="ESPN",IFERROR(INDEX(DefaultAuctionValues!$C$2:$C$359,MATCH(A93,DefaultAuctionValues!$A$2:$A$359,0)),0),IF(LeagueInfo!$F$7="FantasyPros",IFERROR(INDEX(DefaultAuctionValues!$D$2:$D$359,MATCH(A93,DefaultAuctionValues!$A$2:$A$359,0)),0))))</f>
        <v>2</v>
      </c>
      <c r="L93" s="197">
        <f ca="1">I93-K93</f>
        <v>8.4488011775333725</v>
      </c>
      <c r="M93" s="213"/>
      <c r="N93" s="208">
        <f ca="1">INDEX(INDIRECT(""&amp;$B93&amp;"!y2:y709"),MATCH($A93,INDIRECT(""&amp;$B93&amp;"!B2:B709"),0))</f>
        <v>22.535000000000004</v>
      </c>
      <c r="O93" s="217" t="str">
        <f ca="1">IF(INDEX(INDIRECT(""&amp;$B93&amp;"!V2:V700"),MATCH($A93,INDIRECT(""&amp;$B93&amp;"!B2:B700"),0))=0,"",INDEX(INDIRECT(""&amp;$B93&amp;"!V2:V700"),MATCH($A93,INDIRECT(""&amp;$B93&amp;"!B2:B700"),0)))</f>
        <v/>
      </c>
    </row>
    <row r="94" spans="1:15" x14ac:dyDescent="0.25">
      <c r="A94" s="195" t="s">
        <v>185</v>
      </c>
      <c r="B94" s="195" t="s">
        <v>32</v>
      </c>
      <c r="C94" s="195">
        <f ca="1">IFERROR(INDEX(BYEs!$B$2:$B$33,MATCH(D94,BYEs!$A$2:$A$33,0)),"N/A")</f>
        <v>11</v>
      </c>
      <c r="D94" s="195" t="str">
        <f ca="1">INDEX(INDIRECT(""&amp;B94&amp;"!E2:E700"),MATCH(A94,INDIRECT(""&amp;B94&amp;"!B2:B700"),0))</f>
        <v>CAR</v>
      </c>
      <c r="E94" s="194" t="str">
        <f ca="1">INDEX(INDIRECT(""&amp;$B94&amp;"!Z2:Z709"),MATCH($A94,INDIRECT(""&amp;$B94&amp;"!B2:B709"),0))</f>
        <v>RB9</v>
      </c>
      <c r="F94" s="196">
        <f ca="1">IF(LeagueInfo!$H$7="Starter/Bench",INDEX(INDIRECT(""&amp;B94&amp;"!S2:S709"),MATCH(A94,INDIRECT(""&amp;B94&amp;"!B2:B709"),0)),INDEX(INDIRECT(""&amp;B94&amp;"!AA2:AA709"),MATCH(A94,INDIRECT(""&amp;B94&amp;"!B2:B709"),0)))</f>
        <v>10.243237467795065</v>
      </c>
      <c r="G94" s="197">
        <f>IF(H94&gt;0,F94-H94,0)</f>
        <v>0</v>
      </c>
      <c r="H94" s="198"/>
      <c r="I94" s="197">
        <f ca="1">F94*$A$2</f>
        <v>10.243237467795065</v>
      </c>
      <c r="J94" s="197" t="s">
        <v>80</v>
      </c>
      <c r="K94" s="197">
        <f>IF(LeagueInfo!$F$7="Yahoo",IFERROR(INDEX(DefaultAuctionValues!$B$2:$B$359,MATCH(A94,DefaultAuctionValues!$A$2:$A$359,0)),0),IF(LeagueInfo!$F$7="ESPN",IFERROR(INDEX(DefaultAuctionValues!$C$2:$C$359,MATCH(A94,DefaultAuctionValues!$A$2:$A$359,0)),0),IF(LeagueInfo!$F$7="FantasyPros",IFERROR(INDEX(DefaultAuctionValues!$D$2:$D$359,MATCH(A94,DefaultAuctionValues!$A$2:$A$359,0)),0))))</f>
        <v>2</v>
      </c>
      <c r="L94" s="197">
        <f ca="1">I94-K94</f>
        <v>8.2432374677950655</v>
      </c>
      <c r="M94" s="213"/>
      <c r="N94" s="208">
        <f ca="1">INDEX(INDIRECT(""&amp;$B94&amp;"!y2:y709"),MATCH($A94,INDIRECT(""&amp;$B94&amp;"!B2:B709"),0))</f>
        <v>21.384999999999998</v>
      </c>
      <c r="O94" s="217" t="str">
        <f ca="1">IF(INDEX(INDIRECT(""&amp;$B94&amp;"!V2:V700"),MATCH($A94,INDIRECT(""&amp;$B94&amp;"!B2:B700"),0))=0,"",INDEX(INDIRECT(""&amp;$B94&amp;"!V2:V700"),MATCH($A94,INDIRECT(""&amp;$B94&amp;"!B2:B700"),0)))</f>
        <v/>
      </c>
    </row>
    <row r="95" spans="1:15" x14ac:dyDescent="0.25">
      <c r="A95" s="195" t="s">
        <v>237</v>
      </c>
      <c r="B95" s="195" t="s">
        <v>33</v>
      </c>
      <c r="C95" s="195">
        <f ca="1">IFERROR(INDEX(BYEs!$B$2:$B$33,MATCH(D95,BYEs!$A$2:$A$33,0)),"N/A")</f>
        <v>6</v>
      </c>
      <c r="D95" s="195" t="str">
        <f ca="1">INDEX(INDIRECT(""&amp;B95&amp;"!E2:E700"),MATCH(A95,INDIRECT(""&amp;B95&amp;"!B2:B700"),0))</f>
        <v>CIN</v>
      </c>
      <c r="E95" s="194" t="str">
        <f ca="1">INDEX(INDIRECT(""&amp;$B95&amp;"!Z2:Z709"),MATCH($A95,INDIRECT(""&amp;$B95&amp;"!B2:B709"),0))</f>
        <v>QB3</v>
      </c>
      <c r="F95" s="196">
        <f ca="1">IF(LeagueInfo!$H$7="Starter/Bench",INDEX(INDIRECT(""&amp;B95&amp;"!S2:S709"),MATCH(A95,INDIRECT(""&amp;B95&amp;"!B2:B709"),0)),INDEX(INDIRECT(""&amp;B95&amp;"!AA2:AA709"),MATCH(A95,INDIRECT(""&amp;B95&amp;"!B2:B709"),0)))</f>
        <v>10.125405510017297</v>
      </c>
      <c r="G95" s="197">
        <f>IF(H95&gt;0,F95-H95,0)</f>
        <v>0</v>
      </c>
      <c r="H95" s="198"/>
      <c r="I95" s="197">
        <f ca="1">F95*$A$2</f>
        <v>10.125405510017297</v>
      </c>
      <c r="J95" s="197" t="s">
        <v>80</v>
      </c>
      <c r="K95" s="197">
        <f>IF(LeagueInfo!$F$7="Yahoo",IFERROR(INDEX(DefaultAuctionValues!$B$2:$B$359,MATCH(A95,DefaultAuctionValues!$A$2:$A$359,0)),0),IF(LeagueInfo!$F$7="ESPN",IFERROR(INDEX(DefaultAuctionValues!$C$2:$C$359,MATCH(A95,DefaultAuctionValues!$A$2:$A$359,0)),0),IF(LeagueInfo!$F$7="FantasyPros",IFERROR(INDEX(DefaultAuctionValues!$D$2:$D$359,MATCH(A95,DefaultAuctionValues!$A$2:$A$359,0)),0))))</f>
        <v>1</v>
      </c>
      <c r="L95" s="197">
        <f ca="1">I95-K95</f>
        <v>9.1254055100172966</v>
      </c>
      <c r="M95" s="213"/>
      <c r="N95" s="208">
        <f ca="1">INDEX(INDIRECT(""&amp;$B95&amp;"!y2:y709"),MATCH($A95,INDIRECT(""&amp;$B95&amp;"!B2:B709"),0))</f>
        <v>21.138999999999996</v>
      </c>
      <c r="O95" s="217" t="str">
        <f ca="1">IF(INDEX(INDIRECT(""&amp;$B95&amp;"!V2:V700"),MATCH($A95,INDIRECT(""&amp;$B95&amp;"!B2:B700"),0))=0,"",INDEX(INDIRECT(""&amp;$B95&amp;"!V2:V700"),MATCH($A95,INDIRECT(""&amp;$B95&amp;"!B2:B700"),0)))</f>
        <v/>
      </c>
    </row>
    <row r="96" spans="1:15" x14ac:dyDescent="0.25">
      <c r="A96" s="195" t="s">
        <v>131</v>
      </c>
      <c r="B96" s="195" t="s">
        <v>39</v>
      </c>
      <c r="C96" s="195">
        <f ca="1">IFERROR(INDEX(BYEs!$B$2:$B$33,MATCH(D96,BYEs!$A$2:$A$33,0)),"N/A")</f>
        <v>8</v>
      </c>
      <c r="D96" s="195" t="str">
        <f ca="1">INDEX(INDIRECT(""&amp;B96&amp;"!E2:E700"),MATCH(A96,INDIRECT(""&amp;B96&amp;"!B2:B700"),0))</f>
        <v>LAR</v>
      </c>
      <c r="E96" s="194" t="str">
        <f ca="1">INDEX(INDIRECT(""&amp;$B96&amp;"!Z2:Z709"),MATCH($A96,INDIRECT(""&amp;$B96&amp;"!B2:B709"),0))</f>
        <v>WR6</v>
      </c>
      <c r="F96" s="196">
        <f ca="1">IF(LeagueInfo!$H$7="Starter/Bench",INDEX(INDIRECT(""&amp;B96&amp;"!S2:S709"),MATCH(A96,INDIRECT(""&amp;B96&amp;"!B2:B709"),0)),INDEX(INDIRECT(""&amp;B96&amp;"!AA2:AA709"),MATCH(A96,INDIRECT(""&amp;B96&amp;"!B2:B709"),0)))</f>
        <v>10.103208318107399</v>
      </c>
      <c r="G96" s="197">
        <f>IF(H96&gt;0,F96-H96,0)</f>
        <v>0</v>
      </c>
      <c r="H96" s="198"/>
      <c r="I96" s="197">
        <f ca="1">F96*$A$2</f>
        <v>10.103208318107399</v>
      </c>
      <c r="J96" s="197" t="s">
        <v>80</v>
      </c>
      <c r="K96" s="197">
        <f>IF(LeagueInfo!$F$7="Yahoo",IFERROR(INDEX(DefaultAuctionValues!$B$2:$B$359,MATCH(A96,DefaultAuctionValues!$A$2:$A$359,0)),0),IF(LeagueInfo!$F$7="ESPN",IFERROR(INDEX(DefaultAuctionValues!$C$2:$C$359,MATCH(A96,DefaultAuctionValues!$A$2:$A$359,0)),0),IF(LeagueInfo!$F$7="FantasyPros",IFERROR(INDEX(DefaultAuctionValues!$D$2:$D$359,MATCH(A96,DefaultAuctionValues!$A$2:$A$359,0)),0))))</f>
        <v>19</v>
      </c>
      <c r="L96" s="197">
        <f ca="1">I96-K96</f>
        <v>-8.8967916818926014</v>
      </c>
      <c r="M96" s="213"/>
      <c r="N96" s="208">
        <f ca="1">INDEX(INDIRECT(""&amp;$B96&amp;"!y2:y709"),MATCH($A96,INDIRECT(""&amp;$B96&amp;"!B2:B709"),0))</f>
        <v>21.490000000000002</v>
      </c>
      <c r="O96" s="217" t="str">
        <f ca="1">IF(INDEX(INDIRECT(""&amp;$B96&amp;"!V2:V700"),MATCH($A96,INDIRECT(""&amp;$B96&amp;"!B2:B700"),0))=0,"",INDEX(INDIRECT(""&amp;$B96&amp;"!V2:V700"),MATCH($A96,INDIRECT(""&amp;$B96&amp;"!B2:B700"),0)))</f>
        <v/>
      </c>
    </row>
    <row r="97" spans="1:15" x14ac:dyDescent="0.25">
      <c r="A97" s="195" t="s">
        <v>194</v>
      </c>
      <c r="B97" s="195" t="s">
        <v>32</v>
      </c>
      <c r="C97" s="195">
        <f ca="1">IFERROR(INDEX(BYEs!$B$2:$B$33,MATCH(D97,BYEs!$A$2:$A$33,0)),"N/A")</f>
        <v>10</v>
      </c>
      <c r="D97" s="195" t="str">
        <f ca="1">INDEX(INDIRECT(""&amp;B97&amp;"!E2:E700"),MATCH(A97,INDIRECT(""&amp;B97&amp;"!B2:B700"),0))</f>
        <v>BAL</v>
      </c>
      <c r="E97" s="194" t="str">
        <f ca="1">INDEX(INDIRECT(""&amp;$B97&amp;"!Z2:Z709"),MATCH($A97,INDIRECT(""&amp;$B97&amp;"!B2:B709"),0))</f>
        <v>RB9</v>
      </c>
      <c r="F97" s="196">
        <f ca="1">IF(LeagueInfo!$H$7="Starter/Bench",INDEX(INDIRECT(""&amp;B97&amp;"!S2:S709"),MATCH(A97,INDIRECT(""&amp;B97&amp;"!B2:B709"),0)),INDEX(INDIRECT(""&amp;B97&amp;"!AA2:AA709"),MATCH(A97,INDIRECT(""&amp;B97&amp;"!B2:B709"),0)))</f>
        <v>9.9534474903334811</v>
      </c>
      <c r="G97" s="197">
        <f>IF(H97&gt;0,F97-H97,0)</f>
        <v>0</v>
      </c>
      <c r="H97" s="198"/>
      <c r="I97" s="197">
        <f ca="1">F97*$A$2</f>
        <v>9.9534474903334811</v>
      </c>
      <c r="J97" s="197" t="s">
        <v>80</v>
      </c>
      <c r="K97" s="197">
        <f>IF(LeagueInfo!$F$7="Yahoo",IFERROR(INDEX(DefaultAuctionValues!$B$2:$B$359,MATCH(A97,DefaultAuctionValues!$A$2:$A$359,0)),0),IF(LeagueInfo!$F$7="ESPN",IFERROR(INDEX(DefaultAuctionValues!$C$2:$C$359,MATCH(A97,DefaultAuctionValues!$A$2:$A$359,0)),0),IF(LeagueInfo!$F$7="FantasyPros",IFERROR(INDEX(DefaultAuctionValues!$D$2:$D$359,MATCH(A97,DefaultAuctionValues!$A$2:$A$359,0)),0))))</f>
        <v>2</v>
      </c>
      <c r="L97" s="197">
        <f ca="1">I97-K97</f>
        <v>7.9534474903334811</v>
      </c>
      <c r="M97" s="213"/>
      <c r="N97" s="208">
        <f ca="1">INDEX(INDIRECT(""&amp;$B97&amp;"!y2:y709"),MATCH($A97,INDIRECT(""&amp;$B97&amp;"!B2:B709"),0))</f>
        <v>20.78</v>
      </c>
      <c r="O97" s="217" t="str">
        <f ca="1">IF(INDEX(INDIRECT(""&amp;$B97&amp;"!V2:V700"),MATCH($A97,INDIRECT(""&amp;$B97&amp;"!B2:B700"),0))=0,"",INDEX(INDIRECT(""&amp;$B97&amp;"!V2:V700"),MATCH($A97,INDIRECT(""&amp;$B97&amp;"!B2:B700"),0)))</f>
        <v/>
      </c>
    </row>
    <row r="98" spans="1:15" x14ac:dyDescent="0.25">
      <c r="A98" s="195" t="s">
        <v>152</v>
      </c>
      <c r="B98" s="195" t="s">
        <v>39</v>
      </c>
      <c r="C98" s="195">
        <f ca="1">IFERROR(INDEX(BYEs!$B$2:$B$33,MATCH(D98,BYEs!$A$2:$A$33,0)),"N/A")</f>
        <v>11</v>
      </c>
      <c r="D98" s="195" t="str">
        <f ca="1">INDEX(INDIRECT(""&amp;B98&amp;"!E2:E700"),MATCH(A98,INDIRECT(""&amp;B98&amp;"!B2:B700"),0))</f>
        <v>MIA</v>
      </c>
      <c r="E98" s="194" t="str">
        <f ca="1">INDEX(INDIRECT(""&amp;$B98&amp;"!Z2:Z709"),MATCH($A98,INDIRECT(""&amp;$B98&amp;"!B2:B709"),0))</f>
        <v>WR6</v>
      </c>
      <c r="F98" s="196">
        <f ca="1">IF(LeagueInfo!$H$7="Starter/Bench",INDEX(INDIRECT(""&amp;B98&amp;"!S2:S709"),MATCH(A98,INDIRECT(""&amp;B98&amp;"!B2:B709"),0)),INDEX(INDIRECT(""&amp;B98&amp;"!AA2:AA709"),MATCH(A98,INDIRECT(""&amp;B98&amp;"!B2:B709"),0)))</f>
        <v>9.8061266688154891</v>
      </c>
      <c r="G98" s="197">
        <f>IF(H98&gt;0,F98-H98,0)</f>
        <v>0</v>
      </c>
      <c r="H98" s="198"/>
      <c r="I98" s="197">
        <f ca="1">F98*$A$2</f>
        <v>9.8061266688154891</v>
      </c>
      <c r="J98" s="197" t="s">
        <v>80</v>
      </c>
      <c r="K98" s="197">
        <f>IF(LeagueInfo!$F$7="Yahoo",IFERROR(INDEX(DefaultAuctionValues!$B$2:$B$359,MATCH(A98,DefaultAuctionValues!$A$2:$A$359,0)),0),IF(LeagueInfo!$F$7="ESPN",IFERROR(INDEX(DefaultAuctionValues!$C$2:$C$359,MATCH(A98,DefaultAuctionValues!$A$2:$A$359,0)),0),IF(LeagueInfo!$F$7="FantasyPros",IFERROR(INDEX(DefaultAuctionValues!$D$2:$D$359,MATCH(A98,DefaultAuctionValues!$A$2:$A$359,0)),0))))</f>
        <v>6</v>
      </c>
      <c r="L98" s="197">
        <f ca="1">I98-K98</f>
        <v>3.8061266688154891</v>
      </c>
      <c r="M98" s="213"/>
      <c r="N98" s="208">
        <f ca="1">INDEX(INDIRECT(""&amp;$B98&amp;"!y2:y709"),MATCH($A98,INDIRECT(""&amp;$B98&amp;"!B2:B709"),0))</f>
        <v>20.810000000000009</v>
      </c>
      <c r="O98" s="217" t="str">
        <f ca="1">IF(INDEX(INDIRECT(""&amp;$B98&amp;"!V2:V700"),MATCH($A98,INDIRECT(""&amp;$B98&amp;"!B2:B700"),0))=0,"",INDEX(INDIRECT(""&amp;$B98&amp;"!V2:V700"),MATCH($A98,INDIRECT(""&amp;$B98&amp;"!B2:B700"),0)))</f>
        <v/>
      </c>
    </row>
    <row r="99" spans="1:15" x14ac:dyDescent="0.25">
      <c r="A99" s="195" t="s">
        <v>238</v>
      </c>
      <c r="B99" s="195" t="s">
        <v>33</v>
      </c>
      <c r="C99" s="195">
        <f ca="1">IFERROR(INDEX(BYEs!$B$2:$B$33,MATCH(D99,BYEs!$A$2:$A$33,0)),"N/A")</f>
        <v>6</v>
      </c>
      <c r="D99" s="195" t="str">
        <f ca="1">INDEX(INDIRECT(""&amp;B99&amp;"!E2:E700"),MATCH(A99,INDIRECT(""&amp;B99&amp;"!B2:B700"),0))</f>
        <v>BUF</v>
      </c>
      <c r="E99" s="194" t="str">
        <f ca="1">INDEX(INDIRECT(""&amp;$B99&amp;"!Z2:Z709"),MATCH($A99,INDIRECT(""&amp;$B99&amp;"!B2:B709"),0))</f>
        <v>QB3</v>
      </c>
      <c r="F99" s="196">
        <f ca="1">IF(LeagueInfo!$H$7="Starter/Bench",INDEX(INDIRECT(""&amp;B99&amp;"!S2:S709"),MATCH(A99,INDIRECT(""&amp;B99&amp;"!B2:B709"),0)),INDEX(INDIRECT(""&amp;B99&amp;"!AA2:AA709"),MATCH(A99,INDIRECT(""&amp;B99&amp;"!B2:B709"),0)))</f>
        <v>9.6665314630615953</v>
      </c>
      <c r="G99" s="197">
        <f>IF(H99&gt;0,F99-H99,0)</f>
        <v>0</v>
      </c>
      <c r="H99" s="198"/>
      <c r="I99" s="197">
        <f ca="1">F99*$A$2</f>
        <v>9.6665314630615953</v>
      </c>
      <c r="J99" s="197" t="s">
        <v>80</v>
      </c>
      <c r="K99" s="197">
        <f>IF(LeagueInfo!$F$7="Yahoo",IFERROR(INDEX(DefaultAuctionValues!$B$2:$B$359,MATCH(A99,DefaultAuctionValues!$A$2:$A$359,0)),0),IF(LeagueInfo!$F$7="ESPN",IFERROR(INDEX(DefaultAuctionValues!$C$2:$C$359,MATCH(A99,DefaultAuctionValues!$A$2:$A$359,0)),0),IF(LeagueInfo!$F$7="FantasyPros",IFERROR(INDEX(DefaultAuctionValues!$D$2:$D$359,MATCH(A99,DefaultAuctionValues!$A$2:$A$359,0)),0))))</f>
        <v>1</v>
      </c>
      <c r="L99" s="197">
        <f ca="1">I99-K99</f>
        <v>8.6665314630615953</v>
      </c>
      <c r="M99" s="213"/>
      <c r="N99" s="208">
        <f ca="1">INDEX(INDIRECT(""&amp;$B99&amp;"!y2:y709"),MATCH($A99,INDIRECT(""&amp;$B99&amp;"!B2:B709"),0))</f>
        <v>20.180999999999997</v>
      </c>
      <c r="O99" s="217" t="str">
        <f ca="1">IF(INDEX(INDIRECT(""&amp;$B99&amp;"!V2:V700"),MATCH($A99,INDIRECT(""&amp;$B99&amp;"!B2:B700"),0))=0,"",INDEX(INDIRECT(""&amp;$B99&amp;"!V2:V700"),MATCH($A99,INDIRECT(""&amp;$B99&amp;"!B2:B700"),0)))</f>
        <v/>
      </c>
    </row>
    <row r="100" spans="1:15" x14ac:dyDescent="0.25">
      <c r="A100" s="195" t="s">
        <v>211</v>
      </c>
      <c r="B100" s="195" t="s">
        <v>32</v>
      </c>
      <c r="C100" s="195">
        <f ca="1">IFERROR(INDEX(BYEs!$B$2:$B$33,MATCH(D100,BYEs!$A$2:$A$33,0)),"N/A")</f>
        <v>7</v>
      </c>
      <c r="D100" s="195" t="str">
        <f ca="1">INDEX(INDIRECT(""&amp;B100&amp;"!E2:E700"),MATCH(A100,INDIRECT(""&amp;B100&amp;"!B2:B700"),0))</f>
        <v>DET</v>
      </c>
      <c r="E100" s="194" t="str">
        <f ca="1">INDEX(INDIRECT(""&amp;$B100&amp;"!Z2:Z709"),MATCH($A100,INDIRECT(""&amp;$B100&amp;"!B2:B709"),0))</f>
        <v>RB9</v>
      </c>
      <c r="F100" s="196">
        <f ca="1">IF(LeagueInfo!$H$7="Starter/Bench",INDEX(INDIRECT(""&amp;B100&amp;"!S2:S709"),MATCH(A100,INDIRECT(""&amp;B100&amp;"!B2:B709"),0)),INDEX(INDIRECT(""&amp;B100&amp;"!AA2:AA709"),MATCH(A100,INDIRECT(""&amp;B100&amp;"!B2:B709"),0)))</f>
        <v>9.6325230524834602</v>
      </c>
      <c r="G100" s="197">
        <f>IF(H100&gt;0,F100-H100,0)</f>
        <v>0</v>
      </c>
      <c r="H100" s="198"/>
      <c r="I100" s="197">
        <f ca="1">F100*$A$2</f>
        <v>9.6325230524834602</v>
      </c>
      <c r="J100" s="197" t="s">
        <v>80</v>
      </c>
      <c r="K100" s="197">
        <f>IF(LeagueInfo!$F$7="Yahoo",IFERROR(INDEX(DefaultAuctionValues!$B$2:$B$359,MATCH(A100,DefaultAuctionValues!$A$2:$A$359,0)),0),IF(LeagueInfo!$F$7="ESPN",IFERROR(INDEX(DefaultAuctionValues!$C$2:$C$359,MATCH(A100,DefaultAuctionValues!$A$2:$A$359,0)),0),IF(LeagueInfo!$F$7="FantasyPros",IFERROR(INDEX(DefaultAuctionValues!$D$2:$D$359,MATCH(A100,DefaultAuctionValues!$A$2:$A$359,0)),0))))</f>
        <v>1</v>
      </c>
      <c r="L100" s="197">
        <f ca="1">I100-K100</f>
        <v>8.6325230524834602</v>
      </c>
      <c r="M100" s="213"/>
      <c r="N100" s="208">
        <f ca="1">INDEX(INDIRECT(""&amp;$B100&amp;"!y2:y709"),MATCH($A100,INDIRECT(""&amp;$B100&amp;"!B2:B709"),0))</f>
        <v>20.11</v>
      </c>
      <c r="O100" s="217" t="str">
        <f ca="1">IF(INDEX(INDIRECT(""&amp;$B100&amp;"!V2:V700"),MATCH($A100,INDIRECT(""&amp;$B100&amp;"!B2:B700"),0))=0,"",INDEX(INDIRECT(""&amp;$B100&amp;"!V2:V700"),MATCH($A100,INDIRECT(""&amp;$B100&amp;"!B2:B700"),0)))</f>
        <v/>
      </c>
    </row>
    <row r="101" spans="1:15" x14ac:dyDescent="0.25">
      <c r="A101" s="195" t="s">
        <v>143</v>
      </c>
      <c r="B101" s="195" t="s">
        <v>39</v>
      </c>
      <c r="C101" s="195">
        <f ca="1">IFERROR(INDEX(BYEs!$B$2:$B$33,MATCH(D101,BYEs!$A$2:$A$33,0)),"N/A")</f>
        <v>9</v>
      </c>
      <c r="D101" s="195" t="str">
        <f ca="1">INDEX(INDIRECT(""&amp;B101&amp;"!E2:E700"),MATCH(A101,INDIRECT(""&amp;B101&amp;"!B2:B700"),0))</f>
        <v>LAC</v>
      </c>
      <c r="E101" s="194" t="str">
        <f ca="1">INDEX(INDIRECT(""&amp;$B101&amp;"!Z2:Z709"),MATCH($A101,INDIRECT(""&amp;$B101&amp;"!B2:B709"),0))</f>
        <v>WR6</v>
      </c>
      <c r="F101" s="196">
        <f ca="1">IF(LeagueInfo!$H$7="Starter/Bench",INDEX(INDIRECT(""&amp;B101&amp;"!S2:S709"),MATCH(A101,INDIRECT(""&amp;B101&amp;"!B2:B709"),0)),INDEX(INDIRECT(""&amp;B101&amp;"!AA2:AA709"),MATCH(A101,INDIRECT(""&amp;B101&amp;"!B2:B709"),0)))</f>
        <v>9.5571023451443295</v>
      </c>
      <c r="G101" s="197">
        <f>IF(H101&gt;0,F101-H101,0)</f>
        <v>0</v>
      </c>
      <c r="H101" s="198"/>
      <c r="I101" s="197">
        <f ca="1">F101*$A$2</f>
        <v>9.5571023451443295</v>
      </c>
      <c r="J101" s="197" t="s">
        <v>80</v>
      </c>
      <c r="K101" s="197">
        <f>IF(LeagueInfo!$F$7="Yahoo",IFERROR(INDEX(DefaultAuctionValues!$B$2:$B$359,MATCH(A101,DefaultAuctionValues!$A$2:$A$359,0)),0),IF(LeagueInfo!$F$7="ESPN",IFERROR(INDEX(DefaultAuctionValues!$C$2:$C$359,MATCH(A101,DefaultAuctionValues!$A$2:$A$359,0)),0),IF(LeagueInfo!$F$7="FantasyPros",IFERROR(INDEX(DefaultAuctionValues!$D$2:$D$359,MATCH(A101,DefaultAuctionValues!$A$2:$A$359,0)),0))))</f>
        <v>12</v>
      </c>
      <c r="L101" s="197">
        <f ca="1">I101-K101</f>
        <v>-2.4428976548556705</v>
      </c>
      <c r="M101" s="213"/>
      <c r="N101" s="208">
        <f ca="1">INDEX(INDIRECT(""&amp;$B101&amp;"!y2:y709"),MATCH($A101,INDIRECT(""&amp;$B101&amp;"!B2:B709"),0))</f>
        <v>20.240000000000016</v>
      </c>
      <c r="O101" s="217" t="str">
        <f ca="1">IF(INDEX(INDIRECT(""&amp;$B101&amp;"!V2:V700"),MATCH($A101,INDIRECT(""&amp;$B101&amp;"!B2:B700"),0))=0,"",INDEX(INDIRECT(""&amp;$B101&amp;"!V2:V700"),MATCH($A101,INDIRECT(""&amp;$B101&amp;"!B2:B700"),0)))</f>
        <v/>
      </c>
    </row>
    <row r="102" spans="1:15" x14ac:dyDescent="0.25">
      <c r="A102" s="195" t="s">
        <v>160</v>
      </c>
      <c r="B102" s="195" t="s">
        <v>32</v>
      </c>
      <c r="C102" s="195">
        <f ca="1">IFERROR(INDEX(BYEs!$B$2:$B$33,MATCH(D102,BYEs!$A$2:$A$33,0)),"N/A")</f>
        <v>5</v>
      </c>
      <c r="D102" s="195" t="str">
        <f ca="1">INDEX(INDIRECT(""&amp;B102&amp;"!E2:E700"),MATCH(A102,INDIRECT(""&amp;B102&amp;"!B2:B700"),0))</f>
        <v>NO</v>
      </c>
      <c r="E102" s="194" t="str">
        <f ca="1">INDEX(INDIRECT(""&amp;$B102&amp;"!Z2:Z709"),MATCH($A102,INDIRECT(""&amp;$B102&amp;"!B2:B709"),0))</f>
        <v>RB9</v>
      </c>
      <c r="F102" s="196">
        <f ca="1">IF(LeagueInfo!$H$7="Starter/Bench",INDEX(INDIRECT(""&amp;B102&amp;"!S2:S709"),MATCH(A102,INDIRECT(""&amp;B102&amp;"!B2:B709"),0)),INDEX(INDIRECT(""&amp;B102&amp;"!AA2:AA709"),MATCH(A102,INDIRECT(""&amp;B102&amp;"!B2:B709"),0)))</f>
        <v>9.3690776184274736</v>
      </c>
      <c r="G102" s="197">
        <f>IF(H102&gt;0,F102-H102,0)</f>
        <v>0</v>
      </c>
      <c r="H102" s="198"/>
      <c r="I102" s="197">
        <f ca="1">F102*$A$2</f>
        <v>9.3690776184274736</v>
      </c>
      <c r="J102" s="197" t="s">
        <v>80</v>
      </c>
      <c r="K102" s="197">
        <f>IF(LeagueInfo!$F$7="Yahoo",IFERROR(INDEX(DefaultAuctionValues!$B$2:$B$359,MATCH(A102,DefaultAuctionValues!$A$2:$A$359,0)),0),IF(LeagueInfo!$F$7="ESPN",IFERROR(INDEX(DefaultAuctionValues!$C$2:$C$359,MATCH(A102,DefaultAuctionValues!$A$2:$A$359,0)),0),IF(LeagueInfo!$F$7="FantasyPros",IFERROR(INDEX(DefaultAuctionValues!$D$2:$D$359,MATCH(A102,DefaultAuctionValues!$A$2:$A$359,0)),0))))</f>
        <v>4</v>
      </c>
      <c r="L102" s="197">
        <f ca="1">I102-K102</f>
        <v>5.3690776184274736</v>
      </c>
      <c r="M102" s="213"/>
      <c r="N102" s="208">
        <f ca="1">INDEX(INDIRECT(""&amp;$B102&amp;"!y2:y709"),MATCH($A102,INDIRECT(""&amp;$B102&amp;"!B2:B709"),0))</f>
        <v>19.560000000000002</v>
      </c>
      <c r="O102" s="217" t="str">
        <f ca="1">IF(INDEX(INDIRECT(""&amp;$B102&amp;"!V2:V700"),MATCH($A102,INDIRECT(""&amp;$B102&amp;"!B2:B700"),0))=0,"",INDEX(INDIRECT(""&amp;$B102&amp;"!V2:V700"),MATCH($A102,INDIRECT(""&amp;$B102&amp;"!B2:B700"),0)))</f>
        <v/>
      </c>
    </row>
    <row r="103" spans="1:15" x14ac:dyDescent="0.25">
      <c r="A103" s="195" t="s">
        <v>163</v>
      </c>
      <c r="B103" s="195" t="s">
        <v>32</v>
      </c>
      <c r="C103" s="195">
        <f ca="1">IFERROR(INDEX(BYEs!$B$2:$B$33,MATCH(D103,BYEs!$A$2:$A$33,0)),"N/A")</f>
        <v>10</v>
      </c>
      <c r="D103" s="195" t="str">
        <f ca="1">INDEX(INDIRECT(""&amp;B103&amp;"!E2:E700"),MATCH(A103,INDIRECT(""&amp;B103&amp;"!B2:B700"),0))</f>
        <v>PHI</v>
      </c>
      <c r="E103" s="194" t="str">
        <f ca="1">INDEX(INDIRECT(""&amp;$B103&amp;"!Z2:Z709"),MATCH($A103,INDIRECT(""&amp;$B103&amp;"!B2:B709"),0))</f>
        <v>RB9</v>
      </c>
      <c r="F103" s="196">
        <f ca="1">IF(LeagueInfo!$H$7="Starter/Bench",INDEX(INDIRECT(""&amp;B103&amp;"!S2:S709"),MATCH(A103,INDIRECT(""&amp;B103&amp;"!B2:B709"),0)),INDEX(INDIRECT(""&amp;B103&amp;"!AA2:AA709"),MATCH(A103,INDIRECT(""&amp;B103&amp;"!B2:B709"),0)))</f>
        <v>9.3499179504961276</v>
      </c>
      <c r="G103" s="197">
        <f>IF(H103&gt;0,F103-H103,0)</f>
        <v>0</v>
      </c>
      <c r="H103" s="198"/>
      <c r="I103" s="197">
        <f ca="1">F103*$A$2</f>
        <v>9.3499179504961276</v>
      </c>
      <c r="J103" s="197" t="s">
        <v>80</v>
      </c>
      <c r="K103" s="197">
        <f>IF(LeagueInfo!$F$7="Yahoo",IFERROR(INDEX(DefaultAuctionValues!$B$2:$B$359,MATCH(A103,DefaultAuctionValues!$A$2:$A$359,0)),0),IF(LeagueInfo!$F$7="ESPN",IFERROR(INDEX(DefaultAuctionValues!$C$2:$C$359,MATCH(A103,DefaultAuctionValues!$A$2:$A$359,0)),0),IF(LeagueInfo!$F$7="FantasyPros",IFERROR(INDEX(DefaultAuctionValues!$D$2:$D$359,MATCH(A103,DefaultAuctionValues!$A$2:$A$359,0)),0))))</f>
        <v>4</v>
      </c>
      <c r="L103" s="197">
        <f ca="1">I103-K103</f>
        <v>5.3499179504961276</v>
      </c>
      <c r="M103" s="213"/>
      <c r="N103" s="208">
        <f ca="1">INDEX(INDIRECT(""&amp;$B103&amp;"!y2:y709"),MATCH($A103,INDIRECT(""&amp;$B103&amp;"!B2:B709"),0))</f>
        <v>19.519999999999996</v>
      </c>
      <c r="O103" s="217" t="str">
        <f ca="1">IF(INDEX(INDIRECT(""&amp;$B103&amp;"!V2:V700"),MATCH($A103,INDIRECT(""&amp;$B103&amp;"!B2:B700"),0))=0,"",INDEX(INDIRECT(""&amp;$B103&amp;"!V2:V700"),MATCH($A103,INDIRECT(""&amp;$B103&amp;"!B2:B700"),0)))</f>
        <v/>
      </c>
    </row>
    <row r="104" spans="1:15" x14ac:dyDescent="0.25">
      <c r="A104" s="195" t="s">
        <v>208</v>
      </c>
      <c r="B104" s="195" t="s">
        <v>32</v>
      </c>
      <c r="C104" s="195">
        <f ca="1">IFERROR(INDEX(BYEs!$B$2:$B$33,MATCH(D104,BYEs!$A$2:$A$33,0)),"N/A")</f>
        <v>11</v>
      </c>
      <c r="D104" s="195" t="str">
        <f ca="1">INDEX(INDIRECT(""&amp;B104&amp;"!E2:E700"),MATCH(A104,INDIRECT(""&amp;B104&amp;"!B2:B700"),0))</f>
        <v>NYJ</v>
      </c>
      <c r="E104" s="194" t="str">
        <f ca="1">INDEX(INDIRECT(""&amp;$B104&amp;"!Z2:Z709"),MATCH($A104,INDIRECT(""&amp;$B104&amp;"!B2:B709"),0))</f>
        <v>RB9</v>
      </c>
      <c r="F104" s="196">
        <f ca="1">IF(LeagueInfo!$H$7="Starter/Bench",INDEX(INDIRECT(""&amp;B104&amp;"!S2:S709"),MATCH(A104,INDIRECT(""&amp;B104&amp;"!B2:B709"),0)),INDEX(INDIRECT(""&amp;B104&amp;"!AA2:AA709"),MATCH(A104,INDIRECT(""&amp;B104&amp;"!B2:B709"),0)))</f>
        <v>9.1367666447599181</v>
      </c>
      <c r="G104" s="197">
        <f>IF(H104&gt;0,F104-H104,0)</f>
        <v>0</v>
      </c>
      <c r="H104" s="198"/>
      <c r="I104" s="197">
        <f ca="1">F104*$A$2</f>
        <v>9.1367666447599181</v>
      </c>
      <c r="J104" s="197" t="s">
        <v>80</v>
      </c>
      <c r="K104" s="197">
        <f>IF(LeagueInfo!$F$7="Yahoo",IFERROR(INDEX(DefaultAuctionValues!$B$2:$B$359,MATCH(A104,DefaultAuctionValues!$A$2:$A$359,0)),0),IF(LeagueInfo!$F$7="ESPN",IFERROR(INDEX(DefaultAuctionValues!$C$2:$C$359,MATCH(A104,DefaultAuctionValues!$A$2:$A$359,0)),0),IF(LeagueInfo!$F$7="FantasyPros",IFERROR(INDEX(DefaultAuctionValues!$D$2:$D$359,MATCH(A104,DefaultAuctionValues!$A$2:$A$359,0)),0))))</f>
        <v>1</v>
      </c>
      <c r="L104" s="197">
        <f ca="1">I104-K104</f>
        <v>8.1367666447599181</v>
      </c>
      <c r="M104" s="213"/>
      <c r="N104" s="208">
        <f ca="1">INDEX(INDIRECT(""&amp;$B104&amp;"!y2:y709"),MATCH($A104,INDIRECT(""&amp;$B104&amp;"!B2:B709"),0))</f>
        <v>19.074999999999996</v>
      </c>
      <c r="O104" s="217" t="str">
        <f ca="1">IF(INDEX(INDIRECT(""&amp;$B104&amp;"!V2:V700"),MATCH($A104,INDIRECT(""&amp;$B104&amp;"!B2:B700"),0))=0,"",INDEX(INDIRECT(""&amp;$B104&amp;"!V2:V700"),MATCH($A104,INDIRECT(""&amp;$B104&amp;"!B2:B700"),0)))</f>
        <v/>
      </c>
    </row>
    <row r="105" spans="1:15" x14ac:dyDescent="0.25">
      <c r="A105" s="195" t="s">
        <v>200</v>
      </c>
      <c r="B105" s="195" t="s">
        <v>39</v>
      </c>
      <c r="C105" s="195">
        <f ca="1">IFERROR(INDEX(BYEs!$B$2:$B$33,MATCH(D105,BYEs!$A$2:$A$33,0)),"N/A")</f>
        <v>9</v>
      </c>
      <c r="D105" s="195" t="str">
        <f ca="1">INDEX(INDIRECT(""&amp;B105&amp;"!E2:E700"),MATCH(A105,INDIRECT(""&amp;B105&amp;"!B2:B700"),0))</f>
        <v>MIN</v>
      </c>
      <c r="E105" s="194" t="str">
        <f ca="1">INDEX(INDIRECT(""&amp;$B105&amp;"!Z2:Z709"),MATCH($A105,INDIRECT(""&amp;$B105&amp;"!B2:B709"),0))</f>
        <v>WR6</v>
      </c>
      <c r="F105" s="196">
        <f ca="1">IF(LeagueInfo!$H$7="Starter/Bench",INDEX(INDIRECT(""&amp;B105&amp;"!S2:S709"),MATCH(A105,INDIRECT(""&amp;B105&amp;"!B2:B709"),0)),INDEX(INDIRECT(""&amp;B105&amp;"!AA2:AA709"),MATCH(A105,INDIRECT(""&amp;B105&amp;"!B2:B709"),0)))</f>
        <v>8.9454636554256695</v>
      </c>
      <c r="G105" s="197">
        <f>IF(H105&gt;0,F105-H105,0)</f>
        <v>0</v>
      </c>
      <c r="H105" s="198"/>
      <c r="I105" s="197">
        <f ca="1">F105*$A$2</f>
        <v>8.9454636554256695</v>
      </c>
      <c r="J105" s="197" t="s">
        <v>80</v>
      </c>
      <c r="K105" s="197">
        <f>IF(LeagueInfo!$F$7="Yahoo",IFERROR(INDEX(DefaultAuctionValues!$B$2:$B$359,MATCH(A105,DefaultAuctionValues!$A$2:$A$359,0)),0),IF(LeagueInfo!$F$7="ESPN",IFERROR(INDEX(DefaultAuctionValues!$C$2:$C$359,MATCH(A105,DefaultAuctionValues!$A$2:$A$359,0)),0),IF(LeagueInfo!$F$7="FantasyPros",IFERROR(INDEX(DefaultAuctionValues!$D$2:$D$359,MATCH(A105,DefaultAuctionValues!$A$2:$A$359,0)),0))))</f>
        <v>2</v>
      </c>
      <c r="L105" s="197">
        <f ca="1">I105-K105</f>
        <v>6.9454636554256695</v>
      </c>
      <c r="M105" s="213"/>
      <c r="N105" s="208">
        <f ca="1">INDEX(INDIRECT(""&amp;$B105&amp;"!y2:y709"),MATCH($A105,INDIRECT(""&amp;$B105&amp;"!B2:B709"),0))</f>
        <v>18.839999999999982</v>
      </c>
      <c r="O105" s="217" t="str">
        <f ca="1">IF(INDEX(INDIRECT(""&amp;$B105&amp;"!V2:V700"),MATCH($A105,INDIRECT(""&amp;$B105&amp;"!B2:B700"),0))=0,"",INDEX(INDIRECT(""&amp;$B105&amp;"!V2:V700"),MATCH($A105,INDIRECT(""&amp;$B105&amp;"!B2:B700"),0)))</f>
        <v/>
      </c>
    </row>
    <row r="106" spans="1:15" x14ac:dyDescent="0.25">
      <c r="A106" s="195" t="s">
        <v>176</v>
      </c>
      <c r="B106" s="195" t="s">
        <v>39</v>
      </c>
      <c r="C106" s="195">
        <f ca="1">IFERROR(INDEX(BYEs!$B$2:$B$33,MATCH(D106,BYEs!$A$2:$A$33,0)),"N/A")</f>
        <v>5</v>
      </c>
      <c r="D106" s="195" t="str">
        <f ca="1">INDEX(INDIRECT(""&amp;B106&amp;"!E2:E700"),MATCH(A106,INDIRECT(""&amp;B106&amp;"!B2:B700"),0))</f>
        <v>NO</v>
      </c>
      <c r="E106" s="194" t="str">
        <f ca="1">INDEX(INDIRECT(""&amp;$B106&amp;"!Z2:Z709"),MATCH($A106,INDIRECT(""&amp;$B106&amp;"!B2:B709"),0))</f>
        <v>WR6</v>
      </c>
      <c r="F106" s="196">
        <f ca="1">IF(LeagueInfo!$H$7="Starter/Bench",INDEX(INDIRECT(""&amp;B106&amp;"!S2:S709"),MATCH(A106,INDIRECT(""&amp;B106&amp;"!B2:B709"),0)),INDEX(INDIRECT(""&amp;B106&amp;"!AA2:AA709"),MATCH(A106,INDIRECT(""&amp;B106&amp;"!B2:B709"),0)))</f>
        <v>8.8100293741308313</v>
      </c>
      <c r="G106" s="197">
        <f>IF(H106&gt;0,F106-H106,0)</f>
        <v>0</v>
      </c>
      <c r="H106" s="198"/>
      <c r="I106" s="197">
        <f ca="1">F106*$A$2</f>
        <v>8.8100293741308313</v>
      </c>
      <c r="J106" s="197" t="s">
        <v>80</v>
      </c>
      <c r="K106" s="197">
        <f>IF(LeagueInfo!$F$7="Yahoo",IFERROR(INDEX(DefaultAuctionValues!$B$2:$B$359,MATCH(A106,DefaultAuctionValues!$A$2:$A$359,0)),0),IF(LeagueInfo!$F$7="ESPN",IFERROR(INDEX(DefaultAuctionValues!$C$2:$C$359,MATCH(A106,DefaultAuctionValues!$A$2:$A$359,0)),0),IF(LeagueInfo!$F$7="FantasyPros",IFERROR(INDEX(DefaultAuctionValues!$D$2:$D$359,MATCH(A106,DefaultAuctionValues!$A$2:$A$359,0)),0))))</f>
        <v>3</v>
      </c>
      <c r="L106" s="197">
        <f ca="1">I106-K106</f>
        <v>5.8100293741308313</v>
      </c>
      <c r="M106" s="213"/>
      <c r="N106" s="208">
        <f ca="1">INDEX(INDIRECT(""&amp;$B106&amp;"!y2:y709"),MATCH($A106,INDIRECT(""&amp;$B106&amp;"!B2:B709"),0))</f>
        <v>18.529999999999994</v>
      </c>
      <c r="O106" s="217" t="str">
        <f ca="1">IF(INDEX(INDIRECT(""&amp;$B106&amp;"!V2:V700"),MATCH($A106,INDIRECT(""&amp;$B106&amp;"!B2:B700"),0))=0,"",INDEX(INDIRECT(""&amp;$B106&amp;"!V2:V700"),MATCH($A106,INDIRECT(""&amp;$B106&amp;"!B2:B700"),0)))</f>
        <v/>
      </c>
    </row>
    <row r="107" spans="1:15" x14ac:dyDescent="0.25">
      <c r="A107" s="195" t="s">
        <v>433</v>
      </c>
      <c r="B107" s="195" t="s">
        <v>32</v>
      </c>
      <c r="C107" s="195">
        <f ca="1">IFERROR(INDEX(BYEs!$B$2:$B$33,MATCH(D107,BYEs!$A$2:$A$33,0)),"N/A")</f>
        <v>9</v>
      </c>
      <c r="D107" s="195" t="str">
        <f ca="1">INDEX(INDIRECT(""&amp;B107&amp;"!E2:E700"),MATCH(A107,INDIRECT(""&amp;B107&amp;"!B2:B700"),0))</f>
        <v>CLE</v>
      </c>
      <c r="E107" s="194" t="str">
        <f ca="1">INDEX(INDIRECT(""&amp;$B107&amp;"!Z2:Z709"),MATCH($A107,INDIRECT(""&amp;$B107&amp;"!B2:B709"),0))</f>
        <v>RB9</v>
      </c>
      <c r="F107" s="196">
        <f ca="1">IF(LeagueInfo!$H$7="Starter/Bench",INDEX(INDIRECT(""&amp;B107&amp;"!S2:S709"),MATCH(A107,INDIRECT(""&amp;B107&amp;"!B2:B709"),0)),INDEX(INDIRECT(""&amp;B107&amp;"!AA2:AA709"),MATCH(A107,INDIRECT(""&amp;B107&amp;"!B2:B709"),0)))</f>
        <v>8.767943037081535</v>
      </c>
      <c r="G107" s="197">
        <f>IF(H107&gt;0,F107-H107,0)</f>
        <v>0</v>
      </c>
      <c r="H107" s="198"/>
      <c r="I107" s="197">
        <f ca="1">F107*$A$2</f>
        <v>8.767943037081535</v>
      </c>
      <c r="J107" s="197" t="s">
        <v>80</v>
      </c>
      <c r="K107" s="197">
        <f>IF(LeagueInfo!$F$7="Yahoo",IFERROR(INDEX(DefaultAuctionValues!$B$2:$B$359,MATCH(A107,DefaultAuctionValues!$A$2:$A$359,0)),0),IF(LeagueInfo!$F$7="ESPN",IFERROR(INDEX(DefaultAuctionValues!$C$2:$C$359,MATCH(A107,DefaultAuctionValues!$A$2:$A$359,0)),0),IF(LeagueInfo!$F$7="FantasyPros",IFERROR(INDEX(DefaultAuctionValues!$D$2:$D$359,MATCH(A107,DefaultAuctionValues!$A$2:$A$359,0)),0))))</f>
        <v>0</v>
      </c>
      <c r="L107" s="197">
        <f ca="1">I107-K107</f>
        <v>8.767943037081535</v>
      </c>
      <c r="M107" s="213"/>
      <c r="N107" s="208">
        <f ca="1">INDEX(INDIRECT(""&amp;$B107&amp;"!y2:y709"),MATCH($A107,INDIRECT(""&amp;$B107&amp;"!B2:B709"),0))</f>
        <v>18.304999999999993</v>
      </c>
      <c r="O107" s="217" t="str">
        <f ca="1">IF(INDEX(INDIRECT(""&amp;$B107&amp;"!V2:V700"),MATCH($A107,INDIRECT(""&amp;$B107&amp;"!B2:B700"),0))=0,"",INDEX(INDIRECT(""&amp;$B107&amp;"!V2:V700"),MATCH($A107,INDIRECT(""&amp;$B107&amp;"!B2:B700"),0)))</f>
        <v/>
      </c>
    </row>
    <row r="108" spans="1:15" x14ac:dyDescent="0.25">
      <c r="A108" s="195" t="s">
        <v>170</v>
      </c>
      <c r="B108" s="195" t="s">
        <v>32</v>
      </c>
      <c r="C108" s="195">
        <f ca="1">IFERROR(INDEX(BYEs!$B$2:$B$33,MATCH(D108,BYEs!$A$2:$A$33,0)),"N/A")</f>
        <v>8</v>
      </c>
      <c r="D108" s="195" t="str">
        <f ca="1">INDEX(INDIRECT(""&amp;B108&amp;"!E2:E700"),MATCH(A108,INDIRECT(""&amp;B108&amp;"!B2:B700"),0))</f>
        <v>TEN</v>
      </c>
      <c r="E108" s="194" t="str">
        <f ca="1">INDEX(INDIRECT(""&amp;$B108&amp;"!Z2:Z709"),MATCH($A108,INDIRECT(""&amp;$B108&amp;"!B2:B709"),0))</f>
        <v>RB9</v>
      </c>
      <c r="F108" s="196">
        <f ca="1">IF(LeagueInfo!$H$7="Starter/Bench",INDEX(INDIRECT(""&amp;B108&amp;"!S2:S709"),MATCH(A108,INDIRECT(""&amp;B108&amp;"!B2:B709"),0)),INDEX(INDIRECT(""&amp;B108&amp;"!AA2:AA709"),MATCH(A108,INDIRECT(""&amp;B108&amp;"!B2:B709"),0)))</f>
        <v>8.6170606521221984</v>
      </c>
      <c r="G108" s="197">
        <f>IF(H108&gt;0,F108-H108,0)</f>
        <v>0</v>
      </c>
      <c r="H108" s="198"/>
      <c r="I108" s="197">
        <f ca="1">F108*$A$2</f>
        <v>8.6170606521221984</v>
      </c>
      <c r="J108" s="197" t="s">
        <v>80</v>
      </c>
      <c r="K108" s="197">
        <f>IF(LeagueInfo!$F$7="Yahoo",IFERROR(INDEX(DefaultAuctionValues!$B$2:$B$359,MATCH(A108,DefaultAuctionValues!$A$2:$A$359,0)),0),IF(LeagueInfo!$F$7="ESPN",IFERROR(INDEX(DefaultAuctionValues!$C$2:$C$359,MATCH(A108,DefaultAuctionValues!$A$2:$A$359,0)),0),IF(LeagueInfo!$F$7="FantasyPros",IFERROR(INDEX(DefaultAuctionValues!$D$2:$D$359,MATCH(A108,DefaultAuctionValues!$A$2:$A$359,0)),0))))</f>
        <v>3</v>
      </c>
      <c r="L108" s="197">
        <f ca="1">I108-K108</f>
        <v>5.6170606521221984</v>
      </c>
      <c r="M108" s="213"/>
      <c r="N108" s="208">
        <f ca="1">INDEX(INDIRECT(""&amp;$B108&amp;"!y2:y709"),MATCH($A108,INDIRECT(""&amp;$B108&amp;"!B2:B709"),0))</f>
        <v>17.989999999999995</v>
      </c>
      <c r="O108" s="217" t="str">
        <f ca="1">IF(INDEX(INDIRECT(""&amp;$B108&amp;"!V2:V700"),MATCH($A108,INDIRECT(""&amp;$B108&amp;"!B2:B700"),0))=0,"",INDEX(INDIRECT(""&amp;$B108&amp;"!V2:V700"),MATCH($A108,INDIRECT(""&amp;$B108&amp;"!B2:B700"),0)))</f>
        <v/>
      </c>
    </row>
    <row r="109" spans="1:15" x14ac:dyDescent="0.25">
      <c r="A109" s="195" t="s">
        <v>226</v>
      </c>
      <c r="B109" s="195" t="s">
        <v>47</v>
      </c>
      <c r="C109" s="195">
        <f ca="1">IFERROR(INDEX(BYEs!$B$2:$B$33,MATCH(D109,BYEs!$A$2:$A$33,0)),"N/A")</f>
        <v>9</v>
      </c>
      <c r="D109" s="195" t="str">
        <f ca="1">INDEX(INDIRECT(""&amp;B109&amp;"!E2:E700"),MATCH(A109,INDIRECT(""&amp;B109&amp;"!B2:B700"),0))</f>
        <v>LAC</v>
      </c>
      <c r="E109" s="194" t="str">
        <f ca="1">INDEX(INDIRECT(""&amp;$B109&amp;"!Z2:Z709"),MATCH($A109,INDIRECT(""&amp;$B109&amp;"!B2:B709"),0))</f>
        <v>TE7</v>
      </c>
      <c r="F109" s="196">
        <f ca="1">IF(LeagueInfo!$H$7="Starter/Bench",INDEX(INDIRECT(""&amp;B109&amp;"!S2:S709"),MATCH(A109,INDIRECT(""&amp;B109&amp;"!B2:B709"),0)),INDEX(INDIRECT(""&amp;B109&amp;"!AA2:AA709"),MATCH(A109,INDIRECT(""&amp;B109&amp;"!B2:B709"),0)))</f>
        <v>8.5396146960544588</v>
      </c>
      <c r="G109" s="197">
        <f>IF(H109&gt;0,F109-H109,0)</f>
        <v>0</v>
      </c>
      <c r="H109" s="198"/>
      <c r="I109" s="197">
        <f ca="1">F109*$A$2</f>
        <v>8.5396146960544588</v>
      </c>
      <c r="J109" s="197" t="s">
        <v>80</v>
      </c>
      <c r="K109" s="197">
        <f>IF(LeagueInfo!$F$7="Yahoo",IFERROR(INDEX(DefaultAuctionValues!$B$2:$B$359,MATCH(A109,DefaultAuctionValues!$A$2:$A$359,0)),0),IF(LeagueInfo!$F$7="ESPN",IFERROR(INDEX(DefaultAuctionValues!$C$2:$C$359,MATCH(A109,DefaultAuctionValues!$A$2:$A$359,0)),0),IF(LeagueInfo!$F$7="FantasyPros",IFERROR(INDEX(DefaultAuctionValues!$D$2:$D$359,MATCH(A109,DefaultAuctionValues!$A$2:$A$359,0)),0))))</f>
        <v>1</v>
      </c>
      <c r="L109" s="197">
        <f ca="1">I109-K109</f>
        <v>7.5396146960544588</v>
      </c>
      <c r="M109" s="213"/>
      <c r="N109" s="208">
        <f ca="1">INDEX(INDIRECT(""&amp;$B109&amp;"!y2:y709"),MATCH($A109,INDIRECT(""&amp;$B109&amp;"!B2:B709"),0))</f>
        <v>18.164999999999999</v>
      </c>
      <c r="O109" s="217" t="str">
        <f ca="1">IF(INDEX(INDIRECT(""&amp;$B109&amp;"!V2:V700"),MATCH($A109,INDIRECT(""&amp;$B109&amp;"!B2:B700"),0))=0,"",INDEX(INDIRECT(""&amp;$B109&amp;"!V2:V700"),MATCH($A109,INDIRECT(""&amp;$B109&amp;"!B2:B700"),0)))</f>
        <v/>
      </c>
    </row>
    <row r="110" spans="1:15" x14ac:dyDescent="0.25">
      <c r="A110" s="195" t="s">
        <v>151</v>
      </c>
      <c r="B110" s="195" t="s">
        <v>39</v>
      </c>
      <c r="C110" s="195">
        <f ca="1">IFERROR(INDEX(BYEs!$B$2:$B$33,MATCH(D110,BYEs!$A$2:$A$33,0)),"N/A")</f>
        <v>9</v>
      </c>
      <c r="D110" s="195" t="str">
        <f ca="1">INDEX(INDIRECT(""&amp;B110&amp;"!E2:E700"),MATCH(A110,INDIRECT(""&amp;B110&amp;"!B2:B700"),0))</f>
        <v>PIT</v>
      </c>
      <c r="E110" s="194" t="str">
        <f ca="1">INDEX(INDIRECT(""&amp;$B110&amp;"!Z2:Z709"),MATCH($A110,INDIRECT(""&amp;$B110&amp;"!B2:B709"),0))</f>
        <v>WR7</v>
      </c>
      <c r="F110" s="196">
        <f ca="1">IF(LeagueInfo!$H$7="Starter/Bench",INDEX(INDIRECT(""&amp;B110&amp;"!S2:S709"),MATCH(A110,INDIRECT(""&amp;B110&amp;"!B2:B709"),0)),INDEX(INDIRECT(""&amp;B110&amp;"!AA2:AA709"),MATCH(A110,INDIRECT(""&amp;B110&amp;"!B2:B709"),0)))</f>
        <v>8.1284891198729188</v>
      </c>
      <c r="G110" s="197">
        <f>IF(H110&gt;0,F110-H110,0)</f>
        <v>0</v>
      </c>
      <c r="H110" s="198"/>
      <c r="I110" s="197">
        <f ca="1">F110*$A$2</f>
        <v>8.1284891198729188</v>
      </c>
      <c r="J110" s="197" t="s">
        <v>80</v>
      </c>
      <c r="K110" s="197">
        <f>IF(LeagueInfo!$F$7="Yahoo",IFERROR(INDEX(DefaultAuctionValues!$B$2:$B$359,MATCH(A110,DefaultAuctionValues!$A$2:$A$359,0)),0),IF(LeagueInfo!$F$7="ESPN",IFERROR(INDEX(DefaultAuctionValues!$C$2:$C$359,MATCH(A110,DefaultAuctionValues!$A$2:$A$359,0)),0),IF(LeagueInfo!$F$7="FantasyPros",IFERROR(INDEX(DefaultAuctionValues!$D$2:$D$359,MATCH(A110,DefaultAuctionValues!$A$2:$A$359,0)),0))))</f>
        <v>9</v>
      </c>
      <c r="L110" s="197">
        <f ca="1">I110-K110</f>
        <v>-0.87151088012708122</v>
      </c>
      <c r="M110" s="213"/>
      <c r="N110" s="208">
        <f ca="1">INDEX(INDIRECT(""&amp;$B110&amp;"!y2:y709"),MATCH($A110,INDIRECT(""&amp;$B110&amp;"!B2:B709"),0))</f>
        <v>16.970000000000006</v>
      </c>
      <c r="O110" s="217" t="str">
        <f ca="1">IF(INDEX(INDIRECT(""&amp;$B110&amp;"!V2:V700"),MATCH($A110,INDIRECT(""&amp;$B110&amp;"!B2:B700"),0))=0,"",INDEX(INDIRECT(""&amp;$B110&amp;"!V2:V700"),MATCH($A110,INDIRECT(""&amp;$B110&amp;"!B2:B700"),0)))</f>
        <v/>
      </c>
    </row>
    <row r="111" spans="1:15" x14ac:dyDescent="0.25">
      <c r="A111" s="195" t="s">
        <v>172</v>
      </c>
      <c r="B111" s="195" t="s">
        <v>39</v>
      </c>
      <c r="C111" s="195">
        <f ca="1">IFERROR(INDEX(BYEs!$B$2:$B$33,MATCH(D111,BYEs!$A$2:$A$33,0)),"N/A")</f>
        <v>5</v>
      </c>
      <c r="D111" s="195" t="str">
        <f ca="1">INDEX(INDIRECT(""&amp;B111&amp;"!E2:E700"),MATCH(A111,INDIRECT(""&amp;B111&amp;"!B2:B700"),0))</f>
        <v>WAS</v>
      </c>
      <c r="E111" s="194" t="str">
        <f ca="1">INDEX(INDIRECT(""&amp;$B111&amp;"!Z2:Z709"),MATCH($A111,INDIRECT(""&amp;$B111&amp;"!B2:B709"),0))</f>
        <v>WR7</v>
      </c>
      <c r="F111" s="196">
        <f ca="1">IF(LeagueInfo!$H$7="Starter/Bench",INDEX(INDIRECT(""&amp;B111&amp;"!S2:S709"),MATCH(A111,INDIRECT(""&amp;B111&amp;"!B2:B709"),0)),INDEX(INDIRECT(""&amp;B111&amp;"!AA2:AA709"),MATCH(A111,INDIRECT(""&amp;B111&amp;"!B2:B709"),0)))</f>
        <v>7.4291612403788392</v>
      </c>
      <c r="G111" s="197">
        <f>IF(H111&gt;0,F111-H111,0)</f>
        <v>0</v>
      </c>
      <c r="H111" s="198"/>
      <c r="I111" s="197">
        <f ca="1">F111*$A$2</f>
        <v>7.4291612403788392</v>
      </c>
      <c r="J111" s="197" t="s">
        <v>80</v>
      </c>
      <c r="K111" s="197">
        <f>IF(LeagueInfo!$F$7="Yahoo",IFERROR(INDEX(DefaultAuctionValues!$B$2:$B$359,MATCH(A111,DefaultAuctionValues!$A$2:$A$359,0)),0),IF(LeagueInfo!$F$7="ESPN",IFERROR(INDEX(DefaultAuctionValues!$C$2:$C$359,MATCH(A111,DefaultAuctionValues!$A$2:$A$359,0)),0),IF(LeagueInfo!$F$7="FantasyPros",IFERROR(INDEX(DefaultAuctionValues!$D$2:$D$359,MATCH(A111,DefaultAuctionValues!$A$2:$A$359,0)),0))))</f>
        <v>4</v>
      </c>
      <c r="L111" s="197">
        <f ca="1">I111-K111</f>
        <v>3.4291612403788392</v>
      </c>
      <c r="M111" s="213"/>
      <c r="N111" s="208">
        <f ca="1">INDEX(INDIRECT(""&amp;$B111&amp;"!y2:y709"),MATCH($A111,INDIRECT(""&amp;$B111&amp;"!B2:B709"),0))</f>
        <v>15.509999999999998</v>
      </c>
      <c r="O111" s="217" t="str">
        <f ca="1">IF(INDEX(INDIRECT(""&amp;$B111&amp;"!V2:V700"),MATCH($A111,INDIRECT(""&amp;$B111&amp;"!B2:B700"),0))=0,"",INDEX(INDIRECT(""&amp;$B111&amp;"!V2:V700"),MATCH($A111,INDIRECT(""&amp;$B111&amp;"!B2:B700"),0)))</f>
        <v/>
      </c>
    </row>
    <row r="112" spans="1:15" x14ac:dyDescent="0.25">
      <c r="A112" s="195" t="s">
        <v>239</v>
      </c>
      <c r="B112" s="195" t="s">
        <v>33</v>
      </c>
      <c r="C112" s="195">
        <f ca="1">IFERROR(INDEX(BYEs!$B$2:$B$33,MATCH(D112,BYEs!$A$2:$A$33,0)),"N/A")</f>
        <v>8</v>
      </c>
      <c r="D112" s="195" t="str">
        <f ca="1">INDEX(INDIRECT(""&amp;B112&amp;"!E2:E700"),MATCH(A112,INDIRECT(""&amp;B112&amp;"!B2:B700"),0))</f>
        <v>NYG</v>
      </c>
      <c r="E112" s="194" t="str">
        <f ca="1">INDEX(INDIRECT(""&amp;$B112&amp;"!Z2:Z709"),MATCH($A112,INDIRECT(""&amp;$B112&amp;"!B2:B709"),0))</f>
        <v>QB4</v>
      </c>
      <c r="F112" s="196">
        <f ca="1">IF(LeagueInfo!$H$7="Starter/Bench",INDEX(INDIRECT(""&amp;B112&amp;"!S2:S709"),MATCH(A112,INDIRECT(""&amp;B112&amp;"!B2:B709"),0)),INDEX(INDIRECT(""&amp;B112&amp;"!AA2:AA709"),MATCH(A112,INDIRECT(""&amp;B112&amp;"!B2:B709"),0)))</f>
        <v>7.3194721414719019</v>
      </c>
      <c r="G112" s="197">
        <f>IF(H112&gt;0,F112-H112,0)</f>
        <v>0</v>
      </c>
      <c r="H112" s="198"/>
      <c r="I112" s="197">
        <f ca="1">F112*$A$2</f>
        <v>7.3194721414719019</v>
      </c>
      <c r="J112" s="197" t="s">
        <v>80</v>
      </c>
      <c r="K112" s="197">
        <f>IF(LeagueInfo!$F$7="Yahoo",IFERROR(INDEX(DefaultAuctionValues!$B$2:$B$359,MATCH(A112,DefaultAuctionValues!$A$2:$A$359,0)),0),IF(LeagueInfo!$F$7="ESPN",IFERROR(INDEX(DefaultAuctionValues!$C$2:$C$359,MATCH(A112,DefaultAuctionValues!$A$2:$A$359,0)),0),IF(LeagueInfo!$F$7="FantasyPros",IFERROR(INDEX(DefaultAuctionValues!$D$2:$D$359,MATCH(A112,DefaultAuctionValues!$A$2:$A$359,0)),0))))</f>
        <v>1</v>
      </c>
      <c r="L112" s="197">
        <f ca="1">I112-K112</f>
        <v>6.3194721414719019</v>
      </c>
      <c r="M112" s="213"/>
      <c r="N112" s="208">
        <f ca="1">INDEX(INDIRECT(""&amp;$B112&amp;"!y2:y709"),MATCH($A112,INDIRECT(""&amp;$B112&amp;"!B2:B709"),0))</f>
        <v>15.28100000000002</v>
      </c>
      <c r="O112" s="217" t="str">
        <f ca="1">IF(INDEX(INDIRECT(""&amp;$B112&amp;"!V2:V700"),MATCH($A112,INDIRECT(""&amp;$B112&amp;"!B2:B700"),0))=0,"",INDEX(INDIRECT(""&amp;$B112&amp;"!V2:V700"),MATCH($A112,INDIRECT(""&amp;$B112&amp;"!B2:B700"),0)))</f>
        <v/>
      </c>
    </row>
    <row r="113" spans="1:15" x14ac:dyDescent="0.25">
      <c r="A113" s="195" t="s">
        <v>550</v>
      </c>
      <c r="B113" s="195" t="s">
        <v>39</v>
      </c>
      <c r="C113" s="195">
        <f ca="1">IFERROR(INDEX(BYEs!$B$2:$B$33,MATCH(D113,BYEs!$A$2:$A$33,0)),"N/A")</f>
        <v>11</v>
      </c>
      <c r="D113" s="195" t="str">
        <f ca="1">INDEX(INDIRECT(""&amp;B113&amp;"!E2:E700"),MATCH(A113,INDIRECT(""&amp;B113&amp;"!B2:B700"),0))</f>
        <v>MIA</v>
      </c>
      <c r="E113" s="194" t="str">
        <f ca="1">INDEX(INDIRECT(""&amp;$B113&amp;"!Z2:Z709"),MATCH($A113,INDIRECT(""&amp;$B113&amp;"!B2:B709"),0))</f>
        <v>WR7</v>
      </c>
      <c r="F113" s="196">
        <f ca="1">IF(LeagueInfo!$H$7="Starter/Bench",INDEX(INDIRECT(""&amp;B113&amp;"!S2:S709"),MATCH(A113,INDIRECT(""&amp;B113&amp;"!B2:B709"),0)),INDEX(INDIRECT(""&amp;B113&amp;"!AA2:AA709"),MATCH(A113,INDIRECT(""&amp;B113&amp;"!B2:B709"),0)))</f>
        <v>7.1609258893400183</v>
      </c>
      <c r="G113" s="197">
        <f>IF(H113&gt;0,F113-H113,0)</f>
        <v>0</v>
      </c>
      <c r="H113" s="198"/>
      <c r="I113" s="197">
        <f ca="1">F113*$A$2</f>
        <v>7.1609258893400183</v>
      </c>
      <c r="J113" s="197" t="s">
        <v>80</v>
      </c>
      <c r="K113" s="197">
        <f>IF(LeagueInfo!$F$7="Yahoo",IFERROR(INDEX(DefaultAuctionValues!$B$2:$B$359,MATCH(A113,DefaultAuctionValues!$A$2:$A$359,0)),0),IF(LeagueInfo!$F$7="ESPN",IFERROR(INDEX(DefaultAuctionValues!$C$2:$C$359,MATCH(A113,DefaultAuctionValues!$A$2:$A$359,0)),0),IF(LeagueInfo!$F$7="FantasyPros",IFERROR(INDEX(DefaultAuctionValues!$D$2:$D$359,MATCH(A113,DefaultAuctionValues!$A$2:$A$359,0)),0))))</f>
        <v>0</v>
      </c>
      <c r="L113" s="197">
        <f ca="1">I113-K113</f>
        <v>7.1609258893400183</v>
      </c>
      <c r="M113" s="213"/>
      <c r="N113" s="208">
        <f ca="1">INDEX(INDIRECT(""&amp;$B113&amp;"!y2:y709"),MATCH($A113,INDIRECT(""&amp;$B113&amp;"!B2:B709"),0))</f>
        <v>14.950000000000003</v>
      </c>
      <c r="O113" s="217" t="str">
        <f ca="1">IF(INDEX(INDIRECT(""&amp;$B113&amp;"!V2:V700"),MATCH($A113,INDIRECT(""&amp;$B113&amp;"!B2:B700"),0))=0,"",INDEX(INDIRECT(""&amp;$B113&amp;"!V2:V700"),MATCH($A113,INDIRECT(""&amp;$B113&amp;"!B2:B700"),0)))</f>
        <v/>
      </c>
    </row>
    <row r="114" spans="1:15" x14ac:dyDescent="0.25">
      <c r="A114" s="195" t="s">
        <v>222</v>
      </c>
      <c r="B114" s="195" t="s">
        <v>39</v>
      </c>
      <c r="C114" s="195">
        <f ca="1">IFERROR(INDEX(BYEs!$B$2:$B$33,MATCH(D114,BYEs!$A$2:$A$33,0)),"N/A")</f>
        <v>11</v>
      </c>
      <c r="D114" s="195" t="str">
        <f ca="1">INDEX(INDIRECT(""&amp;B114&amp;"!E2:E700"),MATCH(A114,INDIRECT(""&amp;B114&amp;"!B2:B700"),0))</f>
        <v>SF</v>
      </c>
      <c r="E114" s="194" t="str">
        <f ca="1">INDEX(INDIRECT(""&amp;$B114&amp;"!Z2:Z709"),MATCH($A114,INDIRECT(""&amp;$B114&amp;"!B2:B709"),0))</f>
        <v>WR7</v>
      </c>
      <c r="F114" s="196">
        <f ca="1">IF(LeagueInfo!$H$7="Starter/Bench",INDEX(INDIRECT(""&amp;B114&amp;"!S2:S709"),MATCH(A114,INDIRECT(""&amp;B114&amp;"!B2:B709"),0)),INDEX(INDIRECT(""&amp;B114&amp;"!AA2:AA709"),MATCH(A114,INDIRECT(""&amp;B114&amp;"!B2:B709"),0)))</f>
        <v>7.0028586289064227</v>
      </c>
      <c r="G114" s="197">
        <f>IF(H114&gt;0,F114-H114,0)</f>
        <v>0</v>
      </c>
      <c r="H114" s="198"/>
      <c r="I114" s="197">
        <f ca="1">F114*$A$2</f>
        <v>7.0028586289064227</v>
      </c>
      <c r="J114" s="197" t="s">
        <v>80</v>
      </c>
      <c r="K114" s="197">
        <f>IF(LeagueInfo!$F$7="Yahoo",IFERROR(INDEX(DefaultAuctionValues!$B$2:$B$359,MATCH(A114,DefaultAuctionValues!$A$2:$A$359,0)),0),IF(LeagueInfo!$F$7="ESPN",IFERROR(INDEX(DefaultAuctionValues!$C$2:$C$359,MATCH(A114,DefaultAuctionValues!$A$2:$A$359,0)),0),IF(LeagueInfo!$F$7="FantasyPros",IFERROR(INDEX(DefaultAuctionValues!$D$2:$D$359,MATCH(A114,DefaultAuctionValues!$A$2:$A$359,0)),0))))</f>
        <v>1</v>
      </c>
      <c r="L114" s="197">
        <f ca="1">I114-K114</f>
        <v>6.0028586289064227</v>
      </c>
      <c r="M114" s="213"/>
      <c r="N114" s="208">
        <f ca="1">INDEX(INDIRECT(""&amp;$B114&amp;"!y2:y709"),MATCH($A114,INDIRECT(""&amp;$B114&amp;"!B2:B709"),0))</f>
        <v>14.619999999999997</v>
      </c>
      <c r="O114" s="217" t="str">
        <f ca="1">IF(INDEX(INDIRECT(""&amp;$B114&amp;"!V2:V700"),MATCH($A114,INDIRECT(""&amp;$B114&amp;"!B2:B700"),0))=0,"",INDEX(INDIRECT(""&amp;$B114&amp;"!V2:V700"),MATCH($A114,INDIRECT(""&amp;$B114&amp;"!B2:B700"),0)))</f>
        <v/>
      </c>
    </row>
    <row r="115" spans="1:15" x14ac:dyDescent="0.25">
      <c r="A115" s="195" t="s">
        <v>268</v>
      </c>
      <c r="B115" s="195" t="s">
        <v>47</v>
      </c>
      <c r="C115" s="195">
        <f ca="1">IFERROR(INDEX(BYEs!$B$2:$B$33,MATCH(D115,BYEs!$A$2:$A$33,0)),"N/A")</f>
        <v>7</v>
      </c>
      <c r="D115" s="195" t="str">
        <f ca="1">INDEX(INDIRECT(""&amp;B115&amp;"!E2:E700"),MATCH(A115,INDIRECT(""&amp;B115&amp;"!B2:B700"),0))</f>
        <v>DET</v>
      </c>
      <c r="E115" s="194" t="str">
        <f ca="1">INDEX(INDIRECT(""&amp;$B115&amp;"!Z2:Z709"),MATCH($A115,INDIRECT(""&amp;$B115&amp;"!B2:B709"),0))</f>
        <v>TE7</v>
      </c>
      <c r="F115" s="196">
        <f ca="1">IF(LeagueInfo!$H$7="Starter/Bench",INDEX(INDIRECT(""&amp;B115&amp;"!S2:S709"),MATCH(A115,INDIRECT(""&amp;B115&amp;"!B2:B709"),0)),INDEX(INDIRECT(""&amp;B115&amp;"!AA2:AA709"),MATCH(A115,INDIRECT(""&amp;B115&amp;"!B2:B709"),0)))</f>
        <v>6.8663459948955952</v>
      </c>
      <c r="G115" s="197">
        <f>IF(H115&gt;0,F115-H115,0)</f>
        <v>0</v>
      </c>
      <c r="H115" s="198"/>
      <c r="I115" s="197">
        <f ca="1">F115*$A$2</f>
        <v>6.8663459948955952</v>
      </c>
      <c r="J115" s="197" t="s">
        <v>80</v>
      </c>
      <c r="K115" s="197">
        <f>IF(LeagueInfo!$F$7="Yahoo",IFERROR(INDEX(DefaultAuctionValues!$B$2:$B$359,MATCH(A115,DefaultAuctionValues!$A$2:$A$359,0)),0),IF(LeagueInfo!$F$7="ESPN",IFERROR(INDEX(DefaultAuctionValues!$C$2:$C$359,MATCH(A115,DefaultAuctionValues!$A$2:$A$359,0)),0),IF(LeagueInfo!$F$7="FantasyPros",IFERROR(INDEX(DefaultAuctionValues!$D$2:$D$359,MATCH(A115,DefaultAuctionValues!$A$2:$A$359,0)),0))))</f>
        <v>1</v>
      </c>
      <c r="L115" s="197">
        <f ca="1">I115-K115</f>
        <v>5.8663459948955952</v>
      </c>
      <c r="M115" s="213"/>
      <c r="N115" s="208">
        <f ca="1">INDEX(INDIRECT(""&amp;$B115&amp;"!y2:y709"),MATCH($A115,INDIRECT(""&amp;$B115&amp;"!B2:B709"),0))</f>
        <v>14.335000000000001</v>
      </c>
      <c r="O115" s="217" t="str">
        <f ca="1">IF(INDEX(INDIRECT(""&amp;$B115&amp;"!V2:V700"),MATCH($A115,INDIRECT(""&amp;$B115&amp;"!B2:B700"),0))=0,"",INDEX(INDIRECT(""&amp;$B115&amp;"!V2:V700"),MATCH($A115,INDIRECT(""&amp;$B115&amp;"!B2:B700"),0)))</f>
        <v/>
      </c>
    </row>
    <row r="116" spans="1:15" x14ac:dyDescent="0.25">
      <c r="A116" s="195" t="s">
        <v>166</v>
      </c>
      <c r="B116" s="195" t="s">
        <v>39</v>
      </c>
      <c r="C116" s="195">
        <f ca="1">IFERROR(INDEX(BYEs!$B$2:$B$33,MATCH(D116,BYEs!$A$2:$A$33,0)),"N/A")</f>
        <v>8</v>
      </c>
      <c r="D116" s="195" t="str">
        <f ca="1">INDEX(INDIRECT(""&amp;B116&amp;"!E2:E700"),MATCH(A116,INDIRECT(""&amp;B116&amp;"!B2:B700"),0))</f>
        <v>NYG</v>
      </c>
      <c r="E116" s="194" t="str">
        <f ca="1">INDEX(INDIRECT(""&amp;$B116&amp;"!Z2:Z709"),MATCH($A116,INDIRECT(""&amp;$B116&amp;"!B2:B709"),0))</f>
        <v>WR7</v>
      </c>
      <c r="F116" s="196">
        <f ca="1">IF(LeagueInfo!$H$7="Starter/Bench",INDEX(INDIRECT(""&amp;B116&amp;"!S2:S709"),MATCH(A116,INDIRECT(""&amp;B116&amp;"!B2:B709"),0)),INDEX(INDIRECT(""&amp;B116&amp;"!AA2:AA709"),MATCH(A116,INDIRECT(""&amp;B116&amp;"!B2:B709"),0)))</f>
        <v>6.6268501457537887</v>
      </c>
      <c r="G116" s="197">
        <f>IF(H116&gt;0,F116-H116,0)</f>
        <v>0</v>
      </c>
      <c r="H116" s="198"/>
      <c r="I116" s="197">
        <f ca="1">F116*$A$2</f>
        <v>6.6268501457537887</v>
      </c>
      <c r="J116" s="197" t="s">
        <v>80</v>
      </c>
      <c r="K116" s="197">
        <f>IF(LeagueInfo!$F$7="Yahoo",IFERROR(INDEX(DefaultAuctionValues!$B$2:$B$359,MATCH(A116,DefaultAuctionValues!$A$2:$A$359,0)),0),IF(LeagueInfo!$F$7="ESPN",IFERROR(INDEX(DefaultAuctionValues!$C$2:$C$359,MATCH(A116,DefaultAuctionValues!$A$2:$A$359,0)),0),IF(LeagueInfo!$F$7="FantasyPros",IFERROR(INDEX(DefaultAuctionValues!$D$2:$D$359,MATCH(A116,DefaultAuctionValues!$A$2:$A$359,0)),0))))</f>
        <v>3</v>
      </c>
      <c r="L116" s="197">
        <f ca="1">I116-K116</f>
        <v>3.6268501457537887</v>
      </c>
      <c r="M116" s="213"/>
      <c r="N116" s="208">
        <f ca="1">INDEX(INDIRECT(""&amp;$B116&amp;"!y2:y709"),MATCH($A116,INDIRECT(""&amp;$B116&amp;"!B2:B709"),0))</f>
        <v>13.835000000000001</v>
      </c>
      <c r="O116" s="217" t="str">
        <f ca="1">IF(INDEX(INDIRECT(""&amp;$B116&amp;"!V2:V700"),MATCH($A116,INDIRECT(""&amp;$B116&amp;"!B2:B700"),0))=0,"",INDEX(INDIRECT(""&amp;$B116&amp;"!V2:V700"),MATCH($A116,INDIRECT(""&amp;$B116&amp;"!B2:B700"),0)))</f>
        <v/>
      </c>
    </row>
    <row r="117" spans="1:15" x14ac:dyDescent="0.25">
      <c r="A117" s="195" t="s">
        <v>295</v>
      </c>
      <c r="B117" s="195" t="s">
        <v>32</v>
      </c>
      <c r="C117" s="195">
        <f ca="1">IFERROR(INDEX(BYEs!$B$2:$B$33,MATCH(D117,BYEs!$A$2:$A$33,0)),"N/A")</f>
        <v>10</v>
      </c>
      <c r="D117" s="195" t="str">
        <f ca="1">INDEX(INDIRECT(""&amp;B117&amp;"!E2:E700"),MATCH(A117,INDIRECT(""&amp;B117&amp;"!B2:B700"),0))</f>
        <v>PHI</v>
      </c>
      <c r="E117" s="194" t="str">
        <f ca="1">INDEX(INDIRECT(""&amp;$B117&amp;"!Z2:Z709"),MATCH($A117,INDIRECT(""&amp;$B117&amp;"!B2:B709"),0))</f>
        <v>RB10</v>
      </c>
      <c r="F117" s="196">
        <f ca="1">IF(LeagueInfo!$H$7="Starter/Bench",INDEX(INDIRECT(""&amp;B117&amp;"!S2:S709"),MATCH(A117,INDIRECT(""&amp;B117&amp;"!B2:B709"),0)),INDEX(INDIRECT(""&amp;B117&amp;"!AA2:AA709"),MATCH(A117,INDIRECT(""&amp;B117&amp;"!B2:B709"),0)))</f>
        <v>6.4783627192858635</v>
      </c>
      <c r="G117" s="197">
        <f>IF(H117&gt;0,F117-H117,0)</f>
        <v>0</v>
      </c>
      <c r="H117" s="198"/>
      <c r="I117" s="197">
        <f ca="1">F117*$A$2</f>
        <v>6.4783627192858635</v>
      </c>
      <c r="J117" s="197" t="s">
        <v>80</v>
      </c>
      <c r="K117" s="197">
        <f>IF(LeagueInfo!$F$7="Yahoo",IFERROR(INDEX(DefaultAuctionValues!$B$2:$B$359,MATCH(A117,DefaultAuctionValues!$A$2:$A$359,0)),0),IF(LeagueInfo!$F$7="ESPN",IFERROR(INDEX(DefaultAuctionValues!$C$2:$C$359,MATCH(A117,DefaultAuctionValues!$A$2:$A$359,0)),0),IF(LeagueInfo!$F$7="FantasyPros",IFERROR(INDEX(DefaultAuctionValues!$D$2:$D$359,MATCH(A117,DefaultAuctionValues!$A$2:$A$359,0)),0))))</f>
        <v>1</v>
      </c>
      <c r="L117" s="197">
        <f ca="1">I117-K117</f>
        <v>5.4783627192858635</v>
      </c>
      <c r="M117" s="213"/>
      <c r="N117" s="208">
        <f ca="1">INDEX(INDIRECT(""&amp;$B117&amp;"!y2:y709"),MATCH($A117,INDIRECT(""&amp;$B117&amp;"!B2:B709"),0))</f>
        <v>13.524999999999991</v>
      </c>
      <c r="O117" s="217" t="str">
        <f ca="1">IF(INDEX(INDIRECT(""&amp;$B117&amp;"!V2:V700"),MATCH($A117,INDIRECT(""&amp;$B117&amp;"!B2:B700"),0))=0,"",INDEX(INDIRECT(""&amp;$B117&amp;"!V2:V700"),MATCH($A117,INDIRECT(""&amp;$B117&amp;"!B2:B700"),0)))</f>
        <v/>
      </c>
    </row>
    <row r="118" spans="1:15" x14ac:dyDescent="0.25">
      <c r="A118" s="195" t="s">
        <v>225</v>
      </c>
      <c r="B118" s="195" t="s">
        <v>39</v>
      </c>
      <c r="C118" s="195">
        <f ca="1">IFERROR(INDEX(BYEs!$B$2:$B$33,MATCH(D118,BYEs!$A$2:$A$33,0)),"N/A")</f>
        <v>8</v>
      </c>
      <c r="D118" s="195" t="str">
        <f ca="1">INDEX(INDIRECT(""&amp;B118&amp;"!E2:E700"),MATCH(A118,INDIRECT(""&amp;B118&amp;"!B2:B700"),0))</f>
        <v>GB</v>
      </c>
      <c r="E118" s="194" t="str">
        <f ca="1">INDEX(INDIRECT(""&amp;$B118&amp;"!Z2:Z709"),MATCH($A118,INDIRECT(""&amp;$B118&amp;"!B2:B709"),0))</f>
        <v>WR7</v>
      </c>
      <c r="F118" s="196">
        <f ca="1">IF(LeagueInfo!$H$7="Starter/Bench",INDEX(INDIRECT(""&amp;B118&amp;"!S2:S709"),MATCH(A118,INDIRECT(""&amp;B118&amp;"!B2:B709"),0)),INDEX(INDIRECT(""&amp;B118&amp;"!AA2:AA709"),MATCH(A118,INDIRECT(""&amp;B118&amp;"!B2:B709"),0)))</f>
        <v>6.3131105833780214</v>
      </c>
      <c r="G118" s="197">
        <f>IF(H118&gt;0,F118-H118,0)</f>
        <v>0</v>
      </c>
      <c r="H118" s="198"/>
      <c r="I118" s="197">
        <f ca="1">F118*$A$2</f>
        <v>6.3131105833780214</v>
      </c>
      <c r="J118" s="197" t="s">
        <v>80</v>
      </c>
      <c r="K118" s="197">
        <f>IF(LeagueInfo!$F$7="Yahoo",IFERROR(INDEX(DefaultAuctionValues!$B$2:$B$359,MATCH(A118,DefaultAuctionValues!$A$2:$A$359,0)),0),IF(LeagueInfo!$F$7="ESPN",IFERROR(INDEX(DefaultAuctionValues!$C$2:$C$359,MATCH(A118,DefaultAuctionValues!$A$2:$A$359,0)),0),IF(LeagueInfo!$F$7="FantasyPros",IFERROR(INDEX(DefaultAuctionValues!$D$2:$D$359,MATCH(A118,DefaultAuctionValues!$A$2:$A$359,0)),0))))</f>
        <v>1</v>
      </c>
      <c r="L118" s="197">
        <f ca="1">I118-K118</f>
        <v>5.3131105833780214</v>
      </c>
      <c r="M118" s="213"/>
      <c r="N118" s="208">
        <f ca="1">INDEX(INDIRECT(""&amp;$B118&amp;"!y2:y709"),MATCH($A118,INDIRECT(""&amp;$B118&amp;"!B2:B709"),0))</f>
        <v>13.18</v>
      </c>
      <c r="O118" s="217" t="str">
        <f ca="1">IF(INDEX(INDIRECT(""&amp;$B118&amp;"!V2:V700"),MATCH($A118,INDIRECT(""&amp;$B118&amp;"!B2:B700"),0))=0,"",INDEX(INDIRECT(""&amp;$B118&amp;"!V2:V700"),MATCH($A118,INDIRECT(""&amp;$B118&amp;"!B2:B700"),0)))</f>
        <v/>
      </c>
    </row>
    <row r="119" spans="1:15" x14ac:dyDescent="0.25">
      <c r="A119" s="195" t="s">
        <v>251</v>
      </c>
      <c r="B119" s="195" t="s">
        <v>33</v>
      </c>
      <c r="C119" s="195">
        <f ca="1">IFERROR(INDEX(BYEs!$B$2:$B$33,MATCH(D119,BYEs!$A$2:$A$33,0)),"N/A")</f>
        <v>10</v>
      </c>
      <c r="D119" s="195" t="str">
        <f ca="1">INDEX(INDIRECT(""&amp;B119&amp;"!E2:E700"),MATCH(A119,INDIRECT(""&amp;B119&amp;"!B2:B700"),0))</f>
        <v>PHI</v>
      </c>
      <c r="E119" s="194" t="str">
        <f ca="1">INDEX(INDIRECT(""&amp;$B119&amp;"!Z2:Z709"),MATCH($A119,INDIRECT(""&amp;$B119&amp;"!B2:B709"),0))</f>
        <v>QB4</v>
      </c>
      <c r="F119" s="196">
        <f ca="1">IF(LeagueInfo!$H$7="Starter/Bench",INDEX(INDIRECT(""&amp;B119&amp;"!S2:S709"),MATCH(A119,INDIRECT(""&amp;B119&amp;"!B2:B709"),0)),INDEX(INDIRECT(""&amp;B119&amp;"!AA2:AA709"),MATCH(A119,INDIRECT(""&amp;B119&amp;"!B2:B709"),0)))</f>
        <v>6.3006567992226454</v>
      </c>
      <c r="G119" s="197">
        <f>IF(H119&gt;0,F119-H119,0)</f>
        <v>0</v>
      </c>
      <c r="H119" s="198"/>
      <c r="I119" s="197">
        <f ca="1">F119*$A$2</f>
        <v>6.3006567992226454</v>
      </c>
      <c r="J119" s="197" t="s">
        <v>80</v>
      </c>
      <c r="K119" s="197">
        <f>IF(LeagueInfo!$F$7="Yahoo",IFERROR(INDEX(DefaultAuctionValues!$B$2:$B$359,MATCH(A119,DefaultAuctionValues!$A$2:$A$359,0)),0),IF(LeagueInfo!$F$7="ESPN",IFERROR(INDEX(DefaultAuctionValues!$C$2:$C$359,MATCH(A119,DefaultAuctionValues!$A$2:$A$359,0)),0),IF(LeagueInfo!$F$7="FantasyPros",IFERROR(INDEX(DefaultAuctionValues!$D$2:$D$359,MATCH(A119,DefaultAuctionValues!$A$2:$A$359,0)),0))))</f>
        <v>1</v>
      </c>
      <c r="L119" s="197">
        <f ca="1">I119-K119</f>
        <v>5.3006567992226454</v>
      </c>
      <c r="M119" s="213"/>
      <c r="N119" s="208">
        <f ca="1">INDEX(INDIRECT(""&amp;$B119&amp;"!y2:y709"),MATCH($A119,INDIRECT(""&amp;$B119&amp;"!B2:B709"),0))</f>
        <v>13.153999999999996</v>
      </c>
      <c r="O119" s="217" t="str">
        <f ca="1">IF(INDEX(INDIRECT(""&amp;$B119&amp;"!V2:V700"),MATCH($A119,INDIRECT(""&amp;$B119&amp;"!B2:B700"),0))=0,"",INDEX(INDIRECT(""&amp;$B119&amp;"!V2:V700"),MATCH($A119,INDIRECT(""&amp;$B119&amp;"!B2:B700"),0)))</f>
        <v/>
      </c>
    </row>
    <row r="120" spans="1:15" x14ac:dyDescent="0.25">
      <c r="A120" s="195" t="s">
        <v>174</v>
      </c>
      <c r="B120" s="195" t="s">
        <v>39</v>
      </c>
      <c r="C120" s="195">
        <f ca="1">IFERROR(INDEX(BYEs!$B$2:$B$33,MATCH(D120,BYEs!$A$2:$A$33,0)),"N/A")</f>
        <v>11</v>
      </c>
      <c r="D120" s="195" t="str">
        <f ca="1">INDEX(INDIRECT(""&amp;B120&amp;"!E2:E700"),MATCH(A120,INDIRECT(""&amp;B120&amp;"!B2:B700"),0))</f>
        <v>TB</v>
      </c>
      <c r="E120" s="194" t="str">
        <f ca="1">INDEX(INDIRECT(""&amp;$B120&amp;"!Z2:Z709"),MATCH($A120,INDIRECT(""&amp;$B120&amp;"!B2:B709"),0))</f>
        <v>WR7</v>
      </c>
      <c r="F120" s="196">
        <f ca="1">IF(LeagueInfo!$H$7="Starter/Bench",INDEX(INDIRECT(""&amp;B120&amp;"!S2:S709"),MATCH(A120,INDIRECT(""&amp;B120&amp;"!B2:B709"),0)),INDEX(INDIRECT(""&amp;B120&amp;"!AA2:AA709"),MATCH(A120,INDIRECT(""&amp;B120&amp;"!B2:B709"),0)))</f>
        <v>6.0951693606589776</v>
      </c>
      <c r="G120" s="197">
        <f>IF(H120&gt;0,F120-H120,0)</f>
        <v>0</v>
      </c>
      <c r="H120" s="198"/>
      <c r="I120" s="197">
        <f ca="1">F120*$A$2</f>
        <v>6.0951693606589776</v>
      </c>
      <c r="J120" s="197" t="s">
        <v>80</v>
      </c>
      <c r="K120" s="197">
        <f>IF(LeagueInfo!$F$7="Yahoo",IFERROR(INDEX(DefaultAuctionValues!$B$2:$B$359,MATCH(A120,DefaultAuctionValues!$A$2:$A$359,0)),0),IF(LeagueInfo!$F$7="ESPN",IFERROR(INDEX(DefaultAuctionValues!$C$2:$C$359,MATCH(A120,DefaultAuctionValues!$A$2:$A$359,0)),0),IF(LeagueInfo!$F$7="FantasyPros",IFERROR(INDEX(DefaultAuctionValues!$D$2:$D$359,MATCH(A120,DefaultAuctionValues!$A$2:$A$359,0)),0))))</f>
        <v>3</v>
      </c>
      <c r="L120" s="197">
        <f ca="1">I120-K120</f>
        <v>3.0951693606589776</v>
      </c>
      <c r="M120" s="213"/>
      <c r="N120" s="208">
        <f ca="1">INDEX(INDIRECT(""&amp;$B120&amp;"!y2:y709"),MATCH($A120,INDIRECT(""&amp;$B120&amp;"!B2:B709"),0))</f>
        <v>12.725000000000001</v>
      </c>
      <c r="O120" s="217" t="str">
        <f ca="1">IF(INDEX(INDIRECT(""&amp;$B120&amp;"!V2:V700"),MATCH($A120,INDIRECT(""&amp;$B120&amp;"!B2:B700"),0))=0,"",INDEX(INDIRECT(""&amp;$B120&amp;"!V2:V700"),MATCH($A120,INDIRECT(""&amp;$B120&amp;"!B2:B700"),0)))</f>
        <v/>
      </c>
    </row>
    <row r="121" spans="1:15" x14ac:dyDescent="0.25">
      <c r="A121" s="195" t="s">
        <v>203</v>
      </c>
      <c r="B121" s="195" t="s">
        <v>32</v>
      </c>
      <c r="C121" s="195">
        <f ca="1">IFERROR(INDEX(BYEs!$B$2:$B$33,MATCH(D121,BYEs!$A$2:$A$33,0)),"N/A")</f>
        <v>6</v>
      </c>
      <c r="D121" s="195" t="str">
        <f ca="1">INDEX(INDIRECT(""&amp;B121&amp;"!E2:E700"),MATCH(A121,INDIRECT(""&amp;B121&amp;"!B2:B700"),0))</f>
        <v>DAL</v>
      </c>
      <c r="E121" s="194" t="str">
        <f ca="1">INDEX(INDIRECT(""&amp;$B121&amp;"!Z2:Z709"),MATCH($A121,INDIRECT(""&amp;$B121&amp;"!B2:B709"),0))</f>
        <v>RB10</v>
      </c>
      <c r="F121" s="196">
        <f ca="1">IF(LeagueInfo!$H$7="Starter/Bench",INDEX(INDIRECT(""&amp;B121&amp;"!S2:S709"),MATCH(A121,INDIRECT(""&amp;B121&amp;"!B2:B709"),0)),INDEX(INDIRECT(""&amp;B121&amp;"!AA2:AA709"),MATCH(A121,INDIRECT(""&amp;B121&amp;"!B2:B709"),0)))</f>
        <v>5.879623096431347</v>
      </c>
      <c r="G121" s="197">
        <f>IF(H121&gt;0,F121-H121,0)</f>
        <v>0</v>
      </c>
      <c r="H121" s="198"/>
      <c r="I121" s="197">
        <f ca="1">F121*$A$2</f>
        <v>5.879623096431347</v>
      </c>
      <c r="J121" s="197" t="s">
        <v>80</v>
      </c>
      <c r="K121" s="197">
        <f>IF(LeagueInfo!$F$7="Yahoo",IFERROR(INDEX(DefaultAuctionValues!$B$2:$B$359,MATCH(A121,DefaultAuctionValues!$A$2:$A$359,0)),0),IF(LeagueInfo!$F$7="ESPN",IFERROR(INDEX(DefaultAuctionValues!$C$2:$C$359,MATCH(A121,DefaultAuctionValues!$A$2:$A$359,0)),0),IF(LeagueInfo!$F$7="FantasyPros",IFERROR(INDEX(DefaultAuctionValues!$D$2:$D$359,MATCH(A121,DefaultAuctionValues!$A$2:$A$359,0)),0))))</f>
        <v>3</v>
      </c>
      <c r="L121" s="197">
        <f ca="1">I121-K121</f>
        <v>2.879623096431347</v>
      </c>
      <c r="M121" s="213"/>
      <c r="N121" s="208">
        <f ca="1">INDEX(INDIRECT(""&amp;$B121&amp;"!y2:y709"),MATCH($A121,INDIRECT(""&amp;$B121&amp;"!B2:B709"),0))</f>
        <v>12.274999999999991</v>
      </c>
      <c r="O121" s="217" t="str">
        <f ca="1">IF(INDEX(INDIRECT(""&amp;$B121&amp;"!V2:V700"),MATCH($A121,INDIRECT(""&amp;$B121&amp;"!B2:B700"),0))=0,"",INDEX(INDIRECT(""&amp;$B121&amp;"!V2:V700"),MATCH($A121,INDIRECT(""&amp;$B121&amp;"!B2:B700"),0)))</f>
        <v/>
      </c>
    </row>
    <row r="122" spans="1:15" x14ac:dyDescent="0.25">
      <c r="A122" s="195" t="s">
        <v>254</v>
      </c>
      <c r="B122" s="195" t="s">
        <v>32</v>
      </c>
      <c r="C122" s="195">
        <f ca="1">IFERROR(INDEX(BYEs!$B$2:$B$33,MATCH(D122,BYEs!$A$2:$A$33,0)),"N/A")</f>
        <v>9</v>
      </c>
      <c r="D122" s="195" t="str">
        <f ca="1">INDEX(INDIRECT(""&amp;B122&amp;"!E2:E700"),MATCH(A122,INDIRECT(""&amp;B122&amp;"!B2:B700"),0))</f>
        <v>NE</v>
      </c>
      <c r="E122" s="194" t="str">
        <f ca="1">INDEX(INDIRECT(""&amp;$B122&amp;"!Z2:Z709"),MATCH($A122,INDIRECT(""&amp;$B122&amp;"!B2:B709"),0))</f>
        <v>RB10</v>
      </c>
      <c r="F122" s="196">
        <f ca="1">IF(LeagueInfo!$H$7="Starter/Bench",INDEX(INDIRECT(""&amp;B122&amp;"!S2:S709"),MATCH(A122,INDIRECT(""&amp;B122&amp;"!B2:B709"),0)),INDEX(INDIRECT(""&amp;B122&amp;"!AA2:AA709"),MATCH(A122,INDIRECT(""&amp;B122&amp;"!B2:B709"),0)))</f>
        <v>5.8173541756544767</v>
      </c>
      <c r="G122" s="197">
        <f>IF(H122&gt;0,F122-H122,0)</f>
        <v>0</v>
      </c>
      <c r="H122" s="198"/>
      <c r="I122" s="197">
        <f ca="1">F122*$A$2</f>
        <v>5.8173541756544767</v>
      </c>
      <c r="J122" s="197" t="s">
        <v>80</v>
      </c>
      <c r="K122" s="197">
        <f>IF(LeagueInfo!$F$7="Yahoo",IFERROR(INDEX(DefaultAuctionValues!$B$2:$B$359,MATCH(A122,DefaultAuctionValues!$A$2:$A$359,0)),0),IF(LeagueInfo!$F$7="ESPN",IFERROR(INDEX(DefaultAuctionValues!$C$2:$C$359,MATCH(A122,DefaultAuctionValues!$A$2:$A$359,0)),0),IF(LeagueInfo!$F$7="FantasyPros",IFERROR(INDEX(DefaultAuctionValues!$D$2:$D$359,MATCH(A122,DefaultAuctionValues!$A$2:$A$359,0)),0))))</f>
        <v>1</v>
      </c>
      <c r="L122" s="197">
        <f ca="1">I122-K122</f>
        <v>4.8173541756544767</v>
      </c>
      <c r="M122" s="213"/>
      <c r="N122" s="208">
        <f ca="1">INDEX(INDIRECT(""&amp;$B122&amp;"!y2:y709"),MATCH($A122,INDIRECT(""&amp;$B122&amp;"!B2:B709"),0))</f>
        <v>12.144999999999989</v>
      </c>
      <c r="O122" s="217" t="str">
        <f ca="1">IF(INDEX(INDIRECT(""&amp;$B122&amp;"!V2:V700"),MATCH($A122,INDIRECT(""&amp;$B122&amp;"!B2:B700"),0))=0,"",INDEX(INDIRECT(""&amp;$B122&amp;"!V2:V700"),MATCH($A122,INDIRECT(""&amp;$B122&amp;"!B2:B700"),0)))</f>
        <v/>
      </c>
    </row>
    <row r="123" spans="1:15" x14ac:dyDescent="0.25">
      <c r="A123" s="195" t="s">
        <v>265</v>
      </c>
      <c r="B123" s="195" t="s">
        <v>39</v>
      </c>
      <c r="C123" s="195">
        <f ca="1">IFERROR(INDEX(BYEs!$B$2:$B$33,MATCH(D123,BYEs!$A$2:$A$33,0)),"N/A")</f>
        <v>9</v>
      </c>
      <c r="D123" s="195" t="str">
        <f ca="1">INDEX(INDIRECT(""&amp;B123&amp;"!E2:E700"),MATCH(A123,INDIRECT(""&amp;B123&amp;"!B2:B700"),0))</f>
        <v>CLE</v>
      </c>
      <c r="E123" s="194" t="str">
        <f ca="1">INDEX(INDIRECT(""&amp;$B123&amp;"!Z2:Z709"),MATCH($A123,INDIRECT(""&amp;$B123&amp;"!B2:B709"),0))</f>
        <v>WR7</v>
      </c>
      <c r="F123" s="196">
        <f ca="1">IF(LeagueInfo!$H$7="Starter/Bench",INDEX(INDIRECT(""&amp;B123&amp;"!S2:S709"),MATCH(A123,INDIRECT(""&amp;B123&amp;"!B2:B709"),0)),INDEX(INDIRECT(""&amp;B123&amp;"!AA2:AA709"),MATCH(A123,INDIRECT(""&amp;B123&amp;"!B2:B709"),0)))</f>
        <v>5.8029844247059712</v>
      </c>
      <c r="G123" s="197">
        <f>IF(H123&gt;0,F123-H123,0)</f>
        <v>0</v>
      </c>
      <c r="H123" s="198"/>
      <c r="I123" s="197">
        <f ca="1">F123*$A$2</f>
        <v>5.8029844247059712</v>
      </c>
      <c r="J123" s="197" t="s">
        <v>80</v>
      </c>
      <c r="K123" s="197">
        <f>IF(LeagueInfo!$F$7="Yahoo",IFERROR(INDEX(DefaultAuctionValues!$B$2:$B$359,MATCH(A123,DefaultAuctionValues!$A$2:$A$359,0)),0),IF(LeagueInfo!$F$7="ESPN",IFERROR(INDEX(DefaultAuctionValues!$C$2:$C$359,MATCH(A123,DefaultAuctionValues!$A$2:$A$359,0)),0),IF(LeagueInfo!$F$7="FantasyPros",IFERROR(INDEX(DefaultAuctionValues!$D$2:$D$359,MATCH(A123,DefaultAuctionValues!$A$2:$A$359,0)),0))))</f>
        <v>1</v>
      </c>
      <c r="L123" s="197">
        <f ca="1">I123-K123</f>
        <v>4.8029844247059712</v>
      </c>
      <c r="M123" s="213"/>
      <c r="N123" s="208">
        <f ca="1">INDEX(INDIRECT(""&amp;$B123&amp;"!y2:y709"),MATCH($A123,INDIRECT(""&amp;$B123&amp;"!B2:B709"),0))</f>
        <v>12.114999999999995</v>
      </c>
      <c r="O123" s="217" t="str">
        <f ca="1">IF(INDEX(INDIRECT(""&amp;$B123&amp;"!V2:V700"),MATCH($A123,INDIRECT(""&amp;$B123&amp;"!B2:B700"),0))=0,"",INDEX(INDIRECT(""&amp;$B123&amp;"!V2:V700"),MATCH($A123,INDIRECT(""&amp;$B123&amp;"!B2:B700"),0)))</f>
        <v/>
      </c>
    </row>
    <row r="124" spans="1:15" x14ac:dyDescent="0.25">
      <c r="A124" s="195" t="s">
        <v>199</v>
      </c>
      <c r="B124" s="195" t="s">
        <v>39</v>
      </c>
      <c r="C124" s="195">
        <f ca="1">IFERROR(INDEX(BYEs!$B$2:$B$33,MATCH(D124,BYEs!$A$2:$A$33,0)),"N/A")</f>
        <v>8</v>
      </c>
      <c r="D124" s="195" t="str">
        <f ca="1">INDEX(INDIRECT(""&amp;B124&amp;"!E2:E700"),MATCH(A124,INDIRECT(""&amp;B124&amp;"!B2:B700"),0))</f>
        <v>TEN</v>
      </c>
      <c r="E124" s="194" t="str">
        <f ca="1">INDEX(INDIRECT(""&amp;$B124&amp;"!Z2:Z709"),MATCH($A124,INDIRECT(""&amp;$B124&amp;"!B2:B709"),0))</f>
        <v>WR7</v>
      </c>
      <c r="F124" s="196">
        <f ca="1">IF(LeagueInfo!$H$7="Starter/Bench",INDEX(INDIRECT(""&amp;B124&amp;"!S2:S709"),MATCH(A124,INDIRECT(""&amp;B124&amp;"!B2:B709"),0)),INDEX(INDIRECT(""&amp;B124&amp;"!AA2:AA709"),MATCH(A124,INDIRECT(""&amp;B124&amp;"!B2:B709"),0)))</f>
        <v>5.6856314586264869</v>
      </c>
      <c r="G124" s="197">
        <f>IF(H124&gt;0,F124-H124,0)</f>
        <v>0</v>
      </c>
      <c r="H124" s="198"/>
      <c r="I124" s="197">
        <f ca="1">F124*$A$2</f>
        <v>5.6856314586264869</v>
      </c>
      <c r="J124" s="197" t="s">
        <v>80</v>
      </c>
      <c r="K124" s="197">
        <f>IF(LeagueInfo!$F$7="Yahoo",IFERROR(INDEX(DefaultAuctionValues!$B$2:$B$359,MATCH(A124,DefaultAuctionValues!$A$2:$A$359,0)),0),IF(LeagueInfo!$F$7="ESPN",IFERROR(INDEX(DefaultAuctionValues!$C$2:$C$359,MATCH(A124,DefaultAuctionValues!$A$2:$A$359,0)),0),IF(LeagueInfo!$F$7="FantasyPros",IFERROR(INDEX(DefaultAuctionValues!$D$2:$D$359,MATCH(A124,DefaultAuctionValues!$A$2:$A$359,0)),0))))</f>
        <v>1</v>
      </c>
      <c r="L124" s="197">
        <f ca="1">I124-K124</f>
        <v>4.6856314586264869</v>
      </c>
      <c r="M124" s="213"/>
      <c r="N124" s="208">
        <f ca="1">INDEX(INDIRECT(""&amp;$B124&amp;"!y2:y709"),MATCH($A124,INDIRECT(""&amp;$B124&amp;"!B2:B709"),0))</f>
        <v>11.869999999999997</v>
      </c>
      <c r="O124" s="217" t="str">
        <f ca="1">IF(INDEX(INDIRECT(""&amp;$B124&amp;"!V2:V700"),MATCH($A124,INDIRECT(""&amp;$B124&amp;"!B2:B700"),0))=0,"",INDEX(INDIRECT(""&amp;$B124&amp;"!V2:V700"),MATCH($A124,INDIRECT(""&amp;$B124&amp;"!B2:B700"),0)))</f>
        <v/>
      </c>
    </row>
    <row r="125" spans="1:15" x14ac:dyDescent="0.25">
      <c r="A125" s="195" t="s">
        <v>253</v>
      </c>
      <c r="B125" s="195" t="s">
        <v>33</v>
      </c>
      <c r="C125" s="195">
        <f ca="1">IFERROR(INDEX(BYEs!$B$2:$B$33,MATCH(D125,BYEs!$A$2:$A$33,0)),"N/A")</f>
        <v>8</v>
      </c>
      <c r="D125" s="195" t="str">
        <f ca="1">INDEX(INDIRECT(""&amp;B125&amp;"!E2:E700"),MATCH(A125,INDIRECT(""&amp;B125&amp;"!B2:B700"),0))</f>
        <v>ARI</v>
      </c>
      <c r="E125" s="194" t="str">
        <f ca="1">INDEX(INDIRECT(""&amp;$B125&amp;"!Z2:Z709"),MATCH($A125,INDIRECT(""&amp;$B125&amp;"!B2:B709"),0))</f>
        <v>QB4</v>
      </c>
      <c r="F125" s="196">
        <f ca="1">IF(LeagueInfo!$H$7="Starter/Bench",INDEX(INDIRECT(""&amp;B125&amp;"!S2:S709"),MATCH(A125,INDIRECT(""&amp;B125&amp;"!B2:B709"),0)),INDEX(INDIRECT(""&amp;B125&amp;"!AA2:AA709"),MATCH(A125,INDIRECT(""&amp;B125&amp;"!B2:B709"),0)))</f>
        <v>5.6755726329625276</v>
      </c>
      <c r="G125" s="197">
        <f>IF(H125&gt;0,F125-H125,0)</f>
        <v>0</v>
      </c>
      <c r="H125" s="198"/>
      <c r="I125" s="197">
        <f ca="1">F125*$A$2</f>
        <v>5.6755726329625276</v>
      </c>
      <c r="J125" s="197" t="s">
        <v>80</v>
      </c>
      <c r="K125" s="197">
        <f>IF(LeagueInfo!$F$7="Yahoo",IFERROR(INDEX(DefaultAuctionValues!$B$2:$B$359,MATCH(A125,DefaultAuctionValues!$A$2:$A$359,0)),0),IF(LeagueInfo!$F$7="ESPN",IFERROR(INDEX(DefaultAuctionValues!$C$2:$C$359,MATCH(A125,DefaultAuctionValues!$A$2:$A$359,0)),0),IF(LeagueInfo!$F$7="FantasyPros",IFERROR(INDEX(DefaultAuctionValues!$D$2:$D$359,MATCH(A125,DefaultAuctionValues!$A$2:$A$359,0)),0))))</f>
        <v>1</v>
      </c>
      <c r="L125" s="197">
        <f ca="1">I125-K125</f>
        <v>4.6755726329625276</v>
      </c>
      <c r="M125" s="213"/>
      <c r="N125" s="208">
        <f ca="1">INDEX(INDIRECT(""&amp;$B125&amp;"!y2:y709"),MATCH($A125,INDIRECT(""&amp;$B125&amp;"!B2:B709"),0))</f>
        <v>11.84899999999999</v>
      </c>
      <c r="O125" s="217" t="str">
        <f ca="1">IF(INDEX(INDIRECT(""&amp;$B125&amp;"!V2:V700"),MATCH($A125,INDIRECT(""&amp;$B125&amp;"!B2:B700"),0))=0,"",INDEX(INDIRECT(""&amp;$B125&amp;"!V2:V700"),MATCH($A125,INDIRECT(""&amp;$B125&amp;"!B2:B700"),0)))</f>
        <v/>
      </c>
    </row>
    <row r="126" spans="1:15" x14ac:dyDescent="0.25">
      <c r="A126" s="195" t="s">
        <v>257</v>
      </c>
      <c r="B126" s="195" t="s">
        <v>47</v>
      </c>
      <c r="C126" s="195">
        <f ca="1">IFERROR(INDEX(BYEs!$B$2:$B$33,MATCH(D126,BYEs!$A$2:$A$33,0)),"N/A")</f>
        <v>5</v>
      </c>
      <c r="D126" s="195" t="str">
        <f ca="1">INDEX(INDIRECT(""&amp;B126&amp;"!E2:E700"),MATCH(A126,INDIRECT(""&amp;B126&amp;"!B2:B700"),0))</f>
        <v>NO</v>
      </c>
      <c r="E126" s="194" t="str">
        <f ca="1">INDEX(INDIRECT(""&amp;$B126&amp;"!Z2:Z709"),MATCH($A126,INDIRECT(""&amp;$B126&amp;"!B2:B709"),0))</f>
        <v>TE8</v>
      </c>
      <c r="F126" s="196">
        <f ca="1">IF(LeagueInfo!$H$7="Starter/Bench",INDEX(INDIRECT(""&amp;B126&amp;"!S2:S709"),MATCH(A126,INDIRECT(""&amp;B126&amp;"!B2:B709"),0)),INDEX(INDIRECT(""&amp;B126&amp;"!AA2:AA709"),MATCH(A126,INDIRECT(""&amp;B126&amp;"!B2:B709"),0)))</f>
        <v>5.3000431415081781</v>
      </c>
      <c r="G126" s="197">
        <f>IF(H126&gt;0,F126-H126,0)</f>
        <v>0</v>
      </c>
      <c r="H126" s="198"/>
      <c r="I126" s="197">
        <f ca="1">F126*$A$2</f>
        <v>5.3000431415081781</v>
      </c>
      <c r="J126" s="197" t="s">
        <v>80</v>
      </c>
      <c r="K126" s="197">
        <f>IF(LeagueInfo!$F$7="Yahoo",IFERROR(INDEX(DefaultAuctionValues!$B$2:$B$359,MATCH(A126,DefaultAuctionValues!$A$2:$A$359,0)),0),IF(LeagueInfo!$F$7="ESPN",IFERROR(INDEX(DefaultAuctionValues!$C$2:$C$359,MATCH(A126,DefaultAuctionValues!$A$2:$A$359,0)),0),IF(LeagueInfo!$F$7="FantasyPros",IFERROR(INDEX(DefaultAuctionValues!$D$2:$D$359,MATCH(A126,DefaultAuctionValues!$A$2:$A$359,0)),0))))</f>
        <v>1</v>
      </c>
      <c r="L126" s="197">
        <f ca="1">I126-K126</f>
        <v>4.3000431415081781</v>
      </c>
      <c r="M126" s="213"/>
      <c r="N126" s="208">
        <f ca="1">INDEX(INDIRECT(""&amp;$B126&amp;"!y2:y709"),MATCH($A126,INDIRECT(""&amp;$B126&amp;"!B2:B709"),0))</f>
        <v>11.064999999999998</v>
      </c>
      <c r="O126" s="217" t="str">
        <f ca="1">IF(INDEX(INDIRECT(""&amp;$B126&amp;"!V2:V700"),MATCH($A126,INDIRECT(""&amp;$B126&amp;"!B2:B700"),0))=0,"",INDEX(INDIRECT(""&amp;$B126&amp;"!V2:V700"),MATCH($A126,INDIRECT(""&amp;$B126&amp;"!B2:B700"),0)))</f>
        <v/>
      </c>
    </row>
    <row r="127" spans="1:15" x14ac:dyDescent="0.25">
      <c r="A127" s="195" t="s">
        <v>209</v>
      </c>
      <c r="B127" s="195" t="s">
        <v>39</v>
      </c>
      <c r="C127" s="195">
        <f ca="1">IFERROR(INDEX(BYEs!$B$2:$B$33,MATCH(D127,BYEs!$A$2:$A$33,0)),"N/A")</f>
        <v>9</v>
      </c>
      <c r="D127" s="195" t="str">
        <f ca="1">INDEX(INDIRECT(""&amp;B127&amp;"!E2:E700"),MATCH(A127,INDIRECT(""&amp;B127&amp;"!B2:B700"),0))</f>
        <v>LAC</v>
      </c>
      <c r="E127" s="194" t="str">
        <f ca="1">INDEX(INDIRECT(""&amp;$B127&amp;"!Z2:Z709"),MATCH($A127,INDIRECT(""&amp;$B127&amp;"!B2:B709"),0))</f>
        <v>WR7</v>
      </c>
      <c r="F127" s="196">
        <f ca="1">IF(LeagueInfo!$H$7="Starter/Bench",INDEX(INDIRECT(""&amp;B127&amp;"!S2:S709"),MATCH(A127,INDIRECT(""&amp;B127&amp;"!B2:B709"),0)),INDEX(INDIRECT(""&amp;B127&amp;"!AA2:AA709"),MATCH(A127,INDIRECT(""&amp;B127&amp;"!B2:B709"),0)))</f>
        <v>5.2856733905596727</v>
      </c>
      <c r="G127" s="197">
        <f>IF(H127&gt;0,F127-H127,0)</f>
        <v>0</v>
      </c>
      <c r="H127" s="198"/>
      <c r="I127" s="197">
        <f ca="1">F127*$A$2</f>
        <v>5.2856733905596727</v>
      </c>
      <c r="J127" s="197" t="s">
        <v>80</v>
      </c>
      <c r="K127" s="197">
        <f>IF(LeagueInfo!$F$7="Yahoo",IFERROR(INDEX(DefaultAuctionValues!$B$2:$B$359,MATCH(A127,DefaultAuctionValues!$A$2:$A$359,0)),0),IF(LeagueInfo!$F$7="ESPN",IFERROR(INDEX(DefaultAuctionValues!$C$2:$C$359,MATCH(A127,DefaultAuctionValues!$A$2:$A$359,0)),0),IF(LeagueInfo!$F$7="FantasyPros",IFERROR(INDEX(DefaultAuctionValues!$D$2:$D$359,MATCH(A127,DefaultAuctionValues!$A$2:$A$359,0)),0))))</f>
        <v>2</v>
      </c>
      <c r="L127" s="197">
        <f ca="1">I127-K127</f>
        <v>3.2856733905596727</v>
      </c>
      <c r="M127" s="213"/>
      <c r="N127" s="208">
        <f ca="1">INDEX(INDIRECT(""&amp;$B127&amp;"!y2:y709"),MATCH($A127,INDIRECT(""&amp;$B127&amp;"!B2:B709"),0))</f>
        <v>11.035000000000004</v>
      </c>
      <c r="O127" s="217" t="str">
        <f ca="1">IF(INDEX(INDIRECT(""&amp;$B127&amp;"!V2:V700"),MATCH($A127,INDIRECT(""&amp;$B127&amp;"!B2:B700"),0))=0,"",INDEX(INDIRECT(""&amp;$B127&amp;"!V2:V700"),MATCH($A127,INDIRECT(""&amp;$B127&amp;"!B2:B700"),0)))</f>
        <v/>
      </c>
    </row>
    <row r="128" spans="1:15" x14ac:dyDescent="0.25">
      <c r="A128" s="195" t="s">
        <v>247</v>
      </c>
      <c r="B128" s="195" t="s">
        <v>47</v>
      </c>
      <c r="C128" s="195">
        <f ca="1">IFERROR(INDEX(BYEs!$B$2:$B$33,MATCH(D128,BYEs!$A$2:$A$33,0)),"N/A")</f>
        <v>11</v>
      </c>
      <c r="D128" s="195" t="str">
        <f ca="1">INDEX(INDIRECT(""&amp;B128&amp;"!E2:E700"),MATCH(A128,INDIRECT(""&amp;B128&amp;"!B2:B700"),0))</f>
        <v>IND</v>
      </c>
      <c r="E128" s="194" t="str">
        <f ca="1">INDEX(INDIRECT(""&amp;$B128&amp;"!Z2:Z709"),MATCH($A128,INDIRECT(""&amp;$B128&amp;"!B2:B709"),0))</f>
        <v>TE8</v>
      </c>
      <c r="F128" s="196">
        <f ca="1">IF(LeagueInfo!$H$7="Starter/Bench",INDEX(INDIRECT(""&amp;B128&amp;"!S2:S709"),MATCH(A128,INDIRECT(""&amp;B128&amp;"!B2:B709"),0)),INDEX(INDIRECT(""&amp;B128&amp;"!AA2:AA709"),MATCH(A128,INDIRECT(""&amp;B128&amp;"!B2:B709"),0)))</f>
        <v>5.2784885150854182</v>
      </c>
      <c r="G128" s="197">
        <f>IF(H128&gt;0,F128-H128,0)</f>
        <v>0</v>
      </c>
      <c r="H128" s="198"/>
      <c r="I128" s="197">
        <f ca="1">F128*$A$2</f>
        <v>5.2784885150854182</v>
      </c>
      <c r="J128" s="197" t="s">
        <v>80</v>
      </c>
      <c r="K128" s="197">
        <f>IF(LeagueInfo!$F$7="Yahoo",IFERROR(INDEX(DefaultAuctionValues!$B$2:$B$359,MATCH(A128,DefaultAuctionValues!$A$2:$A$359,0)),0),IF(LeagueInfo!$F$7="ESPN",IFERROR(INDEX(DefaultAuctionValues!$C$2:$C$359,MATCH(A128,DefaultAuctionValues!$A$2:$A$359,0)),0),IF(LeagueInfo!$F$7="FantasyPros",IFERROR(INDEX(DefaultAuctionValues!$D$2:$D$359,MATCH(A128,DefaultAuctionValues!$A$2:$A$359,0)),0))))</f>
        <v>1</v>
      </c>
      <c r="L128" s="197">
        <f ca="1">I128-K128</f>
        <v>4.2784885150854182</v>
      </c>
      <c r="M128" s="213"/>
      <c r="N128" s="208">
        <f ca="1">INDEX(INDIRECT(""&amp;$B128&amp;"!y2:y709"),MATCH($A128,INDIRECT(""&amp;$B128&amp;"!B2:B709"),0))</f>
        <v>11.020000000000003</v>
      </c>
      <c r="O128" s="217" t="str">
        <f ca="1">IF(INDEX(INDIRECT(""&amp;$B128&amp;"!V2:V700"),MATCH($A128,INDIRECT(""&amp;$B128&amp;"!B2:B700"),0))=0,"",INDEX(INDIRECT(""&amp;$B128&amp;"!V2:V700"),MATCH($A128,INDIRECT(""&amp;$B128&amp;"!B2:B700"),0)))</f>
        <v/>
      </c>
    </row>
    <row r="129" spans="1:15" x14ac:dyDescent="0.25">
      <c r="A129" s="195" t="s">
        <v>248</v>
      </c>
      <c r="B129" s="195" t="s">
        <v>39</v>
      </c>
      <c r="C129" s="195">
        <f ca="1">IFERROR(INDEX(BYEs!$B$2:$B$33,MATCH(D129,BYEs!$A$2:$A$33,0)),"N/A")</f>
        <v>10</v>
      </c>
      <c r="D129" s="195" t="str">
        <f ca="1">INDEX(INDIRECT(""&amp;B129&amp;"!E2:E700"),MATCH(A129,INDIRECT(""&amp;B129&amp;"!B2:B700"),0))</f>
        <v>BAL</v>
      </c>
      <c r="E129" s="194" t="str">
        <f ca="1">INDEX(INDIRECT(""&amp;$B129&amp;"!Z2:Z709"),MATCH($A129,INDIRECT(""&amp;$B129&amp;"!B2:B709"),0))</f>
        <v>WR7</v>
      </c>
      <c r="F129" s="196">
        <f ca="1">IF(LeagueInfo!$H$7="Starter/Bench",INDEX(INDIRECT(""&amp;B129&amp;"!S2:S709"),MATCH(A129,INDIRECT(""&amp;B129&amp;"!B2:B709"),0)),INDEX(INDIRECT(""&amp;B129&amp;"!AA2:AA709"),MATCH(A129,INDIRECT(""&amp;B129&amp;"!B2:B709"),0)))</f>
        <v>5.1898750509029457</v>
      </c>
      <c r="G129" s="197">
        <f>IF(H129&gt;0,F129-H129,0)</f>
        <v>0</v>
      </c>
      <c r="H129" s="198"/>
      <c r="I129" s="197">
        <f ca="1">F129*$A$2</f>
        <v>5.1898750509029457</v>
      </c>
      <c r="J129" s="197" t="s">
        <v>80</v>
      </c>
      <c r="K129" s="197">
        <f>IF(LeagueInfo!$F$7="Yahoo",IFERROR(INDEX(DefaultAuctionValues!$B$2:$B$359,MATCH(A129,DefaultAuctionValues!$A$2:$A$359,0)),0),IF(LeagueInfo!$F$7="ESPN",IFERROR(INDEX(DefaultAuctionValues!$C$2:$C$359,MATCH(A129,DefaultAuctionValues!$A$2:$A$359,0)),0),IF(LeagueInfo!$F$7="FantasyPros",IFERROR(INDEX(DefaultAuctionValues!$D$2:$D$359,MATCH(A129,DefaultAuctionValues!$A$2:$A$359,0)),0))))</f>
        <v>1</v>
      </c>
      <c r="L129" s="197">
        <f ca="1">I129-K129</f>
        <v>4.1898750509029457</v>
      </c>
      <c r="M129" s="213"/>
      <c r="N129" s="208">
        <f ca="1">INDEX(INDIRECT(""&amp;$B129&amp;"!y2:y709"),MATCH($A129,INDIRECT(""&amp;$B129&amp;"!B2:B709"),0))</f>
        <v>10.834999999999994</v>
      </c>
      <c r="O129" s="217" t="str">
        <f ca="1">IF(INDEX(INDIRECT(""&amp;$B129&amp;"!V2:V700"),MATCH($A129,INDIRECT(""&amp;$B129&amp;"!B2:B700"),0))=0,"",INDEX(INDIRECT(""&amp;$B129&amp;"!V2:V700"),MATCH($A129,INDIRECT(""&amp;$B129&amp;"!B2:B700"),0)))</f>
        <v/>
      </c>
    </row>
    <row r="130" spans="1:15" x14ac:dyDescent="0.25">
      <c r="A130" s="195" t="s">
        <v>161</v>
      </c>
      <c r="B130" s="195" t="s">
        <v>39</v>
      </c>
      <c r="C130" s="195">
        <f ca="1">IFERROR(INDEX(BYEs!$B$2:$B$33,MATCH(D130,BYEs!$A$2:$A$33,0)),"N/A")</f>
        <v>11</v>
      </c>
      <c r="D130" s="195" t="str">
        <f ca="1">INDEX(INDIRECT(""&amp;B130&amp;"!E2:E700"),MATCH(A130,INDIRECT(""&amp;B130&amp;"!B2:B700"),0))</f>
        <v>IND</v>
      </c>
      <c r="E130" s="194" t="str">
        <f ca="1">INDEX(INDIRECT(""&amp;$B130&amp;"!Z2:Z709"),MATCH($A130,INDIRECT(""&amp;$B130&amp;"!B2:B709"),0))</f>
        <v>WR7</v>
      </c>
      <c r="F130" s="196">
        <f ca="1">IF(LeagueInfo!$H$7="Starter/Bench",INDEX(INDIRECT(""&amp;B130&amp;"!S2:S709"),MATCH(A130,INDIRECT(""&amp;B130&amp;"!B2:B709"),0)),INDEX(INDIRECT(""&amp;B130&amp;"!AA2:AA709"),MATCH(A130,INDIRECT(""&amp;B130&amp;"!B2:B709"),0)))</f>
        <v>4.586345511065594</v>
      </c>
      <c r="G130" s="197">
        <f>IF(H130&gt;0,F130-H130,0)</f>
        <v>0</v>
      </c>
      <c r="H130" s="198"/>
      <c r="I130" s="197">
        <f ca="1">F130*$A$2</f>
        <v>4.586345511065594</v>
      </c>
      <c r="J130" s="197" t="s">
        <v>80</v>
      </c>
      <c r="K130" s="197">
        <f>IF(LeagueInfo!$F$7="Yahoo",IFERROR(INDEX(DefaultAuctionValues!$B$2:$B$359,MATCH(A130,DefaultAuctionValues!$A$2:$A$359,0)),0),IF(LeagueInfo!$F$7="ESPN",IFERROR(INDEX(DefaultAuctionValues!$C$2:$C$359,MATCH(A130,DefaultAuctionValues!$A$2:$A$359,0)),0),IF(LeagueInfo!$F$7="FantasyPros",IFERROR(INDEX(DefaultAuctionValues!$D$2:$D$359,MATCH(A130,DefaultAuctionValues!$A$2:$A$359,0)),0))))</f>
        <v>3</v>
      </c>
      <c r="L130" s="197">
        <f ca="1">I130-K130</f>
        <v>1.586345511065594</v>
      </c>
      <c r="M130" s="213"/>
      <c r="N130" s="208">
        <f ca="1">INDEX(INDIRECT(""&amp;$B130&amp;"!y2:y709"),MATCH($A130,INDIRECT(""&amp;$B130&amp;"!B2:B709"),0))</f>
        <v>9.5749999999999957</v>
      </c>
      <c r="O130" s="217" t="str">
        <f ca="1">IF(INDEX(INDIRECT(""&amp;$B130&amp;"!V2:V700"),MATCH($A130,INDIRECT(""&amp;$B130&amp;"!B2:B700"),0))=0,"",INDEX(INDIRECT(""&amp;$B130&amp;"!V2:V700"),MATCH($A130,INDIRECT(""&amp;$B130&amp;"!B2:B700"),0)))</f>
        <v/>
      </c>
    </row>
    <row r="131" spans="1:15" x14ac:dyDescent="0.25">
      <c r="A131" s="195" t="s">
        <v>215</v>
      </c>
      <c r="B131" s="195" t="s">
        <v>39</v>
      </c>
      <c r="C131" s="195">
        <f ca="1">IFERROR(INDEX(BYEs!$B$2:$B$33,MATCH(D131,BYEs!$A$2:$A$33,0)),"N/A")</f>
        <v>10</v>
      </c>
      <c r="D131" s="195" t="str">
        <f ca="1">INDEX(INDIRECT(""&amp;B131&amp;"!E2:E700"),MATCH(A131,INDIRECT(""&amp;B131&amp;"!B2:B700"),0))</f>
        <v>BAL</v>
      </c>
      <c r="E131" s="194" t="str">
        <f ca="1">INDEX(INDIRECT(""&amp;$B131&amp;"!Z2:Z709"),MATCH($A131,INDIRECT(""&amp;$B131&amp;"!B2:B709"),0))</f>
        <v>WR7</v>
      </c>
      <c r="F131" s="196">
        <f ca="1">IF(LeagueInfo!$H$7="Starter/Bench",INDEX(INDIRECT(""&amp;B131&amp;"!S2:S709"),MATCH(A131,INDIRECT(""&amp;B131&amp;"!B2:B709"),0)),INDEX(INDIRECT(""&amp;B131&amp;"!AA2:AA709"),MATCH(A131,INDIRECT(""&amp;B131&amp;"!B2:B709"),0)))</f>
        <v>4.5336564242543966</v>
      </c>
      <c r="G131" s="197">
        <f>IF(H131&gt;0,F131-H131,0)</f>
        <v>0</v>
      </c>
      <c r="H131" s="198"/>
      <c r="I131" s="197">
        <f ca="1">F131*$A$2</f>
        <v>4.5336564242543966</v>
      </c>
      <c r="J131" s="197" t="s">
        <v>80</v>
      </c>
      <c r="K131" s="197">
        <f>IF(LeagueInfo!$F$7="Yahoo",IFERROR(INDEX(DefaultAuctionValues!$B$2:$B$359,MATCH(A131,DefaultAuctionValues!$A$2:$A$359,0)),0),IF(LeagueInfo!$F$7="ESPN",IFERROR(INDEX(DefaultAuctionValues!$C$2:$C$359,MATCH(A131,DefaultAuctionValues!$A$2:$A$359,0)),0),IF(LeagueInfo!$F$7="FantasyPros",IFERROR(INDEX(DefaultAuctionValues!$D$2:$D$359,MATCH(A131,DefaultAuctionValues!$A$2:$A$359,0)),0))))</f>
        <v>1</v>
      </c>
      <c r="L131" s="197">
        <f ca="1">I131-K131</f>
        <v>3.5336564242543966</v>
      </c>
      <c r="M131" s="213"/>
      <c r="N131" s="208">
        <f ca="1">INDEX(INDIRECT(""&amp;$B131&amp;"!y2:y709"),MATCH($A131,INDIRECT(""&amp;$B131&amp;"!B2:B709"),0))</f>
        <v>9.4649999999999963</v>
      </c>
      <c r="O131" s="217" t="str">
        <f ca="1">IF(INDEX(INDIRECT(""&amp;$B131&amp;"!V2:V700"),MATCH($A131,INDIRECT(""&amp;$B131&amp;"!B2:B700"),0))=0,"",INDEX(INDIRECT(""&amp;$B131&amp;"!V2:V700"),MATCH($A131,INDIRECT(""&amp;$B131&amp;"!B2:B700"),0)))</f>
        <v/>
      </c>
    </row>
    <row r="132" spans="1:15" x14ac:dyDescent="0.25">
      <c r="A132" s="195" t="s">
        <v>434</v>
      </c>
      <c r="B132" s="195" t="s">
        <v>32</v>
      </c>
      <c r="C132" s="195">
        <f ca="1">IFERROR(INDEX(BYEs!$B$2:$B$33,MATCH(D132,BYEs!$A$2:$A$33,0)),"N/A")</f>
        <v>6</v>
      </c>
      <c r="D132" s="195" t="str">
        <f ca="1">INDEX(INDIRECT(""&amp;B132&amp;"!E2:E700"),MATCH(A132,INDIRECT(""&amp;B132&amp;"!B2:B700"),0))</f>
        <v>CIN</v>
      </c>
      <c r="E132" s="194" t="str">
        <f ca="1">INDEX(INDIRECT(""&amp;$B132&amp;"!Z2:Z709"),MATCH($A132,INDIRECT(""&amp;$B132&amp;"!B2:B709"),0))</f>
        <v>RB10</v>
      </c>
      <c r="F132" s="196">
        <f ca="1">IF(LeagueInfo!$H$7="Starter/Bench",INDEX(INDIRECT(""&amp;B132&amp;"!S2:S709"),MATCH(A132,INDIRECT(""&amp;B132&amp;"!B2:B709"),0)),INDEX(INDIRECT(""&amp;B132&amp;"!AA2:AA709"),MATCH(A132,INDIRECT(""&amp;B132&amp;"!B2:B709"),0)))</f>
        <v>4.4833622959346187</v>
      </c>
      <c r="G132" s="197">
        <f>IF(H132&gt;0,F132-H132,0)</f>
        <v>0</v>
      </c>
      <c r="H132" s="198"/>
      <c r="I132" s="197">
        <f ca="1">F132*$A$2</f>
        <v>4.4833622959346187</v>
      </c>
      <c r="J132" s="197" t="s">
        <v>80</v>
      </c>
      <c r="K132" s="197">
        <f>IF(LeagueInfo!$F$7="Yahoo",IFERROR(INDEX(DefaultAuctionValues!$B$2:$B$359,MATCH(A132,DefaultAuctionValues!$A$2:$A$359,0)),0),IF(LeagueInfo!$F$7="ESPN",IFERROR(INDEX(DefaultAuctionValues!$C$2:$C$359,MATCH(A132,DefaultAuctionValues!$A$2:$A$359,0)),0),IF(LeagueInfo!$F$7="FantasyPros",IFERROR(INDEX(DefaultAuctionValues!$D$2:$D$359,MATCH(A132,DefaultAuctionValues!$A$2:$A$359,0)),0))))</f>
        <v>0</v>
      </c>
      <c r="L132" s="197">
        <f ca="1">I132-K132</f>
        <v>4.4833622959346187</v>
      </c>
      <c r="M132" s="213"/>
      <c r="N132" s="208">
        <f ca="1">INDEX(INDIRECT(""&amp;$B132&amp;"!y2:y709"),MATCH($A132,INDIRECT(""&amp;$B132&amp;"!B2:B709"),0))</f>
        <v>9.36</v>
      </c>
      <c r="O132" s="217" t="str">
        <f ca="1">IF(INDEX(INDIRECT(""&amp;$B132&amp;"!V2:V700"),MATCH($A132,INDIRECT(""&amp;$B132&amp;"!B2:B700"),0))=0,"",INDEX(INDIRECT(""&amp;$B132&amp;"!V2:V700"),MATCH($A132,INDIRECT(""&amp;$B132&amp;"!B2:B700"),0)))</f>
        <v/>
      </c>
    </row>
    <row r="133" spans="1:15" x14ac:dyDescent="0.25">
      <c r="A133" s="195" t="s">
        <v>227</v>
      </c>
      <c r="B133" s="195" t="s">
        <v>39</v>
      </c>
      <c r="C133" s="195">
        <f ca="1">IFERROR(INDEX(BYEs!$B$2:$B$33,MATCH(D133,BYEs!$A$2:$A$33,0)),"N/A")</f>
        <v>8</v>
      </c>
      <c r="D133" s="195" t="str">
        <f ca="1">INDEX(INDIRECT(""&amp;B133&amp;"!E2:E700"),MATCH(A133,INDIRECT(""&amp;B133&amp;"!B2:B700"),0))</f>
        <v>TEN</v>
      </c>
      <c r="E133" s="194" t="str">
        <f ca="1">INDEX(INDIRECT(""&amp;$B133&amp;"!Z2:Z709"),MATCH($A133,INDIRECT(""&amp;$B133&amp;"!B2:B709"),0))</f>
        <v>WR7</v>
      </c>
      <c r="F133" s="196">
        <f ca="1">IF(LeagueInfo!$H$7="Starter/Bench",INDEX(INDIRECT(""&amp;B133&amp;"!S2:S709"),MATCH(A133,INDIRECT(""&amp;B133&amp;"!B2:B709"),0)),INDEX(INDIRECT(""&amp;B133&amp;"!AA2:AA709"),MATCH(A133,INDIRECT(""&amp;B133&amp;"!B2:B709"),0)))</f>
        <v>4.3085303260611028</v>
      </c>
      <c r="G133" s="197">
        <f>IF(H133&gt;0,F133-H133,0)</f>
        <v>0</v>
      </c>
      <c r="H133" s="198"/>
      <c r="I133" s="197">
        <f ca="1">F133*$A$2</f>
        <v>4.3085303260611028</v>
      </c>
      <c r="J133" s="197" t="s">
        <v>80</v>
      </c>
      <c r="K133" s="197">
        <f>IF(LeagueInfo!$F$7="Yahoo",IFERROR(INDEX(DefaultAuctionValues!$B$2:$B$359,MATCH(A133,DefaultAuctionValues!$A$2:$A$359,0)),0),IF(LeagueInfo!$F$7="ESPN",IFERROR(INDEX(DefaultAuctionValues!$C$2:$C$359,MATCH(A133,DefaultAuctionValues!$A$2:$A$359,0)),0),IF(LeagueInfo!$F$7="FantasyPros",IFERROR(INDEX(DefaultAuctionValues!$D$2:$D$359,MATCH(A133,DefaultAuctionValues!$A$2:$A$359,0)),0))))</f>
        <v>1</v>
      </c>
      <c r="L133" s="197">
        <f ca="1">I133-K133</f>
        <v>3.3085303260611028</v>
      </c>
      <c r="M133" s="213"/>
      <c r="N133" s="208">
        <f ca="1">INDEX(INDIRECT(""&amp;$B133&amp;"!y2:y709"),MATCH($A133,INDIRECT(""&amp;$B133&amp;"!B2:B709"),0))</f>
        <v>8.9950000000000045</v>
      </c>
      <c r="O133" s="217" t="str">
        <f ca="1">IF(INDEX(INDIRECT(""&amp;$B133&amp;"!V2:V700"),MATCH($A133,INDIRECT(""&amp;$B133&amp;"!B2:B700"),0))=0,"",INDEX(INDIRECT(""&amp;$B133&amp;"!V2:V700"),MATCH($A133,INDIRECT(""&amp;$B133&amp;"!B2:B700"),0)))</f>
        <v/>
      </c>
    </row>
    <row r="134" spans="1:15" x14ac:dyDescent="0.25">
      <c r="A134" s="195" t="s">
        <v>229</v>
      </c>
      <c r="B134" s="195" t="s">
        <v>33</v>
      </c>
      <c r="C134" s="195">
        <f ca="1">IFERROR(INDEX(BYEs!$B$2:$B$33,MATCH(D134,BYEs!$A$2:$A$33,0)),"N/A")</f>
        <v>10</v>
      </c>
      <c r="D134" s="195" t="str">
        <f ca="1">INDEX(INDIRECT(""&amp;B134&amp;"!E2:E700"),MATCH(A134,INDIRECT(""&amp;B134&amp;"!B2:B700"),0))</f>
        <v>BAL</v>
      </c>
      <c r="E134" s="194" t="str">
        <f ca="1">INDEX(INDIRECT(""&amp;$B134&amp;"!Z2:Z709"),MATCH($A134,INDIRECT(""&amp;$B134&amp;"!B2:B709"),0))</f>
        <v>QB4</v>
      </c>
      <c r="F134" s="196">
        <f ca="1">IF(LeagueInfo!$H$7="Starter/Bench",INDEX(INDIRECT(""&amp;B134&amp;"!S2:S709"),MATCH(A134,INDIRECT(""&amp;B134&amp;"!B2:B709"),0)),INDEX(INDIRECT(""&amp;B134&amp;"!AA2:AA709"),MATCH(A134,INDIRECT(""&amp;B134&amp;"!B2:B709"),0)))</f>
        <v>4.2529672890601971</v>
      </c>
      <c r="G134" s="197">
        <f>IF(H134&gt;0,F134-H134,0)</f>
        <v>0</v>
      </c>
      <c r="H134" s="198"/>
      <c r="I134" s="197">
        <f ca="1">F134*$A$2</f>
        <v>4.2529672890601971</v>
      </c>
      <c r="J134" s="197" t="s">
        <v>80</v>
      </c>
      <c r="K134" s="197">
        <f>IF(LeagueInfo!$F$7="Yahoo",IFERROR(INDEX(DefaultAuctionValues!$B$2:$B$359,MATCH(A134,DefaultAuctionValues!$A$2:$A$359,0)),0),IF(LeagueInfo!$F$7="ESPN",IFERROR(INDEX(DefaultAuctionValues!$C$2:$C$359,MATCH(A134,DefaultAuctionValues!$A$2:$A$359,0)),0),IF(LeagueInfo!$F$7="FantasyPros",IFERROR(INDEX(DefaultAuctionValues!$D$2:$D$359,MATCH(A134,DefaultAuctionValues!$A$2:$A$359,0)),0))))</f>
        <v>1</v>
      </c>
      <c r="L134" s="197">
        <f ca="1">I134-K134</f>
        <v>3.2529672890601971</v>
      </c>
      <c r="M134" s="213"/>
      <c r="N134" s="208">
        <f ca="1">INDEX(INDIRECT(""&amp;$B134&amp;"!y2:y709"),MATCH($A134,INDIRECT(""&amp;$B134&amp;"!B2:B709"),0))</f>
        <v>8.8789999999999907</v>
      </c>
      <c r="O134" s="217" t="str">
        <f ca="1">IF(INDEX(INDIRECT(""&amp;$B134&amp;"!V2:V700"),MATCH($A134,INDIRECT(""&amp;$B134&amp;"!B2:B700"),0))=0,"",INDEX(INDIRECT(""&amp;$B134&amp;"!V2:V700"),MATCH($A134,INDIRECT(""&amp;$B134&amp;"!B2:B700"),0)))</f>
        <v/>
      </c>
    </row>
    <row r="135" spans="1:15" x14ac:dyDescent="0.25">
      <c r="A135" s="195" t="s">
        <v>294</v>
      </c>
      <c r="B135" s="195" t="s">
        <v>47</v>
      </c>
      <c r="C135" s="195">
        <f ca="1">IFERROR(INDEX(BYEs!$B$2:$B$33,MATCH(D135,BYEs!$A$2:$A$33,0)),"N/A")</f>
        <v>5</v>
      </c>
      <c r="D135" s="195" t="str">
        <f ca="1">INDEX(INDIRECT(""&amp;B135&amp;"!E2:E700"),MATCH(A135,INDIRECT(""&amp;B135&amp;"!B2:B700"),0))</f>
        <v>ATL</v>
      </c>
      <c r="E135" s="194" t="str">
        <f ca="1">INDEX(INDIRECT(""&amp;$B135&amp;"!Z2:Z709"),MATCH($A135,INDIRECT(""&amp;$B135&amp;"!B2:B709"),0))</f>
        <v>TE8</v>
      </c>
      <c r="F135" s="196">
        <f ca="1">IF(LeagueInfo!$H$7="Starter/Bench",INDEX(INDIRECT(""&amp;B135&amp;"!S2:S709"),MATCH(A135,INDIRECT(""&amp;B135&amp;"!B2:B709"),0)),INDEX(INDIRECT(""&amp;B135&amp;"!AA2:AA709"),MATCH(A135,INDIRECT(""&amp;B135&amp;"!B2:B709"),0)))</f>
        <v>4.0881941448506405</v>
      </c>
      <c r="G135" s="197">
        <f>IF(H135&gt;0,F135-H135,0)</f>
        <v>0</v>
      </c>
      <c r="H135" s="198"/>
      <c r="I135" s="197">
        <f ca="1">F135*$A$2</f>
        <v>4.0881941448506405</v>
      </c>
      <c r="J135" s="197" t="s">
        <v>80</v>
      </c>
      <c r="K135" s="197">
        <f>IF(LeagueInfo!$F$7="Yahoo",IFERROR(INDEX(DefaultAuctionValues!$B$2:$B$359,MATCH(A135,DefaultAuctionValues!$A$2:$A$359,0)),0),IF(LeagueInfo!$F$7="ESPN",IFERROR(INDEX(DefaultAuctionValues!$C$2:$C$359,MATCH(A135,DefaultAuctionValues!$A$2:$A$359,0)),0),IF(LeagueInfo!$F$7="FantasyPros",IFERROR(INDEX(DefaultAuctionValues!$D$2:$D$359,MATCH(A135,DefaultAuctionValues!$A$2:$A$359,0)),0))))</f>
        <v>1</v>
      </c>
      <c r="L135" s="197">
        <f ca="1">I135-K135</f>
        <v>3.0881941448506405</v>
      </c>
      <c r="M135" s="213"/>
      <c r="N135" s="208">
        <f ca="1">INDEX(INDIRECT(""&amp;$B135&amp;"!y2:y709"),MATCH($A135,INDIRECT(""&amp;$B135&amp;"!B2:B709"),0))</f>
        <v>8.5350000000000037</v>
      </c>
      <c r="O135" s="217" t="str">
        <f ca="1">IF(INDEX(INDIRECT(""&amp;$B135&amp;"!V2:V700"),MATCH($A135,INDIRECT(""&amp;$B135&amp;"!B2:B700"),0))=0,"",INDEX(INDIRECT(""&amp;$B135&amp;"!V2:V700"),MATCH($A135,INDIRECT(""&amp;$B135&amp;"!B2:B700"),0)))</f>
        <v/>
      </c>
    </row>
    <row r="136" spans="1:15" x14ac:dyDescent="0.25">
      <c r="A136" s="195" t="s">
        <v>266</v>
      </c>
      <c r="B136" s="195" t="s">
        <v>39</v>
      </c>
      <c r="C136" s="195">
        <f ca="1">IFERROR(INDEX(BYEs!$B$2:$B$33,MATCH(D136,BYEs!$A$2:$A$33,0)),"N/A")</f>
        <v>9</v>
      </c>
      <c r="D136" s="195" t="str">
        <f ca="1">INDEX(INDIRECT(""&amp;B136&amp;"!E2:E700"),MATCH(A136,INDIRECT(""&amp;B136&amp;"!B2:B700"),0))</f>
        <v>MIN</v>
      </c>
      <c r="E136" s="194" t="str">
        <f ca="1">INDEX(INDIRECT(""&amp;$B136&amp;"!Z2:Z709"),MATCH($A136,INDIRECT(""&amp;$B136&amp;"!B2:B709"),0))</f>
        <v>WR7</v>
      </c>
      <c r="F136" s="196">
        <f ca="1">IF(LeagueInfo!$H$7="Starter/Bench",INDEX(INDIRECT(""&amp;B136&amp;"!S2:S709"),MATCH(A136,INDIRECT(""&amp;B136&amp;"!B2:B709"),0)),INDEX(INDIRECT(""&amp;B136&amp;"!AA2:AA709"),MATCH(A136,INDIRECT(""&amp;B136&amp;"!B2:B709"),0)))</f>
        <v>4.0786143108849666</v>
      </c>
      <c r="G136" s="197">
        <f>IF(H136&gt;0,F136-H136,0)</f>
        <v>0</v>
      </c>
      <c r="H136" s="198"/>
      <c r="I136" s="197">
        <f ca="1">F136*$A$2</f>
        <v>4.0786143108849666</v>
      </c>
      <c r="J136" s="197" t="s">
        <v>80</v>
      </c>
      <c r="K136" s="197">
        <f>IF(LeagueInfo!$F$7="Yahoo",IFERROR(INDEX(DefaultAuctionValues!$B$2:$B$359,MATCH(A136,DefaultAuctionValues!$A$2:$A$359,0)),0),IF(LeagueInfo!$F$7="ESPN",IFERROR(INDEX(DefaultAuctionValues!$C$2:$C$359,MATCH(A136,DefaultAuctionValues!$A$2:$A$359,0)),0),IF(LeagueInfo!$F$7="FantasyPros",IFERROR(INDEX(DefaultAuctionValues!$D$2:$D$359,MATCH(A136,DefaultAuctionValues!$A$2:$A$359,0)),0))))</f>
        <v>1</v>
      </c>
      <c r="L136" s="197">
        <f ca="1">I136-K136</f>
        <v>3.0786143108849666</v>
      </c>
      <c r="M136" s="213"/>
      <c r="N136" s="208">
        <f ca="1">INDEX(INDIRECT(""&amp;$B136&amp;"!y2:y709"),MATCH($A136,INDIRECT(""&amp;$B136&amp;"!B2:B709"),0))</f>
        <v>8.5150000000000006</v>
      </c>
      <c r="O136" s="217" t="str">
        <f ca="1">IF(INDEX(INDIRECT(""&amp;$B136&amp;"!V2:V700"),MATCH($A136,INDIRECT(""&amp;$B136&amp;"!B2:B700"),0))=0,"",INDEX(INDIRECT(""&amp;$B136&amp;"!V2:V700"),MATCH($A136,INDIRECT(""&amp;$B136&amp;"!B2:B700"),0)))</f>
        <v/>
      </c>
    </row>
    <row r="137" spans="1:15" x14ac:dyDescent="0.25">
      <c r="A137" s="195" t="s">
        <v>267</v>
      </c>
      <c r="B137" s="195" t="s">
        <v>39</v>
      </c>
      <c r="C137" s="195">
        <f ca="1">IFERROR(INDEX(BYEs!$B$2:$B$33,MATCH(D137,BYEs!$A$2:$A$33,0)),"N/A")</f>
        <v>6</v>
      </c>
      <c r="D137" s="195" t="str">
        <f ca="1">INDEX(INDIRECT(""&amp;B137&amp;"!E2:E700"),MATCH(A137,INDIRECT(""&amp;B137&amp;"!B2:B700"),0))</f>
        <v>BUF</v>
      </c>
      <c r="E137" s="194" t="str">
        <f ca="1">INDEX(INDIRECT(""&amp;$B137&amp;"!Z2:Z709"),MATCH($A137,INDIRECT(""&amp;$B137&amp;"!B2:B709"),0))</f>
        <v>WR7</v>
      </c>
      <c r="F137" s="196">
        <f ca="1">IF(LeagueInfo!$H$7="Starter/Bench",INDEX(INDIRECT(""&amp;B137&amp;"!S2:S709"),MATCH(A137,INDIRECT(""&amp;B137&amp;"!B2:B709"),0)),INDEX(INDIRECT(""&amp;B137&amp;"!AA2:AA709"),MATCH(A137,INDIRECT(""&amp;B137&amp;"!B2:B709"),0)))</f>
        <v>3.8582781296745039</v>
      </c>
      <c r="G137" s="197">
        <f>IF(H137&gt;0,F137-H137,0)</f>
        <v>0</v>
      </c>
      <c r="H137" s="198"/>
      <c r="I137" s="197">
        <f ca="1">F137*$A$2</f>
        <v>3.8582781296745039</v>
      </c>
      <c r="J137" s="197" t="s">
        <v>80</v>
      </c>
      <c r="K137" s="197">
        <f>IF(LeagueInfo!$F$7="Yahoo",IFERROR(INDEX(DefaultAuctionValues!$B$2:$B$359,MATCH(A137,DefaultAuctionValues!$A$2:$A$359,0)),0),IF(LeagueInfo!$F$7="ESPN",IFERROR(INDEX(DefaultAuctionValues!$C$2:$C$359,MATCH(A137,DefaultAuctionValues!$A$2:$A$359,0)),0),IF(LeagueInfo!$F$7="FantasyPros",IFERROR(INDEX(DefaultAuctionValues!$D$2:$D$359,MATCH(A137,DefaultAuctionValues!$A$2:$A$359,0)),0))))</f>
        <v>1</v>
      </c>
      <c r="L137" s="197">
        <f ca="1">I137-K137</f>
        <v>2.8582781296745039</v>
      </c>
      <c r="M137" s="213"/>
      <c r="N137" s="208">
        <f ca="1">INDEX(INDIRECT(""&amp;$B137&amp;"!y2:y709"),MATCH($A137,INDIRECT(""&amp;$B137&amp;"!B2:B709"),0))</f>
        <v>8.0549999999999997</v>
      </c>
      <c r="O137" s="217" t="str">
        <f ca="1">IF(INDEX(INDIRECT(""&amp;$B137&amp;"!V2:V700"),MATCH($A137,INDIRECT(""&amp;$B137&amp;"!B2:B700"),0))=0,"",INDEX(INDIRECT(""&amp;$B137&amp;"!V2:V700"),MATCH($A137,INDIRECT(""&amp;$B137&amp;"!B2:B700"),0)))</f>
        <v/>
      </c>
    </row>
    <row r="138" spans="1:15" x14ac:dyDescent="0.25">
      <c r="A138" s="195" t="s">
        <v>206</v>
      </c>
      <c r="B138" s="195" t="s">
        <v>32</v>
      </c>
      <c r="C138" s="195">
        <f ca="1">IFERROR(INDEX(BYEs!$B$2:$B$33,MATCH(D138,BYEs!$A$2:$A$33,0)),"N/A")</f>
        <v>5</v>
      </c>
      <c r="D138" s="195" t="str">
        <f ca="1">INDEX(INDIRECT(""&amp;B138&amp;"!E2:E700"),MATCH(A138,INDIRECT(""&amp;B138&amp;"!B2:B700"),0))</f>
        <v>DEN</v>
      </c>
      <c r="E138" s="194" t="str">
        <f ca="1">INDEX(INDIRECT(""&amp;$B138&amp;"!Z2:Z709"),MATCH($A138,INDIRECT(""&amp;$B138&amp;"!B2:B709"),0))</f>
        <v>RB10</v>
      </c>
      <c r="F138" s="196">
        <f ca="1">IF(LeagueInfo!$H$7="Starter/Bench",INDEX(INDIRECT(""&amp;B138&amp;"!S2:S709"),MATCH(A138,INDIRECT(""&amp;B138&amp;"!B2:B709"),0)),INDEX(INDIRECT(""&amp;B138&amp;"!AA2:AA709"),MATCH(A138,INDIRECT(""&amp;B138&amp;"!B2:B709"),0)))</f>
        <v>3.8151688768289804</v>
      </c>
      <c r="G138" s="197">
        <f>IF(H138&gt;0,F138-H138,0)</f>
        <v>0</v>
      </c>
      <c r="H138" s="198"/>
      <c r="I138" s="197">
        <f ca="1">F138*$A$2</f>
        <v>3.8151688768289804</v>
      </c>
      <c r="J138" s="197" t="s">
        <v>80</v>
      </c>
      <c r="K138" s="197">
        <f>IF(LeagueInfo!$F$7="Yahoo",IFERROR(INDEX(DefaultAuctionValues!$B$2:$B$359,MATCH(A138,DefaultAuctionValues!$A$2:$A$359,0)),0),IF(LeagueInfo!$F$7="ESPN",IFERROR(INDEX(DefaultAuctionValues!$C$2:$C$359,MATCH(A138,DefaultAuctionValues!$A$2:$A$359,0)),0),IF(LeagueInfo!$F$7="FantasyPros",IFERROR(INDEX(DefaultAuctionValues!$D$2:$D$359,MATCH(A138,DefaultAuctionValues!$A$2:$A$359,0)),0))))</f>
        <v>1</v>
      </c>
      <c r="L138" s="197">
        <f ca="1">I138-K138</f>
        <v>2.8151688768289804</v>
      </c>
      <c r="M138" s="213"/>
      <c r="N138" s="208">
        <f ca="1">INDEX(INDIRECT(""&amp;$B138&amp;"!y2:y709"),MATCH($A138,INDIRECT(""&amp;$B138&amp;"!B2:B709"),0))</f>
        <v>7.9650000000000034</v>
      </c>
      <c r="O138" s="217" t="str">
        <f ca="1">IF(INDEX(INDIRECT(""&amp;$B138&amp;"!V2:V700"),MATCH($A138,INDIRECT(""&amp;$B138&amp;"!B2:B700"),0))=0,"",INDEX(INDIRECT(""&amp;$B138&amp;"!V2:V700"),MATCH($A138,INDIRECT(""&amp;$B138&amp;"!B2:B700"),0)))</f>
        <v/>
      </c>
    </row>
    <row r="139" spans="1:15" x14ac:dyDescent="0.25">
      <c r="A139" s="195" t="s">
        <v>293</v>
      </c>
      <c r="B139" s="195" t="s">
        <v>47</v>
      </c>
      <c r="C139" s="195">
        <f ca="1">IFERROR(INDEX(BYEs!$B$2:$B$33,MATCH(D139,BYEs!$A$2:$A$33,0)),"N/A")</f>
        <v>6</v>
      </c>
      <c r="D139" s="195" t="str">
        <f ca="1">INDEX(INDIRECT(""&amp;B139&amp;"!E2:E700"),MATCH(A139,INDIRECT(""&amp;B139&amp;"!B2:B700"),0))</f>
        <v>DAL</v>
      </c>
      <c r="E139" s="194" t="str">
        <f ca="1">INDEX(INDIRECT(""&amp;$B139&amp;"!Z2:Z709"),MATCH($A139,INDIRECT(""&amp;$B139&amp;"!B2:B709"),0))</f>
        <v>TE8</v>
      </c>
      <c r="F139" s="196">
        <f ca="1">IF(LeagueInfo!$H$7="Starter/Bench",INDEX(INDIRECT(""&amp;B139&amp;"!S2:S709"),MATCH(A139,INDIRECT(""&amp;B139&amp;"!B2:B709"),0)),INDEX(INDIRECT(""&amp;B139&amp;"!AA2:AA709"),MATCH(A139,INDIRECT(""&amp;B139&amp;"!B2:B709"),0)))</f>
        <v>3.6642864918696434</v>
      </c>
      <c r="G139" s="197">
        <f>IF(H139&gt;0,F139-H139,0)</f>
        <v>0</v>
      </c>
      <c r="H139" s="198"/>
      <c r="I139" s="197">
        <f ca="1">F139*$A$2</f>
        <v>3.6642864918696434</v>
      </c>
      <c r="J139" s="197" t="s">
        <v>80</v>
      </c>
      <c r="K139" s="197">
        <f>IF(LeagueInfo!$F$7="Yahoo",IFERROR(INDEX(DefaultAuctionValues!$B$2:$B$359,MATCH(A139,DefaultAuctionValues!$A$2:$A$359,0)),0),IF(LeagueInfo!$F$7="ESPN",IFERROR(INDEX(DefaultAuctionValues!$C$2:$C$359,MATCH(A139,DefaultAuctionValues!$A$2:$A$359,0)),0),IF(LeagueInfo!$F$7="FantasyPros",IFERROR(INDEX(DefaultAuctionValues!$D$2:$D$359,MATCH(A139,DefaultAuctionValues!$A$2:$A$359,0)),0))))</f>
        <v>1</v>
      </c>
      <c r="L139" s="197">
        <f ca="1">I139-K139</f>
        <v>2.6642864918696434</v>
      </c>
      <c r="M139" s="213"/>
      <c r="N139" s="208">
        <f ca="1">INDEX(INDIRECT(""&amp;$B139&amp;"!y2:y709"),MATCH($A139,INDIRECT(""&amp;$B139&amp;"!B2:B709"),0))</f>
        <v>7.6500000000000057</v>
      </c>
      <c r="O139" s="217" t="str">
        <f ca="1">IF(INDEX(INDIRECT(""&amp;$B139&amp;"!V2:V700"),MATCH($A139,INDIRECT(""&amp;$B139&amp;"!B2:B700"),0))=0,"",INDEX(INDIRECT(""&amp;$B139&amp;"!V2:V700"),MATCH($A139,INDIRECT(""&amp;$B139&amp;"!B2:B700"),0)))</f>
        <v/>
      </c>
    </row>
    <row r="140" spans="1:15" x14ac:dyDescent="0.25">
      <c r="A140" s="195" t="s">
        <v>551</v>
      </c>
      <c r="B140" s="195" t="s">
        <v>39</v>
      </c>
      <c r="C140" s="195">
        <f ca="1">IFERROR(INDEX(BYEs!$B$2:$B$33,MATCH(D140,BYEs!$A$2:$A$33,0)),"N/A")</f>
        <v>7</v>
      </c>
      <c r="D140" s="195" t="str">
        <f ca="1">INDEX(INDIRECT(""&amp;B140&amp;"!E2:E700"),MATCH(A140,INDIRECT(""&amp;B140&amp;"!B2:B700"),0))</f>
        <v>DET</v>
      </c>
      <c r="E140" s="194" t="str">
        <f ca="1">INDEX(INDIRECT(""&amp;$B140&amp;"!Z2:Z709"),MATCH($A140,INDIRECT(""&amp;$B140&amp;"!B2:B709"),0))</f>
        <v>WR7</v>
      </c>
      <c r="F140" s="196">
        <f ca="1">IF(LeagueInfo!$H$7="Starter/Bench",INDEX(INDIRECT(""&amp;B140&amp;"!S2:S709"),MATCH(A140,INDIRECT(""&amp;B140&amp;"!B2:B709"),0)),INDEX(INDIRECT(""&amp;B140&amp;"!AA2:AA709"),MATCH(A140,INDIRECT(""&amp;B140&amp;"!B2:B709"),0)))</f>
        <v>3.336177178545364</v>
      </c>
      <c r="G140" s="197">
        <f>IF(H140&gt;0,F140-H140,0)</f>
        <v>0</v>
      </c>
      <c r="H140" s="198"/>
      <c r="I140" s="197">
        <f ca="1">F140*$A$2</f>
        <v>3.336177178545364</v>
      </c>
      <c r="J140" s="197" t="s">
        <v>80</v>
      </c>
      <c r="K140" s="197">
        <f>IF(LeagueInfo!$F$7="Yahoo",IFERROR(INDEX(DefaultAuctionValues!$B$2:$B$359,MATCH(A140,DefaultAuctionValues!$A$2:$A$359,0)),0),IF(LeagueInfo!$F$7="ESPN",IFERROR(INDEX(DefaultAuctionValues!$C$2:$C$359,MATCH(A140,DefaultAuctionValues!$A$2:$A$359,0)),0),IF(LeagueInfo!$F$7="FantasyPros",IFERROR(INDEX(DefaultAuctionValues!$D$2:$D$359,MATCH(A140,DefaultAuctionValues!$A$2:$A$359,0)),0))))</f>
        <v>0</v>
      </c>
      <c r="L140" s="197">
        <f ca="1">I140-K140</f>
        <v>3.336177178545364</v>
      </c>
      <c r="M140" s="213"/>
      <c r="N140" s="208">
        <f ca="1">INDEX(INDIRECT(""&amp;$B140&amp;"!y2:y709"),MATCH($A140,INDIRECT(""&amp;$B140&amp;"!B2:B709"),0))</f>
        <v>6.9649999999999963</v>
      </c>
      <c r="O140" s="217" t="str">
        <f ca="1">IF(INDEX(INDIRECT(""&amp;$B140&amp;"!V2:V700"),MATCH($A140,INDIRECT(""&amp;$B140&amp;"!B2:B700"),0))=0,"",INDEX(INDIRECT(""&amp;$B140&amp;"!V2:V700"),MATCH($A140,INDIRECT(""&amp;$B140&amp;"!B2:B700"),0)))</f>
        <v/>
      </c>
    </row>
    <row r="141" spans="1:15" x14ac:dyDescent="0.25">
      <c r="A141" s="195" t="s">
        <v>435</v>
      </c>
      <c r="B141" s="195" t="s">
        <v>32</v>
      </c>
      <c r="C141" s="195">
        <f ca="1">IFERROR(INDEX(BYEs!$B$2:$B$33,MATCH(D141,BYEs!$A$2:$A$33,0)),"N/A")</f>
        <v>5</v>
      </c>
      <c r="D141" s="195" t="str">
        <f ca="1">INDEX(INDIRECT(""&amp;B141&amp;"!E2:E700"),MATCH(A141,INDIRECT(""&amp;B141&amp;"!B2:B700"),0))</f>
        <v>WAS</v>
      </c>
      <c r="E141" s="194" t="str">
        <f ca="1">INDEX(INDIRECT(""&amp;$B141&amp;"!Z2:Z709"),MATCH($A141,INDIRECT(""&amp;$B141&amp;"!B2:B709"),0))</f>
        <v>RB10</v>
      </c>
      <c r="F141" s="196">
        <f ca="1">IF(LeagueInfo!$H$7="Starter/Bench",INDEX(INDIRECT(""&amp;B141&amp;"!S2:S709"),MATCH(A141,INDIRECT(""&amp;B141&amp;"!B2:B709"),0)),INDEX(INDIRECT(""&amp;B141&amp;"!AA2:AA709"),MATCH(A141,INDIRECT(""&amp;B141&amp;"!B2:B709"),0)))</f>
        <v>3.242773797380059</v>
      </c>
      <c r="G141" s="197">
        <f>IF(H141&gt;0,F141-H141,0)</f>
        <v>0</v>
      </c>
      <c r="H141" s="198"/>
      <c r="I141" s="197">
        <f ca="1">F141*$A$2</f>
        <v>3.242773797380059</v>
      </c>
      <c r="J141" s="197" t="s">
        <v>80</v>
      </c>
      <c r="K141" s="197">
        <f>IF(LeagueInfo!$F$7="Yahoo",IFERROR(INDEX(DefaultAuctionValues!$B$2:$B$359,MATCH(A141,DefaultAuctionValues!$A$2:$A$359,0)),0),IF(LeagueInfo!$F$7="ESPN",IFERROR(INDEX(DefaultAuctionValues!$C$2:$C$359,MATCH(A141,DefaultAuctionValues!$A$2:$A$359,0)),0),IF(LeagueInfo!$F$7="FantasyPros",IFERROR(INDEX(DefaultAuctionValues!$D$2:$D$359,MATCH(A141,DefaultAuctionValues!$A$2:$A$359,0)),0))))</f>
        <v>0</v>
      </c>
      <c r="L141" s="197">
        <f ca="1">I141-K141</f>
        <v>3.242773797380059</v>
      </c>
      <c r="M141" s="213"/>
      <c r="N141" s="208">
        <f ca="1">INDEX(INDIRECT(""&amp;$B141&amp;"!y2:y709"),MATCH($A141,INDIRECT(""&amp;$B141&amp;"!B2:B709"),0))</f>
        <v>6.769999999999996</v>
      </c>
      <c r="O141" s="217" t="str">
        <f ca="1">IF(INDEX(INDIRECT(""&amp;$B141&amp;"!V2:V700"),MATCH($A141,INDIRECT(""&amp;$B141&amp;"!B2:B700"),0))=0,"",INDEX(INDIRECT(""&amp;$B141&amp;"!V2:V700"),MATCH($A141,INDIRECT(""&amp;$B141&amp;"!B2:B700"),0)))</f>
        <v/>
      </c>
    </row>
    <row r="142" spans="1:15" x14ac:dyDescent="0.25">
      <c r="A142" s="195" t="s">
        <v>242</v>
      </c>
      <c r="B142" s="195" t="s">
        <v>32</v>
      </c>
      <c r="C142" s="195">
        <f ca="1">IFERROR(INDEX(BYEs!$B$2:$B$33,MATCH(D142,BYEs!$A$2:$A$33,0)),"N/A")</f>
        <v>6</v>
      </c>
      <c r="D142" s="195" t="str">
        <f ca="1">INDEX(INDIRECT(""&amp;B142&amp;"!E2:E700"),MATCH(A142,INDIRECT(""&amp;B142&amp;"!B2:B700"),0))</f>
        <v>SEA</v>
      </c>
      <c r="E142" s="194" t="str">
        <f ca="1">INDEX(INDIRECT(""&amp;$B142&amp;"!Z2:Z709"),MATCH($A142,INDIRECT(""&amp;$B142&amp;"!B2:B709"),0))</f>
        <v>RB10</v>
      </c>
      <c r="F142" s="196">
        <f ca="1">IF(LeagueInfo!$H$7="Starter/Bench",INDEX(INDIRECT(""&amp;B142&amp;"!S2:S709"),MATCH(A142,INDIRECT(""&amp;B142&amp;"!B2:B709"),0)),INDEX(INDIRECT(""&amp;B142&amp;"!AA2:AA709"),MATCH(A142,INDIRECT(""&amp;B142&amp;"!B2:B709"),0)))</f>
        <v>3.149370416214758</v>
      </c>
      <c r="G142" s="197">
        <f>IF(H142&gt;0,F142-H142,0)</f>
        <v>0</v>
      </c>
      <c r="H142" s="198"/>
      <c r="I142" s="197">
        <f ca="1">F142*$A$2</f>
        <v>3.149370416214758</v>
      </c>
      <c r="J142" s="197" t="s">
        <v>80</v>
      </c>
      <c r="K142" s="197">
        <f>IF(LeagueInfo!$F$7="Yahoo",IFERROR(INDEX(DefaultAuctionValues!$B$2:$B$359,MATCH(A142,DefaultAuctionValues!$A$2:$A$359,0)),0),IF(LeagueInfo!$F$7="ESPN",IFERROR(INDEX(DefaultAuctionValues!$C$2:$C$359,MATCH(A142,DefaultAuctionValues!$A$2:$A$359,0)),0),IF(LeagueInfo!$F$7="FantasyPros",IFERROR(INDEX(DefaultAuctionValues!$D$2:$D$359,MATCH(A142,DefaultAuctionValues!$A$2:$A$359,0)),0))))</f>
        <v>2</v>
      </c>
      <c r="L142" s="197">
        <f ca="1">I142-K142</f>
        <v>1.149370416214758</v>
      </c>
      <c r="M142" s="213"/>
      <c r="N142" s="208">
        <f ca="1">INDEX(INDIRECT(""&amp;$B142&amp;"!y2:y709"),MATCH($A142,INDIRECT(""&amp;$B142&amp;"!B2:B709"),0))</f>
        <v>6.5750000000000028</v>
      </c>
      <c r="O142" s="217" t="str">
        <f ca="1">IF(INDEX(INDIRECT(""&amp;$B142&amp;"!V2:V700"),MATCH($A142,INDIRECT(""&amp;$B142&amp;"!B2:B700"),0))=0,"",INDEX(INDIRECT(""&amp;$B142&amp;"!V2:V700"),MATCH($A142,INDIRECT(""&amp;$B142&amp;"!B2:B700"),0)))</f>
        <v/>
      </c>
    </row>
    <row r="143" spans="1:15" x14ac:dyDescent="0.25">
      <c r="A143" s="195" t="s">
        <v>291</v>
      </c>
      <c r="B143" s="195" t="s">
        <v>47</v>
      </c>
      <c r="C143" s="195">
        <f ca="1">IFERROR(INDEX(BYEs!$B$2:$B$33,MATCH(D143,BYEs!$A$2:$A$33,0)),"N/A")</f>
        <v>11</v>
      </c>
      <c r="D143" s="195" t="str">
        <f ca="1">INDEX(INDIRECT(""&amp;B143&amp;"!E2:E700"),MATCH(A143,INDIRECT(""&amp;B143&amp;"!B2:B700"),0))</f>
        <v>TB</v>
      </c>
      <c r="E143" s="194" t="str">
        <f ca="1">INDEX(INDIRECT(""&amp;$B143&amp;"!Z2:Z709"),MATCH($A143,INDIRECT(""&amp;$B143&amp;"!B2:B709"),0))</f>
        <v>TE8</v>
      </c>
      <c r="F143" s="196">
        <f ca="1">IF(LeagueInfo!$H$7="Starter/Bench",INDEX(INDIRECT(""&amp;B143&amp;"!S2:S709"),MATCH(A143,INDIRECT(""&amp;B143&amp;"!B2:B709"),0)),INDEX(INDIRECT(""&amp;B143&amp;"!AA2:AA709"),MATCH(A143,INDIRECT(""&amp;B143&amp;"!B2:B709"),0)))</f>
        <v>3.0080678652210913</v>
      </c>
      <c r="G143" s="197">
        <f>IF(H143&gt;0,F143-H143,0)</f>
        <v>0</v>
      </c>
      <c r="H143" s="198"/>
      <c r="I143" s="197">
        <f ca="1">F143*$A$2</f>
        <v>3.0080678652210913</v>
      </c>
      <c r="J143" s="197" t="s">
        <v>80</v>
      </c>
      <c r="K143" s="197">
        <f>IF(LeagueInfo!$F$7="Yahoo",IFERROR(INDEX(DefaultAuctionValues!$B$2:$B$359,MATCH(A143,DefaultAuctionValues!$A$2:$A$359,0)),0),IF(LeagueInfo!$F$7="ESPN",IFERROR(INDEX(DefaultAuctionValues!$C$2:$C$359,MATCH(A143,DefaultAuctionValues!$A$2:$A$359,0)),0),IF(LeagueInfo!$F$7="FantasyPros",IFERROR(INDEX(DefaultAuctionValues!$D$2:$D$359,MATCH(A143,DefaultAuctionValues!$A$2:$A$359,0)),0))))</f>
        <v>1</v>
      </c>
      <c r="L143" s="197">
        <f ca="1">I143-K143</f>
        <v>2.0080678652210913</v>
      </c>
      <c r="M143" s="213"/>
      <c r="N143" s="208">
        <f ca="1">INDEX(INDIRECT(""&amp;$B143&amp;"!y2:y709"),MATCH($A143,INDIRECT(""&amp;$B143&amp;"!B2:B709"),0))</f>
        <v>6.2800000000000011</v>
      </c>
      <c r="O143" s="217" t="str">
        <f ca="1">IF(INDEX(INDIRECT(""&amp;$B143&amp;"!V2:V700"),MATCH($A143,INDIRECT(""&amp;$B143&amp;"!B2:B700"),0))=0,"",INDEX(INDIRECT(""&amp;$B143&amp;"!V2:V700"),MATCH($A143,INDIRECT(""&amp;$B143&amp;"!B2:B700"),0)))</f>
        <v/>
      </c>
    </row>
    <row r="144" spans="1:15" x14ac:dyDescent="0.25">
      <c r="A144" s="195" t="s">
        <v>308</v>
      </c>
      <c r="B144" s="195" t="s">
        <v>39</v>
      </c>
      <c r="C144" s="195">
        <f ca="1">IFERROR(INDEX(BYEs!$B$2:$B$33,MATCH(D144,BYEs!$A$2:$A$33,0)),"N/A")</f>
        <v>9</v>
      </c>
      <c r="D144" s="195" t="str">
        <f ca="1">INDEX(INDIRECT(""&amp;B144&amp;"!E2:E700"),MATCH(A144,INDIRECT(""&amp;B144&amp;"!B2:B700"),0))</f>
        <v>NE</v>
      </c>
      <c r="E144" s="194" t="str">
        <f ca="1">INDEX(INDIRECT(""&amp;$B144&amp;"!Z2:Z709"),MATCH($A144,INDIRECT(""&amp;$B144&amp;"!B2:B709"),0))</f>
        <v>WR7</v>
      </c>
      <c r="F144" s="196">
        <f ca="1">IF(LeagueInfo!$H$7="Starter/Bench",INDEX(INDIRECT(""&amp;B144&amp;"!S2:S709"),MATCH(A144,INDIRECT(""&amp;B144&amp;"!B2:B709"),0)),INDEX(INDIRECT(""&amp;B144&amp;"!AA2:AA709"),MATCH(A144,INDIRECT(""&amp;B144&amp;"!B2:B709"),0)))</f>
        <v>2.9314291934957111</v>
      </c>
      <c r="G144" s="197">
        <f>IF(H144&gt;0,F144-H144,0)</f>
        <v>0</v>
      </c>
      <c r="H144" s="198"/>
      <c r="I144" s="197">
        <f ca="1">F144*$A$2</f>
        <v>2.9314291934957111</v>
      </c>
      <c r="J144" s="197" t="s">
        <v>80</v>
      </c>
      <c r="K144" s="197">
        <f>IF(LeagueInfo!$F$7="Yahoo",IFERROR(INDEX(DefaultAuctionValues!$B$2:$B$359,MATCH(A144,DefaultAuctionValues!$A$2:$A$359,0)),0),IF(LeagueInfo!$F$7="ESPN",IFERROR(INDEX(DefaultAuctionValues!$C$2:$C$359,MATCH(A144,DefaultAuctionValues!$A$2:$A$359,0)),0),IF(LeagueInfo!$F$7="FantasyPros",IFERROR(INDEX(DefaultAuctionValues!$D$2:$D$359,MATCH(A144,DefaultAuctionValues!$A$2:$A$359,0)),0))))</f>
        <v>1</v>
      </c>
      <c r="L144" s="197">
        <f ca="1">I144-K144</f>
        <v>1.9314291934957111</v>
      </c>
      <c r="M144" s="213"/>
      <c r="N144" s="208">
        <f ca="1">INDEX(INDIRECT(""&amp;$B144&amp;"!y2:y709"),MATCH($A144,INDIRECT(""&amp;$B144&amp;"!B2:B709"),0))</f>
        <v>6.1199999999999974</v>
      </c>
      <c r="O144" s="217" t="str">
        <f ca="1">IF(INDEX(INDIRECT(""&amp;$B144&amp;"!V2:V700"),MATCH($A144,INDIRECT(""&amp;$B144&amp;"!B2:B700"),0))=0,"",INDEX(INDIRECT(""&amp;$B144&amp;"!V2:V700"),MATCH($A144,INDIRECT(""&amp;$B144&amp;"!B2:B700"),0)))</f>
        <v/>
      </c>
    </row>
    <row r="145" spans="1:15" x14ac:dyDescent="0.25">
      <c r="A145" s="195" t="s">
        <v>555</v>
      </c>
      <c r="B145" s="195" t="s">
        <v>39</v>
      </c>
      <c r="C145" s="195">
        <f ca="1">IFERROR(INDEX(BYEs!$B$2:$B$33,MATCH(D145,BYEs!$A$2:$A$33,0)),"N/A")</f>
        <v>11</v>
      </c>
      <c r="D145" s="195" t="str">
        <f ca="1">INDEX(INDIRECT(""&amp;B145&amp;"!E2:E700"),MATCH(A145,INDIRECT(""&amp;B145&amp;"!B2:B700"),0))</f>
        <v>NYJ</v>
      </c>
      <c r="E145" s="194" t="str">
        <f ca="1">INDEX(INDIRECT(""&amp;$B145&amp;"!Z2:Z709"),MATCH($A145,INDIRECT(""&amp;$B145&amp;"!B2:B709"),0))</f>
        <v>WR7</v>
      </c>
      <c r="F145" s="196">
        <f ca="1">IF(LeagueInfo!$H$7="Starter/Bench",INDEX(INDIRECT(""&amp;B145&amp;"!S2:S709"),MATCH(A145,INDIRECT(""&amp;B145&amp;"!B2:B709"),0)),INDEX(INDIRECT(""&amp;B145&amp;"!AA2:AA709"),MATCH(A145,INDIRECT(""&amp;B145&amp;"!B2:B709"),0)))</f>
        <v>2.8116812689248079</v>
      </c>
      <c r="G145" s="197">
        <f>IF(H145&gt;0,F145-H145,0)</f>
        <v>0</v>
      </c>
      <c r="H145" s="198"/>
      <c r="I145" s="197">
        <f ca="1">F145*$A$2</f>
        <v>2.8116812689248079</v>
      </c>
      <c r="J145" s="197" t="s">
        <v>80</v>
      </c>
      <c r="K145" s="197">
        <f>IF(LeagueInfo!$F$7="Yahoo",IFERROR(INDEX(DefaultAuctionValues!$B$2:$B$359,MATCH(A145,DefaultAuctionValues!$A$2:$A$359,0)),0),IF(LeagueInfo!$F$7="ESPN",IFERROR(INDEX(DefaultAuctionValues!$C$2:$C$359,MATCH(A145,DefaultAuctionValues!$A$2:$A$359,0)),0),IF(LeagueInfo!$F$7="FantasyPros",IFERROR(INDEX(DefaultAuctionValues!$D$2:$D$359,MATCH(A145,DefaultAuctionValues!$A$2:$A$359,0)),0))))</f>
        <v>0</v>
      </c>
      <c r="L145" s="197">
        <f ca="1">I145-K145</f>
        <v>2.8116812689248079</v>
      </c>
      <c r="M145" s="213"/>
      <c r="N145" s="208">
        <f ca="1">INDEX(INDIRECT(""&amp;$B145&amp;"!y2:y709"),MATCH($A145,INDIRECT(""&amp;$B145&amp;"!B2:B709"),0))</f>
        <v>5.8699999999999974</v>
      </c>
      <c r="O145" s="217" t="str">
        <f ca="1">IF(INDEX(INDIRECT(""&amp;$B145&amp;"!V2:V700"),MATCH($A145,INDIRECT(""&amp;$B145&amp;"!B2:B700"),0))=0,"",INDEX(INDIRECT(""&amp;$B145&amp;"!V2:V700"),MATCH($A145,INDIRECT(""&amp;$B145&amp;"!B2:B700"),0)))</f>
        <v/>
      </c>
    </row>
    <row r="146" spans="1:15" x14ac:dyDescent="0.25">
      <c r="A146" s="195" t="s">
        <v>715</v>
      </c>
      <c r="B146" s="195" t="s">
        <v>47</v>
      </c>
      <c r="C146" s="195">
        <f ca="1">IFERROR(INDEX(BYEs!$B$2:$B$33,MATCH(D146,BYEs!$A$2:$A$33,0)),"N/A")</f>
        <v>6</v>
      </c>
      <c r="D146" s="195" t="str">
        <f ca="1">INDEX(INDIRECT(""&amp;B146&amp;"!E2:E700"),MATCH(A146,INDIRECT(""&amp;B146&amp;"!B2:B700"),0))</f>
        <v>BUF</v>
      </c>
      <c r="E146" s="194" t="str">
        <f ca="1">INDEX(INDIRECT(""&amp;$B146&amp;"!Z2:Z709"),MATCH($A146,INDIRECT(""&amp;$B146&amp;"!B2:B709"),0))</f>
        <v>TE8</v>
      </c>
      <c r="F146" s="196">
        <f ca="1">IF(LeagueInfo!$H$7="Starter/Bench",INDEX(INDIRECT(""&amp;B146&amp;"!S2:S709"),MATCH(A146,INDIRECT(""&amp;B146&amp;"!B2:B709"),0)),INDEX(INDIRECT(""&amp;B146&amp;"!AA2:AA709"),MATCH(A146,INDIRECT(""&amp;B146&amp;"!B2:B709"),0)))</f>
        <v>2.8021014349591375</v>
      </c>
      <c r="G146" s="197">
        <f>IF(H146&gt;0,F146-H146,0)</f>
        <v>0</v>
      </c>
      <c r="H146" s="198"/>
      <c r="I146" s="197">
        <f ca="1">F146*$A$2</f>
        <v>2.8021014349591375</v>
      </c>
      <c r="J146" s="197" t="s">
        <v>80</v>
      </c>
      <c r="K146" s="197">
        <f>IF(LeagueInfo!$F$7="Yahoo",IFERROR(INDEX(DefaultAuctionValues!$B$2:$B$359,MATCH(A146,DefaultAuctionValues!$A$2:$A$359,0)),0),IF(LeagueInfo!$F$7="ESPN",IFERROR(INDEX(DefaultAuctionValues!$C$2:$C$359,MATCH(A146,DefaultAuctionValues!$A$2:$A$359,0)),0),IF(LeagueInfo!$F$7="FantasyPros",IFERROR(INDEX(DefaultAuctionValues!$D$2:$D$359,MATCH(A146,DefaultAuctionValues!$A$2:$A$359,0)),0))))</f>
        <v>0</v>
      </c>
      <c r="L146" s="197">
        <f ca="1">I146-K146</f>
        <v>2.8021014349591375</v>
      </c>
      <c r="M146" s="213"/>
      <c r="N146" s="208">
        <f ca="1">INDEX(INDIRECT(""&amp;$B146&amp;"!y2:y709"),MATCH($A146,INDIRECT(""&amp;$B146&amp;"!B2:B709"),0))</f>
        <v>5.8500000000000014</v>
      </c>
      <c r="O146" s="217" t="str">
        <f ca="1">IF(INDEX(INDIRECT(""&amp;$B146&amp;"!V2:V700"),MATCH($A146,INDIRECT(""&amp;$B146&amp;"!B2:B700"),0))=0,"",INDEX(INDIRECT(""&amp;$B146&amp;"!V2:V700"),MATCH($A146,INDIRECT(""&amp;$B146&amp;"!B2:B700"),0)))</f>
        <v/>
      </c>
    </row>
    <row r="147" spans="1:15" x14ac:dyDescent="0.25">
      <c r="A147" s="195" t="s">
        <v>249</v>
      </c>
      <c r="B147" s="195" t="s">
        <v>39</v>
      </c>
      <c r="C147" s="195">
        <f ca="1">IFERROR(INDEX(BYEs!$B$2:$B$33,MATCH(D147,BYEs!$A$2:$A$33,0)),"N/A")</f>
        <v>9</v>
      </c>
      <c r="D147" s="195" t="str">
        <f ca="1">INDEX(INDIRECT(""&amp;B147&amp;"!E2:E700"),MATCH(A147,INDIRECT(""&amp;B147&amp;"!B2:B700"),0))</f>
        <v>CLE</v>
      </c>
      <c r="E147" s="194" t="str">
        <f ca="1">INDEX(INDIRECT(""&amp;$B147&amp;"!Z2:Z709"),MATCH($A147,INDIRECT(""&amp;$B147&amp;"!B2:B709"),0))</f>
        <v>WR7</v>
      </c>
      <c r="F147" s="196">
        <f ca="1">IF(LeagueInfo!$H$7="Starter/Bench",INDEX(INDIRECT(""&amp;B147&amp;"!S2:S709"),MATCH(A147,INDIRECT(""&amp;B147&amp;"!B2:B709"),0)),INDEX(INDIRECT(""&amp;B147&amp;"!AA2:AA709"),MATCH(A147,INDIRECT(""&amp;B147&amp;"!B2:B709"),0)))</f>
        <v>2.7565972236221916</v>
      </c>
      <c r="G147" s="197">
        <f>IF(H147&gt;0,F147-H147,0)</f>
        <v>0</v>
      </c>
      <c r="H147" s="198"/>
      <c r="I147" s="197">
        <f ca="1">F147*$A$2</f>
        <v>2.7565972236221916</v>
      </c>
      <c r="J147" s="197" t="s">
        <v>80</v>
      </c>
      <c r="K147" s="197">
        <f>IF(LeagueInfo!$F$7="Yahoo",IFERROR(INDEX(DefaultAuctionValues!$B$2:$B$359,MATCH(A147,DefaultAuctionValues!$A$2:$A$359,0)),0),IF(LeagueInfo!$F$7="ESPN",IFERROR(INDEX(DefaultAuctionValues!$C$2:$C$359,MATCH(A147,DefaultAuctionValues!$A$2:$A$359,0)),0),IF(LeagueInfo!$F$7="FantasyPros",IFERROR(INDEX(DefaultAuctionValues!$D$2:$D$359,MATCH(A147,DefaultAuctionValues!$A$2:$A$359,0)),0))))</f>
        <v>1</v>
      </c>
      <c r="L147" s="197">
        <f ca="1">I147-K147</f>
        <v>1.7565972236221916</v>
      </c>
      <c r="M147" s="213"/>
      <c r="N147" s="208">
        <f ca="1">INDEX(INDIRECT(""&amp;$B147&amp;"!y2:y709"),MATCH($A147,INDIRECT(""&amp;$B147&amp;"!B2:B709"),0))</f>
        <v>5.7549999999999955</v>
      </c>
      <c r="O147" s="217" t="str">
        <f ca="1">IF(INDEX(INDIRECT(""&amp;$B147&amp;"!V2:V700"),MATCH($A147,INDIRECT(""&amp;$B147&amp;"!B2:B700"),0))=0,"",INDEX(INDIRECT(""&amp;$B147&amp;"!V2:V700"),MATCH($A147,INDIRECT(""&amp;$B147&amp;"!B2:B700"),0)))</f>
        <v/>
      </c>
    </row>
    <row r="148" spans="1:15" x14ac:dyDescent="0.25">
      <c r="A148" s="195" t="s">
        <v>210</v>
      </c>
      <c r="B148" s="195" t="s">
        <v>39</v>
      </c>
      <c r="C148" s="195">
        <f ca="1">IFERROR(INDEX(BYEs!$B$2:$B$33,MATCH(D148,BYEs!$A$2:$A$33,0)),"N/A")</f>
        <v>8</v>
      </c>
      <c r="D148" s="195" t="str">
        <f ca="1">INDEX(INDIRECT(""&amp;B148&amp;"!E2:E700"),MATCH(A148,INDIRECT(""&amp;B148&amp;"!B2:B700"),0))</f>
        <v>ARI</v>
      </c>
      <c r="E148" s="194" t="str">
        <f ca="1">INDEX(INDIRECT(""&amp;$B148&amp;"!Z2:Z709"),MATCH($A148,INDIRECT(""&amp;$B148&amp;"!B2:B709"),0))</f>
        <v>WR7</v>
      </c>
      <c r="F148" s="196">
        <f ca="1">IF(LeagueInfo!$H$7="Starter/Bench",INDEX(INDIRECT(""&amp;B148&amp;"!S2:S709"),MATCH(A148,INDIRECT(""&amp;B148&amp;"!B2:B709"),0)),INDEX(INDIRECT(""&amp;B148&amp;"!AA2:AA709"),MATCH(A148,INDIRECT(""&amp;B148&amp;"!B2:B709"),0)))</f>
        <v>2.5458408763774028</v>
      </c>
      <c r="G148" s="197">
        <f>IF(H148&gt;0,F148-H148,0)</f>
        <v>0</v>
      </c>
      <c r="H148" s="198"/>
      <c r="I148" s="197">
        <f ca="1">F148*$A$2</f>
        <v>2.5458408763774028</v>
      </c>
      <c r="J148" s="197" t="s">
        <v>80</v>
      </c>
      <c r="K148" s="197">
        <f>IF(LeagueInfo!$F$7="Yahoo",IFERROR(INDEX(DefaultAuctionValues!$B$2:$B$359,MATCH(A148,DefaultAuctionValues!$A$2:$A$359,0)),0),IF(LeagueInfo!$F$7="ESPN",IFERROR(INDEX(DefaultAuctionValues!$C$2:$C$359,MATCH(A148,DefaultAuctionValues!$A$2:$A$359,0)),0),IF(LeagueInfo!$F$7="FantasyPros",IFERROR(INDEX(DefaultAuctionValues!$D$2:$D$359,MATCH(A148,DefaultAuctionValues!$A$2:$A$359,0)),0))))</f>
        <v>1</v>
      </c>
      <c r="L148" s="197">
        <f ca="1">I148-K148</f>
        <v>1.5458408763774028</v>
      </c>
      <c r="M148" s="213"/>
      <c r="N148" s="208">
        <f ca="1">INDEX(INDIRECT(""&amp;$B148&amp;"!y2:y709"),MATCH($A148,INDIRECT(""&amp;$B148&amp;"!B2:B709"),0))</f>
        <v>5.3149999999999977</v>
      </c>
      <c r="O148" s="217" t="str">
        <f ca="1">IF(INDEX(INDIRECT(""&amp;$B148&amp;"!V2:V700"),MATCH($A148,INDIRECT(""&amp;$B148&amp;"!B2:B700"),0))=0,"",INDEX(INDIRECT(""&amp;$B148&amp;"!V2:V700"),MATCH($A148,INDIRECT(""&amp;$B148&amp;"!B2:B700"),0)))</f>
        <v/>
      </c>
    </row>
    <row r="149" spans="1:15" x14ac:dyDescent="0.25">
      <c r="A149" s="195" t="s">
        <v>216</v>
      </c>
      <c r="B149" s="195" t="s">
        <v>32</v>
      </c>
      <c r="C149" s="195">
        <f ca="1">IFERROR(INDEX(BYEs!$B$2:$B$33,MATCH(D149,BYEs!$A$2:$A$33,0)),"N/A")</f>
        <v>6</v>
      </c>
      <c r="D149" s="195" t="str">
        <f ca="1">INDEX(INDIRECT(""&amp;B149&amp;"!E2:E700"),MATCH(A149,INDIRECT(""&amp;B149&amp;"!B2:B700"),0))</f>
        <v>SEA</v>
      </c>
      <c r="E149" s="194" t="str">
        <f ca="1">INDEX(INDIRECT(""&amp;$B149&amp;"!Z2:Z709"),MATCH($A149,INDIRECT(""&amp;$B149&amp;"!B2:B709"),0))</f>
        <v>RB10</v>
      </c>
      <c r="F149" s="196">
        <f ca="1">IF(LeagueInfo!$H$7="Starter/Bench",INDEX(INDIRECT(""&amp;B149&amp;"!S2:S709"),MATCH(A149,INDIRECT(""&amp;B149&amp;"!B2:B709"),0)),INDEX(INDIRECT(""&amp;B149&amp;"!AA2:AA709"),MATCH(A149,INDIRECT(""&amp;B149&amp;"!B2:B709"),0)))</f>
        <v>2.5290761669374779</v>
      </c>
      <c r="G149" s="197">
        <f>IF(H149&gt;0,F149-H149,0)</f>
        <v>0</v>
      </c>
      <c r="H149" s="198"/>
      <c r="I149" s="197">
        <f ca="1">F149*$A$2</f>
        <v>2.5290761669374779</v>
      </c>
      <c r="J149" s="197" t="s">
        <v>80</v>
      </c>
      <c r="K149" s="197">
        <f>IF(LeagueInfo!$F$7="Yahoo",IFERROR(INDEX(DefaultAuctionValues!$B$2:$B$359,MATCH(A149,DefaultAuctionValues!$A$2:$A$359,0)),0),IF(LeagueInfo!$F$7="ESPN",IFERROR(INDEX(DefaultAuctionValues!$C$2:$C$359,MATCH(A149,DefaultAuctionValues!$A$2:$A$359,0)),0),IF(LeagueInfo!$F$7="FantasyPros",IFERROR(INDEX(DefaultAuctionValues!$D$2:$D$359,MATCH(A149,DefaultAuctionValues!$A$2:$A$359,0)),0))))</f>
        <v>1</v>
      </c>
      <c r="L149" s="197">
        <f ca="1">I149-K149</f>
        <v>1.5290761669374779</v>
      </c>
      <c r="M149" s="213"/>
      <c r="N149" s="208">
        <f ca="1">INDEX(INDIRECT(""&amp;$B149&amp;"!y2:y709"),MATCH($A149,INDIRECT(""&amp;$B149&amp;"!B2:B709"),0))</f>
        <v>5.2800000000000011</v>
      </c>
      <c r="O149" s="217" t="str">
        <f ca="1">IF(INDEX(INDIRECT(""&amp;$B149&amp;"!V2:V700"),MATCH($A149,INDIRECT(""&amp;$B149&amp;"!B2:B700"),0))=0,"",INDEX(INDIRECT(""&amp;$B149&amp;"!V2:V700"),MATCH($A149,INDIRECT(""&amp;$B149&amp;"!B2:B700"),0)))</f>
        <v/>
      </c>
    </row>
    <row r="150" spans="1:15" x14ac:dyDescent="0.25">
      <c r="A150" s="195" t="s">
        <v>301</v>
      </c>
      <c r="B150" s="195" t="s">
        <v>47</v>
      </c>
      <c r="C150" s="195">
        <f ca="1">IFERROR(INDEX(BYEs!$B$2:$B$33,MATCH(D150,BYEs!$A$2:$A$33,0)),"N/A")</f>
        <v>10</v>
      </c>
      <c r="D150" s="195" t="str">
        <f ca="1">INDEX(INDIRECT(""&amp;B150&amp;"!E2:E700"),MATCH(A150,INDIRECT(""&amp;B150&amp;"!B2:B700"),0))</f>
        <v>OAK</v>
      </c>
      <c r="E150" s="194" t="str">
        <f ca="1">INDEX(INDIRECT(""&amp;$B150&amp;"!Z2:Z709"),MATCH($A150,INDIRECT(""&amp;$B150&amp;"!B2:B709"),0))</f>
        <v>TE8</v>
      </c>
      <c r="F150" s="196">
        <f ca="1">IF(LeagueInfo!$H$7="Starter/Bench",INDEX(INDIRECT(""&amp;B150&amp;"!S2:S709"),MATCH(A150,INDIRECT(""&amp;B150&amp;"!B2:B709"),0)),INDEX(INDIRECT(""&amp;B150&amp;"!AA2:AA709"),MATCH(A150,INDIRECT(""&amp;B150&amp;"!B2:B709"),0)))</f>
        <v>2.4332778272807576</v>
      </c>
      <c r="G150" s="197">
        <f>IF(H150&gt;0,F150-H150,0)</f>
        <v>0</v>
      </c>
      <c r="H150" s="198"/>
      <c r="I150" s="197">
        <f ca="1">F150*$A$2</f>
        <v>2.4332778272807576</v>
      </c>
      <c r="J150" s="197" t="s">
        <v>80</v>
      </c>
      <c r="K150" s="197">
        <f>IF(LeagueInfo!$F$7="Yahoo",IFERROR(INDEX(DefaultAuctionValues!$B$2:$B$359,MATCH(A150,DefaultAuctionValues!$A$2:$A$359,0)),0),IF(LeagueInfo!$F$7="ESPN",IFERROR(INDEX(DefaultAuctionValues!$C$2:$C$359,MATCH(A150,DefaultAuctionValues!$A$2:$A$359,0)),0),IF(LeagueInfo!$F$7="FantasyPros",IFERROR(INDEX(DefaultAuctionValues!$D$2:$D$359,MATCH(A150,DefaultAuctionValues!$A$2:$A$359,0)),0))))</f>
        <v>1</v>
      </c>
      <c r="L150" s="197">
        <f ca="1">I150-K150</f>
        <v>1.4332778272807576</v>
      </c>
      <c r="M150" s="213"/>
      <c r="N150" s="208">
        <f ca="1">INDEX(INDIRECT(""&amp;$B150&amp;"!y2:y709"),MATCH($A150,INDIRECT(""&amp;$B150&amp;"!B2:B709"),0))</f>
        <v>5.0800000000000054</v>
      </c>
      <c r="O150" s="217" t="str">
        <f ca="1">IF(INDEX(INDIRECT(""&amp;$B150&amp;"!V2:V700"),MATCH($A150,INDIRECT(""&amp;$B150&amp;"!B2:B700"),0))=0,"",INDEX(INDIRECT(""&amp;$B150&amp;"!V2:V700"),MATCH($A150,INDIRECT(""&amp;$B150&amp;"!B2:B700"),0)))</f>
        <v/>
      </c>
    </row>
    <row r="151" spans="1:15" x14ac:dyDescent="0.25">
      <c r="A151" s="195" t="s">
        <v>274</v>
      </c>
      <c r="B151" s="195" t="s">
        <v>47</v>
      </c>
      <c r="C151" s="195">
        <f ca="1">IFERROR(INDEX(BYEs!$B$2:$B$33,MATCH(D151,BYEs!$A$2:$A$33,0)),"N/A")</f>
        <v>11</v>
      </c>
      <c r="D151" s="195" t="str">
        <f ca="1">INDEX(INDIRECT(""&amp;B151&amp;"!E2:E700"),MATCH(A151,INDIRECT(""&amp;B151&amp;"!B2:B700"),0))</f>
        <v>MIA</v>
      </c>
      <c r="E151" s="194" t="str">
        <f ca="1">INDEX(INDIRECT(""&amp;$B151&amp;"!Z2:Z709"),MATCH($A151,INDIRECT(""&amp;$B151&amp;"!B2:B709"),0))</f>
        <v>TE8</v>
      </c>
      <c r="F151" s="196">
        <f ca="1">IF(LeagueInfo!$H$7="Starter/Bench",INDEX(INDIRECT(""&amp;B151&amp;"!S2:S709"),MATCH(A151,INDIRECT(""&amp;B151&amp;"!B2:B709"),0)),INDEX(INDIRECT(""&amp;B151&amp;"!AA2:AA709"),MATCH(A151,INDIRECT(""&amp;B151&amp;"!B2:B709"),0)))</f>
        <v>2.3925635329266464</v>
      </c>
      <c r="G151" s="197">
        <f>IF(H151&gt;0,F151-H151,0)</f>
        <v>0</v>
      </c>
      <c r="H151" s="198"/>
      <c r="I151" s="197">
        <f ca="1">F151*$A$2</f>
        <v>2.3925635329266464</v>
      </c>
      <c r="J151" s="197" t="s">
        <v>80</v>
      </c>
      <c r="K151" s="197">
        <f>IF(LeagueInfo!$F$7="Yahoo",IFERROR(INDEX(DefaultAuctionValues!$B$2:$B$359,MATCH(A151,DefaultAuctionValues!$A$2:$A$359,0)),0),IF(LeagueInfo!$F$7="ESPN",IFERROR(INDEX(DefaultAuctionValues!$C$2:$C$359,MATCH(A151,DefaultAuctionValues!$A$2:$A$359,0)),0),IF(LeagueInfo!$F$7="FantasyPros",IFERROR(INDEX(DefaultAuctionValues!$D$2:$D$359,MATCH(A151,DefaultAuctionValues!$A$2:$A$359,0)),0))))</f>
        <v>1</v>
      </c>
      <c r="L151" s="197">
        <f ca="1">I151-K151</f>
        <v>1.3925635329266464</v>
      </c>
      <c r="M151" s="213"/>
      <c r="N151" s="208">
        <f ca="1">INDEX(INDIRECT(""&amp;$B151&amp;"!y2:y709"),MATCH($A151,INDIRECT(""&amp;$B151&amp;"!B2:B709"),0))</f>
        <v>4.9949999999999974</v>
      </c>
      <c r="O151" s="217" t="str">
        <f ca="1">IF(INDEX(INDIRECT(""&amp;$B151&amp;"!V2:V700"),MATCH($A151,INDIRECT(""&amp;$B151&amp;"!B2:B700"),0))=0,"",INDEX(INDIRECT(""&amp;$B151&amp;"!V2:V700"),MATCH($A151,INDIRECT(""&amp;$B151&amp;"!B2:B700"),0)))</f>
        <v/>
      </c>
    </row>
    <row r="152" spans="1:15" x14ac:dyDescent="0.25">
      <c r="A152" s="195" t="s">
        <v>553</v>
      </c>
      <c r="B152" s="195" t="s">
        <v>39</v>
      </c>
      <c r="C152" s="195">
        <f ca="1">IFERROR(INDEX(BYEs!$B$2:$B$33,MATCH(D152,BYEs!$A$2:$A$33,0)),"N/A")</f>
        <v>5</v>
      </c>
      <c r="D152" s="195" t="str">
        <f ca="1">INDEX(INDIRECT(""&amp;B152&amp;"!E2:E700"),MATCH(A152,INDIRECT(""&amp;B152&amp;"!B2:B700"),0))</f>
        <v>NO</v>
      </c>
      <c r="E152" s="194" t="str">
        <f ca="1">INDEX(INDIRECT(""&amp;$B152&amp;"!Z2:Z709"),MATCH($A152,INDIRECT(""&amp;$B152&amp;"!B2:B709"),0))</f>
        <v>WR7</v>
      </c>
      <c r="F152" s="196">
        <f ca="1">IF(LeagueInfo!$H$7="Starter/Bench",INDEX(INDIRECT(""&amp;B152&amp;"!S2:S709"),MATCH(A152,INDIRECT(""&amp;B152&amp;"!B2:B709"),0)),INDEX(INDIRECT(""&amp;B152&amp;"!AA2:AA709"),MATCH(A152,INDIRECT(""&amp;B152&amp;"!B2:B709"),0)))</f>
        <v>2.2081517290874562</v>
      </c>
      <c r="G152" s="197">
        <f>IF(H152&gt;0,F152-H152,0)</f>
        <v>0</v>
      </c>
      <c r="H152" s="198"/>
      <c r="I152" s="197">
        <f ca="1">F152*$A$2</f>
        <v>2.2081517290874562</v>
      </c>
      <c r="J152" s="197" t="s">
        <v>80</v>
      </c>
      <c r="K152" s="197">
        <f>IF(LeagueInfo!$F$7="Yahoo",IFERROR(INDEX(DefaultAuctionValues!$B$2:$B$359,MATCH(A152,DefaultAuctionValues!$A$2:$A$359,0)),0),IF(LeagueInfo!$F$7="ESPN",IFERROR(INDEX(DefaultAuctionValues!$C$2:$C$359,MATCH(A152,DefaultAuctionValues!$A$2:$A$359,0)),0),IF(LeagueInfo!$F$7="FantasyPros",IFERROR(INDEX(DefaultAuctionValues!$D$2:$D$359,MATCH(A152,DefaultAuctionValues!$A$2:$A$359,0)),0))))</f>
        <v>0</v>
      </c>
      <c r="L152" s="197">
        <f ca="1">I152-K152</f>
        <v>2.2081517290874562</v>
      </c>
      <c r="M152" s="213"/>
      <c r="N152" s="208">
        <f ca="1">INDEX(INDIRECT(""&amp;$B152&amp;"!y2:y709"),MATCH($A152,INDIRECT(""&amp;$B152&amp;"!B2:B709"),0))</f>
        <v>4.6099999999999994</v>
      </c>
      <c r="O152" s="217" t="str">
        <f ca="1">IF(INDEX(INDIRECT(""&amp;$B152&amp;"!V2:V700"),MATCH($A152,INDIRECT(""&amp;$B152&amp;"!B2:B700"),0))=0,"",INDEX(INDIRECT(""&amp;$B152&amp;"!V2:V700"),MATCH($A152,INDIRECT(""&amp;$B152&amp;"!B2:B700"),0)))</f>
        <v/>
      </c>
    </row>
    <row r="153" spans="1:15" x14ac:dyDescent="0.25">
      <c r="A153" s="195" t="s">
        <v>292</v>
      </c>
      <c r="B153" s="195" t="s">
        <v>47</v>
      </c>
      <c r="C153" s="195">
        <f ca="1">IFERROR(INDEX(BYEs!$B$2:$B$33,MATCH(D153,BYEs!$A$2:$A$33,0)),"N/A")</f>
        <v>7</v>
      </c>
      <c r="D153" s="195" t="str">
        <f ca="1">INDEX(INDIRECT(""&amp;B153&amp;"!E2:E700"),MATCH(A153,INDIRECT(""&amp;B153&amp;"!B2:B700"),0))</f>
        <v>HOU</v>
      </c>
      <c r="E153" s="194" t="str">
        <f ca="1">INDEX(INDIRECT(""&amp;$B153&amp;"!Z2:Z709"),MATCH($A153,INDIRECT(""&amp;$B153&amp;"!B2:B709"),0))</f>
        <v>TE8</v>
      </c>
      <c r="F153" s="196">
        <f ca="1">IF(LeagueInfo!$H$7="Starter/Bench",INDEX(INDIRECT(""&amp;B153&amp;"!S2:S709"),MATCH(A153,INDIRECT(""&amp;B153&amp;"!B2:B709"),0)),INDEX(INDIRECT(""&amp;B153&amp;"!AA2:AA709"),MATCH(A153,INDIRECT(""&amp;B153&amp;"!B2:B709"),0)))</f>
        <v>2.1099584309393165</v>
      </c>
      <c r="G153" s="197">
        <f>IF(H153&gt;0,F153-H153,0)</f>
        <v>0</v>
      </c>
      <c r="H153" s="198"/>
      <c r="I153" s="197">
        <f ca="1">F153*$A$2</f>
        <v>2.1099584309393165</v>
      </c>
      <c r="J153" s="197" t="s">
        <v>80</v>
      </c>
      <c r="K153" s="197">
        <f>IF(LeagueInfo!$F$7="Yahoo",IFERROR(INDEX(DefaultAuctionValues!$B$2:$B$359,MATCH(A153,DefaultAuctionValues!$A$2:$A$359,0)),0),IF(LeagueInfo!$F$7="ESPN",IFERROR(INDEX(DefaultAuctionValues!$C$2:$C$359,MATCH(A153,DefaultAuctionValues!$A$2:$A$359,0)),0),IF(LeagueInfo!$F$7="FantasyPros",IFERROR(INDEX(DefaultAuctionValues!$D$2:$D$359,MATCH(A153,DefaultAuctionValues!$A$2:$A$359,0)),0))))</f>
        <v>1</v>
      </c>
      <c r="L153" s="197">
        <f ca="1">I153-K153</f>
        <v>1.1099584309393165</v>
      </c>
      <c r="M153" s="213"/>
      <c r="N153" s="208">
        <f ca="1">INDEX(INDIRECT(""&amp;$B153&amp;"!y2:y709"),MATCH($A153,INDIRECT(""&amp;$B153&amp;"!B2:B709"),0))</f>
        <v>4.4050000000000011</v>
      </c>
      <c r="O153" s="217" t="str">
        <f ca="1">IF(INDEX(INDIRECT(""&amp;$B153&amp;"!V2:V700"),MATCH($A153,INDIRECT(""&amp;$B153&amp;"!B2:B700"),0))=0,"",INDEX(INDIRECT(""&amp;$B153&amp;"!V2:V700"),MATCH($A153,INDIRECT(""&amp;$B153&amp;"!B2:B700"),0)))</f>
        <v/>
      </c>
    </row>
    <row r="154" spans="1:15" x14ac:dyDescent="0.25">
      <c r="A154" s="195" t="s">
        <v>436</v>
      </c>
      <c r="B154" s="195" t="s">
        <v>32</v>
      </c>
      <c r="C154" s="195">
        <f ca="1">IFERROR(INDEX(BYEs!$B$2:$B$33,MATCH(D154,BYEs!$A$2:$A$33,0)),"N/A")</f>
        <v>8</v>
      </c>
      <c r="D154" s="195" t="str">
        <f ca="1">INDEX(INDIRECT(""&amp;B154&amp;"!E2:E700"),MATCH(A154,INDIRECT(""&amp;B154&amp;"!B2:B700"),0))</f>
        <v>NYG</v>
      </c>
      <c r="E154" s="194" t="str">
        <f ca="1">INDEX(INDIRECT(""&amp;$B154&amp;"!Z2:Z709"),MATCH($A154,INDIRECT(""&amp;$B154&amp;"!B2:B709"),0))</f>
        <v>RB10</v>
      </c>
      <c r="F154" s="196">
        <f ca="1">IF(LeagueInfo!$H$7="Starter/Bench",INDEX(INDIRECT(""&amp;B154&amp;"!S2:S709"),MATCH(A154,INDIRECT(""&amp;B154&amp;"!B2:B709"),0)),INDEX(INDIRECT(""&amp;B154&amp;"!AA2:AA709"),MATCH(A154,INDIRECT(""&amp;B154&amp;"!B2:B709"),0)))</f>
        <v>1.8201684534777287</v>
      </c>
      <c r="G154" s="197">
        <f>IF(H154&gt;0,F154-H154,0)</f>
        <v>0</v>
      </c>
      <c r="H154" s="198"/>
      <c r="I154" s="197">
        <f ca="1">F154*$A$2</f>
        <v>1.8201684534777287</v>
      </c>
      <c r="J154" s="197" t="s">
        <v>80</v>
      </c>
      <c r="K154" s="197">
        <f>IF(LeagueInfo!$F$7="Yahoo",IFERROR(INDEX(DefaultAuctionValues!$B$2:$B$359,MATCH(A154,DefaultAuctionValues!$A$2:$A$359,0)),0),IF(LeagueInfo!$F$7="ESPN",IFERROR(INDEX(DefaultAuctionValues!$C$2:$C$359,MATCH(A154,DefaultAuctionValues!$A$2:$A$359,0)),0),IF(LeagueInfo!$F$7="FantasyPros",IFERROR(INDEX(DefaultAuctionValues!$D$2:$D$359,MATCH(A154,DefaultAuctionValues!$A$2:$A$359,0)),0))))</f>
        <v>0</v>
      </c>
      <c r="L154" s="197">
        <f ca="1">I154-K154</f>
        <v>1.8201684534777287</v>
      </c>
      <c r="M154" s="213"/>
      <c r="N154" s="208">
        <f ca="1">INDEX(INDIRECT(""&amp;$B154&amp;"!y2:y709"),MATCH($A154,INDIRECT(""&amp;$B154&amp;"!B2:B709"),0))</f>
        <v>3.7999999999999972</v>
      </c>
      <c r="O154" s="217" t="str">
        <f ca="1">IF(INDEX(INDIRECT(""&amp;$B154&amp;"!V2:V700"),MATCH($A154,INDIRECT(""&amp;$B154&amp;"!B2:B700"),0))=0,"",INDEX(INDIRECT(""&amp;$B154&amp;"!V2:V700"),MATCH($A154,INDIRECT(""&amp;$B154&amp;"!B2:B700"),0)))</f>
        <v/>
      </c>
    </row>
    <row r="155" spans="1:15" x14ac:dyDescent="0.25">
      <c r="A155" s="195" t="s">
        <v>245</v>
      </c>
      <c r="B155" s="195" t="s">
        <v>33</v>
      </c>
      <c r="C155" s="195">
        <f ca="1">IFERROR(INDEX(BYEs!$B$2:$B$33,MATCH(D155,BYEs!$A$2:$A$33,0)),"N/A")</f>
        <v>10</v>
      </c>
      <c r="D155" s="195" t="str">
        <f ca="1">INDEX(INDIRECT(""&amp;B155&amp;"!E2:E700"),MATCH(A155,INDIRECT(""&amp;B155&amp;"!B2:B700"),0))</f>
        <v>KC</v>
      </c>
      <c r="E155" s="194" t="str">
        <f ca="1">INDEX(INDIRECT(""&amp;$B155&amp;"!Z2:Z709"),MATCH($A155,INDIRECT(""&amp;$B155&amp;"!B2:B709"),0))</f>
        <v>QB4</v>
      </c>
      <c r="F155" s="196">
        <f ca="1">IF(LeagueInfo!$H$7="Starter/Bench",INDEX(INDIRECT(""&amp;B155&amp;"!S2:S709"),MATCH(A155,INDIRECT(""&amp;B155&amp;"!B2:B709"),0)),INDEX(INDIRECT(""&amp;B155&amp;"!AA2:AA709"),MATCH(A155,INDIRECT(""&amp;B155&amp;"!B2:B709"),0)))</f>
        <v>1.6017482390604063</v>
      </c>
      <c r="G155" s="197">
        <f>IF(H155&gt;0,F155-H155,0)</f>
        <v>0</v>
      </c>
      <c r="H155" s="198"/>
      <c r="I155" s="197">
        <f ca="1">F155*$A$2</f>
        <v>1.6017482390604063</v>
      </c>
      <c r="J155" s="197" t="s">
        <v>80</v>
      </c>
      <c r="K155" s="197">
        <f>IF(LeagueInfo!$F$7="Yahoo",IFERROR(INDEX(DefaultAuctionValues!$B$2:$B$359,MATCH(A155,DefaultAuctionValues!$A$2:$A$359,0)),0),IF(LeagueInfo!$F$7="ESPN",IFERROR(INDEX(DefaultAuctionValues!$C$2:$C$359,MATCH(A155,DefaultAuctionValues!$A$2:$A$359,0)),0),IF(LeagueInfo!$F$7="FantasyPros",IFERROR(INDEX(DefaultAuctionValues!$D$2:$D$359,MATCH(A155,DefaultAuctionValues!$A$2:$A$359,0)),0))))</f>
        <v>2</v>
      </c>
      <c r="L155" s="197">
        <f ca="1">I155-K155</f>
        <v>-0.39825176093959369</v>
      </c>
      <c r="M155" s="213"/>
      <c r="N155" s="208">
        <f ca="1">INDEX(INDIRECT(""&amp;$B155&amp;"!y2:y709"),MATCH($A155,INDIRECT(""&amp;$B155&amp;"!B2:B709"),0))</f>
        <v>3.3440000000000083</v>
      </c>
      <c r="O155" s="217" t="str">
        <f ca="1">IF(INDEX(INDIRECT(""&amp;$B155&amp;"!V2:V700"),MATCH($A155,INDIRECT(""&amp;$B155&amp;"!B2:B700"),0))=0,"",INDEX(INDIRECT(""&amp;$B155&amp;"!V2:V700"),MATCH($A155,INDIRECT(""&amp;$B155&amp;"!B2:B700"),0)))</f>
        <v/>
      </c>
    </row>
    <row r="156" spans="1:15" x14ac:dyDescent="0.25">
      <c r="A156" s="195" t="s">
        <v>220</v>
      </c>
      <c r="B156" s="195" t="s">
        <v>32</v>
      </c>
      <c r="C156" s="195">
        <f ca="1">IFERROR(INDEX(BYEs!$B$2:$B$33,MATCH(D156,BYEs!$A$2:$A$33,0)),"N/A")</f>
        <v>8</v>
      </c>
      <c r="D156" s="195" t="str">
        <f ca="1">INDEX(INDIRECT(""&amp;B156&amp;"!E2:E700"),MATCH(A156,INDIRECT(""&amp;B156&amp;"!B2:B700"),0))</f>
        <v>GB</v>
      </c>
      <c r="E156" s="194" t="str">
        <f ca="1">INDEX(INDIRECT(""&amp;$B156&amp;"!Z2:Z709"),MATCH($A156,INDIRECT(""&amp;$B156&amp;"!B2:B709"),0))</f>
        <v>RB10</v>
      </c>
      <c r="F156" s="196">
        <f ca="1">IF(LeagueInfo!$H$7="Starter/Bench",INDEX(INDIRECT(""&amp;B156&amp;"!S2:S709"),MATCH(A156,INDIRECT(""&amp;B156&amp;"!B2:B709"),0)),INDEX(INDIRECT(""&amp;B156&amp;"!AA2:AA709"),MATCH(A156,INDIRECT(""&amp;B156&amp;"!B2:B709"),0)))</f>
        <v>1.4513448457993483</v>
      </c>
      <c r="G156" s="197">
        <f>IF(H156&gt;0,F156-H156,0)</f>
        <v>0</v>
      </c>
      <c r="H156" s="198"/>
      <c r="I156" s="197">
        <f ca="1">F156*$A$2</f>
        <v>1.4513448457993483</v>
      </c>
      <c r="J156" s="197" t="s">
        <v>80</v>
      </c>
      <c r="K156" s="197">
        <f>IF(LeagueInfo!$F$7="Yahoo",IFERROR(INDEX(DefaultAuctionValues!$B$2:$B$359,MATCH(A156,DefaultAuctionValues!$A$2:$A$359,0)),0),IF(LeagueInfo!$F$7="ESPN",IFERROR(INDEX(DefaultAuctionValues!$C$2:$C$359,MATCH(A156,DefaultAuctionValues!$A$2:$A$359,0)),0),IF(LeagueInfo!$F$7="FantasyPros",IFERROR(INDEX(DefaultAuctionValues!$D$2:$D$359,MATCH(A156,DefaultAuctionValues!$A$2:$A$359,0)),0))))</f>
        <v>1</v>
      </c>
      <c r="L156" s="197">
        <f ca="1">I156-K156</f>
        <v>0.4513448457993483</v>
      </c>
      <c r="M156" s="213"/>
      <c r="N156" s="208">
        <f ca="1">INDEX(INDIRECT(""&amp;$B156&amp;"!y2:y709"),MATCH($A156,INDIRECT(""&amp;$B156&amp;"!B2:B709"),0))</f>
        <v>3.0300000000000011</v>
      </c>
      <c r="O156" s="217" t="str">
        <f ca="1">IF(INDEX(INDIRECT(""&amp;$B156&amp;"!V2:V700"),MATCH($A156,INDIRECT(""&amp;$B156&amp;"!B2:B700"),0))=0,"",INDEX(INDIRECT(""&amp;$B156&amp;"!V2:V700"),MATCH($A156,INDIRECT(""&amp;$B156&amp;"!B2:B700"),0)))</f>
        <v/>
      </c>
    </row>
    <row r="157" spans="1:15" x14ac:dyDescent="0.25">
      <c r="A157" s="195" t="s">
        <v>201</v>
      </c>
      <c r="B157" s="195" t="s">
        <v>39</v>
      </c>
      <c r="C157" s="195">
        <f ca="1">IFERROR(INDEX(BYEs!$B$2:$B$33,MATCH(D157,BYEs!$A$2:$A$33,0)),"N/A")</f>
        <v>8</v>
      </c>
      <c r="D157" s="195" t="str">
        <f ca="1">INDEX(INDIRECT(""&amp;B157&amp;"!E2:E700"),MATCH(A157,INDIRECT(""&amp;B157&amp;"!B2:B700"),0))</f>
        <v>TEN</v>
      </c>
      <c r="E157" s="194" t="str">
        <f ca="1">INDEX(INDIRECT(""&amp;$B157&amp;"!Z2:Z709"),MATCH($A157,INDIRECT(""&amp;$B157&amp;"!B2:B709"),0))</f>
        <v>WR7</v>
      </c>
      <c r="F157" s="196">
        <f ca="1">IF(LeagueInfo!$H$7="Starter/Bench",INDEX(INDIRECT(""&amp;B157&amp;"!S2:S709"),MATCH(A157,INDIRECT(""&amp;B157&amp;"!B2:B709"),0)),INDEX(INDIRECT(""&amp;B157&amp;"!AA2:AA709"),MATCH(A157,INDIRECT(""&amp;B157&amp;"!B2:B709"),0)))</f>
        <v>1.4489498873079325</v>
      </c>
      <c r="G157" s="197">
        <f>IF(H157&gt;0,F157-H157,0)</f>
        <v>0</v>
      </c>
      <c r="H157" s="198"/>
      <c r="I157" s="197">
        <f ca="1">F157*$A$2</f>
        <v>1.4489498873079325</v>
      </c>
      <c r="J157" s="197" t="s">
        <v>80</v>
      </c>
      <c r="K157" s="197">
        <f>IF(LeagueInfo!$F$7="Yahoo",IFERROR(INDEX(DefaultAuctionValues!$B$2:$B$359,MATCH(A157,DefaultAuctionValues!$A$2:$A$359,0)),0),IF(LeagueInfo!$F$7="ESPN",IFERROR(INDEX(DefaultAuctionValues!$C$2:$C$359,MATCH(A157,DefaultAuctionValues!$A$2:$A$359,0)),0),IF(LeagueInfo!$F$7="FantasyPros",IFERROR(INDEX(DefaultAuctionValues!$D$2:$D$359,MATCH(A157,DefaultAuctionValues!$A$2:$A$359,0)),0))))</f>
        <v>1</v>
      </c>
      <c r="L157" s="197">
        <f ca="1">I157-K157</f>
        <v>0.4489498873079325</v>
      </c>
      <c r="M157" s="213"/>
      <c r="N157" s="208">
        <f ca="1">INDEX(INDIRECT(""&amp;$B157&amp;"!y2:y709"),MATCH($A157,INDIRECT(""&amp;$B157&amp;"!B2:B709"),0))</f>
        <v>3.0250000000000057</v>
      </c>
      <c r="O157" s="217" t="str">
        <f ca="1">IF(INDEX(INDIRECT(""&amp;$B157&amp;"!V2:V700"),MATCH($A157,INDIRECT(""&amp;$B157&amp;"!B2:B700"),0))=0,"",INDEX(INDIRECT(""&amp;$B157&amp;"!V2:V700"),MATCH($A157,INDIRECT(""&amp;$B157&amp;"!B2:B700"),0)))</f>
        <v/>
      </c>
    </row>
    <row r="158" spans="1:15" x14ac:dyDescent="0.25">
      <c r="A158" s="195" t="s">
        <v>290</v>
      </c>
      <c r="B158" s="195" t="s">
        <v>47</v>
      </c>
      <c r="C158" s="195">
        <f ca="1">IFERROR(INDEX(BYEs!$B$2:$B$33,MATCH(D158,BYEs!$A$2:$A$33,0)),"N/A")</f>
        <v>9</v>
      </c>
      <c r="D158" s="195" t="str">
        <f ca="1">INDEX(INDIRECT(""&amp;B158&amp;"!E2:E700"),MATCH(A158,INDIRECT(""&amp;B158&amp;"!B2:B700"),0))</f>
        <v>LAC</v>
      </c>
      <c r="E158" s="194" t="str">
        <f ca="1">INDEX(INDIRECT(""&amp;$B158&amp;"!Z2:Z709"),MATCH($A158,INDIRECT(""&amp;$B158&amp;"!B2:B709"),0))</f>
        <v>TE9</v>
      </c>
      <c r="F158" s="196">
        <f ca="1">IF(LeagueInfo!$H$7="Starter/Bench",INDEX(INDIRECT(""&amp;B158&amp;"!S2:S709"),MATCH(A158,INDIRECT(""&amp;B158&amp;"!B2:B709"),0)),INDEX(INDIRECT(""&amp;B158&amp;"!AA2:AA709"),MATCH(A158,INDIRECT(""&amp;B158&amp;"!B2:B709"),0)))</f>
        <v>1.3483616306683734</v>
      </c>
      <c r="G158" s="197">
        <f>IF(H158&gt;0,F158-H158,0)</f>
        <v>0</v>
      </c>
      <c r="H158" s="198"/>
      <c r="I158" s="197">
        <f ca="1">F158*$A$2</f>
        <v>1.3483616306683734</v>
      </c>
      <c r="J158" s="197" t="s">
        <v>80</v>
      </c>
      <c r="K158" s="197">
        <f>IF(LeagueInfo!$F$7="Yahoo",IFERROR(INDEX(DefaultAuctionValues!$B$2:$B$359,MATCH(A158,DefaultAuctionValues!$A$2:$A$359,0)),0),IF(LeagueInfo!$F$7="ESPN",IFERROR(INDEX(DefaultAuctionValues!$C$2:$C$359,MATCH(A158,DefaultAuctionValues!$A$2:$A$359,0)),0),IF(LeagueInfo!$F$7="FantasyPros",IFERROR(INDEX(DefaultAuctionValues!$D$2:$D$359,MATCH(A158,DefaultAuctionValues!$A$2:$A$359,0)),0))))</f>
        <v>1</v>
      </c>
      <c r="L158" s="197">
        <f ca="1">I158-K158</f>
        <v>0.34836163066837345</v>
      </c>
      <c r="M158" s="213"/>
      <c r="N158" s="208">
        <f ca="1">INDEX(INDIRECT(""&amp;$B158&amp;"!y2:y709"),MATCH($A158,INDIRECT(""&amp;$B158&amp;"!B2:B709"),0))</f>
        <v>2.8150000000000048</v>
      </c>
      <c r="O158" s="217" t="str">
        <f ca="1">IF(INDEX(INDIRECT(""&amp;$B158&amp;"!V2:V700"),MATCH($A158,INDIRECT(""&amp;$B158&amp;"!B2:B700"),0))=0,"",INDEX(INDIRECT(""&amp;$B158&amp;"!V2:V700"),MATCH($A158,INDIRECT(""&amp;$B158&amp;"!B2:B700"),0)))</f>
        <v/>
      </c>
    </row>
    <row r="159" spans="1:15" x14ac:dyDescent="0.25">
      <c r="A159" s="195" t="s">
        <v>192</v>
      </c>
      <c r="B159" s="195" t="s">
        <v>32</v>
      </c>
      <c r="C159" s="195">
        <f ca="1">IFERROR(INDEX(BYEs!$B$2:$B$33,MATCH(D159,BYEs!$A$2:$A$33,0)),"N/A")</f>
        <v>5</v>
      </c>
      <c r="D159" s="195" t="str">
        <f ca="1">INDEX(INDIRECT(""&amp;B159&amp;"!E2:E700"),MATCH(A159,INDIRECT(""&amp;B159&amp;"!B2:B700"),0))</f>
        <v>WAS</v>
      </c>
      <c r="E159" s="194" t="str">
        <f ca="1">INDEX(INDIRECT(""&amp;$B159&amp;"!Z2:Z709"),MATCH($A159,INDIRECT(""&amp;$B159&amp;"!B2:B709"),0))</f>
        <v>RB10</v>
      </c>
      <c r="F159" s="196">
        <f ca="1">IF(LeagueInfo!$H$7="Starter/Bench",INDEX(INDIRECT(""&amp;B159&amp;"!S2:S709"),MATCH(A159,INDIRECT(""&amp;B159&amp;"!B2:B709"),0)),INDEX(INDIRECT(""&amp;B159&amp;"!AA2:AA709"),MATCH(A159,INDIRECT(""&amp;B159&amp;"!B2:B709"),0)))</f>
        <v>1.25016833252023</v>
      </c>
      <c r="G159" s="197">
        <f>IF(H159&gt;0,F159-H159,0)</f>
        <v>0</v>
      </c>
      <c r="H159" s="198"/>
      <c r="I159" s="197">
        <f ca="1">F159*$A$2</f>
        <v>1.25016833252023</v>
      </c>
      <c r="J159" s="197" t="s">
        <v>80</v>
      </c>
      <c r="K159" s="197">
        <f>IF(LeagueInfo!$F$7="Yahoo",IFERROR(INDEX(DefaultAuctionValues!$B$2:$B$359,MATCH(A159,DefaultAuctionValues!$A$2:$A$359,0)),0),IF(LeagueInfo!$F$7="ESPN",IFERROR(INDEX(DefaultAuctionValues!$C$2:$C$359,MATCH(A159,DefaultAuctionValues!$A$2:$A$359,0)),0),IF(LeagueInfo!$F$7="FantasyPros",IFERROR(INDEX(DefaultAuctionValues!$D$2:$D$359,MATCH(A159,DefaultAuctionValues!$A$2:$A$359,0)),0))))</f>
        <v>2</v>
      </c>
      <c r="L159" s="197">
        <f ca="1">I159-K159</f>
        <v>-0.74983166747977004</v>
      </c>
      <c r="M159" s="213"/>
      <c r="N159" s="208">
        <f ca="1">INDEX(INDIRECT(""&amp;$B159&amp;"!y2:y709"),MATCH($A159,INDIRECT(""&amp;$B159&amp;"!B2:B709"),0))</f>
        <v>2.6099999999999994</v>
      </c>
      <c r="O159" s="217" t="str">
        <f ca="1">IF(INDEX(INDIRECT(""&amp;$B159&amp;"!V2:V700"),MATCH($A159,INDIRECT(""&amp;$B159&amp;"!B2:B700"),0))=0,"",INDEX(INDIRECT(""&amp;$B159&amp;"!V2:V700"),MATCH($A159,INDIRECT(""&amp;$B159&amp;"!B2:B700"),0)))</f>
        <v/>
      </c>
    </row>
    <row r="160" spans="1:15" x14ac:dyDescent="0.25">
      <c r="A160" s="195" t="s">
        <v>280</v>
      </c>
      <c r="B160" s="195" t="s">
        <v>39</v>
      </c>
      <c r="C160" s="195">
        <f ca="1">IFERROR(INDEX(BYEs!$B$2:$B$33,MATCH(D160,BYEs!$A$2:$A$33,0)),"N/A")</f>
        <v>6</v>
      </c>
      <c r="D160" s="195" t="str">
        <f ca="1">INDEX(INDIRECT(""&amp;B160&amp;"!E2:E700"),MATCH(A160,INDIRECT(""&amp;B160&amp;"!B2:B700"),0))</f>
        <v>DAL</v>
      </c>
      <c r="E160" s="194" t="str">
        <f ca="1">INDEX(INDIRECT(""&amp;$B160&amp;"!Z2:Z709"),MATCH($A160,INDIRECT(""&amp;$B160&amp;"!B2:B709"),0))</f>
        <v>WR7</v>
      </c>
      <c r="F160" s="196">
        <f ca="1">IF(LeagueInfo!$H$7="Starter/Bench",INDEX(INDIRECT(""&amp;B160&amp;"!S2:S709"),MATCH(A160,INDIRECT(""&amp;B160&amp;"!B2:B709"),0)),INDEX(INDIRECT(""&amp;B160&amp;"!AA2:AA709"),MATCH(A160,INDIRECT(""&amp;B160&amp;"!B2:B709"),0)))</f>
        <v>1.0561766947153697</v>
      </c>
      <c r="G160" s="197">
        <f>IF(H160&gt;0,F160-H160,0)</f>
        <v>0</v>
      </c>
      <c r="H160" s="198"/>
      <c r="I160" s="197">
        <f ca="1">F160*$A$2</f>
        <v>1.0561766947153697</v>
      </c>
      <c r="J160" s="197" t="s">
        <v>80</v>
      </c>
      <c r="K160" s="197">
        <f>IF(LeagueInfo!$F$7="Yahoo",IFERROR(INDEX(DefaultAuctionValues!$B$2:$B$359,MATCH(A160,DefaultAuctionValues!$A$2:$A$359,0)),0),IF(LeagueInfo!$F$7="ESPN",IFERROR(INDEX(DefaultAuctionValues!$C$2:$C$359,MATCH(A160,DefaultAuctionValues!$A$2:$A$359,0)),0),IF(LeagueInfo!$F$7="FantasyPros",IFERROR(INDEX(DefaultAuctionValues!$D$2:$D$359,MATCH(A160,DefaultAuctionValues!$A$2:$A$359,0)),0))))</f>
        <v>1</v>
      </c>
      <c r="L160" s="197">
        <f ca="1">I160-K160</f>
        <v>5.6176694715369679E-2</v>
      </c>
      <c r="M160" s="213"/>
      <c r="N160" s="208">
        <f ca="1">INDEX(INDIRECT(""&amp;$B160&amp;"!y2:y709"),MATCH($A160,INDIRECT(""&amp;$B160&amp;"!B2:B709"),0))</f>
        <v>2.2050000000000054</v>
      </c>
      <c r="O160" s="217" t="str">
        <f ca="1">IF(INDEX(INDIRECT(""&amp;$B160&amp;"!V2:V700"),MATCH($A160,INDIRECT(""&amp;$B160&amp;"!B2:B700"),0))=0,"",INDEX(INDIRECT(""&amp;$B160&amp;"!V2:V700"),MATCH($A160,INDIRECT(""&amp;$B160&amp;"!B2:B700"),0)))</f>
        <v/>
      </c>
    </row>
    <row r="161" spans="1:15" x14ac:dyDescent="0.25">
      <c r="A161" s="195" t="s">
        <v>273</v>
      </c>
      <c r="B161" s="195" t="s">
        <v>39</v>
      </c>
      <c r="C161" s="199">
        <f ca="1">IFERROR(INDEX(BYEs!$B$2:$B$33,MATCH(D161,BYEs!$A$2:$A$33,0)),"N/A")</f>
        <v>8</v>
      </c>
      <c r="D161" s="195" t="str">
        <f ca="1">INDEX(INDIRECT(""&amp;B161&amp;"!E2:E700"),MATCH(A161,INDIRECT(""&amp;B161&amp;"!B2:B700"),0))</f>
        <v>NYG</v>
      </c>
      <c r="E161" s="194" t="str">
        <f ca="1">INDEX(INDIRECT(""&amp;$B161&amp;"!Z2:Z709"),MATCH($A161,INDIRECT(""&amp;$B161&amp;"!B2:B709"),0))</f>
        <v>WR7</v>
      </c>
      <c r="F161" s="196">
        <f ca="1">IF(LeagueInfo!$H$7="Starter/Bench",INDEX(INDIRECT(""&amp;B161&amp;"!S2:S709"),MATCH(A161,INDIRECT(""&amp;B161&amp;"!B2:B709"),0)),INDEX(INDIRECT(""&amp;B161&amp;"!AA2:AA709"),MATCH(A161,INDIRECT(""&amp;B161&amp;"!B2:B709"),0)))</f>
        <v>1.0513867777325276</v>
      </c>
      <c r="G161" s="200">
        <f>IF(H161&gt;0,F161-H161,0)</f>
        <v>0</v>
      </c>
      <c r="H161" s="198"/>
      <c r="I161" s="200">
        <f ca="1">F161*$A$2</f>
        <v>1.0513867777325276</v>
      </c>
      <c r="J161" s="197" t="s">
        <v>80</v>
      </c>
      <c r="K161" s="197">
        <f>IF(LeagueInfo!$F$7="Yahoo",IFERROR(INDEX(DefaultAuctionValues!$B$2:$B$359,MATCH(A161,DefaultAuctionValues!$A$2:$A$359,0)),0),IF(LeagueInfo!$F$7="ESPN",IFERROR(INDEX(DefaultAuctionValues!$C$2:$C$359,MATCH(A161,DefaultAuctionValues!$A$2:$A$359,0)),0),IF(LeagueInfo!$F$7="FantasyPros",IFERROR(INDEX(DefaultAuctionValues!$D$2:$D$359,MATCH(A161,DefaultAuctionValues!$A$2:$A$359,0)),0))))</f>
        <v>1</v>
      </c>
      <c r="L161" s="201">
        <f ca="1">I161-K161</f>
        <v>5.1386777732527644E-2</v>
      </c>
      <c r="M161" s="213"/>
      <c r="N161" s="208">
        <f ca="1">INDEX(INDIRECT(""&amp;$B161&amp;"!y2:y709"),MATCH($A161,INDIRECT(""&amp;$B161&amp;"!B2:B709"),0))</f>
        <v>2.1949999999999932</v>
      </c>
      <c r="O161" s="217" t="str">
        <f ca="1">IF(INDEX(INDIRECT(""&amp;$B161&amp;"!V2:V700"),MATCH($A161,INDIRECT(""&amp;$B161&amp;"!B2:B700"),0))=0,"",INDEX(INDIRECT(""&amp;$B161&amp;"!V2:V700"),MATCH($A161,INDIRECT(""&amp;$B161&amp;"!B2:B700"),0)))</f>
        <v/>
      </c>
    </row>
    <row r="162" spans="1:15" x14ac:dyDescent="0.25">
      <c r="A162" s="195" t="s">
        <v>202</v>
      </c>
      <c r="B162" s="195" t="s">
        <v>52</v>
      </c>
      <c r="C162" s="199">
        <f ca="1">IFERROR(INDEX(BYEs!$B$2:$B$33,MATCH(D162,BYEs!$A$2:$A$33,0)),"N/A")</f>
        <v>9</v>
      </c>
      <c r="D162" s="195" t="str">
        <f ca="1">INDEX(INDIRECT(""&amp;B162&amp;"!E2:E700"),MATCH(A162,INDIRECT(""&amp;B162&amp;"!B2:B700"),0))</f>
        <v>NE</v>
      </c>
      <c r="E162" s="194" t="str">
        <f ca="1">INDEX(INDIRECT(""&amp;$B162&amp;"!Z2:Z709"),MATCH($A162,INDIRECT(""&amp;$B162&amp;"!B2:B709"),0))</f>
        <v>K1</v>
      </c>
      <c r="F162" s="196">
        <f ca="1">IF(LeagueInfo!$H$7="Starter/Bench",INDEX(INDIRECT(""&amp;B162&amp;"!S2:S709"),MATCH(A162,INDIRECT(""&amp;B162&amp;"!B2:B709"),0)),INDEX(INDIRECT(""&amp;B162&amp;"!AA2:AA709"),MATCH(A162,INDIRECT(""&amp;B162&amp;"!B2:B709"),0)))</f>
        <v>1</v>
      </c>
      <c r="G162" s="200">
        <f>IF(H162&gt;0,F162-H162,0)</f>
        <v>0</v>
      </c>
      <c r="H162" s="198"/>
      <c r="I162" s="200">
        <f ca="1">F162*$A$2</f>
        <v>1</v>
      </c>
      <c r="J162" s="197" t="s">
        <v>80</v>
      </c>
      <c r="K162" s="197">
        <f>IF(LeagueInfo!$F$7="Yahoo",IFERROR(INDEX(DefaultAuctionValues!$B$2:$B$359,MATCH(A162,DefaultAuctionValues!$A$2:$A$359,0)),0),IF(LeagueInfo!$F$7="ESPN",IFERROR(INDEX(DefaultAuctionValues!$C$2:$C$359,MATCH(A162,DefaultAuctionValues!$A$2:$A$359,0)),0),IF(LeagueInfo!$F$7="FantasyPros",IFERROR(INDEX(DefaultAuctionValues!$D$2:$D$359,MATCH(A162,DefaultAuctionValues!$A$2:$A$359,0)),0))))</f>
        <v>2</v>
      </c>
      <c r="L162" s="201">
        <f ca="1">I162-K162</f>
        <v>-1</v>
      </c>
      <c r="M162" s="213"/>
      <c r="N162" s="208">
        <f ca="1">INDEX(INDIRECT(""&amp;$B162&amp;"!y2:y709"),MATCH($A162,INDIRECT(""&amp;$B162&amp;"!B2:B709"),0))</f>
        <v>21.400000000000006</v>
      </c>
      <c r="O162" s="217" t="str">
        <f ca="1">IF(INDEX(INDIRECT(""&amp;$B162&amp;"!V2:V700"),MATCH($A162,INDIRECT(""&amp;$B162&amp;"!B2:B700"),0))=0,"",INDEX(INDIRECT(""&amp;$B162&amp;"!V2:V700"),MATCH($A162,INDIRECT(""&amp;$B162&amp;"!B2:B700"),0)))</f>
        <v/>
      </c>
    </row>
    <row r="163" spans="1:15" x14ac:dyDescent="0.25">
      <c r="A163" s="195" t="s">
        <v>262</v>
      </c>
      <c r="B163" s="195" t="s">
        <v>52</v>
      </c>
      <c r="C163" s="199">
        <f ca="1">IFERROR(INDEX(BYEs!$B$2:$B$33,MATCH(D163,BYEs!$A$2:$A$33,0)),"N/A")</f>
        <v>5</v>
      </c>
      <c r="D163" s="195" t="str">
        <f ca="1">INDEX(INDIRECT(""&amp;B163&amp;"!E2:E700"),MATCH(A163,INDIRECT(""&amp;B163&amp;"!B2:B700"),0))</f>
        <v>ATL</v>
      </c>
      <c r="E163" s="194" t="str">
        <f ca="1">INDEX(INDIRECT(""&amp;$B163&amp;"!Z2:Z709"),MATCH($A163,INDIRECT(""&amp;$B163&amp;"!B2:B709"),0))</f>
        <v>K1</v>
      </c>
      <c r="F163" s="196">
        <f ca="1">IF(LeagueInfo!$H$7="Starter/Bench",INDEX(INDIRECT(""&amp;B163&amp;"!S2:S709"),MATCH(A163,INDIRECT(""&amp;B163&amp;"!B2:B709"),0)),INDEX(INDIRECT(""&amp;B163&amp;"!AA2:AA709"),MATCH(A163,INDIRECT(""&amp;B163&amp;"!B2:B709"),0)))</f>
        <v>1</v>
      </c>
      <c r="G163" s="200">
        <f>IF(H163&gt;0,F163-H163,0)</f>
        <v>0</v>
      </c>
      <c r="H163" s="198"/>
      <c r="I163" s="200">
        <f ca="1">F163*$A$2</f>
        <v>1</v>
      </c>
      <c r="J163" s="197" t="s">
        <v>80</v>
      </c>
      <c r="K163" s="197">
        <f>IF(LeagueInfo!$F$7="Yahoo",IFERROR(INDEX(DefaultAuctionValues!$B$2:$B$359,MATCH(A163,DefaultAuctionValues!$A$2:$A$359,0)),0),IF(LeagueInfo!$F$7="ESPN",IFERROR(INDEX(DefaultAuctionValues!$C$2:$C$359,MATCH(A163,DefaultAuctionValues!$A$2:$A$359,0)),0),IF(LeagueInfo!$F$7="FantasyPros",IFERROR(INDEX(DefaultAuctionValues!$D$2:$D$359,MATCH(A163,DefaultAuctionValues!$A$2:$A$359,0)),0))))</f>
        <v>1</v>
      </c>
      <c r="L163" s="201">
        <f ca="1">I163-K163</f>
        <v>0</v>
      </c>
      <c r="M163" s="213"/>
      <c r="N163" s="208">
        <f ca="1">INDEX(INDIRECT(""&amp;$B163&amp;"!y2:y709"),MATCH($A163,INDIRECT(""&amp;$B163&amp;"!B2:B709"),0))</f>
        <v>14.599999999999994</v>
      </c>
      <c r="O163" s="217" t="str">
        <f ca="1">IF(INDEX(INDIRECT(""&amp;$B163&amp;"!V2:V700"),MATCH($A163,INDIRECT(""&amp;$B163&amp;"!B2:B700"),0))=0,"",INDEX(INDIRECT(""&amp;$B163&amp;"!V2:V700"),MATCH($A163,INDIRECT(""&amp;$B163&amp;"!B2:B700"),0)))</f>
        <v/>
      </c>
    </row>
    <row r="164" spans="1:15" x14ac:dyDescent="0.25">
      <c r="A164" s="195" t="s">
        <v>179</v>
      </c>
      <c r="B164" s="195" t="s">
        <v>52</v>
      </c>
      <c r="C164" s="199">
        <f ca="1">IFERROR(INDEX(BYEs!$B$2:$B$33,MATCH(D164,BYEs!$A$2:$A$33,0)),"N/A")</f>
        <v>10</v>
      </c>
      <c r="D164" s="195" t="str">
        <f ca="1">INDEX(INDIRECT(""&amp;B164&amp;"!E2:E700"),MATCH(A164,INDIRECT(""&amp;B164&amp;"!B2:B700"),0))</f>
        <v>BAL</v>
      </c>
      <c r="E164" s="194" t="str">
        <f ca="1">INDEX(INDIRECT(""&amp;$B164&amp;"!Z2:Z709"),MATCH($A164,INDIRECT(""&amp;$B164&amp;"!B2:B709"),0))</f>
        <v>K1</v>
      </c>
      <c r="F164" s="196">
        <f ca="1">IF(LeagueInfo!$H$7="Starter/Bench",INDEX(INDIRECT(""&amp;B164&amp;"!S2:S709"),MATCH(A164,INDIRECT(""&amp;B164&amp;"!B2:B709"),0)),INDEX(INDIRECT(""&amp;B164&amp;"!AA2:AA709"),MATCH(A164,INDIRECT(""&amp;B164&amp;"!B2:B709"),0)))</f>
        <v>1</v>
      </c>
      <c r="G164" s="200">
        <f>IF(H164&gt;0,F164-H164,0)</f>
        <v>0</v>
      </c>
      <c r="H164" s="198"/>
      <c r="I164" s="200">
        <f ca="1">F164*$A$2</f>
        <v>1</v>
      </c>
      <c r="J164" s="197" t="s">
        <v>80</v>
      </c>
      <c r="K164" s="197">
        <f>IF(LeagueInfo!$F$7="Yahoo",IFERROR(INDEX(DefaultAuctionValues!$B$2:$B$359,MATCH(A164,DefaultAuctionValues!$A$2:$A$359,0)),0),IF(LeagueInfo!$F$7="ESPN",IFERROR(INDEX(DefaultAuctionValues!$C$2:$C$359,MATCH(A164,DefaultAuctionValues!$A$2:$A$359,0)),0),IF(LeagueInfo!$F$7="FantasyPros",IFERROR(INDEX(DefaultAuctionValues!$D$2:$D$359,MATCH(A164,DefaultAuctionValues!$A$2:$A$359,0)),0))))</f>
        <v>3</v>
      </c>
      <c r="L164" s="201">
        <f ca="1">I164-K164</f>
        <v>-2</v>
      </c>
      <c r="M164" s="213"/>
      <c r="N164" s="208">
        <f ca="1">INDEX(INDIRECT(""&amp;$B164&amp;"!y2:y709"),MATCH($A164,INDIRECT(""&amp;$B164&amp;"!B2:B709"),0))</f>
        <v>8.5</v>
      </c>
      <c r="O164" s="217" t="str">
        <f ca="1">IF(INDEX(INDIRECT(""&amp;$B164&amp;"!V2:V700"),MATCH($A164,INDIRECT(""&amp;$B164&amp;"!B2:B700"),0))=0,"",INDEX(INDIRECT(""&amp;$B164&amp;"!V2:V700"),MATCH($A164,INDIRECT(""&amp;$B164&amp;"!B2:B700"),0)))</f>
        <v/>
      </c>
    </row>
    <row r="165" spans="1:15" x14ac:dyDescent="0.25">
      <c r="A165" s="195" t="s">
        <v>258</v>
      </c>
      <c r="B165" s="195" t="s">
        <v>52</v>
      </c>
      <c r="C165" s="199">
        <f ca="1">IFERROR(INDEX(BYEs!$B$2:$B$33,MATCH(D165,BYEs!$A$2:$A$33,0)),"N/A")</f>
        <v>8</v>
      </c>
      <c r="D165" s="195" t="str">
        <f ca="1">INDEX(INDIRECT(""&amp;B165&amp;"!E2:E700"),MATCH(A165,INDIRECT(""&amp;B165&amp;"!B2:B700"),0))</f>
        <v>GB</v>
      </c>
      <c r="E165" s="194" t="str">
        <f ca="1">INDEX(INDIRECT(""&amp;$B165&amp;"!Z2:Z709"),MATCH($A165,INDIRECT(""&amp;$B165&amp;"!B2:B709"),0))</f>
        <v>K1</v>
      </c>
      <c r="F165" s="196">
        <f ca="1">IF(LeagueInfo!$H$7="Starter/Bench",INDEX(INDIRECT(""&amp;B165&amp;"!S2:S709"),MATCH(A165,INDIRECT(""&amp;B165&amp;"!B2:B709"),0)),INDEX(INDIRECT(""&amp;B165&amp;"!AA2:AA709"),MATCH(A165,INDIRECT(""&amp;B165&amp;"!B2:B709"),0)))</f>
        <v>1</v>
      </c>
      <c r="G165" s="200">
        <f>IF(H165&gt;0,F165-H165,0)</f>
        <v>0</v>
      </c>
      <c r="H165" s="198"/>
      <c r="I165" s="200">
        <f ca="1">F165*$A$2</f>
        <v>1</v>
      </c>
      <c r="J165" s="197" t="s">
        <v>80</v>
      </c>
      <c r="K165" s="197">
        <f>IF(LeagueInfo!$F$7="Yahoo",IFERROR(INDEX(DefaultAuctionValues!$B$2:$B$359,MATCH(A165,DefaultAuctionValues!$A$2:$A$359,0)),0),IF(LeagueInfo!$F$7="ESPN",IFERROR(INDEX(DefaultAuctionValues!$C$2:$C$359,MATCH(A165,DefaultAuctionValues!$A$2:$A$359,0)),0),IF(LeagueInfo!$F$7="FantasyPros",IFERROR(INDEX(DefaultAuctionValues!$D$2:$D$359,MATCH(A165,DefaultAuctionValues!$A$2:$A$359,0)),0))))</f>
        <v>1</v>
      </c>
      <c r="L165" s="201">
        <f ca="1">I165-K165</f>
        <v>0</v>
      </c>
      <c r="M165" s="213"/>
      <c r="N165" s="208">
        <f ca="1">INDEX(INDIRECT(""&amp;$B165&amp;"!y2:y709"),MATCH($A165,INDIRECT(""&amp;$B165&amp;"!B2:B709"),0))</f>
        <v>7.8000000000000114</v>
      </c>
      <c r="O165" s="217" t="str">
        <f ca="1">IF(INDEX(INDIRECT(""&amp;$B165&amp;"!V2:V700"),MATCH($A165,INDIRECT(""&amp;$B165&amp;"!B2:B700"),0))=0,"",INDEX(INDIRECT(""&amp;$B165&amp;"!V2:V700"),MATCH($A165,INDIRECT(""&amp;$B165&amp;"!B2:B700"),0)))</f>
        <v/>
      </c>
    </row>
    <row r="166" spans="1:15" x14ac:dyDescent="0.25">
      <c r="A166" s="195" t="s">
        <v>233</v>
      </c>
      <c r="B166" s="195" t="s">
        <v>52</v>
      </c>
      <c r="C166" s="199">
        <f ca="1">IFERROR(INDEX(BYEs!$B$2:$B$33,MATCH(D166,BYEs!$A$2:$A$33,0)),"N/A")</f>
        <v>6</v>
      </c>
      <c r="D166" s="195" t="str">
        <f ca="1">INDEX(INDIRECT(""&amp;B166&amp;"!E2:E700"),MATCH(A166,INDIRECT(""&amp;B166&amp;"!B2:B700"),0))</f>
        <v>DAL</v>
      </c>
      <c r="E166" s="194" t="str">
        <f ca="1">INDEX(INDIRECT(""&amp;$B166&amp;"!Z2:Z709"),MATCH($A166,INDIRECT(""&amp;$B166&amp;"!B2:B709"),0))</f>
        <v>K1</v>
      </c>
      <c r="F166" s="196">
        <f ca="1">IF(LeagueInfo!$H$7="Starter/Bench",INDEX(INDIRECT(""&amp;B166&amp;"!S2:S709"),MATCH(A166,INDIRECT(""&amp;B166&amp;"!B2:B709"),0)),INDEX(INDIRECT(""&amp;B166&amp;"!AA2:AA709"),MATCH(A166,INDIRECT(""&amp;B166&amp;"!B2:B709"),0)))</f>
        <v>1</v>
      </c>
      <c r="G166" s="200">
        <f>IF(H166&gt;0,F166-H166,0)</f>
        <v>0</v>
      </c>
      <c r="H166" s="198"/>
      <c r="I166" s="200">
        <f ca="1">F166*$A$2</f>
        <v>1</v>
      </c>
      <c r="J166" s="197" t="s">
        <v>80</v>
      </c>
      <c r="K166" s="197">
        <f>IF(LeagueInfo!$F$7="Yahoo",IFERROR(INDEX(DefaultAuctionValues!$B$2:$B$359,MATCH(A166,DefaultAuctionValues!$A$2:$A$359,0)),0),IF(LeagueInfo!$F$7="ESPN",IFERROR(INDEX(DefaultAuctionValues!$C$2:$C$359,MATCH(A166,DefaultAuctionValues!$A$2:$A$359,0)),0),IF(LeagueInfo!$F$7="FantasyPros",IFERROR(INDEX(DefaultAuctionValues!$D$2:$D$359,MATCH(A166,DefaultAuctionValues!$A$2:$A$359,0)),0))))</f>
        <v>1</v>
      </c>
      <c r="L166" s="201">
        <f ca="1">I166-K166</f>
        <v>0</v>
      </c>
      <c r="M166" s="213"/>
      <c r="N166" s="208">
        <f ca="1">INDEX(INDIRECT(""&amp;$B166&amp;"!y2:y709"),MATCH($A166,INDIRECT(""&amp;$B166&amp;"!B2:B709"),0))</f>
        <v>6.5</v>
      </c>
      <c r="O166" s="217" t="str">
        <f ca="1">IF(INDEX(INDIRECT(""&amp;$B166&amp;"!V2:V700"),MATCH($A166,INDIRECT(""&amp;$B166&amp;"!B2:B700"),0))=0,"",INDEX(INDIRECT(""&amp;$B166&amp;"!V2:V700"),MATCH($A166,INDIRECT(""&amp;$B166&amp;"!B2:B700"),0)))</f>
        <v/>
      </c>
    </row>
    <row r="167" spans="1:15" x14ac:dyDescent="0.25">
      <c r="A167" s="195" t="s">
        <v>814</v>
      </c>
      <c r="B167" s="195" t="s">
        <v>52</v>
      </c>
      <c r="C167" s="199">
        <f ca="1">IFERROR(INDEX(BYEs!$B$2:$B$33,MATCH(D167,BYEs!$A$2:$A$33,0)),"N/A")</f>
        <v>5</v>
      </c>
      <c r="D167" s="195" t="str">
        <f ca="1">INDEX(INDIRECT(""&amp;B167&amp;"!E2:E700"),MATCH(A167,INDIRECT(""&amp;B167&amp;"!B2:B700"),0))</f>
        <v>NO</v>
      </c>
      <c r="E167" s="194" t="str">
        <f ca="1">INDEX(INDIRECT(""&amp;$B167&amp;"!Z2:Z709"),MATCH($A167,INDIRECT(""&amp;$B167&amp;"!B2:B709"),0))</f>
        <v>K1</v>
      </c>
      <c r="F167" s="196">
        <f ca="1">IF(LeagueInfo!$H$7="Starter/Bench",INDEX(INDIRECT(""&amp;B167&amp;"!S2:S709"),MATCH(A167,INDIRECT(""&amp;B167&amp;"!B2:B709"),0)),INDEX(INDIRECT(""&amp;B167&amp;"!AA2:AA709"),MATCH(A167,INDIRECT(""&amp;B167&amp;"!B2:B709"),0)))</f>
        <v>1</v>
      </c>
      <c r="G167" s="200">
        <f>IF(H167&gt;0,F167-H167,0)</f>
        <v>0</v>
      </c>
      <c r="H167" s="198"/>
      <c r="I167" s="200">
        <f ca="1">F167*$A$2</f>
        <v>1</v>
      </c>
      <c r="J167" s="197" t="s">
        <v>80</v>
      </c>
      <c r="K167" s="197">
        <f>IF(LeagueInfo!$F$7="Yahoo",IFERROR(INDEX(DefaultAuctionValues!$B$2:$B$359,MATCH(A167,DefaultAuctionValues!$A$2:$A$359,0)),0),IF(LeagueInfo!$F$7="ESPN",IFERROR(INDEX(DefaultAuctionValues!$C$2:$C$359,MATCH(A167,DefaultAuctionValues!$A$2:$A$359,0)),0),IF(LeagueInfo!$F$7="FantasyPros",IFERROR(INDEX(DefaultAuctionValues!$D$2:$D$359,MATCH(A167,DefaultAuctionValues!$A$2:$A$359,0)),0))))</f>
        <v>0</v>
      </c>
      <c r="L167" s="201">
        <f ca="1">I167-K167</f>
        <v>1</v>
      </c>
      <c r="M167" s="213"/>
      <c r="N167" s="208">
        <f ca="1">INDEX(INDIRECT(""&amp;$B167&amp;"!y2:y709"),MATCH($A167,INDIRECT(""&amp;$B167&amp;"!B2:B709"),0))</f>
        <v>5.5999999999999943</v>
      </c>
      <c r="O167" s="217" t="str">
        <f ca="1">IF(INDEX(INDIRECT(""&amp;$B167&amp;"!V2:V700"),MATCH($A167,INDIRECT(""&amp;$B167&amp;"!B2:B700"),0))=0,"",INDEX(INDIRECT(""&amp;$B167&amp;"!V2:V700"),MATCH($A167,INDIRECT(""&amp;$B167&amp;"!B2:B700"),0)))</f>
        <v/>
      </c>
    </row>
    <row r="168" spans="1:15" x14ac:dyDescent="0.25">
      <c r="A168" s="195" t="s">
        <v>315</v>
      </c>
      <c r="B168" s="195" t="s">
        <v>52</v>
      </c>
      <c r="C168" s="199">
        <f ca="1">IFERROR(INDEX(BYEs!$B$2:$B$33,MATCH(D168,BYEs!$A$2:$A$33,0)),"N/A")</f>
        <v>11</v>
      </c>
      <c r="D168" s="195" t="str">
        <f ca="1">INDEX(INDIRECT(""&amp;B168&amp;"!E2:E700"),MATCH(A168,INDIRECT(""&amp;B168&amp;"!B2:B700"),0))</f>
        <v>CAR</v>
      </c>
      <c r="E168" s="194" t="str">
        <f ca="1">INDEX(INDIRECT(""&amp;$B168&amp;"!Z2:Z709"),MATCH($A168,INDIRECT(""&amp;$B168&amp;"!B2:B709"),0))</f>
        <v>K1</v>
      </c>
      <c r="F168" s="196">
        <f ca="1">IF(LeagueInfo!$H$7="Starter/Bench",INDEX(INDIRECT(""&amp;B168&amp;"!S2:S709"),MATCH(A168,INDIRECT(""&amp;B168&amp;"!B2:B709"),0)),INDEX(INDIRECT(""&amp;B168&amp;"!AA2:AA709"),MATCH(A168,INDIRECT(""&amp;B168&amp;"!B2:B709"),0)))</f>
        <v>1</v>
      </c>
      <c r="G168" s="200">
        <f>IF(H168&gt;0,F168-H168,0)</f>
        <v>0</v>
      </c>
      <c r="H168" s="198"/>
      <c r="I168" s="200">
        <f ca="1">F168*$A$2</f>
        <v>1</v>
      </c>
      <c r="J168" s="197" t="s">
        <v>80</v>
      </c>
      <c r="K168" s="197">
        <f>IF(LeagueInfo!$F$7="Yahoo",IFERROR(INDEX(DefaultAuctionValues!$B$2:$B$359,MATCH(A168,DefaultAuctionValues!$A$2:$A$359,0)),0),IF(LeagueInfo!$F$7="ESPN",IFERROR(INDEX(DefaultAuctionValues!$C$2:$C$359,MATCH(A168,DefaultAuctionValues!$A$2:$A$359,0)),0),IF(LeagueInfo!$F$7="FantasyPros",IFERROR(INDEX(DefaultAuctionValues!$D$2:$D$359,MATCH(A168,DefaultAuctionValues!$A$2:$A$359,0)),0))))</f>
        <v>1</v>
      </c>
      <c r="L168" s="201">
        <f ca="1">I168-K168</f>
        <v>0</v>
      </c>
      <c r="M168" s="213"/>
      <c r="N168" s="208">
        <f ca="1">INDEX(INDIRECT(""&amp;$B168&amp;"!y2:y709"),MATCH($A168,INDIRECT(""&amp;$B168&amp;"!B2:B709"),0))</f>
        <v>5.2000000000000028</v>
      </c>
      <c r="O168" s="217" t="str">
        <f ca="1">IF(INDEX(INDIRECT(""&amp;$B168&amp;"!V2:V700"),MATCH($A168,INDIRECT(""&amp;$B168&amp;"!B2:B700"),0))=0,"",INDEX(INDIRECT(""&amp;$B168&amp;"!V2:V700"),MATCH($A168,INDIRECT(""&amp;$B168&amp;"!B2:B700"),0)))</f>
        <v/>
      </c>
    </row>
    <row r="169" spans="1:15" x14ac:dyDescent="0.25">
      <c r="A169" s="195" t="s">
        <v>263</v>
      </c>
      <c r="B169" s="195" t="s">
        <v>52</v>
      </c>
      <c r="C169" s="199">
        <f ca="1">IFERROR(INDEX(BYEs!$B$2:$B$33,MATCH(D169,BYEs!$A$2:$A$33,0)),"N/A")</f>
        <v>11</v>
      </c>
      <c r="D169" s="195" t="str">
        <f ca="1">INDEX(INDIRECT(""&amp;B169&amp;"!E2:E700"),MATCH(A169,INDIRECT(""&amp;B169&amp;"!B2:B700"),0))</f>
        <v>IND</v>
      </c>
      <c r="E169" s="194" t="str">
        <f ca="1">INDEX(INDIRECT(""&amp;$B169&amp;"!Z2:Z709"),MATCH($A169,INDIRECT(""&amp;$B169&amp;"!B2:B709"),0))</f>
        <v>K2</v>
      </c>
      <c r="F169" s="196">
        <f ca="1">IF(LeagueInfo!$H$7="Starter/Bench",INDEX(INDIRECT(""&amp;B169&amp;"!S2:S709"),MATCH(A169,INDIRECT(""&amp;B169&amp;"!B2:B709"),0)),INDEX(INDIRECT(""&amp;B169&amp;"!AA2:AA709"),MATCH(A169,INDIRECT(""&amp;B169&amp;"!B2:B709"),0)))</f>
        <v>1</v>
      </c>
      <c r="G169" s="200">
        <f>IF(H169&gt;0,F169-H169,0)</f>
        <v>0</v>
      </c>
      <c r="H169" s="198"/>
      <c r="I169" s="200">
        <f ca="1">F169*$A$2</f>
        <v>1</v>
      </c>
      <c r="J169" s="197" t="s">
        <v>80</v>
      </c>
      <c r="K169" s="197">
        <f>IF(LeagueInfo!$F$7="Yahoo",IFERROR(INDEX(DefaultAuctionValues!$B$2:$B$359,MATCH(A169,DefaultAuctionValues!$A$2:$A$359,0)),0),IF(LeagueInfo!$F$7="ESPN",IFERROR(INDEX(DefaultAuctionValues!$C$2:$C$359,MATCH(A169,DefaultAuctionValues!$A$2:$A$359,0)),0),IF(LeagueInfo!$F$7="FantasyPros",IFERROR(INDEX(DefaultAuctionValues!$D$2:$D$359,MATCH(A169,DefaultAuctionValues!$A$2:$A$359,0)),0))))</f>
        <v>1</v>
      </c>
      <c r="L169" s="201">
        <f ca="1">I169-K169</f>
        <v>0</v>
      </c>
      <c r="M169" s="213"/>
      <c r="N169" s="208">
        <f ca="1">INDEX(INDIRECT(""&amp;$B169&amp;"!y2:y709"),MATCH($A169,INDIRECT(""&amp;$B169&amp;"!B2:B709"),0))</f>
        <v>2.7999999999999972</v>
      </c>
      <c r="O169" s="217" t="str">
        <f ca="1">IF(INDEX(INDIRECT(""&amp;$B169&amp;"!V2:V700"),MATCH($A169,INDIRECT(""&amp;$B169&amp;"!B2:B700"),0))=0,"",INDEX(INDIRECT(""&amp;$B169&amp;"!V2:V700"),MATCH($A169,INDIRECT(""&amp;$B169&amp;"!B2:B700"),0)))</f>
        <v/>
      </c>
    </row>
    <row r="170" spans="1:15" x14ac:dyDescent="0.25">
      <c r="A170" s="195" t="s">
        <v>306</v>
      </c>
      <c r="B170" s="195" t="s">
        <v>52</v>
      </c>
      <c r="C170" s="199">
        <f ca="1">IFERROR(INDEX(BYEs!$B$2:$B$33,MATCH(D170,BYEs!$A$2:$A$33,0)),"N/A")</f>
        <v>10</v>
      </c>
      <c r="D170" s="195" t="str">
        <f ca="1">INDEX(INDIRECT(""&amp;B170&amp;"!E2:E700"),MATCH(A170,INDIRECT(""&amp;B170&amp;"!B2:B700"),0))</f>
        <v>OAK</v>
      </c>
      <c r="E170" s="194" t="str">
        <f ca="1">INDEX(INDIRECT(""&amp;$B170&amp;"!Z2:Z709"),MATCH($A170,INDIRECT(""&amp;$B170&amp;"!B2:B709"),0))</f>
        <v>K2</v>
      </c>
      <c r="F170" s="196">
        <f ca="1">IF(LeagueInfo!$H$7="Starter/Bench",INDEX(INDIRECT(""&amp;B170&amp;"!S2:S709"),MATCH(A170,INDIRECT(""&amp;B170&amp;"!B2:B709"),0)),INDEX(INDIRECT(""&amp;B170&amp;"!AA2:AA709"),MATCH(A170,INDIRECT(""&amp;B170&amp;"!B2:B709"),0)))</f>
        <v>1</v>
      </c>
      <c r="G170" s="200">
        <f>IF(H170&gt;0,F170-H170,0)</f>
        <v>0</v>
      </c>
      <c r="H170" s="198"/>
      <c r="I170" s="200">
        <f ca="1">F170*$A$2</f>
        <v>1</v>
      </c>
      <c r="J170" s="197" t="s">
        <v>80</v>
      </c>
      <c r="K170" s="197">
        <f>IF(LeagueInfo!$F$7="Yahoo",IFERROR(INDEX(DefaultAuctionValues!$B$2:$B$359,MATCH(A170,DefaultAuctionValues!$A$2:$A$359,0)),0),IF(LeagueInfo!$F$7="ESPN",IFERROR(INDEX(DefaultAuctionValues!$C$2:$C$359,MATCH(A170,DefaultAuctionValues!$A$2:$A$359,0)),0),IF(LeagueInfo!$F$7="FantasyPros",IFERROR(INDEX(DefaultAuctionValues!$D$2:$D$359,MATCH(A170,DefaultAuctionValues!$A$2:$A$359,0)),0))))</f>
        <v>1</v>
      </c>
      <c r="L170" s="201">
        <f ca="1">I170-K170</f>
        <v>0</v>
      </c>
      <c r="M170" s="213"/>
      <c r="N170" s="208">
        <f ca="1">INDEX(INDIRECT(""&amp;$B170&amp;"!y2:y709"),MATCH($A170,INDIRECT(""&amp;$B170&amp;"!B2:B709"),0))</f>
        <v>2.7000000000000028</v>
      </c>
      <c r="O170" s="217" t="str">
        <f ca="1">IF(INDEX(INDIRECT(""&amp;$B170&amp;"!V2:V700"),MATCH($A170,INDIRECT(""&amp;$B170&amp;"!B2:B700"),0))=0,"",INDEX(INDIRECT(""&amp;$B170&amp;"!V2:V700"),MATCH($A170,INDIRECT(""&amp;$B170&amp;"!B2:B700"),0)))</f>
        <v/>
      </c>
    </row>
    <row r="171" spans="1:15" x14ac:dyDescent="0.25">
      <c r="A171" s="195" t="s">
        <v>321</v>
      </c>
      <c r="B171" s="195" t="s">
        <v>52</v>
      </c>
      <c r="C171" s="199">
        <f ca="1">IFERROR(INDEX(BYEs!$B$2:$B$33,MATCH(D171,BYEs!$A$2:$A$33,0)),"N/A")</f>
        <v>5</v>
      </c>
      <c r="D171" s="195" t="str">
        <f ca="1">INDEX(INDIRECT(""&amp;B171&amp;"!E2:E700"),MATCH(A171,INDIRECT(""&amp;B171&amp;"!B2:B700"),0))</f>
        <v>WAS</v>
      </c>
      <c r="E171" s="194" t="str">
        <f ca="1">INDEX(INDIRECT(""&amp;$B171&amp;"!Z2:Z709"),MATCH($A171,INDIRECT(""&amp;$B171&amp;"!B2:B709"),0))</f>
        <v>K2</v>
      </c>
      <c r="F171" s="196">
        <f ca="1">IF(LeagueInfo!$H$7="Starter/Bench",INDEX(INDIRECT(""&amp;B171&amp;"!S2:S709"),MATCH(A171,INDIRECT(""&amp;B171&amp;"!B2:B709"),0)),INDEX(INDIRECT(""&amp;B171&amp;"!AA2:AA709"),MATCH(A171,INDIRECT(""&amp;B171&amp;"!B2:B709"),0)))</f>
        <v>1</v>
      </c>
      <c r="G171" s="200">
        <f>IF(H171&gt;0,F171-H171,0)</f>
        <v>0</v>
      </c>
      <c r="H171" s="198"/>
      <c r="I171" s="200">
        <f ca="1">F171*$A$2</f>
        <v>1</v>
      </c>
      <c r="J171" s="197" t="s">
        <v>80</v>
      </c>
      <c r="K171" s="197">
        <f>IF(LeagueInfo!$F$7="Yahoo",IFERROR(INDEX(DefaultAuctionValues!$B$2:$B$359,MATCH(A171,DefaultAuctionValues!$A$2:$A$359,0)),0),IF(LeagueInfo!$F$7="ESPN",IFERROR(INDEX(DefaultAuctionValues!$C$2:$C$359,MATCH(A171,DefaultAuctionValues!$A$2:$A$359,0)),0),IF(LeagueInfo!$F$7="FantasyPros",IFERROR(INDEX(DefaultAuctionValues!$D$2:$D$359,MATCH(A171,DefaultAuctionValues!$A$2:$A$359,0)),0))))</f>
        <v>1</v>
      </c>
      <c r="L171" s="201">
        <f ca="1">I171-K171</f>
        <v>0</v>
      </c>
      <c r="M171" s="213"/>
      <c r="N171" s="208">
        <f ca="1">INDEX(INDIRECT(""&amp;$B171&amp;"!y2:y709"),MATCH($A171,INDIRECT(""&amp;$B171&amp;"!B2:B709"),0))</f>
        <v>2</v>
      </c>
      <c r="O171" s="217" t="str">
        <f ca="1">IF(INDEX(INDIRECT(""&amp;$B171&amp;"!V2:V700"),MATCH($A171,INDIRECT(""&amp;$B171&amp;"!B2:B700"),0))=0,"",INDEX(INDIRECT(""&amp;$B171&amp;"!V2:V700"),MATCH($A171,INDIRECT(""&amp;$B171&amp;"!B2:B700"),0)))</f>
        <v/>
      </c>
    </row>
    <row r="172" spans="1:15" x14ac:dyDescent="0.25">
      <c r="A172" s="195" t="s">
        <v>289</v>
      </c>
      <c r="B172" s="195" t="s">
        <v>52</v>
      </c>
      <c r="C172" s="199">
        <f ca="1">IFERROR(INDEX(BYEs!$B$2:$B$33,MATCH(D172,BYEs!$A$2:$A$33,0)),"N/A")</f>
        <v>6</v>
      </c>
      <c r="D172" s="195" t="str">
        <f ca="1">INDEX(INDIRECT(""&amp;B172&amp;"!E2:E700"),MATCH(A172,INDIRECT(""&amp;B172&amp;"!B2:B700"),0))</f>
        <v>SEA</v>
      </c>
      <c r="E172" s="194" t="str">
        <f ca="1">INDEX(INDIRECT(""&amp;$B172&amp;"!Z2:Z709"),MATCH($A172,INDIRECT(""&amp;$B172&amp;"!B2:B709"),0))</f>
        <v>K2</v>
      </c>
      <c r="F172" s="196">
        <f ca="1">IF(LeagueInfo!$H$7="Starter/Bench",INDEX(INDIRECT(""&amp;B172&amp;"!S2:S709"),MATCH(A172,INDIRECT(""&amp;B172&amp;"!B2:B709"),0)),INDEX(INDIRECT(""&amp;B172&amp;"!AA2:AA709"),MATCH(A172,INDIRECT(""&amp;B172&amp;"!B2:B709"),0)))</f>
        <v>1</v>
      </c>
      <c r="G172" s="200">
        <f>IF(H172&gt;0,F172-H172,0)</f>
        <v>0</v>
      </c>
      <c r="H172" s="198"/>
      <c r="I172" s="200">
        <f ca="1">F172*$A$2</f>
        <v>1</v>
      </c>
      <c r="J172" s="197" t="s">
        <v>80</v>
      </c>
      <c r="K172" s="197">
        <f>IF(LeagueInfo!$F$7="Yahoo",IFERROR(INDEX(DefaultAuctionValues!$B$2:$B$359,MATCH(A172,DefaultAuctionValues!$A$2:$A$359,0)),0),IF(LeagueInfo!$F$7="ESPN",IFERROR(INDEX(DefaultAuctionValues!$C$2:$C$359,MATCH(A172,DefaultAuctionValues!$A$2:$A$359,0)),0),IF(LeagueInfo!$F$7="FantasyPros",IFERROR(INDEX(DefaultAuctionValues!$D$2:$D$359,MATCH(A172,DefaultAuctionValues!$A$2:$A$359,0)),0))))</f>
        <v>1</v>
      </c>
      <c r="L172" s="201">
        <f ca="1">I172-K172</f>
        <v>0</v>
      </c>
      <c r="M172" s="213"/>
      <c r="N172" s="208">
        <f ca="1">INDEX(INDIRECT(""&amp;$B172&amp;"!y2:y709"),MATCH($A172,INDIRECT(""&amp;$B172&amp;"!B2:B709"),0))</f>
        <v>0.29999999999999716</v>
      </c>
      <c r="O172" s="217" t="str">
        <f ca="1">IF(INDEX(INDIRECT(""&amp;$B172&amp;"!V2:V700"),MATCH($A172,INDIRECT(""&amp;$B172&amp;"!B2:B700"),0))=0,"",INDEX(INDIRECT(""&amp;$B172&amp;"!V2:V700"),MATCH($A172,INDIRECT(""&amp;$B172&amp;"!B2:B700"),0)))</f>
        <v/>
      </c>
    </row>
    <row r="173" spans="1:15" x14ac:dyDescent="0.25">
      <c r="A173" s="195" t="s">
        <v>175</v>
      </c>
      <c r="B173" s="195" t="s">
        <v>58</v>
      </c>
      <c r="C173" s="199">
        <f ca="1">IFERROR(INDEX(BYEs!$B$2:$B$33,MATCH(D173,BYEs!$A$2:$A$33,0)),"N/A")</f>
        <v>5</v>
      </c>
      <c r="D173" s="195" t="str">
        <f ca="1">INDEX(INDIRECT(""&amp;B173&amp;"!E2:E700"),MATCH(A173,INDIRECT(""&amp;B173&amp;"!B2:B700"),0))</f>
        <v>DEN</v>
      </c>
      <c r="E173" s="194" t="str">
        <f ca="1">INDEX(INDIRECT(""&amp;$B173&amp;"!Z2:Z709"),MATCH($A173,INDIRECT(""&amp;$B173&amp;"!B2:B709"),0))</f>
        <v>DEF1</v>
      </c>
      <c r="F173" s="196">
        <f ca="1">IF(LeagueInfo!$H$7="Starter/Bench",INDEX(INDIRECT(""&amp;B173&amp;"!S2:S709"),MATCH(A173,INDIRECT(""&amp;B173&amp;"!B2:B709"),0)),INDEX(INDIRECT(""&amp;B173&amp;"!AA2:AA709"),MATCH(A173,INDIRECT(""&amp;B173&amp;"!B2:B709"),0)))</f>
        <v>1</v>
      </c>
      <c r="G173" s="200">
        <f>IF(H173&gt;0,F173-H173,0)</f>
        <v>0</v>
      </c>
      <c r="H173" s="198"/>
      <c r="I173" s="200">
        <f ca="1">F173*$A$2</f>
        <v>1</v>
      </c>
      <c r="J173" s="197" t="s">
        <v>80</v>
      </c>
      <c r="K173" s="197">
        <f>IF(LeagueInfo!$F$7="Yahoo",IFERROR(INDEX(DefaultAuctionValues!$B$2:$B$359,MATCH(A173,DefaultAuctionValues!$A$2:$A$359,0)),0),IF(LeagueInfo!$F$7="ESPN",IFERROR(INDEX(DefaultAuctionValues!$C$2:$C$359,MATCH(A173,DefaultAuctionValues!$A$2:$A$359,0)),0),IF(LeagueInfo!$F$7="FantasyPros",IFERROR(INDEX(DefaultAuctionValues!$D$2:$D$359,MATCH(A173,DefaultAuctionValues!$A$2:$A$359,0)),0))))</f>
        <v>3</v>
      </c>
      <c r="L173" s="201">
        <f ca="1">I173-K173</f>
        <v>-2</v>
      </c>
      <c r="M173" s="213"/>
      <c r="N173" s="208">
        <f ca="1">INDEX(INDIRECT(""&amp;$B173&amp;"!y2:y709"),MATCH($A173,INDIRECT(""&amp;$B173&amp;"!B2:B709"),0))</f>
        <v>0</v>
      </c>
      <c r="O173" s="217" t="str">
        <f ca="1">IF(INDEX(INDIRECT(""&amp;$B173&amp;"!V2:V700"),MATCH($A173,INDIRECT(""&amp;$B173&amp;"!B2:B700"),0))=0,"",INDEX(INDIRECT(""&amp;$B173&amp;"!V2:V700"),MATCH($A173,INDIRECT(""&amp;$B173&amp;"!B2:B700"),0)))</f>
        <v/>
      </c>
    </row>
    <row r="174" spans="1:15" x14ac:dyDescent="0.25">
      <c r="A174" s="195" t="s">
        <v>256</v>
      </c>
      <c r="B174" s="195" t="s">
        <v>58</v>
      </c>
      <c r="C174" s="199">
        <f ca="1">IFERROR(INDEX(BYEs!$B$2:$B$33,MATCH(D174,BYEs!$A$2:$A$33,0)),"N/A")</f>
        <v>8</v>
      </c>
      <c r="D174" s="195" t="str">
        <f ca="1">INDEX(INDIRECT(""&amp;B174&amp;"!E2:E700"),MATCH(A174,INDIRECT(""&amp;B174&amp;"!B2:B700"),0))</f>
        <v>ARI</v>
      </c>
      <c r="E174" s="194" t="str">
        <f ca="1">INDEX(INDIRECT(""&amp;$B174&amp;"!Z2:Z709"),MATCH($A174,INDIRECT(""&amp;$B174&amp;"!B2:B709"),0))</f>
        <v>DEF2</v>
      </c>
      <c r="F174" s="196">
        <f ca="1">IF(LeagueInfo!$H$7="Starter/Bench",INDEX(INDIRECT(""&amp;B174&amp;"!S2:S709"),MATCH(A174,INDIRECT(""&amp;B174&amp;"!B2:B709"),0)),INDEX(INDIRECT(""&amp;B174&amp;"!AA2:AA709"),MATCH(A174,INDIRECT(""&amp;B174&amp;"!B2:B709"),0)))</f>
        <v>1</v>
      </c>
      <c r="G174" s="200">
        <f>IF(H174&gt;0,F174-H174,0)</f>
        <v>0</v>
      </c>
      <c r="H174" s="198"/>
      <c r="I174" s="200">
        <f ca="1">F174*$A$2</f>
        <v>1</v>
      </c>
      <c r="J174" s="197" t="s">
        <v>80</v>
      </c>
      <c r="K174" s="197">
        <f>IF(LeagueInfo!$F$7="Yahoo",IFERROR(INDEX(DefaultAuctionValues!$B$2:$B$359,MATCH(A174,DefaultAuctionValues!$A$2:$A$359,0)),0),IF(LeagueInfo!$F$7="ESPN",IFERROR(INDEX(DefaultAuctionValues!$C$2:$C$359,MATCH(A174,DefaultAuctionValues!$A$2:$A$359,0)),0),IF(LeagueInfo!$F$7="FantasyPros",IFERROR(INDEX(DefaultAuctionValues!$D$2:$D$359,MATCH(A174,DefaultAuctionValues!$A$2:$A$359,0)),0))))</f>
        <v>1</v>
      </c>
      <c r="L174" s="201">
        <f ca="1">I174-K174</f>
        <v>0</v>
      </c>
      <c r="M174" s="213"/>
      <c r="N174" s="208">
        <f ca="1">INDEX(INDIRECT(""&amp;$B174&amp;"!y2:y709"),MATCH($A174,INDIRECT(""&amp;$B174&amp;"!B2:B709"),0))</f>
        <v>0</v>
      </c>
      <c r="O174" s="217" t="str">
        <f ca="1">IF(INDEX(INDIRECT(""&amp;$B174&amp;"!V2:V700"),MATCH($A174,INDIRECT(""&amp;$B174&amp;"!B2:B700"),0))=0,"",INDEX(INDIRECT(""&amp;$B174&amp;"!V2:V700"),MATCH($A174,INDIRECT(""&amp;$B174&amp;"!B2:B700"),0)))</f>
        <v/>
      </c>
    </row>
    <row r="175" spans="1:15" x14ac:dyDescent="0.25">
      <c r="A175" s="195" t="s">
        <v>232</v>
      </c>
      <c r="B175" s="195" t="s">
        <v>58</v>
      </c>
      <c r="C175" s="199">
        <f ca="1">IFERROR(INDEX(BYEs!$B$2:$B$33,MATCH(D175,BYEs!$A$2:$A$33,0)),"N/A")</f>
        <v>9</v>
      </c>
      <c r="D175" s="195" t="str">
        <f ca="1">INDEX(INDIRECT(""&amp;B175&amp;"!E2:E700"),MATCH(A175,INDIRECT(""&amp;B175&amp;"!B2:B700"),0))</f>
        <v>MIN</v>
      </c>
      <c r="E175" s="194" t="str">
        <f ca="1">INDEX(INDIRECT(""&amp;$B175&amp;"!Z2:Z709"),MATCH($A175,INDIRECT(""&amp;$B175&amp;"!B2:B709"),0))</f>
        <v>DEF2</v>
      </c>
      <c r="F175" s="196">
        <f ca="1">IF(LeagueInfo!$H$7="Starter/Bench",INDEX(INDIRECT(""&amp;B175&amp;"!S2:S709"),MATCH(A175,INDIRECT(""&amp;B175&amp;"!B2:B709"),0)),INDEX(INDIRECT(""&amp;B175&amp;"!AA2:AA709"),MATCH(A175,INDIRECT(""&amp;B175&amp;"!B2:B709"),0)))</f>
        <v>1</v>
      </c>
      <c r="G175" s="200">
        <f>IF(H175&gt;0,F175-H175,0)</f>
        <v>0</v>
      </c>
      <c r="H175" s="198"/>
      <c r="I175" s="200">
        <f ca="1">F175*$A$2</f>
        <v>1</v>
      </c>
      <c r="J175" s="197" t="s">
        <v>80</v>
      </c>
      <c r="K175" s="197">
        <f>IF(LeagueInfo!$F$7="Yahoo",IFERROR(INDEX(DefaultAuctionValues!$B$2:$B$359,MATCH(A175,DefaultAuctionValues!$A$2:$A$359,0)),0),IF(LeagueInfo!$F$7="ESPN",IFERROR(INDEX(DefaultAuctionValues!$C$2:$C$359,MATCH(A175,DefaultAuctionValues!$A$2:$A$359,0)),0),IF(LeagueInfo!$F$7="FantasyPros",IFERROR(INDEX(DefaultAuctionValues!$D$2:$D$359,MATCH(A175,DefaultAuctionValues!$A$2:$A$359,0)),0))))</f>
        <v>1</v>
      </c>
      <c r="L175" s="201">
        <f ca="1">I175-K175</f>
        <v>0</v>
      </c>
      <c r="M175" s="213"/>
      <c r="N175" s="208">
        <f ca="1">INDEX(INDIRECT(""&amp;$B175&amp;"!y2:y709"),MATCH($A175,INDIRECT(""&amp;$B175&amp;"!B2:B709"),0))</f>
        <v>0</v>
      </c>
      <c r="O175" s="217" t="str">
        <f ca="1">IF(INDEX(INDIRECT(""&amp;$B175&amp;"!V2:V700"),MATCH($A175,INDIRECT(""&amp;$B175&amp;"!B2:B700"),0))=0,"",INDEX(INDIRECT(""&amp;$B175&amp;"!V2:V700"),MATCH($A175,INDIRECT(""&amp;$B175&amp;"!B2:B700"),0)))</f>
        <v/>
      </c>
    </row>
    <row r="176" spans="1:15" x14ac:dyDescent="0.25">
      <c r="A176" s="195" t="s">
        <v>218</v>
      </c>
      <c r="B176" s="195" t="s">
        <v>58</v>
      </c>
      <c r="C176" s="199">
        <f ca="1">IFERROR(INDEX(BYEs!$B$2:$B$33,MATCH(D176,BYEs!$A$2:$A$33,0)),"N/A")</f>
        <v>10</v>
      </c>
      <c r="D176" s="195" t="str">
        <f ca="1">INDEX(INDIRECT(""&amp;B176&amp;"!E2:E700"),MATCH(A176,INDIRECT(""&amp;B176&amp;"!B2:B700"),0))</f>
        <v>KC</v>
      </c>
      <c r="E176" s="194" t="str">
        <f ca="1">INDEX(INDIRECT(""&amp;$B176&amp;"!Z2:Z709"),MATCH($A176,INDIRECT(""&amp;$B176&amp;"!B2:B709"),0))</f>
        <v>DEF2</v>
      </c>
      <c r="F176" s="196">
        <f ca="1">IF(LeagueInfo!$H$7="Starter/Bench",INDEX(INDIRECT(""&amp;B176&amp;"!S2:S709"),MATCH(A176,INDIRECT(""&amp;B176&amp;"!B2:B709"),0)),INDEX(INDIRECT(""&amp;B176&amp;"!AA2:AA709"),MATCH(A176,INDIRECT(""&amp;B176&amp;"!B2:B709"),0)))</f>
        <v>1</v>
      </c>
      <c r="G176" s="200">
        <f>IF(H176&gt;0,F176-H176,0)</f>
        <v>0</v>
      </c>
      <c r="H176" s="198"/>
      <c r="I176" s="200">
        <f ca="1">F176*$A$2</f>
        <v>1</v>
      </c>
      <c r="J176" s="197" t="s">
        <v>80</v>
      </c>
      <c r="K176" s="197">
        <f>IF(LeagueInfo!$F$7="Yahoo",IFERROR(INDEX(DefaultAuctionValues!$B$2:$B$359,MATCH(A176,DefaultAuctionValues!$A$2:$A$359,0)),0),IF(LeagueInfo!$F$7="ESPN",IFERROR(INDEX(DefaultAuctionValues!$C$2:$C$359,MATCH(A176,DefaultAuctionValues!$A$2:$A$359,0)),0),IF(LeagueInfo!$F$7="FantasyPros",IFERROR(INDEX(DefaultAuctionValues!$D$2:$D$359,MATCH(A176,DefaultAuctionValues!$A$2:$A$359,0)),0))))</f>
        <v>1</v>
      </c>
      <c r="L176" s="201">
        <f ca="1">I176-K176</f>
        <v>0</v>
      </c>
      <c r="M176" s="213"/>
      <c r="N176" s="208">
        <f ca="1">INDEX(INDIRECT(""&amp;$B176&amp;"!y2:y709"),MATCH($A176,INDIRECT(""&amp;$B176&amp;"!B2:B709"),0))</f>
        <v>0</v>
      </c>
      <c r="O176" s="217" t="str">
        <f ca="1">IF(INDEX(INDIRECT(""&amp;$B176&amp;"!V2:V700"),MATCH($A176,INDIRECT(""&amp;$B176&amp;"!B2:B700"),0))=0,"",INDEX(INDIRECT(""&amp;$B176&amp;"!V2:V700"),MATCH($A176,INDIRECT(""&amp;$B176&amp;"!B2:B700"),0)))</f>
        <v/>
      </c>
    </row>
    <row r="177" spans="1:15" x14ac:dyDescent="0.25">
      <c r="A177" s="195" t="s">
        <v>212</v>
      </c>
      <c r="B177" s="195" t="s">
        <v>58</v>
      </c>
      <c r="C177" s="199">
        <f ca="1">IFERROR(INDEX(BYEs!$B$2:$B$33,MATCH(D177,BYEs!$A$2:$A$33,0)),"N/A")</f>
        <v>7</v>
      </c>
      <c r="D177" s="195" t="str">
        <f ca="1">INDEX(INDIRECT(""&amp;B177&amp;"!E2:E700"),MATCH(A177,INDIRECT(""&amp;B177&amp;"!B2:B700"),0))</f>
        <v>HOU</v>
      </c>
      <c r="E177" s="194" t="str">
        <f ca="1">INDEX(INDIRECT(""&amp;$B177&amp;"!Z2:Z709"),MATCH($A177,INDIRECT(""&amp;$B177&amp;"!B2:B709"),0))</f>
        <v>DEF3</v>
      </c>
      <c r="F177" s="196">
        <f ca="1">IF(LeagueInfo!$H$7="Starter/Bench",INDEX(INDIRECT(""&amp;B177&amp;"!S2:S709"),MATCH(A177,INDIRECT(""&amp;B177&amp;"!B2:B709"),0)),INDEX(INDIRECT(""&amp;B177&amp;"!AA2:AA709"),MATCH(A177,INDIRECT(""&amp;B177&amp;"!B2:B709"),0)))</f>
        <v>1</v>
      </c>
      <c r="G177" s="200">
        <f>IF(H177&gt;0,F177-H177,0)</f>
        <v>0</v>
      </c>
      <c r="H177" s="198"/>
      <c r="I177" s="200">
        <f ca="1">F177*$A$2</f>
        <v>1</v>
      </c>
      <c r="J177" s="197" t="s">
        <v>80</v>
      </c>
      <c r="K177" s="197">
        <f>IF(LeagueInfo!$F$7="Yahoo",IFERROR(INDEX(DefaultAuctionValues!$B$2:$B$359,MATCH(A177,DefaultAuctionValues!$A$2:$A$359,0)),0),IF(LeagueInfo!$F$7="ESPN",IFERROR(INDEX(DefaultAuctionValues!$C$2:$C$359,MATCH(A177,DefaultAuctionValues!$A$2:$A$359,0)),0),IF(LeagueInfo!$F$7="FantasyPros",IFERROR(INDEX(DefaultAuctionValues!$D$2:$D$359,MATCH(A177,DefaultAuctionValues!$A$2:$A$359,0)),0))))</f>
        <v>2</v>
      </c>
      <c r="L177" s="201">
        <f ca="1">I177-K177</f>
        <v>-1</v>
      </c>
      <c r="M177" s="213"/>
      <c r="N177" s="208">
        <f ca="1">INDEX(INDIRECT(""&amp;$B177&amp;"!y2:y709"),MATCH($A177,INDIRECT(""&amp;$B177&amp;"!B2:B709"),0))</f>
        <v>0</v>
      </c>
      <c r="O177" s="217" t="str">
        <f ca="1">IF(INDEX(INDIRECT(""&amp;$B177&amp;"!V2:V700"),MATCH($A177,INDIRECT(""&amp;$B177&amp;"!B2:B700"),0))=0,"",INDEX(INDIRECT(""&amp;$B177&amp;"!V2:V700"),MATCH($A177,INDIRECT(""&amp;$B177&amp;"!B2:B700"),0)))</f>
        <v/>
      </c>
    </row>
    <row r="178" spans="1:15" x14ac:dyDescent="0.25">
      <c r="A178" s="195" t="s">
        <v>186</v>
      </c>
      <c r="B178" s="195" t="s">
        <v>58</v>
      </c>
      <c r="C178" s="199">
        <f ca="1">IFERROR(INDEX(BYEs!$B$2:$B$33,MATCH(D178,BYEs!$A$2:$A$33,0)),"N/A")</f>
        <v>6</v>
      </c>
      <c r="D178" s="195" t="str">
        <f ca="1">INDEX(INDIRECT(""&amp;B178&amp;"!E2:E700"),MATCH(A178,INDIRECT(""&amp;B178&amp;"!B2:B700"),0))</f>
        <v>SEA</v>
      </c>
      <c r="E178" s="194" t="str">
        <f ca="1">INDEX(INDIRECT(""&amp;$B178&amp;"!Z2:Z709"),MATCH($A178,INDIRECT(""&amp;$B178&amp;"!B2:B709"),0))</f>
        <v>DEF3</v>
      </c>
      <c r="F178" s="196">
        <f ca="1">IF(LeagueInfo!$H$7="Starter/Bench",INDEX(INDIRECT(""&amp;B178&amp;"!S2:S709"),MATCH(A178,INDIRECT(""&amp;B178&amp;"!B2:B709"),0)),INDEX(INDIRECT(""&amp;B178&amp;"!AA2:AA709"),MATCH(A178,INDIRECT(""&amp;B178&amp;"!B2:B709"),0)))</f>
        <v>1</v>
      </c>
      <c r="G178" s="200">
        <f>IF(H178&gt;0,F178-H178,0)</f>
        <v>0</v>
      </c>
      <c r="H178" s="198"/>
      <c r="I178" s="200">
        <f ca="1">F178*$A$2</f>
        <v>1</v>
      </c>
      <c r="J178" s="197" t="s">
        <v>80</v>
      </c>
      <c r="K178" s="197">
        <f>IF(LeagueInfo!$F$7="Yahoo",IFERROR(INDEX(DefaultAuctionValues!$B$2:$B$359,MATCH(A178,DefaultAuctionValues!$A$2:$A$359,0)),0),IF(LeagueInfo!$F$7="ESPN",IFERROR(INDEX(DefaultAuctionValues!$C$2:$C$359,MATCH(A178,DefaultAuctionValues!$A$2:$A$359,0)),0),IF(LeagueInfo!$F$7="FantasyPros",IFERROR(INDEX(DefaultAuctionValues!$D$2:$D$359,MATCH(A178,DefaultAuctionValues!$A$2:$A$359,0)),0))))</f>
        <v>2</v>
      </c>
      <c r="L178" s="201">
        <f ca="1">I178-K178</f>
        <v>-1</v>
      </c>
      <c r="M178" s="213"/>
      <c r="N178" s="208">
        <f ca="1">INDEX(INDIRECT(""&amp;$B178&amp;"!y2:y709"),MATCH($A178,INDIRECT(""&amp;$B178&amp;"!B2:B709"),0))</f>
        <v>0</v>
      </c>
      <c r="O178" s="217" t="str">
        <f ca="1">IF(INDEX(INDIRECT(""&amp;$B178&amp;"!V2:V700"),MATCH($A178,INDIRECT(""&amp;$B178&amp;"!B2:B700"),0))=0,"",INDEX(INDIRECT(""&amp;$B178&amp;"!V2:V700"),MATCH($A178,INDIRECT(""&amp;$B178&amp;"!B2:B700"),0)))</f>
        <v/>
      </c>
    </row>
    <row r="179" spans="1:15" x14ac:dyDescent="0.25">
      <c r="A179" s="195" t="s">
        <v>833</v>
      </c>
      <c r="B179" s="195" t="s">
        <v>58</v>
      </c>
      <c r="C179" s="199">
        <f ca="1">IFERROR(INDEX(BYEs!$B$2:$B$33,MATCH(D179,BYEs!$A$2:$A$33,0)),"N/A")</f>
        <v>11</v>
      </c>
      <c r="D179" s="195" t="str">
        <f ca="1">INDEX(INDIRECT(""&amp;B179&amp;"!E2:E700"),MATCH(A179,INDIRECT(""&amp;B179&amp;"!B2:B700"),0))</f>
        <v>CAR</v>
      </c>
      <c r="E179" s="194" t="str">
        <f ca="1">INDEX(INDIRECT(""&amp;$B179&amp;"!Z2:Z709"),MATCH($A179,INDIRECT(""&amp;$B179&amp;"!B2:B709"),0))</f>
        <v>DEF3</v>
      </c>
      <c r="F179" s="196">
        <f ca="1">IF(LeagueInfo!$H$7="Starter/Bench",INDEX(INDIRECT(""&amp;B179&amp;"!S2:S709"),MATCH(A179,INDIRECT(""&amp;B179&amp;"!B2:B709"),0)),INDEX(INDIRECT(""&amp;B179&amp;"!AA2:AA709"),MATCH(A179,INDIRECT(""&amp;B179&amp;"!B2:B709"),0)))</f>
        <v>1</v>
      </c>
      <c r="G179" s="200">
        <f>IF(H179&gt;0,F179-H179,0)</f>
        <v>0</v>
      </c>
      <c r="H179" s="198"/>
      <c r="I179" s="200">
        <f ca="1">F179*$A$2</f>
        <v>1</v>
      </c>
      <c r="J179" s="197" t="s">
        <v>80</v>
      </c>
      <c r="K179" s="197">
        <f>IF(LeagueInfo!$F$7="Yahoo",IFERROR(INDEX(DefaultAuctionValues!$B$2:$B$359,MATCH(A179,DefaultAuctionValues!$A$2:$A$359,0)),0),IF(LeagueInfo!$F$7="ESPN",IFERROR(INDEX(DefaultAuctionValues!$C$2:$C$359,MATCH(A179,DefaultAuctionValues!$A$2:$A$359,0)),0),IF(LeagueInfo!$F$7="FantasyPros",IFERROR(INDEX(DefaultAuctionValues!$D$2:$D$359,MATCH(A179,DefaultAuctionValues!$A$2:$A$359,0)),0))))</f>
        <v>1</v>
      </c>
      <c r="L179" s="201">
        <f ca="1">I179-K179</f>
        <v>0</v>
      </c>
      <c r="M179" s="213"/>
      <c r="N179" s="208">
        <f ca="1">INDEX(INDIRECT(""&amp;$B179&amp;"!y2:y709"),MATCH($A179,INDIRECT(""&amp;$B179&amp;"!B2:B709"),0))</f>
        <v>0</v>
      </c>
      <c r="O179" s="217" t="str">
        <f ca="1">IF(INDEX(INDIRECT(""&amp;$B179&amp;"!V2:V700"),MATCH($A179,INDIRECT(""&amp;$B179&amp;"!B2:B700"),0))=0,"",INDEX(INDIRECT(""&amp;$B179&amp;"!V2:V700"),MATCH($A179,INDIRECT(""&amp;$B179&amp;"!B2:B700"),0)))</f>
        <v/>
      </c>
    </row>
    <row r="180" spans="1:15" x14ac:dyDescent="0.25">
      <c r="A180" s="195" t="s">
        <v>286</v>
      </c>
      <c r="B180" s="195" t="s">
        <v>58</v>
      </c>
      <c r="C180" s="199">
        <f ca="1">IFERROR(INDEX(BYEs!$B$2:$B$33,MATCH(D180,BYEs!$A$2:$A$33,0)),"N/A")</f>
        <v>10</v>
      </c>
      <c r="D180" s="195" t="str">
        <f ca="1">INDEX(INDIRECT(""&amp;B180&amp;"!E2:E700"),MATCH(A180,INDIRECT(""&amp;B180&amp;"!B2:B700"),0))</f>
        <v>PHI</v>
      </c>
      <c r="E180" s="194" t="str">
        <f ca="1">INDEX(INDIRECT(""&amp;$B180&amp;"!Z2:Z709"),MATCH($A180,INDIRECT(""&amp;$B180&amp;"!B2:B709"),0))</f>
        <v>DEF3</v>
      </c>
      <c r="F180" s="196">
        <f ca="1">IF(LeagueInfo!$H$7="Starter/Bench",INDEX(INDIRECT(""&amp;B180&amp;"!S2:S709"),MATCH(A180,INDIRECT(""&amp;B180&amp;"!B2:B709"),0)),INDEX(INDIRECT(""&amp;B180&amp;"!AA2:AA709"),MATCH(A180,INDIRECT(""&amp;B180&amp;"!B2:B709"),0)))</f>
        <v>1</v>
      </c>
      <c r="G180" s="200">
        <f>IF(H180&gt;0,F180-H180,0)</f>
        <v>0</v>
      </c>
      <c r="H180" s="198"/>
      <c r="I180" s="200">
        <f ca="1">F180*$A$2</f>
        <v>1</v>
      </c>
      <c r="J180" s="197" t="s">
        <v>80</v>
      </c>
      <c r="K180" s="197">
        <f>IF(LeagueInfo!$F$7="Yahoo",IFERROR(INDEX(DefaultAuctionValues!$B$2:$B$359,MATCH(A180,DefaultAuctionValues!$A$2:$A$359,0)),0),IF(LeagueInfo!$F$7="ESPN",IFERROR(INDEX(DefaultAuctionValues!$C$2:$C$359,MATCH(A180,DefaultAuctionValues!$A$2:$A$359,0)),0),IF(LeagueInfo!$F$7="FantasyPros",IFERROR(INDEX(DefaultAuctionValues!$D$2:$D$359,MATCH(A180,DefaultAuctionValues!$A$2:$A$359,0)),0))))</f>
        <v>1</v>
      </c>
      <c r="L180" s="201">
        <f ca="1">I180-K180</f>
        <v>0</v>
      </c>
      <c r="M180" s="213"/>
      <c r="N180" s="208">
        <f ca="1">INDEX(INDIRECT(""&amp;$B180&amp;"!y2:y709"),MATCH($A180,INDIRECT(""&amp;$B180&amp;"!B2:B709"),0))</f>
        <v>0</v>
      </c>
      <c r="O180" s="217" t="str">
        <f ca="1">IF(INDEX(INDIRECT(""&amp;$B180&amp;"!V2:V700"),MATCH($A180,INDIRECT(""&amp;$B180&amp;"!B2:B700"),0))=0,"",INDEX(INDIRECT(""&amp;$B180&amp;"!V2:V700"),MATCH($A180,INDIRECT(""&amp;$B180&amp;"!B2:B700"),0)))</f>
        <v/>
      </c>
    </row>
    <row r="181" spans="1:15" x14ac:dyDescent="0.25">
      <c r="A181" s="195" t="s">
        <v>219</v>
      </c>
      <c r="B181" s="195" t="s">
        <v>58</v>
      </c>
      <c r="C181" s="199">
        <f ca="1">IFERROR(INDEX(BYEs!$B$2:$B$33,MATCH(D181,BYEs!$A$2:$A$33,0)),"N/A")</f>
        <v>9</v>
      </c>
      <c r="D181" s="195" t="str">
        <f ca="1">INDEX(INDIRECT(""&amp;B181&amp;"!E2:E700"),MATCH(A181,INDIRECT(""&amp;B181&amp;"!B2:B700"),0))</f>
        <v>NE</v>
      </c>
      <c r="E181" s="194" t="str">
        <f ca="1">INDEX(INDIRECT(""&amp;$B181&amp;"!Z2:Z709"),MATCH($A181,INDIRECT(""&amp;$B181&amp;"!B2:B709"),0))</f>
        <v>DEF3</v>
      </c>
      <c r="F181" s="196">
        <f ca="1">IF(LeagueInfo!$H$7="Starter/Bench",INDEX(INDIRECT(""&amp;B181&amp;"!S2:S709"),MATCH(A181,INDIRECT(""&amp;B181&amp;"!B2:B709"),0)),INDEX(INDIRECT(""&amp;B181&amp;"!AA2:AA709"),MATCH(A181,INDIRECT(""&amp;B181&amp;"!B2:B709"),0)))</f>
        <v>1</v>
      </c>
      <c r="G181" s="200">
        <f>IF(H181&gt;0,F181-H181,0)</f>
        <v>0</v>
      </c>
      <c r="H181" s="198"/>
      <c r="I181" s="200">
        <f ca="1">F181*$A$2</f>
        <v>1</v>
      </c>
      <c r="J181" s="197" t="s">
        <v>80</v>
      </c>
      <c r="K181" s="197">
        <f>IF(LeagueInfo!$F$7="Yahoo",IFERROR(INDEX(DefaultAuctionValues!$B$2:$B$359,MATCH(A181,DefaultAuctionValues!$A$2:$A$359,0)),0),IF(LeagueInfo!$F$7="ESPN",IFERROR(INDEX(DefaultAuctionValues!$C$2:$C$359,MATCH(A181,DefaultAuctionValues!$A$2:$A$359,0)),0),IF(LeagueInfo!$F$7="FantasyPros",IFERROR(INDEX(DefaultAuctionValues!$D$2:$D$359,MATCH(A181,DefaultAuctionValues!$A$2:$A$359,0)),0))))</f>
        <v>1</v>
      </c>
      <c r="L181" s="201">
        <f ca="1">I181-K181</f>
        <v>0</v>
      </c>
      <c r="M181" s="213"/>
      <c r="N181" s="208">
        <f ca="1">INDEX(INDIRECT(""&amp;$B181&amp;"!y2:y709"),MATCH($A181,INDIRECT(""&amp;$B181&amp;"!B2:B709"),0))</f>
        <v>0</v>
      </c>
      <c r="O181" s="217" t="str">
        <f ca="1">IF(INDEX(INDIRECT(""&amp;$B181&amp;"!V2:V700"),MATCH($A181,INDIRECT(""&amp;$B181&amp;"!B2:B700"),0))=0,"",INDEX(INDIRECT(""&amp;$B181&amp;"!V2:V700"),MATCH($A181,INDIRECT(""&amp;$B181&amp;"!B2:B700"),0)))</f>
        <v/>
      </c>
    </row>
    <row r="182" spans="1:15" x14ac:dyDescent="0.25">
      <c r="A182" s="195" t="s">
        <v>288</v>
      </c>
      <c r="B182" s="195" t="s">
        <v>58</v>
      </c>
      <c r="C182" s="199">
        <f ca="1">IFERROR(INDEX(BYEs!$B$2:$B$33,MATCH(D182,BYEs!$A$2:$A$33,0)),"N/A")</f>
        <v>11</v>
      </c>
      <c r="D182" s="195" t="str">
        <f ca="1">INDEX(INDIRECT(""&amp;B182&amp;"!E2:E700"),MATCH(A182,INDIRECT(""&amp;B182&amp;"!B2:B700"),0))</f>
        <v>TB</v>
      </c>
      <c r="E182" s="194" t="str">
        <f ca="1">INDEX(INDIRECT(""&amp;$B182&amp;"!Z2:Z709"),MATCH($A182,INDIRECT(""&amp;$B182&amp;"!B2:B709"),0))</f>
        <v>DEF4</v>
      </c>
      <c r="F182" s="196">
        <f ca="1">IF(LeagueInfo!$H$7="Starter/Bench",INDEX(INDIRECT(""&amp;B182&amp;"!S2:S709"),MATCH(A182,INDIRECT(""&amp;B182&amp;"!B2:B709"),0)),INDEX(INDIRECT(""&amp;B182&amp;"!AA2:AA709"),MATCH(A182,INDIRECT(""&amp;B182&amp;"!B2:B709"),0)))</f>
        <v>1</v>
      </c>
      <c r="G182" s="200">
        <f>IF(H182&gt;0,F182-H182,0)</f>
        <v>0</v>
      </c>
      <c r="H182" s="198"/>
      <c r="I182" s="200">
        <f ca="1">F182*$A$2</f>
        <v>1</v>
      </c>
      <c r="J182" s="197" t="s">
        <v>80</v>
      </c>
      <c r="K182" s="197">
        <f>IF(LeagueInfo!$F$7="Yahoo",IFERROR(INDEX(DefaultAuctionValues!$B$2:$B$359,MATCH(A182,DefaultAuctionValues!$A$2:$A$359,0)),0),IF(LeagueInfo!$F$7="ESPN",IFERROR(INDEX(DefaultAuctionValues!$C$2:$C$359,MATCH(A182,DefaultAuctionValues!$A$2:$A$359,0)),0),IF(LeagueInfo!$F$7="FantasyPros",IFERROR(INDEX(DefaultAuctionValues!$D$2:$D$359,MATCH(A182,DefaultAuctionValues!$A$2:$A$359,0)),0))))</f>
        <v>1</v>
      </c>
      <c r="L182" s="201">
        <f ca="1">I182-K182</f>
        <v>0</v>
      </c>
      <c r="M182" s="213"/>
      <c r="N182" s="208">
        <f ca="1">INDEX(INDIRECT(""&amp;$B182&amp;"!y2:y709"),MATCH($A182,INDIRECT(""&amp;$B182&amp;"!B2:B709"),0))</f>
        <v>0</v>
      </c>
      <c r="O182" s="217" t="str">
        <f ca="1">IF(INDEX(INDIRECT(""&amp;$B182&amp;"!V2:V700"),MATCH($A182,INDIRECT(""&amp;$B182&amp;"!B2:B700"),0))=0,"",INDEX(INDIRECT(""&amp;$B182&amp;"!V2:V700"),MATCH($A182,INDIRECT(""&amp;$B182&amp;"!B2:B700"),0)))</f>
        <v/>
      </c>
    </row>
    <row r="183" spans="1:15" x14ac:dyDescent="0.25">
      <c r="A183" s="195" t="s">
        <v>299</v>
      </c>
      <c r="B183" s="195" t="s">
        <v>58</v>
      </c>
      <c r="C183" s="199">
        <f ca="1">IFERROR(INDEX(BYEs!$B$2:$B$33,MATCH(D183,BYEs!$A$2:$A$33,0)),"N/A")</f>
        <v>8</v>
      </c>
      <c r="D183" s="195" t="str">
        <f ca="1">INDEX(INDIRECT(""&amp;B183&amp;"!E2:E700"),MATCH(A183,INDIRECT(""&amp;B183&amp;"!B2:B700"),0))</f>
        <v>NYG</v>
      </c>
      <c r="E183" s="194" t="str">
        <f ca="1">INDEX(INDIRECT(""&amp;$B183&amp;"!Z2:Z709"),MATCH($A183,INDIRECT(""&amp;$B183&amp;"!B2:B709"),0))</f>
        <v>DEF4</v>
      </c>
      <c r="F183" s="196">
        <f ca="1">IF(LeagueInfo!$H$7="Starter/Bench",INDEX(INDIRECT(""&amp;B183&amp;"!S2:S709"),MATCH(A183,INDIRECT(""&amp;B183&amp;"!B2:B709"),0)),INDEX(INDIRECT(""&amp;B183&amp;"!AA2:AA709"),MATCH(A183,INDIRECT(""&amp;B183&amp;"!B2:B709"),0)))</f>
        <v>1</v>
      </c>
      <c r="G183" s="200">
        <f>IF(H183&gt;0,F183-H183,0)</f>
        <v>0</v>
      </c>
      <c r="H183" s="198"/>
      <c r="I183" s="200">
        <f ca="1">F183*$A$2</f>
        <v>1</v>
      </c>
      <c r="J183" s="197" t="s">
        <v>80</v>
      </c>
      <c r="K183" s="197">
        <f>IF(LeagueInfo!$F$7="Yahoo",IFERROR(INDEX(DefaultAuctionValues!$B$2:$B$359,MATCH(A183,DefaultAuctionValues!$A$2:$A$359,0)),0),IF(LeagueInfo!$F$7="ESPN",IFERROR(INDEX(DefaultAuctionValues!$C$2:$C$359,MATCH(A183,DefaultAuctionValues!$A$2:$A$359,0)),0),IF(LeagueInfo!$F$7="FantasyPros",IFERROR(INDEX(DefaultAuctionValues!$D$2:$D$359,MATCH(A183,DefaultAuctionValues!$A$2:$A$359,0)),0))))</f>
        <v>1</v>
      </c>
      <c r="L183" s="201">
        <f ca="1">I183-K183</f>
        <v>0</v>
      </c>
      <c r="M183" s="213"/>
      <c r="N183" s="208">
        <f ca="1">INDEX(INDIRECT(""&amp;$B183&amp;"!y2:y709"),MATCH($A183,INDIRECT(""&amp;$B183&amp;"!B2:B709"),0))</f>
        <v>0</v>
      </c>
      <c r="O183" s="217" t="str">
        <f ca="1">IF(INDEX(INDIRECT(""&amp;$B183&amp;"!V2:V700"),MATCH($A183,INDIRECT(""&amp;$B183&amp;"!B2:B700"),0))=0,"",INDEX(INDIRECT(""&amp;$B183&amp;"!V2:V700"),MATCH($A183,INDIRECT(""&amp;$B183&amp;"!B2:B700"),0)))</f>
        <v/>
      </c>
    </row>
    <row r="184" spans="1:15" x14ac:dyDescent="0.25">
      <c r="A184" s="195" t="s">
        <v>305</v>
      </c>
      <c r="B184" s="195" t="s">
        <v>58</v>
      </c>
      <c r="C184" s="199">
        <f ca="1">IFERROR(INDEX(BYEs!$B$2:$B$33,MATCH(D184,BYEs!$A$2:$A$33,0)),"N/A")</f>
        <v>8</v>
      </c>
      <c r="D184" s="195" t="str">
        <f ca="1">INDEX(INDIRECT(""&amp;B184&amp;"!E2:E700"),MATCH(A184,INDIRECT(""&amp;B184&amp;"!B2:B700"),0))</f>
        <v>JAC</v>
      </c>
      <c r="E184" s="194" t="str">
        <f ca="1">INDEX(INDIRECT(""&amp;$B184&amp;"!Z2:Z709"),MATCH($A184,INDIRECT(""&amp;$B184&amp;"!B2:B709"),0))</f>
        <v>DEF4</v>
      </c>
      <c r="F184" s="196">
        <f ca="1">IF(LeagueInfo!$H$7="Starter/Bench",INDEX(INDIRECT(""&amp;B184&amp;"!S2:S709"),MATCH(A184,INDIRECT(""&amp;B184&amp;"!B2:B709"),0)),INDEX(INDIRECT(""&amp;B184&amp;"!AA2:AA709"),MATCH(A184,INDIRECT(""&amp;B184&amp;"!B2:B709"),0)))</f>
        <v>1</v>
      </c>
      <c r="G184" s="200">
        <f>IF(H184&gt;0,F184-H184,0)</f>
        <v>0</v>
      </c>
      <c r="H184" s="198"/>
      <c r="I184" s="200">
        <f ca="1">F184*$A$2</f>
        <v>1</v>
      </c>
      <c r="J184" s="197" t="s">
        <v>80</v>
      </c>
      <c r="K184" s="197">
        <f>IF(LeagueInfo!$F$7="Yahoo",IFERROR(INDEX(DefaultAuctionValues!$B$2:$B$359,MATCH(A184,DefaultAuctionValues!$A$2:$A$359,0)),0),IF(LeagueInfo!$F$7="ESPN",IFERROR(INDEX(DefaultAuctionValues!$C$2:$C$359,MATCH(A184,DefaultAuctionValues!$A$2:$A$359,0)),0),IF(LeagueInfo!$F$7="FantasyPros",IFERROR(INDEX(DefaultAuctionValues!$D$2:$D$359,MATCH(A184,DefaultAuctionValues!$A$2:$A$359,0)),0))))</f>
        <v>1</v>
      </c>
      <c r="L184" s="201">
        <f ca="1">I184-K184</f>
        <v>0</v>
      </c>
      <c r="M184" s="213"/>
      <c r="N184" s="208">
        <f ca="1">INDEX(INDIRECT(""&amp;$B184&amp;"!y2:y709"),MATCH($A184,INDIRECT(""&amp;$B184&amp;"!B2:B709"),0))</f>
        <v>0</v>
      </c>
      <c r="O184" s="217" t="str">
        <f ca="1">IF(INDEX(INDIRECT(""&amp;$B184&amp;"!V2:V700"),MATCH($A184,INDIRECT(""&amp;$B184&amp;"!B2:B700"),0))=0,"",INDEX(INDIRECT(""&amp;$B184&amp;"!V2:V700"),MATCH($A184,INDIRECT(""&amp;$B184&amp;"!B2:B700"),0)))</f>
        <v/>
      </c>
    </row>
    <row r="185" spans="1:15" x14ac:dyDescent="0.25">
      <c r="A185" s="195" t="s">
        <v>313</v>
      </c>
      <c r="B185" s="195" t="s">
        <v>52</v>
      </c>
      <c r="C185" s="199">
        <f ca="1">IFERROR(INDEX(BYEs!$B$2:$B$33,MATCH(D185,BYEs!$A$2:$A$33,0)),"N/A")</f>
        <v>10</v>
      </c>
      <c r="D185" s="195" t="str">
        <f ca="1">INDEX(INDIRECT(""&amp;B185&amp;"!E2:E700"),MATCH(A185,INDIRECT(""&amp;B185&amp;"!B2:B700"),0))</f>
        <v>KC</v>
      </c>
      <c r="E185" s="194" t="str">
        <f ca="1">INDEX(INDIRECT(""&amp;$B185&amp;"!Z2:Z709"),MATCH($A185,INDIRECT(""&amp;$B185&amp;"!B2:B709"),0))</f>
        <v>K2</v>
      </c>
      <c r="F185" s="196">
        <f ca="1">IF(LeagueInfo!$H$7="Starter/Bench",INDEX(INDIRECT(""&amp;B185&amp;"!S2:S709"),MATCH(A185,INDIRECT(""&amp;B185&amp;"!B2:B709"),0)),INDEX(INDIRECT(""&amp;B185&amp;"!AA2:AA709"),MATCH(A185,INDIRECT(""&amp;B185&amp;"!B2:B709"),0)))</f>
        <v>1</v>
      </c>
      <c r="G185" s="200">
        <f>IF(H185&gt;0,F185-H185,0)</f>
        <v>0</v>
      </c>
      <c r="H185" s="198"/>
      <c r="I185" s="200">
        <f ca="1">F185*$A$2</f>
        <v>1</v>
      </c>
      <c r="J185" s="197" t="s">
        <v>80</v>
      </c>
      <c r="K185" s="197">
        <f>IF(LeagueInfo!$F$7="Yahoo",IFERROR(INDEX(DefaultAuctionValues!$B$2:$B$359,MATCH(A185,DefaultAuctionValues!$A$2:$A$359,0)),0),IF(LeagueInfo!$F$7="ESPN",IFERROR(INDEX(DefaultAuctionValues!$C$2:$C$359,MATCH(A185,DefaultAuctionValues!$A$2:$A$359,0)),0),IF(LeagueInfo!$F$7="FantasyPros",IFERROR(INDEX(DefaultAuctionValues!$D$2:$D$359,MATCH(A185,DefaultAuctionValues!$A$2:$A$359,0)),0))))</f>
        <v>1</v>
      </c>
      <c r="L185" s="201">
        <f ca="1">I185-K185</f>
        <v>0</v>
      </c>
      <c r="M185" s="213"/>
      <c r="N185" s="208">
        <f ca="1">INDEX(INDIRECT(""&amp;$B185&amp;"!y2:y709"),MATCH($A185,INDIRECT(""&amp;$B185&amp;"!B2:B709"),0))</f>
        <v>0</v>
      </c>
      <c r="O185" s="217" t="str">
        <f ca="1">IF(INDEX(INDIRECT(""&amp;$B185&amp;"!V2:V700"),MATCH($A185,INDIRECT(""&amp;$B185&amp;"!B2:B700"),0))=0,"",INDEX(INDIRECT(""&amp;$B185&amp;"!V2:V700"),MATCH($A185,INDIRECT(""&amp;$B185&amp;"!B2:B700"),0)))</f>
        <v/>
      </c>
    </row>
    <row r="186" spans="1:15" x14ac:dyDescent="0.25">
      <c r="A186" s="195" t="s">
        <v>438</v>
      </c>
      <c r="B186" s="195" t="s">
        <v>32</v>
      </c>
      <c r="C186" s="199">
        <f ca="1">IFERROR(INDEX(BYEs!$B$2:$B$33,MATCH(D186,BYEs!$A$2:$A$33,0)),"N/A")</f>
        <v>9</v>
      </c>
      <c r="D186" s="195" t="str">
        <f ca="1">INDEX(INDIRECT(""&amp;B186&amp;"!E2:E700"),MATCH(A186,INDIRECT(""&amp;B186&amp;"!B2:B700"),0))</f>
        <v>NE</v>
      </c>
      <c r="E186" s="194" t="str">
        <f ca="1">INDEX(INDIRECT(""&amp;$B186&amp;"!Z2:Z709"),MATCH($A186,INDIRECT(""&amp;$B186&amp;"!B2:B709"),0))</f>
        <v>RB10</v>
      </c>
      <c r="F186" s="196">
        <f ca="1">IF(LeagueInfo!$H$7="Starter/Bench",INDEX(INDIRECT(""&amp;B186&amp;"!S2:S709"),MATCH(A186,INDIRECT(""&amp;B186&amp;"!B2:B709"),0)),INDEX(INDIRECT(""&amp;B186&amp;"!AA2:AA709"),MATCH(A186,INDIRECT(""&amp;B186&amp;"!B2:B709"),0)))</f>
        <v>0.84063043048774233</v>
      </c>
      <c r="G186" s="200">
        <f>IF(H186&gt;0,F186-H186,0)</f>
        <v>0</v>
      </c>
      <c r="H186" s="198"/>
      <c r="I186" s="200">
        <f ca="1">F186*$A$2</f>
        <v>0.84063043048774233</v>
      </c>
      <c r="J186" s="197" t="s">
        <v>80</v>
      </c>
      <c r="K186" s="197">
        <f>IF(LeagueInfo!$F$7="Yahoo",IFERROR(INDEX(DefaultAuctionValues!$B$2:$B$359,MATCH(A186,DefaultAuctionValues!$A$2:$A$359,0)),0),IF(LeagueInfo!$F$7="ESPN",IFERROR(INDEX(DefaultAuctionValues!$C$2:$C$359,MATCH(A186,DefaultAuctionValues!$A$2:$A$359,0)),0),IF(LeagueInfo!$F$7="FantasyPros",IFERROR(INDEX(DefaultAuctionValues!$D$2:$D$359,MATCH(A186,DefaultAuctionValues!$A$2:$A$359,0)),0))))</f>
        <v>1</v>
      </c>
      <c r="L186" s="201">
        <f ca="1">I186-K186</f>
        <v>-0.15936956951225767</v>
      </c>
      <c r="M186" s="213"/>
      <c r="N186" s="208">
        <f ca="1">INDEX(INDIRECT(""&amp;$B186&amp;"!y2:y709"),MATCH($A186,INDIRECT(""&amp;$B186&amp;"!B2:B709"),0))</f>
        <v>1.7550000000000026</v>
      </c>
      <c r="O186" s="217" t="str">
        <f ca="1">IF(INDEX(INDIRECT(""&amp;$B186&amp;"!V2:V700"),MATCH($A186,INDIRECT(""&amp;$B186&amp;"!B2:B700"),0))=0,"",INDEX(INDIRECT(""&amp;$B186&amp;"!V2:V700"),MATCH($A186,INDIRECT(""&amp;$B186&amp;"!B2:B700"),0)))</f>
        <v/>
      </c>
    </row>
    <row r="187" spans="1:15" x14ac:dyDescent="0.25">
      <c r="A187" s="195" t="s">
        <v>162</v>
      </c>
      <c r="B187" s="195" t="s">
        <v>32</v>
      </c>
      <c r="C187" s="199">
        <f ca="1">IFERROR(INDEX(BYEs!$B$2:$B$33,MATCH(D187,BYEs!$A$2:$A$33,0)),"N/A")</f>
        <v>6</v>
      </c>
      <c r="D187" s="195" t="str">
        <f ca="1">INDEX(INDIRECT(""&amp;B187&amp;"!E2:E700"),MATCH(A187,INDIRECT(""&amp;B187&amp;"!B2:B700"),0))</f>
        <v>CIN</v>
      </c>
      <c r="E187" s="194" t="str">
        <f ca="1">INDEX(INDIRECT(""&amp;$B187&amp;"!Z2:Z709"),MATCH($A187,INDIRECT(""&amp;$B187&amp;"!B2:B709"),0))</f>
        <v>RB10</v>
      </c>
      <c r="F187" s="196">
        <f ca="1">IF(LeagueInfo!$H$7="Starter/Bench",INDEX(INDIRECT(""&amp;B187&amp;"!S2:S709"),MATCH(A187,INDIRECT(""&amp;B187&amp;"!B2:B709"),0)),INDEX(INDIRECT(""&amp;B187&amp;"!AA2:AA709"),MATCH(A187,INDIRECT(""&amp;B187&amp;"!B2:B709"),0)))</f>
        <v>0.6298740832429468</v>
      </c>
      <c r="G187" s="200">
        <f>IF(H187&gt;0,F187-H187,0)</f>
        <v>0</v>
      </c>
      <c r="H187" s="198"/>
      <c r="I187" s="200">
        <f ca="1">F187*$A$2</f>
        <v>0.6298740832429468</v>
      </c>
      <c r="J187" s="197" t="s">
        <v>80</v>
      </c>
      <c r="K187" s="197">
        <f>IF(LeagueInfo!$F$7="Yahoo",IFERROR(INDEX(DefaultAuctionValues!$B$2:$B$359,MATCH(A187,DefaultAuctionValues!$A$2:$A$359,0)),0),IF(LeagueInfo!$F$7="ESPN",IFERROR(INDEX(DefaultAuctionValues!$C$2:$C$359,MATCH(A187,DefaultAuctionValues!$A$2:$A$359,0)),0),IF(LeagueInfo!$F$7="FantasyPros",IFERROR(INDEX(DefaultAuctionValues!$D$2:$D$359,MATCH(A187,DefaultAuctionValues!$A$2:$A$359,0)),0))))</f>
        <v>3</v>
      </c>
      <c r="L187" s="201">
        <f ca="1">I187-K187</f>
        <v>-2.3701259167570532</v>
      </c>
      <c r="M187" s="213"/>
      <c r="N187" s="208">
        <f ca="1">INDEX(INDIRECT(""&amp;$B187&amp;"!y2:y709"),MATCH($A187,INDIRECT(""&amp;$B187&amp;"!B2:B709"),0))</f>
        <v>1.3149999999999906</v>
      </c>
      <c r="O187" s="217" t="str">
        <f ca="1">IF(INDEX(INDIRECT(""&amp;$B187&amp;"!V2:V700"),MATCH($A187,INDIRECT(""&amp;$B187&amp;"!B2:B700"),0))=0,"",INDEX(INDIRECT(""&amp;$B187&amp;"!V2:V700"),MATCH($A187,INDIRECT(""&amp;$B187&amp;"!B2:B700"),0)))</f>
        <v/>
      </c>
    </row>
    <row r="188" spans="1:15" x14ac:dyDescent="0.25">
      <c r="A188" s="195" t="s">
        <v>155</v>
      </c>
      <c r="B188" s="195" t="s">
        <v>32</v>
      </c>
      <c r="C188" s="199">
        <f ca="1">IFERROR(INDEX(BYEs!$B$2:$B$33,MATCH(D188,BYEs!$A$2:$A$33,0)),"N/A")</f>
        <v>9</v>
      </c>
      <c r="D188" s="195" t="str">
        <f ca="1">INDEX(INDIRECT(""&amp;B188&amp;"!E2:E700"),MATCH(A188,INDIRECT(""&amp;B188&amp;"!B2:B700"),0))</f>
        <v>MIN</v>
      </c>
      <c r="E188" s="194" t="str">
        <f ca="1">INDEX(INDIRECT(""&amp;$B188&amp;"!Z2:Z709"),MATCH($A188,INDIRECT(""&amp;$B188&amp;"!B2:B709"),0))</f>
        <v>RB10</v>
      </c>
      <c r="F188" s="196">
        <f ca="1">IF(LeagueInfo!$H$7="Starter/Bench",INDEX(INDIRECT(""&amp;B188&amp;"!S2:S709"),MATCH(A188,INDIRECT(""&amp;B188&amp;"!B2:B709"),0)),INDEX(INDIRECT(""&amp;B188&amp;"!AA2:AA709"),MATCH(A188,INDIRECT(""&amp;B188&amp;"!B2:B709"),0)))</f>
        <v>0.29457989444441962</v>
      </c>
      <c r="G188" s="200">
        <f>IF(H188&gt;0,F188-H188,0)</f>
        <v>0</v>
      </c>
      <c r="H188" s="198"/>
      <c r="I188" s="200">
        <f ca="1">F188*$A$2</f>
        <v>0.29457989444441962</v>
      </c>
      <c r="J188" s="197" t="s">
        <v>80</v>
      </c>
      <c r="K188" s="197">
        <f>IF(LeagueInfo!$F$7="Yahoo",IFERROR(INDEX(DefaultAuctionValues!$B$2:$B$359,MATCH(A188,DefaultAuctionValues!$A$2:$A$359,0)),0),IF(LeagueInfo!$F$7="ESPN",IFERROR(INDEX(DefaultAuctionValues!$C$2:$C$359,MATCH(A188,DefaultAuctionValues!$A$2:$A$359,0)),0),IF(LeagueInfo!$F$7="FantasyPros",IFERROR(INDEX(DefaultAuctionValues!$D$2:$D$359,MATCH(A188,DefaultAuctionValues!$A$2:$A$359,0)),0))))</f>
        <v>5</v>
      </c>
      <c r="L188" s="201">
        <f ca="1">I188-K188</f>
        <v>-4.7054201055555804</v>
      </c>
      <c r="M188" s="213"/>
      <c r="N188" s="208">
        <f ca="1">INDEX(INDIRECT(""&amp;$B188&amp;"!y2:y709"),MATCH($A188,INDIRECT(""&amp;$B188&amp;"!B2:B709"),0))</f>
        <v>0.61499999999999488</v>
      </c>
      <c r="O188" s="217" t="str">
        <f ca="1">IF(INDEX(INDIRECT(""&amp;$B188&amp;"!V2:V700"),MATCH($A188,INDIRECT(""&amp;$B188&amp;"!B2:B700"),0))=0,"",INDEX(INDIRECT(""&amp;$B188&amp;"!V2:V700"),MATCH($A188,INDIRECT(""&amp;$B188&amp;"!B2:B700"),0)))</f>
        <v/>
      </c>
    </row>
    <row r="189" spans="1:15" x14ac:dyDescent="0.25">
      <c r="A189" s="195" t="s">
        <v>441</v>
      </c>
      <c r="B189" s="195" t="s">
        <v>32</v>
      </c>
      <c r="C189" s="199">
        <f ca="1">IFERROR(INDEX(BYEs!$B$2:$B$33,MATCH(D189,BYEs!$A$2:$A$33,0)),"N/A")</f>
        <v>10</v>
      </c>
      <c r="D189" s="195" t="str">
        <f ca="1">INDEX(INDIRECT(""&amp;B189&amp;"!E2:E700"),MATCH(A189,INDIRECT(""&amp;B189&amp;"!B2:B700"),0))</f>
        <v>OAK</v>
      </c>
      <c r="E189" s="194" t="str">
        <f ca="1">INDEX(INDIRECT(""&amp;$B189&amp;"!Z2:Z709"),MATCH($A189,INDIRECT(""&amp;$B189&amp;"!B2:B709"),0))</f>
        <v>RB10</v>
      </c>
      <c r="F189" s="196">
        <f ca="1">IF(LeagueInfo!$H$7="Starter/Bench",INDEX(INDIRECT(""&amp;B189&amp;"!S2:S709"),MATCH(A189,INDIRECT(""&amp;B189&amp;"!B2:B709"),0)),INDEX(INDIRECT(""&amp;B189&amp;"!AA2:AA709"),MATCH(A189,INDIRECT(""&amp;B189&amp;"!B2:B709"),0)))</f>
        <v>0.25865551707314727</v>
      </c>
      <c r="G189" s="200">
        <f>IF(H189&gt;0,F189-H189,0)</f>
        <v>0</v>
      </c>
      <c r="H189" s="198"/>
      <c r="I189" s="200">
        <f ca="1">F189*$A$2</f>
        <v>0.25865551707314727</v>
      </c>
      <c r="J189" s="197" t="s">
        <v>80</v>
      </c>
      <c r="K189" s="197">
        <f>IF(LeagueInfo!$F$7="Yahoo",IFERROR(INDEX(DefaultAuctionValues!$B$2:$B$359,MATCH(A189,DefaultAuctionValues!$A$2:$A$359,0)),0),IF(LeagueInfo!$F$7="ESPN",IFERROR(INDEX(DefaultAuctionValues!$C$2:$C$359,MATCH(A189,DefaultAuctionValues!$A$2:$A$359,0)),0),IF(LeagueInfo!$F$7="FantasyPros",IFERROR(INDEX(DefaultAuctionValues!$D$2:$D$359,MATCH(A189,DefaultAuctionValues!$A$2:$A$359,0)),0))))</f>
        <v>0</v>
      </c>
      <c r="L189" s="201">
        <f ca="1">I189-K189</f>
        <v>0.25865551707314727</v>
      </c>
      <c r="M189" s="213"/>
      <c r="N189" s="208">
        <f ca="1">INDEX(INDIRECT(""&amp;$B189&amp;"!y2:y709"),MATCH($A189,INDIRECT(""&amp;$B189&amp;"!B2:B709"),0))</f>
        <v>0.53999999999999204</v>
      </c>
      <c r="O189" s="217" t="str">
        <f ca="1">IF(INDEX(INDIRECT(""&amp;$B189&amp;"!V2:V700"),MATCH($A189,INDIRECT(""&amp;$B189&amp;"!B2:B700"),0))=0,"",INDEX(INDIRECT(""&amp;$B189&amp;"!V2:V700"),MATCH($A189,INDIRECT(""&amp;$B189&amp;"!B2:B700"),0)))</f>
        <v/>
      </c>
    </row>
    <row r="190" spans="1:15" x14ac:dyDescent="0.25">
      <c r="A190" s="195" t="s">
        <v>270</v>
      </c>
      <c r="B190" s="195" t="s">
        <v>39</v>
      </c>
      <c r="C190" s="199">
        <f ca="1">IFERROR(INDEX(BYEs!$B$2:$B$33,MATCH(D190,BYEs!$A$2:$A$33,0)),"N/A")</f>
        <v>6</v>
      </c>
      <c r="D190" s="195" t="str">
        <f ca="1">INDEX(INDIRECT(""&amp;B190&amp;"!E2:E700"),MATCH(A190,INDIRECT(""&amp;B190&amp;"!B2:B700"),0))</f>
        <v>SEA</v>
      </c>
      <c r="E190" s="194" t="str">
        <f ca="1">INDEX(INDIRECT(""&amp;$B190&amp;"!Z2:Z709"),MATCH($A190,INDIRECT(""&amp;$B190&amp;"!B2:B709"),0))</f>
        <v>WR8</v>
      </c>
      <c r="F190" s="196">
        <f ca="1">IF(LeagueInfo!$H$7="Starter/Bench",INDEX(INDIRECT(""&amp;B190&amp;"!S2:S709"),MATCH(A190,INDIRECT(""&amp;B190&amp;"!B2:B709"),0)),INDEX(INDIRECT(""&amp;B190&amp;"!AA2:AA709"),MATCH(A190,INDIRECT(""&amp;B190&amp;"!B2:B709"),0)))</f>
        <v>0.13890759250224399</v>
      </c>
      <c r="G190" s="200">
        <f>IF(H190&gt;0,F190-H190,0)</f>
        <v>0</v>
      </c>
      <c r="H190" s="198"/>
      <c r="I190" s="200">
        <f ca="1">F190*$A$2</f>
        <v>0.13890759250224399</v>
      </c>
      <c r="J190" s="197" t="s">
        <v>80</v>
      </c>
      <c r="K190" s="197">
        <f>IF(LeagueInfo!$F$7="Yahoo",IFERROR(INDEX(DefaultAuctionValues!$B$2:$B$359,MATCH(A190,DefaultAuctionValues!$A$2:$A$359,0)),0),IF(LeagueInfo!$F$7="ESPN",IFERROR(INDEX(DefaultAuctionValues!$C$2:$C$359,MATCH(A190,DefaultAuctionValues!$A$2:$A$359,0)),0),IF(LeagueInfo!$F$7="FantasyPros",IFERROR(INDEX(DefaultAuctionValues!$D$2:$D$359,MATCH(A190,DefaultAuctionValues!$A$2:$A$359,0)),0))))</f>
        <v>1</v>
      </c>
      <c r="L190" s="201">
        <f ca="1">I190-K190</f>
        <v>-0.86109240749775595</v>
      </c>
      <c r="M190" s="213"/>
      <c r="N190" s="208">
        <f ca="1">INDEX(INDIRECT(""&amp;$B190&amp;"!y2:y709"),MATCH($A190,INDIRECT(""&amp;$B190&amp;"!B2:B709"),0))</f>
        <v>0.28999999999999204</v>
      </c>
      <c r="O190" s="217" t="str">
        <f ca="1">IF(INDEX(INDIRECT(""&amp;$B190&amp;"!V2:V700"),MATCH($A190,INDIRECT(""&amp;$B190&amp;"!B2:B700"),0))=0,"",INDEX(INDIRECT(""&amp;$B190&amp;"!V2:V700"),MATCH($A190,INDIRECT(""&amp;$B190&amp;"!B2:B700"),0)))</f>
        <v/>
      </c>
    </row>
    <row r="191" spans="1:15" x14ac:dyDescent="0.25">
      <c r="A191" s="195" t="s">
        <v>278</v>
      </c>
      <c r="B191" s="195" t="s">
        <v>39</v>
      </c>
      <c r="C191" s="199">
        <f ca="1">IFERROR(INDEX(BYEs!$B$2:$B$33,MATCH(D191,BYEs!$A$2:$A$33,0)),"N/A")</f>
        <v>6</v>
      </c>
      <c r="D191" s="195" t="str">
        <f ca="1">INDEX(INDIRECT(""&amp;B191&amp;"!E2:E700"),MATCH(A191,INDIRECT(""&amp;B191&amp;"!B2:B700"),0))</f>
        <v>BUF</v>
      </c>
      <c r="E191" s="194" t="str">
        <f ca="1">INDEX(INDIRECT(""&amp;$B191&amp;"!Z2:Z709"),MATCH($A191,INDIRECT(""&amp;$B191&amp;"!B2:B709"),0))</f>
        <v>WR8</v>
      </c>
      <c r="F191" s="196">
        <f ca="1">IF(LeagueInfo!$H$7="Starter/Bench",INDEX(INDIRECT(""&amp;B191&amp;"!S2:S709"),MATCH(A191,INDIRECT(""&amp;B191&amp;"!B2:B709"),0)),INDEX(INDIRECT(""&amp;B191&amp;"!AA2:AA709"),MATCH(A191,INDIRECT(""&amp;B191&amp;"!B2:B709"),0)))</f>
        <v>0</v>
      </c>
      <c r="G191" s="200">
        <f>IF(H191&gt;0,F191-H191,0)</f>
        <v>0</v>
      </c>
      <c r="H191" s="198"/>
      <c r="I191" s="200">
        <f ca="1">F191*$A$2</f>
        <v>0</v>
      </c>
      <c r="J191" s="197" t="s">
        <v>80</v>
      </c>
      <c r="K191" s="197">
        <f>IF(LeagueInfo!$F$7="Yahoo",IFERROR(INDEX(DefaultAuctionValues!$B$2:$B$359,MATCH(A191,DefaultAuctionValues!$A$2:$A$359,0)),0),IF(LeagueInfo!$F$7="ESPN",IFERROR(INDEX(DefaultAuctionValues!$C$2:$C$359,MATCH(A191,DefaultAuctionValues!$A$2:$A$359,0)),0),IF(LeagueInfo!$F$7="FantasyPros",IFERROR(INDEX(DefaultAuctionValues!$D$2:$D$359,MATCH(A191,DefaultAuctionValues!$A$2:$A$359,0)),0))))</f>
        <v>1</v>
      </c>
      <c r="L191" s="201">
        <f ca="1">I191-K191</f>
        <v>-1</v>
      </c>
      <c r="M191" s="213"/>
      <c r="N191" s="208">
        <f ca="1">INDEX(INDIRECT(""&amp;$B191&amp;"!y2:y709"),MATCH($A191,INDIRECT(""&amp;$B191&amp;"!B2:B709"),0))</f>
        <v>0</v>
      </c>
      <c r="O191" s="217" t="str">
        <f ca="1">IF(INDEX(INDIRECT(""&amp;$B191&amp;"!V2:V700"),MATCH($A191,INDIRECT(""&amp;$B191&amp;"!B2:B700"),0))=0,"",INDEX(INDIRECT(""&amp;$B191&amp;"!V2:V700"),MATCH($A191,INDIRECT(""&amp;$B191&amp;"!B2:B700"),0)))</f>
        <v/>
      </c>
    </row>
    <row r="192" spans="1:15" x14ac:dyDescent="0.25">
      <c r="A192" s="195" t="s">
        <v>437</v>
      </c>
      <c r="B192" s="195" t="s">
        <v>32</v>
      </c>
      <c r="C192" s="199">
        <f ca="1">IFERROR(INDEX(BYEs!$B$2:$B$33,MATCH(D192,BYEs!$A$2:$A$33,0)),"N/A")</f>
        <v>11</v>
      </c>
      <c r="D192" s="195" t="str">
        <f ca="1">INDEX(INDIRECT(""&amp;B192&amp;"!E2:E700"),MATCH(A192,INDIRECT(""&amp;B192&amp;"!B2:B700"),0))</f>
        <v>TB</v>
      </c>
      <c r="E192" s="194" t="str">
        <f ca="1">INDEX(INDIRECT(""&amp;$B192&amp;"!Z2:Z709"),MATCH($A192,INDIRECT(""&amp;$B192&amp;"!B2:B709"),0))</f>
        <v>RB10</v>
      </c>
      <c r="F192" s="196">
        <f ca="1">IF(LeagueInfo!$H$7="Starter/Bench",INDEX(INDIRECT(""&amp;B192&amp;"!S2:S709"),MATCH(A192,INDIRECT(""&amp;B192&amp;"!B2:B709"),0)),INDEX(INDIRECT(""&amp;B192&amp;"!AA2:AA709"),MATCH(A192,INDIRECT(""&amp;B192&amp;"!B2:B709"),0)))</f>
        <v>0</v>
      </c>
      <c r="G192" s="200">
        <f>IF(H192&gt;0,F192-H192,0)</f>
        <v>0</v>
      </c>
      <c r="H192" s="198"/>
      <c r="I192" s="200">
        <f ca="1">F192*$A$2</f>
        <v>0</v>
      </c>
      <c r="J192" s="197" t="s">
        <v>80</v>
      </c>
      <c r="K192" s="197">
        <f>IF(LeagueInfo!$F$7="Yahoo",IFERROR(INDEX(DefaultAuctionValues!$B$2:$B$359,MATCH(A192,DefaultAuctionValues!$A$2:$A$359,0)),0),IF(LeagueInfo!$F$7="ESPN",IFERROR(INDEX(DefaultAuctionValues!$C$2:$C$359,MATCH(A192,DefaultAuctionValues!$A$2:$A$359,0)),0),IF(LeagueInfo!$F$7="FantasyPros",IFERROR(INDEX(DefaultAuctionValues!$D$2:$D$359,MATCH(A192,DefaultAuctionValues!$A$2:$A$359,0)),0))))</f>
        <v>0</v>
      </c>
      <c r="L192" s="201">
        <f ca="1">I192-K192</f>
        <v>0</v>
      </c>
      <c r="M192" s="213"/>
      <c r="N192" s="208">
        <f ca="1">INDEX(INDIRECT(""&amp;$B192&amp;"!y2:y709"),MATCH($A192,INDIRECT(""&amp;$B192&amp;"!B2:B709"),0))</f>
        <v>0</v>
      </c>
      <c r="O192" s="217" t="str">
        <f ca="1">IF(INDEX(INDIRECT(""&amp;$B192&amp;"!V2:V700"),MATCH($A192,INDIRECT(""&amp;$B192&amp;"!B2:B700"),0))=0,"",INDEX(INDIRECT(""&amp;$B192&amp;"!V2:V700"),MATCH($A192,INDIRECT(""&amp;$B192&amp;"!B2:B700"),0)))</f>
        <v/>
      </c>
    </row>
    <row r="193" spans="1:15" x14ac:dyDescent="0.25">
      <c r="A193" s="195" t="s">
        <v>296</v>
      </c>
      <c r="B193" s="195" t="s">
        <v>58</v>
      </c>
      <c r="C193" s="199">
        <f ca="1">IFERROR(INDEX(BYEs!$B$2:$B$33,MATCH(D193,BYEs!$A$2:$A$33,0)),"N/A")</f>
        <v>9</v>
      </c>
      <c r="D193" s="195" t="str">
        <f ca="1">INDEX(INDIRECT(""&amp;B193&amp;"!E2:E700"),MATCH(A193,INDIRECT(""&amp;B193&amp;"!B2:B700"),0))</f>
        <v>LAC</v>
      </c>
      <c r="E193" s="194" t="str">
        <f ca="1">INDEX(INDIRECT(""&amp;$B193&amp;"!Z2:Z709"),MATCH($A193,INDIRECT(""&amp;$B193&amp;"!B2:B709"),0))</f>
        <v>DEF4</v>
      </c>
      <c r="F193" s="196">
        <f ca="1">IF(LeagueInfo!$H$7="Starter/Bench",INDEX(INDIRECT(""&amp;B193&amp;"!S2:S709"),MATCH(A193,INDIRECT(""&amp;B193&amp;"!B2:B709"),0)),INDEX(INDIRECT(""&amp;B193&amp;"!AA2:AA709"),MATCH(A193,INDIRECT(""&amp;B193&amp;"!B2:B709"),0)))</f>
        <v>0</v>
      </c>
      <c r="G193" s="200">
        <f>IF(H193&gt;0,F193-H193,0)</f>
        <v>0</v>
      </c>
      <c r="H193" s="198"/>
      <c r="I193" s="200">
        <f ca="1">F193*$A$2</f>
        <v>0</v>
      </c>
      <c r="J193" s="197" t="s">
        <v>80</v>
      </c>
      <c r="K193" s="197">
        <f>IF(LeagueInfo!$F$7="Yahoo",IFERROR(INDEX(DefaultAuctionValues!$B$2:$B$359,MATCH(A193,DefaultAuctionValues!$A$2:$A$359,0)),0),IF(LeagueInfo!$F$7="ESPN",IFERROR(INDEX(DefaultAuctionValues!$C$2:$C$359,MATCH(A193,DefaultAuctionValues!$A$2:$A$359,0)),0),IF(LeagueInfo!$F$7="FantasyPros",IFERROR(INDEX(DefaultAuctionValues!$D$2:$D$359,MATCH(A193,DefaultAuctionValues!$A$2:$A$359,0)),0))))</f>
        <v>0</v>
      </c>
      <c r="L193" s="201">
        <f ca="1">I193-K193</f>
        <v>0</v>
      </c>
      <c r="M193" s="213"/>
      <c r="N193" s="208">
        <f ca="1">INDEX(INDIRECT(""&amp;$B193&amp;"!y2:y709"),MATCH($A193,INDIRECT(""&amp;$B193&amp;"!B2:B709"),0))</f>
        <v>0</v>
      </c>
      <c r="O193" s="217" t="str">
        <f ca="1">IF(INDEX(INDIRECT(""&amp;$B193&amp;"!V2:V700"),MATCH($A193,INDIRECT(""&amp;$B193&amp;"!B2:B700"),0))=0,"",INDEX(INDIRECT(""&amp;$B193&amp;"!V2:V700"),MATCH($A193,INDIRECT(""&amp;$B193&amp;"!B2:B700"),0)))</f>
        <v/>
      </c>
    </row>
    <row r="194" spans="1:15" x14ac:dyDescent="0.25">
      <c r="A194" s="195" t="s">
        <v>300</v>
      </c>
      <c r="B194" s="195" t="s">
        <v>58</v>
      </c>
      <c r="C194" s="199">
        <f ca="1">IFERROR(INDEX(BYEs!$B$2:$B$33,MATCH(D194,BYEs!$A$2:$A$33,0)),"N/A")</f>
        <v>9</v>
      </c>
      <c r="D194" s="195" t="str">
        <f ca="1">INDEX(INDIRECT(""&amp;B194&amp;"!E2:E700"),MATCH(A194,INDIRECT(""&amp;B194&amp;"!B2:B700"),0))</f>
        <v>PIT</v>
      </c>
      <c r="E194" s="194" t="str">
        <f ca="1">INDEX(INDIRECT(""&amp;$B194&amp;"!Z2:Z709"),MATCH($A194,INDIRECT(""&amp;$B194&amp;"!B2:B709"),0))</f>
        <v>DEF5</v>
      </c>
      <c r="F194" s="196">
        <f ca="1">IF(LeagueInfo!$H$7="Starter/Bench",INDEX(INDIRECT(""&amp;B194&amp;"!S2:S709"),MATCH(A194,INDIRECT(""&amp;B194&amp;"!B2:B709"),0)),INDEX(INDIRECT(""&amp;B194&amp;"!AA2:AA709"),MATCH(A194,INDIRECT(""&amp;B194&amp;"!B2:B709"),0)))</f>
        <v>0</v>
      </c>
      <c r="G194" s="200">
        <f>IF(H194&gt;0,F194-H194,0)</f>
        <v>0</v>
      </c>
      <c r="H194" s="198"/>
      <c r="I194" s="200">
        <f ca="1">F194*$A$2</f>
        <v>0</v>
      </c>
      <c r="J194" s="197" t="s">
        <v>80</v>
      </c>
      <c r="K194" s="197">
        <f>IF(LeagueInfo!$F$7="Yahoo",IFERROR(INDEX(DefaultAuctionValues!$B$2:$B$359,MATCH(A194,DefaultAuctionValues!$A$2:$A$359,0)),0),IF(LeagueInfo!$F$7="ESPN",IFERROR(INDEX(DefaultAuctionValues!$C$2:$C$359,MATCH(A194,DefaultAuctionValues!$A$2:$A$359,0)),0),IF(LeagueInfo!$F$7="FantasyPros",IFERROR(INDEX(DefaultAuctionValues!$D$2:$D$359,MATCH(A194,DefaultAuctionValues!$A$2:$A$359,0)),0))))</f>
        <v>1</v>
      </c>
      <c r="L194" s="201">
        <f ca="1">I194-K194</f>
        <v>-1</v>
      </c>
      <c r="M194" s="213"/>
      <c r="N194" s="208">
        <f ca="1">INDEX(INDIRECT(""&amp;$B194&amp;"!y2:y709"),MATCH($A194,INDIRECT(""&amp;$B194&amp;"!B2:B709"),0))</f>
        <v>0</v>
      </c>
      <c r="O194" s="217" t="str">
        <f ca="1">IF(INDEX(INDIRECT(""&amp;$B194&amp;"!V2:V700"),MATCH($A194,INDIRECT(""&amp;$B194&amp;"!B2:B700"),0))=0,"",INDEX(INDIRECT(""&amp;$B194&amp;"!V2:V700"),MATCH($A194,INDIRECT(""&amp;$B194&amp;"!B2:B700"),0)))</f>
        <v/>
      </c>
    </row>
    <row r="195" spans="1:15" x14ac:dyDescent="0.25">
      <c r="A195" s="195" t="s">
        <v>298</v>
      </c>
      <c r="B195" s="195" t="s">
        <v>58</v>
      </c>
      <c r="C195" s="199">
        <f ca="1">IFERROR(INDEX(BYEs!$B$2:$B$33,MATCH(D195,BYEs!$A$2:$A$33,0)),"N/A")</f>
        <v>10</v>
      </c>
      <c r="D195" s="195" t="str">
        <f ca="1">INDEX(INDIRECT(""&amp;B195&amp;"!E2:E700"),MATCH(A195,INDIRECT(""&amp;B195&amp;"!B2:B700"),0))</f>
        <v>BAL</v>
      </c>
      <c r="E195" s="194" t="str">
        <f ca="1">INDEX(INDIRECT(""&amp;$B195&amp;"!Z2:Z709"),MATCH($A195,INDIRECT(""&amp;$B195&amp;"!B2:B709"),0))</f>
        <v>DEF5</v>
      </c>
      <c r="F195" s="196">
        <f ca="1">IF(LeagueInfo!$H$7="Starter/Bench",INDEX(INDIRECT(""&amp;B195&amp;"!S2:S709"),MATCH(A195,INDIRECT(""&amp;B195&amp;"!B2:B709"),0)),INDEX(INDIRECT(""&amp;B195&amp;"!AA2:AA709"),MATCH(A195,INDIRECT(""&amp;B195&amp;"!B2:B709"),0)))</f>
        <v>0</v>
      </c>
      <c r="G195" s="200">
        <f>IF(H195&gt;0,F195-H195,0)</f>
        <v>0</v>
      </c>
      <c r="H195" s="198"/>
      <c r="I195" s="200">
        <f ca="1">F195*$A$2</f>
        <v>0</v>
      </c>
      <c r="J195" s="197" t="s">
        <v>80</v>
      </c>
      <c r="K195" s="197">
        <f>IF(LeagueInfo!$F$7="Yahoo",IFERROR(INDEX(DefaultAuctionValues!$B$2:$B$359,MATCH(A195,DefaultAuctionValues!$A$2:$A$359,0)),0),IF(LeagueInfo!$F$7="ESPN",IFERROR(INDEX(DefaultAuctionValues!$C$2:$C$359,MATCH(A195,DefaultAuctionValues!$A$2:$A$359,0)),0),IF(LeagueInfo!$F$7="FantasyPros",IFERROR(INDEX(DefaultAuctionValues!$D$2:$D$359,MATCH(A195,DefaultAuctionValues!$A$2:$A$359,0)),0))))</f>
        <v>1</v>
      </c>
      <c r="L195" s="201">
        <f ca="1">I195-K195</f>
        <v>-1</v>
      </c>
      <c r="M195" s="213"/>
      <c r="N195" s="208">
        <f ca="1">INDEX(INDIRECT(""&amp;$B195&amp;"!y2:y709"),MATCH($A195,INDIRECT(""&amp;$B195&amp;"!B2:B709"),0))</f>
        <v>0</v>
      </c>
      <c r="O195" s="217" t="str">
        <f ca="1">IF(INDEX(INDIRECT(""&amp;$B195&amp;"!V2:V700"),MATCH($A195,INDIRECT(""&amp;$B195&amp;"!B2:B700"),0))=0,"",INDEX(INDIRECT(""&amp;$B195&amp;"!V2:V700"),MATCH($A195,INDIRECT(""&amp;$B195&amp;"!B2:B700"),0)))</f>
        <v/>
      </c>
    </row>
    <row r="196" spans="1:15" x14ac:dyDescent="0.25">
      <c r="A196" s="195" t="s">
        <v>303</v>
      </c>
      <c r="B196" s="195" t="s">
        <v>58</v>
      </c>
      <c r="C196" s="199">
        <f ca="1">IFERROR(INDEX(BYEs!$B$2:$B$33,MATCH(D196,BYEs!$A$2:$A$33,0)),"N/A")</f>
        <v>8</v>
      </c>
      <c r="D196" s="195" t="str">
        <f ca="1">INDEX(INDIRECT(""&amp;B196&amp;"!E2:E700"),MATCH(A196,INDIRECT(""&amp;B196&amp;"!B2:B700"),0))</f>
        <v>GB</v>
      </c>
      <c r="E196" s="194" t="str">
        <f ca="1">INDEX(INDIRECT(""&amp;$B196&amp;"!Z2:Z709"),MATCH($A196,INDIRECT(""&amp;$B196&amp;"!B2:B709"),0))</f>
        <v>DEF5</v>
      </c>
      <c r="F196" s="196">
        <f ca="1">IF(LeagueInfo!$H$7="Starter/Bench",INDEX(INDIRECT(""&amp;B196&amp;"!S2:S709"),MATCH(A196,INDIRECT(""&amp;B196&amp;"!B2:B709"),0)),INDEX(INDIRECT(""&amp;B196&amp;"!AA2:AA709"),MATCH(A196,INDIRECT(""&amp;B196&amp;"!B2:B709"),0)))</f>
        <v>0</v>
      </c>
      <c r="G196" s="200">
        <f>IF(H196&gt;0,F196-H196,0)</f>
        <v>0</v>
      </c>
      <c r="H196" s="198"/>
      <c r="I196" s="200">
        <f ca="1">F196*$A$2</f>
        <v>0</v>
      </c>
      <c r="J196" s="197" t="s">
        <v>80</v>
      </c>
      <c r="K196" s="197">
        <f>IF(LeagueInfo!$F$7="Yahoo",IFERROR(INDEX(DefaultAuctionValues!$B$2:$B$359,MATCH(A196,DefaultAuctionValues!$A$2:$A$359,0)),0),IF(LeagueInfo!$F$7="ESPN",IFERROR(INDEX(DefaultAuctionValues!$C$2:$C$359,MATCH(A196,DefaultAuctionValues!$A$2:$A$359,0)),0),IF(LeagueInfo!$F$7="FantasyPros",IFERROR(INDEX(DefaultAuctionValues!$D$2:$D$359,MATCH(A196,DefaultAuctionValues!$A$2:$A$359,0)),0))))</f>
        <v>1</v>
      </c>
      <c r="L196" s="201">
        <f ca="1">I196-K196</f>
        <v>-1</v>
      </c>
      <c r="M196" s="213"/>
      <c r="N196" s="208">
        <f ca="1">INDEX(INDIRECT(""&amp;$B196&amp;"!y2:y709"),MATCH($A196,INDIRECT(""&amp;$B196&amp;"!B2:B709"),0))</f>
        <v>0</v>
      </c>
      <c r="O196" s="217" t="str">
        <f ca="1">IF(INDEX(INDIRECT(""&amp;$B196&amp;"!V2:V700"),MATCH($A196,INDIRECT(""&amp;$B196&amp;"!B2:B700"),0))=0,"",INDEX(INDIRECT(""&amp;$B196&amp;"!V2:V700"),MATCH($A196,INDIRECT(""&amp;$B196&amp;"!B2:B700"),0)))</f>
        <v/>
      </c>
    </row>
    <row r="197" spans="1:15" x14ac:dyDescent="0.25">
      <c r="A197" s="195" t="s">
        <v>246</v>
      </c>
      <c r="B197" s="195" t="s">
        <v>58</v>
      </c>
      <c r="C197" s="199">
        <f ca="1">IFERROR(INDEX(BYEs!$B$2:$B$33,MATCH(D197,BYEs!$A$2:$A$33,0)),"N/A")</f>
        <v>8</v>
      </c>
      <c r="D197" s="195" t="str">
        <f ca="1">INDEX(INDIRECT(""&amp;B197&amp;"!E2:E700"),MATCH(A197,INDIRECT(""&amp;B197&amp;"!B2:B700"),0))</f>
        <v>TEN</v>
      </c>
      <c r="E197" s="194" t="str">
        <f ca="1">INDEX(INDIRECT(""&amp;$B197&amp;"!Z2:Z709"),MATCH($A197,INDIRECT(""&amp;$B197&amp;"!B2:B709"),0))</f>
        <v>DEF5</v>
      </c>
      <c r="F197" s="196">
        <f ca="1">IF(LeagueInfo!$H$7="Starter/Bench",INDEX(INDIRECT(""&amp;B197&amp;"!S2:S709"),MATCH(A197,INDIRECT(""&amp;B197&amp;"!B2:B709"),0)),INDEX(INDIRECT(""&amp;B197&amp;"!AA2:AA709"),MATCH(A197,INDIRECT(""&amp;B197&amp;"!B2:B709"),0)))</f>
        <v>0</v>
      </c>
      <c r="G197" s="200">
        <f>IF(H197&gt;0,F197-H197,0)</f>
        <v>0</v>
      </c>
      <c r="H197" s="198"/>
      <c r="I197" s="200">
        <f ca="1">F197*$A$2</f>
        <v>0</v>
      </c>
      <c r="J197" s="197" t="s">
        <v>80</v>
      </c>
      <c r="K197" s="197">
        <f>IF(LeagueInfo!$F$7="Yahoo",IFERROR(INDEX(DefaultAuctionValues!$B$2:$B$359,MATCH(A197,DefaultAuctionValues!$A$2:$A$359,0)),0),IF(LeagueInfo!$F$7="ESPN",IFERROR(INDEX(DefaultAuctionValues!$C$2:$C$359,MATCH(A197,DefaultAuctionValues!$A$2:$A$359,0)),0),IF(LeagueInfo!$F$7="FantasyPros",IFERROR(INDEX(DefaultAuctionValues!$D$2:$D$359,MATCH(A197,DefaultAuctionValues!$A$2:$A$359,0)),0))))</f>
        <v>1</v>
      </c>
      <c r="L197" s="201">
        <f ca="1">I197-K197</f>
        <v>-1</v>
      </c>
      <c r="M197" s="213"/>
      <c r="N197" s="208">
        <f ca="1">INDEX(INDIRECT(""&amp;$B197&amp;"!y2:y709"),MATCH($A197,INDIRECT(""&amp;$B197&amp;"!B2:B709"),0))</f>
        <v>0</v>
      </c>
      <c r="O197" s="217" t="str">
        <f ca="1">IF(INDEX(INDIRECT(""&amp;$B197&amp;"!V2:V700"),MATCH($A197,INDIRECT(""&amp;$B197&amp;"!B2:B700"),0))=0,"",INDEX(INDIRECT(""&amp;$B197&amp;"!V2:V700"),MATCH($A197,INDIRECT(""&amp;$B197&amp;"!B2:B700"),0)))</f>
        <v/>
      </c>
    </row>
    <row r="198" spans="1:15" x14ac:dyDescent="0.25">
      <c r="A198" s="195" t="s">
        <v>230</v>
      </c>
      <c r="B198" s="195" t="s">
        <v>58</v>
      </c>
      <c r="C198" s="199">
        <f ca="1">IFERROR(INDEX(BYEs!$B$2:$B$33,MATCH(D198,BYEs!$A$2:$A$33,0)),"N/A")</f>
        <v>8</v>
      </c>
      <c r="D198" s="195" t="str">
        <f ca="1">INDEX(INDIRECT(""&amp;B198&amp;"!E2:E700"),MATCH(A198,INDIRECT(""&amp;B198&amp;"!B2:B700"),0))</f>
        <v>LAR</v>
      </c>
      <c r="E198" s="194" t="str">
        <f ca="1">INDEX(INDIRECT(""&amp;$B198&amp;"!Z2:Z709"),MATCH($A198,INDIRECT(""&amp;$B198&amp;"!B2:B709"),0))</f>
        <v>DEF5</v>
      </c>
      <c r="F198" s="196">
        <f ca="1">IF(LeagueInfo!$H$7="Starter/Bench",INDEX(INDIRECT(""&amp;B198&amp;"!S2:S709"),MATCH(A198,INDIRECT(""&amp;B198&amp;"!B2:B709"),0)),INDEX(INDIRECT(""&amp;B198&amp;"!AA2:AA709"),MATCH(A198,INDIRECT(""&amp;B198&amp;"!B2:B709"),0)))</f>
        <v>0</v>
      </c>
      <c r="G198" s="200">
        <f>IF(H198&gt;0,F198-H198,0)</f>
        <v>0</v>
      </c>
      <c r="H198" s="198"/>
      <c r="I198" s="200">
        <f ca="1">F198*$A$2</f>
        <v>0</v>
      </c>
      <c r="J198" s="197" t="s">
        <v>80</v>
      </c>
      <c r="K198" s="197">
        <f>IF(LeagueInfo!$F$7="Yahoo",IFERROR(INDEX(DefaultAuctionValues!$B$2:$B$359,MATCH(A198,DefaultAuctionValues!$A$2:$A$359,0)),0),IF(LeagueInfo!$F$7="ESPN",IFERROR(INDEX(DefaultAuctionValues!$C$2:$C$359,MATCH(A198,DefaultAuctionValues!$A$2:$A$359,0)),0),IF(LeagueInfo!$F$7="FantasyPros",IFERROR(INDEX(DefaultAuctionValues!$D$2:$D$359,MATCH(A198,DefaultAuctionValues!$A$2:$A$359,0)),0))))</f>
        <v>1</v>
      </c>
      <c r="L198" s="201">
        <f ca="1">I198-K198</f>
        <v>-1</v>
      </c>
      <c r="M198" s="213"/>
      <c r="N198" s="208">
        <f ca="1">INDEX(INDIRECT(""&amp;$B198&amp;"!y2:y709"),MATCH($A198,INDIRECT(""&amp;$B198&amp;"!B2:B709"),0))</f>
        <v>0</v>
      </c>
      <c r="O198" s="217" t="str">
        <f ca="1">IF(INDEX(INDIRECT(""&amp;$B198&amp;"!V2:V700"),MATCH($A198,INDIRECT(""&amp;$B198&amp;"!B2:B700"),0))=0,"",INDEX(INDIRECT(""&amp;$B198&amp;"!V2:V700"),MATCH($A198,INDIRECT(""&amp;$B198&amp;"!B2:B700"),0)))</f>
        <v/>
      </c>
    </row>
    <row r="199" spans="1:15" x14ac:dyDescent="0.25">
      <c r="A199" s="195" t="s">
        <v>196</v>
      </c>
      <c r="B199" s="195" t="s">
        <v>58</v>
      </c>
      <c r="C199" s="199">
        <f ca="1">IFERROR(INDEX(BYEs!$B$2:$B$33,MATCH(D199,BYEs!$A$2:$A$33,0)),"N/A")</f>
        <v>11</v>
      </c>
      <c r="D199" s="195" t="str">
        <f ca="1">INDEX(INDIRECT(""&amp;B199&amp;"!E2:E700"),MATCH(A199,INDIRECT(""&amp;B199&amp;"!B2:B700"),0))</f>
        <v>MIA</v>
      </c>
      <c r="E199" s="194" t="str">
        <f ca="1">INDEX(INDIRECT(""&amp;$B199&amp;"!Z2:Z709"),MATCH($A199,INDIRECT(""&amp;$B199&amp;"!B2:B709"),0))</f>
        <v>DEF5</v>
      </c>
      <c r="F199" s="196">
        <f ca="1">IF(LeagueInfo!$H$7="Starter/Bench",INDEX(INDIRECT(""&amp;B199&amp;"!S2:S709"),MATCH(A199,INDIRECT(""&amp;B199&amp;"!B2:B709"),0)),INDEX(INDIRECT(""&amp;B199&amp;"!AA2:AA709"),MATCH(A199,INDIRECT(""&amp;B199&amp;"!B2:B709"),0)))</f>
        <v>0</v>
      </c>
      <c r="G199" s="200">
        <f>IF(H199&gt;0,F199-H199,0)</f>
        <v>0</v>
      </c>
      <c r="H199" s="198"/>
      <c r="I199" s="200">
        <f ca="1">F199*$A$2</f>
        <v>0</v>
      </c>
      <c r="J199" s="197" t="s">
        <v>80</v>
      </c>
      <c r="K199" s="197">
        <f>IF(LeagueInfo!$F$7="Yahoo",IFERROR(INDEX(DefaultAuctionValues!$B$2:$B$359,MATCH(A199,DefaultAuctionValues!$A$2:$A$359,0)),0),IF(LeagueInfo!$F$7="ESPN",IFERROR(INDEX(DefaultAuctionValues!$C$2:$C$359,MATCH(A199,DefaultAuctionValues!$A$2:$A$359,0)),0),IF(LeagueInfo!$F$7="FantasyPros",IFERROR(INDEX(DefaultAuctionValues!$D$2:$D$359,MATCH(A199,DefaultAuctionValues!$A$2:$A$359,0)),0))))</f>
        <v>1</v>
      </c>
      <c r="L199" s="201">
        <f ca="1">I199-K199</f>
        <v>-1</v>
      </c>
      <c r="M199" s="213"/>
      <c r="N199" s="208">
        <f ca="1">INDEX(INDIRECT(""&amp;$B199&amp;"!y2:y709"),MATCH($A199,INDIRECT(""&amp;$B199&amp;"!B2:B709"),0))</f>
        <v>0</v>
      </c>
      <c r="O199" s="217" t="str">
        <f ca="1">IF(INDEX(INDIRECT(""&amp;$B199&amp;"!V2:V700"),MATCH($A199,INDIRECT(""&amp;$B199&amp;"!B2:B700"),0))=0,"",INDEX(INDIRECT(""&amp;$B199&amp;"!V2:V700"),MATCH($A199,INDIRECT(""&amp;$B199&amp;"!B2:B700"),0)))</f>
        <v/>
      </c>
    </row>
    <row r="200" spans="1:15" x14ac:dyDescent="0.25">
      <c r="A200" s="195" t="s">
        <v>304</v>
      </c>
      <c r="B200" s="195" t="s">
        <v>58</v>
      </c>
      <c r="C200" s="199">
        <f ca="1">IFERROR(INDEX(BYEs!$B$2:$B$33,MATCH(D200,BYEs!$A$2:$A$33,0)),"N/A")</f>
        <v>10</v>
      </c>
      <c r="D200" s="195" t="str">
        <f ca="1">INDEX(INDIRECT(""&amp;B200&amp;"!E2:E700"),MATCH(A200,INDIRECT(""&amp;B200&amp;"!B2:B700"),0))</f>
        <v>OAK</v>
      </c>
      <c r="E200" s="194" t="str">
        <f ca="1">INDEX(INDIRECT(""&amp;$B200&amp;"!Z2:Z709"),MATCH($A200,INDIRECT(""&amp;$B200&amp;"!B2:B709"),0))</f>
        <v>DEF5</v>
      </c>
      <c r="F200" s="196">
        <f ca="1">IF(LeagueInfo!$H$7="Starter/Bench",INDEX(INDIRECT(""&amp;B200&amp;"!S2:S709"),MATCH(A200,INDIRECT(""&amp;B200&amp;"!B2:B709"),0)),INDEX(INDIRECT(""&amp;B200&amp;"!AA2:AA709"),MATCH(A200,INDIRECT(""&amp;B200&amp;"!B2:B709"),0)))</f>
        <v>0</v>
      </c>
      <c r="G200" s="200">
        <f>IF(H200&gt;0,F200-H200,0)</f>
        <v>0</v>
      </c>
      <c r="H200" s="198"/>
      <c r="I200" s="200">
        <f ca="1">F200*$A$2</f>
        <v>0</v>
      </c>
      <c r="J200" s="197" t="s">
        <v>80</v>
      </c>
      <c r="K200" s="197">
        <f>IF(LeagueInfo!$F$7="Yahoo",IFERROR(INDEX(DefaultAuctionValues!$B$2:$B$359,MATCH(A200,DefaultAuctionValues!$A$2:$A$359,0)),0),IF(LeagueInfo!$F$7="ESPN",IFERROR(INDEX(DefaultAuctionValues!$C$2:$C$359,MATCH(A200,DefaultAuctionValues!$A$2:$A$359,0)),0),IF(LeagueInfo!$F$7="FantasyPros",IFERROR(INDEX(DefaultAuctionValues!$D$2:$D$359,MATCH(A200,DefaultAuctionValues!$A$2:$A$359,0)),0))))</f>
        <v>1</v>
      </c>
      <c r="L200" s="201">
        <f ca="1">I200-K200</f>
        <v>-1</v>
      </c>
      <c r="M200" s="213"/>
      <c r="N200" s="208">
        <f ca="1">INDEX(INDIRECT(""&amp;$B200&amp;"!y2:y709"),MATCH($A200,INDIRECT(""&amp;$B200&amp;"!B2:B709"),0))</f>
        <v>0</v>
      </c>
      <c r="O200" s="217" t="str">
        <f ca="1">IF(INDEX(INDIRECT(""&amp;$B200&amp;"!V2:V700"),MATCH($A200,INDIRECT(""&amp;$B200&amp;"!B2:B700"),0))=0,"",INDEX(INDIRECT(""&amp;$B200&amp;"!V2:V700"),MATCH($A200,INDIRECT(""&amp;$B200&amp;"!B2:B700"),0)))</f>
        <v/>
      </c>
    </row>
    <row r="201" spans="1:15" x14ac:dyDescent="0.25">
      <c r="A201" s="195" t="s">
        <v>307</v>
      </c>
      <c r="B201" s="195" t="s">
        <v>58</v>
      </c>
      <c r="C201" s="199">
        <f ca="1">IFERROR(INDEX(BYEs!$B$2:$B$33,MATCH(D201,BYEs!$A$2:$A$33,0)),"N/A")</f>
        <v>6</v>
      </c>
      <c r="D201" s="195" t="str">
        <f ca="1">INDEX(INDIRECT(""&amp;B201&amp;"!E2:E700"),MATCH(A201,INDIRECT(""&amp;B201&amp;"!B2:B700"),0))</f>
        <v>CIN</v>
      </c>
      <c r="E201" s="194" t="str">
        <f ca="1">INDEX(INDIRECT(""&amp;$B201&amp;"!Z2:Z709"),MATCH($A201,INDIRECT(""&amp;$B201&amp;"!B2:B709"),0))</f>
        <v>DEF5</v>
      </c>
      <c r="F201" s="196">
        <f ca="1">IF(LeagueInfo!$H$7="Starter/Bench",INDEX(INDIRECT(""&amp;B201&amp;"!S2:S709"),MATCH(A201,INDIRECT(""&amp;B201&amp;"!B2:B709"),0)),INDEX(INDIRECT(""&amp;B201&amp;"!AA2:AA709"),MATCH(A201,INDIRECT(""&amp;B201&amp;"!B2:B709"),0)))</f>
        <v>0</v>
      </c>
      <c r="G201" s="200">
        <f>IF(H201&gt;0,F201-H201,0)</f>
        <v>0</v>
      </c>
      <c r="H201" s="198"/>
      <c r="I201" s="200">
        <f ca="1">F201*$A$2</f>
        <v>0</v>
      </c>
      <c r="J201" s="197" t="s">
        <v>80</v>
      </c>
      <c r="K201" s="197">
        <f>IF(LeagueInfo!$F$7="Yahoo",IFERROR(INDEX(DefaultAuctionValues!$B$2:$B$359,MATCH(A201,DefaultAuctionValues!$A$2:$A$359,0)),0),IF(LeagueInfo!$F$7="ESPN",IFERROR(INDEX(DefaultAuctionValues!$C$2:$C$359,MATCH(A201,DefaultAuctionValues!$A$2:$A$359,0)),0),IF(LeagueInfo!$F$7="FantasyPros",IFERROR(INDEX(DefaultAuctionValues!$D$2:$D$359,MATCH(A201,DefaultAuctionValues!$A$2:$A$359,0)),0))))</f>
        <v>1</v>
      </c>
      <c r="L201" s="201">
        <f ca="1">I201-K201</f>
        <v>-1</v>
      </c>
      <c r="M201" s="213"/>
      <c r="N201" s="208">
        <f ca="1">INDEX(INDIRECT(""&amp;$B201&amp;"!y2:y709"),MATCH($A201,INDIRECT(""&amp;$B201&amp;"!B2:B709"),0))</f>
        <v>0</v>
      </c>
      <c r="O201" s="217" t="str">
        <f ca="1">IF(INDEX(INDIRECT(""&amp;$B201&amp;"!V2:V700"),MATCH($A201,INDIRECT(""&amp;$B201&amp;"!B2:B700"),0))=0,"",INDEX(INDIRECT(""&amp;$B201&amp;"!V2:V700"),MATCH($A201,INDIRECT(""&amp;$B201&amp;"!B2:B700"),0)))</f>
        <v/>
      </c>
    </row>
    <row r="202" spans="1:15" x14ac:dyDescent="0.25">
      <c r="A202" s="195" t="s">
        <v>316</v>
      </c>
      <c r="B202" s="195" t="s">
        <v>58</v>
      </c>
      <c r="C202" s="199">
        <f ca="1">IFERROR(INDEX(BYEs!$B$2:$B$33,MATCH(D202,BYEs!$A$2:$A$33,0)),"N/A")</f>
        <v>6</v>
      </c>
      <c r="D202" s="195" t="str">
        <f ca="1">INDEX(INDIRECT(""&amp;B202&amp;"!E2:E700"),MATCH(A202,INDIRECT(""&amp;B202&amp;"!B2:B700"),0))</f>
        <v>BUF</v>
      </c>
      <c r="E202" s="194" t="str">
        <f ca="1">INDEX(INDIRECT(""&amp;$B202&amp;"!Z2:Z709"),MATCH($A202,INDIRECT(""&amp;$B202&amp;"!B2:B709"),0))</f>
        <v>DEF5</v>
      </c>
      <c r="F202" s="196">
        <f ca="1">IF(LeagueInfo!$H$7="Starter/Bench",INDEX(INDIRECT(""&amp;B202&amp;"!S2:S709"),MATCH(A202,INDIRECT(""&amp;B202&amp;"!B2:B709"),0)),INDEX(INDIRECT(""&amp;B202&amp;"!AA2:AA709"),MATCH(A202,INDIRECT(""&amp;B202&amp;"!B2:B709"),0)))</f>
        <v>0</v>
      </c>
      <c r="G202" s="200">
        <f>IF(H202&gt;0,F202-H202,0)</f>
        <v>0</v>
      </c>
      <c r="H202" s="198"/>
      <c r="I202" s="200">
        <f ca="1">F202*$A$2</f>
        <v>0</v>
      </c>
      <c r="J202" s="197" t="s">
        <v>80</v>
      </c>
      <c r="K202" s="197">
        <f>IF(LeagueInfo!$F$7="Yahoo",IFERROR(INDEX(DefaultAuctionValues!$B$2:$B$359,MATCH(A202,DefaultAuctionValues!$A$2:$A$359,0)),0),IF(LeagueInfo!$F$7="ESPN",IFERROR(INDEX(DefaultAuctionValues!$C$2:$C$359,MATCH(A202,DefaultAuctionValues!$A$2:$A$359,0)),0),IF(LeagueInfo!$F$7="FantasyPros",IFERROR(INDEX(DefaultAuctionValues!$D$2:$D$359,MATCH(A202,DefaultAuctionValues!$A$2:$A$359,0)),0))))</f>
        <v>1</v>
      </c>
      <c r="L202" s="201">
        <f ca="1">I202-K202</f>
        <v>-1</v>
      </c>
      <c r="M202" s="213"/>
      <c r="N202" s="208">
        <f ca="1">INDEX(INDIRECT(""&amp;$B202&amp;"!y2:y709"),MATCH($A202,INDIRECT(""&amp;$B202&amp;"!B2:B709"),0))</f>
        <v>0</v>
      </c>
      <c r="O202" s="217" t="str">
        <f ca="1">IF(INDEX(INDIRECT(""&amp;$B202&amp;"!V2:V700"),MATCH($A202,INDIRECT(""&amp;$B202&amp;"!B2:B700"),0))=0,"",INDEX(INDIRECT(""&amp;$B202&amp;"!V2:V700"),MATCH($A202,INDIRECT(""&amp;$B202&amp;"!B2:B700"),0)))</f>
        <v/>
      </c>
    </row>
    <row r="203" spans="1:15" x14ac:dyDescent="0.25">
      <c r="A203" s="195" t="s">
        <v>282</v>
      </c>
      <c r="B203" s="195" t="s">
        <v>58</v>
      </c>
      <c r="C203" s="199">
        <f ca="1">IFERROR(INDEX(BYEs!$B$2:$B$33,MATCH(D203,BYEs!$A$2:$A$33,0)),"N/A")</f>
        <v>6</v>
      </c>
      <c r="D203" s="195" t="str">
        <f ca="1">INDEX(INDIRECT(""&amp;B203&amp;"!E2:E700"),MATCH(A203,INDIRECT(""&amp;B203&amp;"!B2:B700"),0))</f>
        <v>DAL</v>
      </c>
      <c r="E203" s="194" t="str">
        <f ca="1">INDEX(INDIRECT(""&amp;$B203&amp;"!Z2:Z709"),MATCH($A203,INDIRECT(""&amp;$B203&amp;"!B2:B709"),0))</f>
        <v>DEF5</v>
      </c>
      <c r="F203" s="196">
        <f ca="1">IF(LeagueInfo!$H$7="Starter/Bench",INDEX(INDIRECT(""&amp;B203&amp;"!S2:S709"),MATCH(A203,INDIRECT(""&amp;B203&amp;"!B2:B709"),0)),INDEX(INDIRECT(""&amp;B203&amp;"!AA2:AA709"),MATCH(A203,INDIRECT(""&amp;B203&amp;"!B2:B709"),0)))</f>
        <v>0</v>
      </c>
      <c r="G203" s="200">
        <f>IF(H203&gt;0,F203-H203,0)</f>
        <v>0</v>
      </c>
      <c r="H203" s="198"/>
      <c r="I203" s="200">
        <f ca="1">F203*$A$2</f>
        <v>0</v>
      </c>
      <c r="J203" s="197" t="s">
        <v>80</v>
      </c>
      <c r="K203" s="197">
        <f>IF(LeagueInfo!$F$7="Yahoo",IFERROR(INDEX(DefaultAuctionValues!$B$2:$B$359,MATCH(A203,DefaultAuctionValues!$A$2:$A$359,0)),0),IF(LeagueInfo!$F$7="ESPN",IFERROR(INDEX(DefaultAuctionValues!$C$2:$C$359,MATCH(A203,DefaultAuctionValues!$A$2:$A$359,0)),0),IF(LeagueInfo!$F$7="FantasyPros",IFERROR(INDEX(DefaultAuctionValues!$D$2:$D$359,MATCH(A203,DefaultAuctionValues!$A$2:$A$359,0)),0))))</f>
        <v>1</v>
      </c>
      <c r="L203" s="201">
        <f ca="1">I203-K203</f>
        <v>-1</v>
      </c>
      <c r="M203" s="213"/>
      <c r="N203" s="208">
        <f ca="1">INDEX(INDIRECT(""&amp;$B203&amp;"!y2:y709"),MATCH($A203,INDIRECT(""&amp;$B203&amp;"!B2:B709"),0))</f>
        <v>0</v>
      </c>
      <c r="O203" s="217" t="str">
        <f ca="1">IF(INDEX(INDIRECT(""&amp;$B203&amp;"!V2:V700"),MATCH($A203,INDIRECT(""&amp;$B203&amp;"!B2:B700"),0))=0,"",INDEX(INDIRECT(""&amp;$B203&amp;"!V2:V700"),MATCH($A203,INDIRECT(""&amp;$B203&amp;"!B2:B700"),0)))</f>
        <v/>
      </c>
    </row>
    <row r="204" spans="1:15" x14ac:dyDescent="0.25">
      <c r="A204" s="195" t="s">
        <v>838</v>
      </c>
      <c r="B204" s="195" t="s">
        <v>58</v>
      </c>
      <c r="C204" s="199">
        <f ca="1">IFERROR(INDEX(BYEs!$B$2:$B$33,MATCH(D204,BYEs!$A$2:$A$33,0)),"N/A")</f>
        <v>5</v>
      </c>
      <c r="D204" s="195" t="str">
        <f ca="1">INDEX(INDIRECT(""&amp;B204&amp;"!E2:E700"),MATCH(A204,INDIRECT(""&amp;B204&amp;"!B2:B700"),0))</f>
        <v>WAS</v>
      </c>
      <c r="E204" s="194" t="str">
        <f ca="1">INDEX(INDIRECT(""&amp;$B204&amp;"!Z2:Z709"),MATCH($A204,INDIRECT(""&amp;$B204&amp;"!B2:B709"),0))</f>
        <v>DEF5</v>
      </c>
      <c r="F204" s="196">
        <f ca="1">IF(LeagueInfo!$H$7="Starter/Bench",INDEX(INDIRECT(""&amp;B204&amp;"!S2:S709"),MATCH(A204,INDIRECT(""&amp;B204&amp;"!B2:B709"),0)),INDEX(INDIRECT(""&amp;B204&amp;"!AA2:AA709"),MATCH(A204,INDIRECT(""&amp;B204&amp;"!B2:B709"),0)))</f>
        <v>0</v>
      </c>
      <c r="G204" s="200">
        <f>IF(H204&gt;0,F204-H204,0)</f>
        <v>0</v>
      </c>
      <c r="H204" s="198"/>
      <c r="I204" s="200">
        <f ca="1">F204*$A$2</f>
        <v>0</v>
      </c>
      <c r="J204" s="197" t="s">
        <v>80</v>
      </c>
      <c r="K204" s="197">
        <f>IF(LeagueInfo!$F$7="Yahoo",IFERROR(INDEX(DefaultAuctionValues!$B$2:$B$359,MATCH(A204,DefaultAuctionValues!$A$2:$A$359,0)),0),IF(LeagueInfo!$F$7="ESPN",IFERROR(INDEX(DefaultAuctionValues!$C$2:$C$359,MATCH(A204,DefaultAuctionValues!$A$2:$A$359,0)),0),IF(LeagueInfo!$F$7="FantasyPros",IFERROR(INDEX(DefaultAuctionValues!$D$2:$D$359,MATCH(A204,DefaultAuctionValues!$A$2:$A$359,0)),0))))</f>
        <v>1</v>
      </c>
      <c r="L204" s="201">
        <f ca="1">I204-K204</f>
        <v>-1</v>
      </c>
      <c r="M204" s="213"/>
      <c r="N204" s="208">
        <f ca="1">INDEX(INDIRECT(""&amp;$B204&amp;"!y2:y709"),MATCH($A204,INDIRECT(""&amp;$B204&amp;"!B2:B709"),0))</f>
        <v>0</v>
      </c>
      <c r="O204" s="217" t="str">
        <f ca="1">IF(INDEX(INDIRECT(""&amp;$B204&amp;"!V2:V700"),MATCH($A204,INDIRECT(""&amp;$B204&amp;"!B2:B700"),0))=0,"",INDEX(INDIRECT(""&amp;$B204&amp;"!V2:V700"),MATCH($A204,INDIRECT(""&amp;$B204&amp;"!B2:B700"),0)))</f>
        <v/>
      </c>
    </row>
    <row r="205" spans="1:15" x14ac:dyDescent="0.25">
      <c r="A205" s="195" t="s">
        <v>213</v>
      </c>
      <c r="B205" s="195" t="s">
        <v>58</v>
      </c>
      <c r="C205" s="199">
        <f ca="1">IFERROR(INDEX(BYEs!$B$2:$B$33,MATCH(D205,BYEs!$A$2:$A$33,0)),"N/A")</f>
        <v>5</v>
      </c>
      <c r="D205" s="195" t="str">
        <f ca="1">INDEX(INDIRECT(""&amp;B205&amp;"!E2:E700"),MATCH(A205,INDIRECT(""&amp;B205&amp;"!B2:B700"),0))</f>
        <v>ATL</v>
      </c>
      <c r="E205" s="194" t="str">
        <f ca="1">INDEX(INDIRECT(""&amp;$B205&amp;"!Z2:Z709"),MATCH($A205,INDIRECT(""&amp;$B205&amp;"!B2:B709"),0))</f>
        <v>DEF5</v>
      </c>
      <c r="F205" s="196">
        <f ca="1">IF(LeagueInfo!$H$7="Starter/Bench",INDEX(INDIRECT(""&amp;B205&amp;"!S2:S709"),MATCH(A205,INDIRECT(""&amp;B205&amp;"!B2:B709"),0)),INDEX(INDIRECT(""&amp;B205&amp;"!AA2:AA709"),MATCH(A205,INDIRECT(""&amp;B205&amp;"!B2:B709"),0)))</f>
        <v>0</v>
      </c>
      <c r="G205" s="200">
        <f>IF(H205&gt;0,F205-H205,0)</f>
        <v>0</v>
      </c>
      <c r="H205" s="198"/>
      <c r="I205" s="200">
        <f ca="1">F205*$A$2</f>
        <v>0</v>
      </c>
      <c r="J205" s="197" t="s">
        <v>80</v>
      </c>
      <c r="K205" s="197">
        <f>IF(LeagueInfo!$F$7="Yahoo",IFERROR(INDEX(DefaultAuctionValues!$B$2:$B$359,MATCH(A205,DefaultAuctionValues!$A$2:$A$359,0)),0),IF(LeagueInfo!$F$7="ESPN",IFERROR(INDEX(DefaultAuctionValues!$C$2:$C$359,MATCH(A205,DefaultAuctionValues!$A$2:$A$359,0)),0),IF(LeagueInfo!$F$7="FantasyPros",IFERROR(INDEX(DefaultAuctionValues!$D$2:$D$359,MATCH(A205,DefaultAuctionValues!$A$2:$A$359,0)),0))))</f>
        <v>1</v>
      </c>
      <c r="L205" s="201">
        <f ca="1">I205-K205</f>
        <v>-1</v>
      </c>
      <c r="M205" s="213"/>
      <c r="N205" s="208">
        <f ca="1">INDEX(INDIRECT(""&amp;$B205&amp;"!y2:y709"),MATCH($A205,INDIRECT(""&amp;$B205&amp;"!B2:B709"),0))</f>
        <v>0</v>
      </c>
      <c r="O205" s="217" t="str">
        <f ca="1">IF(INDEX(INDIRECT(""&amp;$B205&amp;"!V2:V700"),MATCH($A205,INDIRECT(""&amp;$B205&amp;"!B2:B700"),0))=0,"",INDEX(INDIRECT(""&amp;$B205&amp;"!V2:V700"),MATCH($A205,INDIRECT(""&amp;$B205&amp;"!B2:B700"),0)))</f>
        <v/>
      </c>
    </row>
    <row r="206" spans="1:15" x14ac:dyDescent="0.25">
      <c r="A206" s="195" t="s">
        <v>840</v>
      </c>
      <c r="B206" s="195" t="s">
        <v>58</v>
      </c>
      <c r="C206" s="199">
        <f ca="1">IFERROR(INDEX(BYEs!$B$2:$B$33,MATCH(D206,BYEs!$A$2:$A$33,0)),"N/A")</f>
        <v>11</v>
      </c>
      <c r="D206" s="195" t="str">
        <f ca="1">INDEX(INDIRECT(""&amp;B206&amp;"!E2:E700"),MATCH(A206,INDIRECT(""&amp;B206&amp;"!B2:B700"),0))</f>
        <v>IND</v>
      </c>
      <c r="E206" s="194" t="str">
        <f ca="1">INDEX(INDIRECT(""&amp;$B206&amp;"!Z2:Z709"),MATCH($A206,INDIRECT(""&amp;$B206&amp;"!B2:B709"),0))</f>
        <v>DEF5</v>
      </c>
      <c r="F206" s="196">
        <f ca="1">IF(LeagueInfo!$H$7="Starter/Bench",INDEX(INDIRECT(""&amp;B206&amp;"!S2:S709"),MATCH(A206,INDIRECT(""&amp;B206&amp;"!B2:B709"),0)),INDEX(INDIRECT(""&amp;B206&amp;"!AA2:AA709"),MATCH(A206,INDIRECT(""&amp;B206&amp;"!B2:B709"),0)))</f>
        <v>0</v>
      </c>
      <c r="G206" s="200">
        <f>IF(H206&gt;0,F206-H206,0)</f>
        <v>0</v>
      </c>
      <c r="H206" s="198"/>
      <c r="I206" s="200">
        <f ca="1">F206*$A$2</f>
        <v>0</v>
      </c>
      <c r="J206" s="197" t="s">
        <v>80</v>
      </c>
      <c r="K206" s="197">
        <f>IF(LeagueInfo!$F$7="Yahoo",IFERROR(INDEX(DefaultAuctionValues!$B$2:$B$359,MATCH(A206,DefaultAuctionValues!$A$2:$A$359,0)),0),IF(LeagueInfo!$F$7="ESPN",IFERROR(INDEX(DefaultAuctionValues!$C$2:$C$359,MATCH(A206,DefaultAuctionValues!$A$2:$A$359,0)),0),IF(LeagueInfo!$F$7="FantasyPros",IFERROR(INDEX(DefaultAuctionValues!$D$2:$D$359,MATCH(A206,DefaultAuctionValues!$A$2:$A$359,0)),0))))</f>
        <v>0</v>
      </c>
      <c r="L206" s="201">
        <f ca="1">I206-K206</f>
        <v>0</v>
      </c>
      <c r="M206" s="213"/>
      <c r="N206" s="208">
        <f ca="1">INDEX(INDIRECT(""&amp;$B206&amp;"!y2:y709"),MATCH($A206,INDIRECT(""&amp;$B206&amp;"!B2:B709"),0))</f>
        <v>0</v>
      </c>
      <c r="O206" s="217" t="str">
        <f ca="1">IF(INDEX(INDIRECT(""&amp;$B206&amp;"!V2:V700"),MATCH($A206,INDIRECT(""&amp;$B206&amp;"!B2:B700"),0))=0,"",INDEX(INDIRECT(""&amp;$B206&amp;"!V2:V700"),MATCH($A206,INDIRECT(""&amp;$B206&amp;"!B2:B700"),0)))</f>
        <v/>
      </c>
    </row>
    <row r="207" spans="1:15" x14ac:dyDescent="0.25">
      <c r="A207" s="195" t="s">
        <v>841</v>
      </c>
      <c r="B207" s="195" t="s">
        <v>58</v>
      </c>
      <c r="C207" s="199">
        <f ca="1">IFERROR(INDEX(BYEs!$B$2:$B$33,MATCH(D207,BYEs!$A$2:$A$33,0)),"N/A")</f>
        <v>11</v>
      </c>
      <c r="D207" s="195" t="str">
        <f ca="1">INDEX(INDIRECT(""&amp;B207&amp;"!E2:E700"),MATCH(A207,INDIRECT(""&amp;B207&amp;"!B2:B700"),0))</f>
        <v>SF</v>
      </c>
      <c r="E207" s="194" t="str">
        <f ca="1">INDEX(INDIRECT(""&amp;$B207&amp;"!Z2:Z709"),MATCH($A207,INDIRECT(""&amp;$B207&amp;"!B2:B709"),0))</f>
        <v>DEF5</v>
      </c>
      <c r="F207" s="196">
        <f ca="1">IF(LeagueInfo!$H$7="Starter/Bench",INDEX(INDIRECT(""&amp;B207&amp;"!S2:S709"),MATCH(A207,INDIRECT(""&amp;B207&amp;"!B2:B709"),0)),INDEX(INDIRECT(""&amp;B207&amp;"!AA2:AA709"),MATCH(A207,INDIRECT(""&amp;B207&amp;"!B2:B709"),0)))</f>
        <v>0</v>
      </c>
      <c r="G207" s="200">
        <f>IF(H207&gt;0,F207-H207,0)</f>
        <v>0</v>
      </c>
      <c r="H207" s="198"/>
      <c r="I207" s="200">
        <f ca="1">F207*$A$2</f>
        <v>0</v>
      </c>
      <c r="J207" s="197" t="s">
        <v>80</v>
      </c>
      <c r="K207" s="197">
        <f>IF(LeagueInfo!$F$7="Yahoo",IFERROR(INDEX(DefaultAuctionValues!$B$2:$B$359,MATCH(A207,DefaultAuctionValues!$A$2:$A$359,0)),0),IF(LeagueInfo!$F$7="ESPN",IFERROR(INDEX(DefaultAuctionValues!$C$2:$C$359,MATCH(A207,DefaultAuctionValues!$A$2:$A$359,0)),0),IF(LeagueInfo!$F$7="FantasyPros",IFERROR(INDEX(DefaultAuctionValues!$D$2:$D$359,MATCH(A207,DefaultAuctionValues!$A$2:$A$359,0)),0))))</f>
        <v>0</v>
      </c>
      <c r="L207" s="201">
        <f ca="1">I207-K207</f>
        <v>0</v>
      </c>
      <c r="M207" s="213"/>
      <c r="N207" s="208">
        <f ca="1">INDEX(INDIRECT(""&amp;$B207&amp;"!y2:y709"),MATCH($A207,INDIRECT(""&amp;$B207&amp;"!B2:B709"),0))</f>
        <v>0</v>
      </c>
      <c r="O207" s="217" t="str">
        <f ca="1">IF(INDEX(INDIRECT(""&amp;$B207&amp;"!V2:V700"),MATCH($A207,INDIRECT(""&amp;$B207&amp;"!B2:B700"),0))=0,"",INDEX(INDIRECT(""&amp;$B207&amp;"!V2:V700"),MATCH($A207,INDIRECT(""&amp;$B207&amp;"!B2:B700"),0)))</f>
        <v/>
      </c>
    </row>
    <row r="208" spans="1:15" x14ac:dyDescent="0.25">
      <c r="A208" s="195" t="s">
        <v>837</v>
      </c>
      <c r="B208" s="195" t="s">
        <v>58</v>
      </c>
      <c r="C208" s="199">
        <f ca="1">IFERROR(INDEX(BYEs!$B$2:$B$33,MATCH(D208,BYEs!$A$2:$A$33,0)),"N/A")</f>
        <v>7</v>
      </c>
      <c r="D208" s="195" t="str">
        <f ca="1">INDEX(INDIRECT(""&amp;B208&amp;"!E2:E700"),MATCH(A208,INDIRECT(""&amp;B208&amp;"!B2:B700"),0))</f>
        <v>DET</v>
      </c>
      <c r="E208" s="194" t="str">
        <f ca="1">INDEX(INDIRECT(""&amp;$B208&amp;"!Z2:Z709"),MATCH($A208,INDIRECT(""&amp;$B208&amp;"!B2:B709"),0))</f>
        <v>DEF5</v>
      </c>
      <c r="F208" s="196">
        <f ca="1">IF(LeagueInfo!$H$7="Starter/Bench",INDEX(INDIRECT(""&amp;B208&amp;"!S2:S709"),MATCH(A208,INDIRECT(""&amp;B208&amp;"!B2:B709"),0)),INDEX(INDIRECT(""&amp;B208&amp;"!AA2:AA709"),MATCH(A208,INDIRECT(""&amp;B208&amp;"!B2:B709"),0)))</f>
        <v>0</v>
      </c>
      <c r="G208" s="200">
        <f>IF(H208&gt;0,F208-H208,0)</f>
        <v>0</v>
      </c>
      <c r="H208" s="198"/>
      <c r="I208" s="200">
        <f ca="1">F208*$A$2</f>
        <v>0</v>
      </c>
      <c r="J208" s="197" t="s">
        <v>80</v>
      </c>
      <c r="K208" s="197">
        <f>IF(LeagueInfo!$F$7="Yahoo",IFERROR(INDEX(DefaultAuctionValues!$B$2:$B$359,MATCH(A208,DefaultAuctionValues!$A$2:$A$359,0)),0),IF(LeagueInfo!$F$7="ESPN",IFERROR(INDEX(DefaultAuctionValues!$C$2:$C$359,MATCH(A208,DefaultAuctionValues!$A$2:$A$359,0)),0),IF(LeagueInfo!$F$7="FantasyPros",IFERROR(INDEX(DefaultAuctionValues!$D$2:$D$359,MATCH(A208,DefaultAuctionValues!$A$2:$A$359,0)),0))))</f>
        <v>0</v>
      </c>
      <c r="L208" s="201">
        <f ca="1">I208-K208</f>
        <v>0</v>
      </c>
      <c r="M208" s="213"/>
      <c r="N208" s="208">
        <f ca="1">INDEX(INDIRECT(""&amp;$B208&amp;"!y2:y709"),MATCH($A208,INDIRECT(""&amp;$B208&amp;"!B2:B709"),0))</f>
        <v>0</v>
      </c>
      <c r="O208" s="217" t="str">
        <f ca="1">IF(INDEX(INDIRECT(""&amp;$B208&amp;"!V2:V700"),MATCH($A208,INDIRECT(""&amp;$B208&amp;"!B2:B700"),0))=0,"",INDEX(INDIRECT(""&amp;$B208&amp;"!V2:V700"),MATCH($A208,INDIRECT(""&amp;$B208&amp;"!B2:B700"),0)))</f>
        <v/>
      </c>
    </row>
    <row r="209" spans="1:15" x14ac:dyDescent="0.25">
      <c r="A209" s="195" t="s">
        <v>839</v>
      </c>
      <c r="B209" s="195" t="s">
        <v>58</v>
      </c>
      <c r="C209" s="199">
        <f ca="1">IFERROR(INDEX(BYEs!$B$2:$B$33,MATCH(D209,BYEs!$A$2:$A$33,0)),"N/A")</f>
        <v>9</v>
      </c>
      <c r="D209" s="195" t="str">
        <f ca="1">INDEX(INDIRECT(""&amp;B209&amp;"!E2:E700"),MATCH(A209,INDIRECT(""&amp;B209&amp;"!B2:B700"),0))</f>
        <v>CHI</v>
      </c>
      <c r="E209" s="194" t="str">
        <f ca="1">INDEX(INDIRECT(""&amp;$B209&amp;"!Z2:Z709"),MATCH($A209,INDIRECT(""&amp;$B209&amp;"!B2:B709"),0))</f>
        <v>DEF5</v>
      </c>
      <c r="F209" s="196">
        <f ca="1">IF(LeagueInfo!$H$7="Starter/Bench",INDEX(INDIRECT(""&amp;B209&amp;"!S2:S709"),MATCH(A209,INDIRECT(""&amp;B209&amp;"!B2:B709"),0)),INDEX(INDIRECT(""&amp;B209&amp;"!AA2:AA709"),MATCH(A209,INDIRECT(""&amp;B209&amp;"!B2:B709"),0)))</f>
        <v>0</v>
      </c>
      <c r="G209" s="200">
        <f>IF(H209&gt;0,F209-H209,0)</f>
        <v>0</v>
      </c>
      <c r="H209" s="198"/>
      <c r="I209" s="200">
        <f ca="1">F209*$A$2</f>
        <v>0</v>
      </c>
      <c r="J209" s="197" t="s">
        <v>80</v>
      </c>
      <c r="K209" s="197">
        <f>IF(LeagueInfo!$F$7="Yahoo",IFERROR(INDEX(DefaultAuctionValues!$B$2:$B$359,MATCH(A209,DefaultAuctionValues!$A$2:$A$359,0)),0),IF(LeagueInfo!$F$7="ESPN",IFERROR(INDEX(DefaultAuctionValues!$C$2:$C$359,MATCH(A209,DefaultAuctionValues!$A$2:$A$359,0)),0),IF(LeagueInfo!$F$7="FantasyPros",IFERROR(INDEX(DefaultAuctionValues!$D$2:$D$359,MATCH(A209,DefaultAuctionValues!$A$2:$A$359,0)),0))))</f>
        <v>0</v>
      </c>
      <c r="L209" s="201">
        <f ca="1">I209-K209</f>
        <v>0</v>
      </c>
      <c r="M209" s="213"/>
      <c r="N209" s="208">
        <f ca="1">INDEX(INDIRECT(""&amp;$B209&amp;"!y2:y709"),MATCH($A209,INDIRECT(""&amp;$B209&amp;"!B2:B709"),0))</f>
        <v>0</v>
      </c>
      <c r="O209" s="217" t="str">
        <f ca="1">IF(INDEX(INDIRECT(""&amp;$B209&amp;"!V2:V700"),MATCH($A209,INDIRECT(""&amp;$B209&amp;"!B2:B700"),0))=0,"",INDEX(INDIRECT(""&amp;$B209&amp;"!V2:V700"),MATCH($A209,INDIRECT(""&amp;$B209&amp;"!B2:B700"),0)))</f>
        <v/>
      </c>
    </row>
    <row r="210" spans="1:15" x14ac:dyDescent="0.25">
      <c r="A210" s="195" t="s">
        <v>843</v>
      </c>
      <c r="B210" s="195" t="s">
        <v>58</v>
      </c>
      <c r="C210" s="199">
        <f ca="1">IFERROR(INDEX(BYEs!$B$2:$B$33,MATCH(D210,BYEs!$A$2:$A$33,0)),"N/A")</f>
        <v>5</v>
      </c>
      <c r="D210" s="195" t="str">
        <f ca="1">INDEX(INDIRECT(""&amp;B210&amp;"!E2:E700"),MATCH(A210,INDIRECT(""&amp;B210&amp;"!B2:B700"),0))</f>
        <v>NO</v>
      </c>
      <c r="E210" s="194" t="str">
        <f ca="1">INDEX(INDIRECT(""&amp;$B210&amp;"!Z2:Z709"),MATCH($A210,INDIRECT(""&amp;$B210&amp;"!B2:B709"),0))</f>
        <v>DEF5</v>
      </c>
      <c r="F210" s="196">
        <f ca="1">IF(LeagueInfo!$H$7="Starter/Bench",INDEX(INDIRECT(""&amp;B210&amp;"!S2:S709"),MATCH(A210,INDIRECT(""&amp;B210&amp;"!B2:B709"),0)),INDEX(INDIRECT(""&amp;B210&amp;"!AA2:AA709"),MATCH(A210,INDIRECT(""&amp;B210&amp;"!B2:B709"),0)))</f>
        <v>0</v>
      </c>
      <c r="G210" s="200">
        <f>IF(H210&gt;0,F210-H210,0)</f>
        <v>0</v>
      </c>
      <c r="H210" s="198"/>
      <c r="I210" s="200">
        <f ca="1">F210*$A$2</f>
        <v>0</v>
      </c>
      <c r="J210" s="197" t="s">
        <v>80</v>
      </c>
      <c r="K210" s="197">
        <f>IF(LeagueInfo!$F$7="Yahoo",IFERROR(INDEX(DefaultAuctionValues!$B$2:$B$359,MATCH(A210,DefaultAuctionValues!$A$2:$A$359,0)),0),IF(LeagueInfo!$F$7="ESPN",IFERROR(INDEX(DefaultAuctionValues!$C$2:$C$359,MATCH(A210,DefaultAuctionValues!$A$2:$A$359,0)),0),IF(LeagueInfo!$F$7="FantasyPros",IFERROR(INDEX(DefaultAuctionValues!$D$2:$D$359,MATCH(A210,DefaultAuctionValues!$A$2:$A$359,0)),0))))</f>
        <v>0</v>
      </c>
      <c r="L210" s="201">
        <f ca="1">I210-K210</f>
        <v>0</v>
      </c>
      <c r="M210" s="213"/>
      <c r="N210" s="208">
        <f ca="1">INDEX(INDIRECT(""&amp;$B210&amp;"!y2:y709"),MATCH($A210,INDIRECT(""&amp;$B210&amp;"!B2:B709"),0))</f>
        <v>0</v>
      </c>
      <c r="O210" s="217" t="str">
        <f ca="1">IF(INDEX(INDIRECT(""&amp;$B210&amp;"!V2:V700"),MATCH($A210,INDIRECT(""&amp;$B210&amp;"!B2:B700"),0))=0,"",INDEX(INDIRECT(""&amp;$B210&amp;"!V2:V700"),MATCH($A210,INDIRECT(""&amp;$B210&amp;"!B2:B700"),0)))</f>
        <v/>
      </c>
    </row>
    <row r="211" spans="1:15" x14ac:dyDescent="0.25">
      <c r="A211" s="195" t="s">
        <v>314</v>
      </c>
      <c r="B211" s="195" t="s">
        <v>58</v>
      </c>
      <c r="C211" s="199">
        <f ca="1">IFERROR(INDEX(BYEs!$B$2:$B$33,MATCH(D211,BYEs!$A$2:$A$33,0)),"N/A")</f>
        <v>11</v>
      </c>
      <c r="D211" s="195" t="str">
        <f ca="1">INDEX(INDIRECT(""&amp;B211&amp;"!E2:E700"),MATCH(A211,INDIRECT(""&amp;B211&amp;"!B2:B700"),0))</f>
        <v>NYJ</v>
      </c>
      <c r="E211" s="194" t="str">
        <f ca="1">INDEX(INDIRECT(""&amp;$B211&amp;"!Z2:Z709"),MATCH($A211,INDIRECT(""&amp;$B211&amp;"!B2:B709"),0))</f>
        <v>DEF5</v>
      </c>
      <c r="F211" s="196">
        <f ca="1">IF(LeagueInfo!$H$7="Starter/Bench",INDEX(INDIRECT(""&amp;B211&amp;"!S2:S709"),MATCH(A211,INDIRECT(""&amp;B211&amp;"!B2:B709"),0)),INDEX(INDIRECT(""&amp;B211&amp;"!AA2:AA709"),MATCH(A211,INDIRECT(""&amp;B211&amp;"!B2:B709"),0)))</f>
        <v>0</v>
      </c>
      <c r="G211" s="200">
        <f>IF(H211&gt;0,F211-H211,0)</f>
        <v>0</v>
      </c>
      <c r="H211" s="198"/>
      <c r="I211" s="200">
        <f ca="1">F211*$A$2</f>
        <v>0</v>
      </c>
      <c r="J211" s="197" t="s">
        <v>80</v>
      </c>
      <c r="K211" s="197">
        <f>IF(LeagueInfo!$F$7="Yahoo",IFERROR(INDEX(DefaultAuctionValues!$B$2:$B$359,MATCH(A211,DefaultAuctionValues!$A$2:$A$359,0)),0),IF(LeagueInfo!$F$7="ESPN",IFERROR(INDEX(DefaultAuctionValues!$C$2:$C$359,MATCH(A211,DefaultAuctionValues!$A$2:$A$359,0)),0),IF(LeagueInfo!$F$7="FantasyPros",IFERROR(INDEX(DefaultAuctionValues!$D$2:$D$359,MATCH(A211,DefaultAuctionValues!$A$2:$A$359,0)),0))))</f>
        <v>0</v>
      </c>
      <c r="L211" s="201">
        <f ca="1">I211-K211</f>
        <v>0</v>
      </c>
      <c r="M211" s="213"/>
      <c r="N211" s="208">
        <f ca="1">INDEX(INDIRECT(""&amp;$B211&amp;"!y2:y709"),MATCH($A211,INDIRECT(""&amp;$B211&amp;"!B2:B709"),0))</f>
        <v>0</v>
      </c>
      <c r="O211" s="217" t="str">
        <f ca="1">IF(INDEX(INDIRECT(""&amp;$B211&amp;"!V2:V700"),MATCH($A211,INDIRECT(""&amp;$B211&amp;"!B2:B700"),0))=0,"",INDEX(INDIRECT(""&amp;$B211&amp;"!V2:V700"),MATCH($A211,INDIRECT(""&amp;$B211&amp;"!B2:B700"),0)))</f>
        <v/>
      </c>
    </row>
    <row r="212" spans="1:15" x14ac:dyDescent="0.25">
      <c r="A212" s="195" t="s">
        <v>842</v>
      </c>
      <c r="B212" s="195" t="s">
        <v>58</v>
      </c>
      <c r="C212" s="199">
        <f ca="1">IFERROR(INDEX(BYEs!$B$2:$B$33,MATCH(D212,BYEs!$A$2:$A$33,0)),"N/A")</f>
        <v>9</v>
      </c>
      <c r="D212" s="195" t="str">
        <f ca="1">INDEX(INDIRECT(""&amp;B212&amp;"!E2:E700"),MATCH(A212,INDIRECT(""&amp;B212&amp;"!B2:B700"),0))</f>
        <v>CLE</v>
      </c>
      <c r="E212" s="194" t="str">
        <f ca="1">INDEX(INDIRECT(""&amp;$B212&amp;"!Z2:Z709"),MATCH($A212,INDIRECT(""&amp;$B212&amp;"!B2:B709"),0))</f>
        <v>DEF5</v>
      </c>
      <c r="F212" s="196">
        <f ca="1">IF(LeagueInfo!$H$7="Starter/Bench",INDEX(INDIRECT(""&amp;B212&amp;"!S2:S709"),MATCH(A212,INDIRECT(""&amp;B212&amp;"!B2:B709"),0)),INDEX(INDIRECT(""&amp;B212&amp;"!AA2:AA709"),MATCH(A212,INDIRECT(""&amp;B212&amp;"!B2:B709"),0)))</f>
        <v>0</v>
      </c>
      <c r="G212" s="200">
        <f>IF(H212&gt;0,F212-H212,0)</f>
        <v>0</v>
      </c>
      <c r="H212" s="198"/>
      <c r="I212" s="200">
        <f ca="1">F212*$A$2</f>
        <v>0</v>
      </c>
      <c r="J212" s="197" t="s">
        <v>80</v>
      </c>
      <c r="K212" s="197">
        <f>IF(LeagueInfo!$F$7="Yahoo",IFERROR(INDEX(DefaultAuctionValues!$B$2:$B$359,MATCH(A212,DefaultAuctionValues!$A$2:$A$359,0)),0),IF(LeagueInfo!$F$7="ESPN",IFERROR(INDEX(DefaultAuctionValues!$C$2:$C$359,MATCH(A212,DefaultAuctionValues!$A$2:$A$359,0)),0),IF(LeagueInfo!$F$7="FantasyPros",IFERROR(INDEX(DefaultAuctionValues!$D$2:$D$359,MATCH(A212,DefaultAuctionValues!$A$2:$A$359,0)),0))))</f>
        <v>0</v>
      </c>
      <c r="L212" s="201">
        <f ca="1">I212-K212</f>
        <v>0</v>
      </c>
      <c r="M212" s="213"/>
      <c r="N212" s="208">
        <f ca="1">INDEX(INDIRECT(""&amp;$B212&amp;"!y2:y709"),MATCH($A212,INDIRECT(""&amp;$B212&amp;"!B2:B709"),0))</f>
        <v>0</v>
      </c>
      <c r="O212" s="217" t="str">
        <f ca="1">IF(INDEX(INDIRECT(""&amp;$B212&amp;"!V2:V700"),MATCH($A212,INDIRECT(""&amp;$B212&amp;"!B2:B700"),0))=0,"",INDEX(INDIRECT(""&amp;$B212&amp;"!V2:V700"),MATCH($A212,INDIRECT(""&amp;$B212&amp;"!B2:B700"),0)))</f>
        <v/>
      </c>
    </row>
    <row r="213" spans="1:15" x14ac:dyDescent="0.25">
      <c r="A213" s="195" t="s">
        <v>297</v>
      </c>
      <c r="B213" s="195" t="s">
        <v>47</v>
      </c>
      <c r="C213" s="199">
        <f ca="1">IFERROR(INDEX(BYEs!$B$2:$B$33,MATCH(D213,BYEs!$A$2:$A$33,0)),"N/A")</f>
        <v>9</v>
      </c>
      <c r="D213" s="195" t="str">
        <f ca="1">INDEX(INDIRECT(""&amp;B213&amp;"!E2:E700"),MATCH(A213,INDIRECT(""&amp;B213&amp;"!B2:B700"),0))</f>
        <v>CHI</v>
      </c>
      <c r="E213" s="194" t="str">
        <f ca="1">INDEX(INDIRECT(""&amp;$B213&amp;"!Z2:Z709"),MATCH($A213,INDIRECT(""&amp;$B213&amp;"!B2:B709"),0))</f>
        <v>TE9</v>
      </c>
      <c r="F213" s="196">
        <f ca="1">IF(LeagueInfo!$H$7="Starter/Bench",INDEX(INDIRECT(""&amp;B213&amp;"!S2:S709"),MATCH(A213,INDIRECT(""&amp;B213&amp;"!B2:B709"),0)),INDEX(INDIRECT(""&amp;B213&amp;"!AA2:AA709"),MATCH(A213,INDIRECT(""&amp;B213&amp;"!B2:B709"),0)))</f>
        <v>0</v>
      </c>
      <c r="G213" s="200">
        <f>IF(H213&gt;0,F213-H213,0)</f>
        <v>0</v>
      </c>
      <c r="H213" s="198"/>
      <c r="I213" s="200">
        <f ca="1">F213*$A$2</f>
        <v>0</v>
      </c>
      <c r="J213" s="197" t="s">
        <v>80</v>
      </c>
      <c r="K213" s="197">
        <f>IF(LeagueInfo!$F$7="Yahoo",IFERROR(INDEX(DefaultAuctionValues!$B$2:$B$359,MATCH(A213,DefaultAuctionValues!$A$2:$A$359,0)),0),IF(LeagueInfo!$F$7="ESPN",IFERROR(INDEX(DefaultAuctionValues!$C$2:$C$359,MATCH(A213,DefaultAuctionValues!$A$2:$A$359,0)),0),IF(LeagueInfo!$F$7="FantasyPros",IFERROR(INDEX(DefaultAuctionValues!$D$2:$D$359,MATCH(A213,DefaultAuctionValues!$A$2:$A$359,0)),0))))</f>
        <v>1</v>
      </c>
      <c r="L213" s="201">
        <f ca="1">I213-K213</f>
        <v>-1</v>
      </c>
      <c r="M213" s="213"/>
      <c r="N213" s="208">
        <f ca="1">INDEX(INDIRECT(""&amp;$B213&amp;"!y2:y709"),MATCH($A213,INDIRECT(""&amp;$B213&amp;"!B2:B709"),0))</f>
        <v>0</v>
      </c>
      <c r="O213" s="217" t="str">
        <f ca="1">IF(INDEX(INDIRECT(""&amp;$B213&amp;"!V2:V700"),MATCH($A213,INDIRECT(""&amp;$B213&amp;"!B2:B700"),0))=0,"",INDEX(INDIRECT(""&amp;$B213&amp;"!V2:V700"),MATCH($A213,INDIRECT(""&amp;$B213&amp;"!B2:B700"),0)))</f>
        <v/>
      </c>
    </row>
    <row r="214" spans="1:15" x14ac:dyDescent="0.25">
      <c r="A214" s="195" t="s">
        <v>260</v>
      </c>
      <c r="B214" s="195" t="s">
        <v>33</v>
      </c>
      <c r="C214" s="199">
        <f ca="1">IFERROR(INDEX(BYEs!$B$2:$B$33,MATCH(D214,BYEs!$A$2:$A$33,0)),"N/A")</f>
        <v>9</v>
      </c>
      <c r="D214" s="195" t="str">
        <f ca="1">INDEX(INDIRECT(""&amp;B214&amp;"!E2:E700"),MATCH(A214,INDIRECT(""&amp;B214&amp;"!B2:B700"),0))</f>
        <v>MIN</v>
      </c>
      <c r="E214" s="194" t="str">
        <f ca="1">INDEX(INDIRECT(""&amp;$B214&amp;"!Z2:Z709"),MATCH($A214,INDIRECT(""&amp;$B214&amp;"!B2:B709"),0))</f>
        <v>QB4</v>
      </c>
      <c r="F214" s="196">
        <f ca="1">IF(LeagueInfo!$H$7="Starter/Bench",INDEX(INDIRECT(""&amp;B214&amp;"!S2:S709"),MATCH(A214,INDIRECT(""&amp;B214&amp;"!B2:B709"),0)),INDEX(INDIRECT(""&amp;B214&amp;"!AA2:AA709"),MATCH(A214,INDIRECT(""&amp;B214&amp;"!B2:B709"),0)))</f>
        <v>0</v>
      </c>
      <c r="G214" s="200">
        <f>IF(H214&gt;0,F214-H214,0)</f>
        <v>0</v>
      </c>
      <c r="H214" s="198"/>
      <c r="I214" s="200">
        <f ca="1">F214*$A$2</f>
        <v>0</v>
      </c>
      <c r="J214" s="197" t="s">
        <v>80</v>
      </c>
      <c r="K214" s="197">
        <f>IF(LeagueInfo!$F$7="Yahoo",IFERROR(INDEX(DefaultAuctionValues!$B$2:$B$359,MATCH(A214,DefaultAuctionValues!$A$2:$A$359,0)),0),IF(LeagueInfo!$F$7="ESPN",IFERROR(INDEX(DefaultAuctionValues!$C$2:$C$359,MATCH(A214,DefaultAuctionValues!$A$2:$A$359,0)),0),IF(LeagueInfo!$F$7="FantasyPros",IFERROR(INDEX(DefaultAuctionValues!$D$2:$D$359,MATCH(A214,DefaultAuctionValues!$A$2:$A$359,0)),0))))</f>
        <v>1</v>
      </c>
      <c r="L214" s="201">
        <f ca="1">I214-K214</f>
        <v>-1</v>
      </c>
      <c r="M214" s="213"/>
      <c r="N214" s="208">
        <f ca="1">INDEX(INDIRECT(""&amp;$B214&amp;"!y2:y709"),MATCH($A214,INDIRECT(""&amp;$B214&amp;"!B2:B709"),0))</f>
        <v>0</v>
      </c>
      <c r="O214" s="217" t="str">
        <f ca="1">IF(INDEX(INDIRECT(""&amp;$B214&amp;"!V2:V700"),MATCH($A214,INDIRECT(""&amp;$B214&amp;"!B2:B700"),0))=0,"",INDEX(INDIRECT(""&amp;$B214&amp;"!V2:V700"),MATCH($A214,INDIRECT(""&amp;$B214&amp;"!B2:B700"),0)))</f>
        <v/>
      </c>
    </row>
    <row r="215" spans="1:15" x14ac:dyDescent="0.25">
      <c r="A215" s="195" t="s">
        <v>264</v>
      </c>
      <c r="B215" s="195" t="s">
        <v>52</v>
      </c>
      <c r="C215" s="199">
        <f ca="1">IFERROR(INDEX(BYEs!$B$2:$B$33,MATCH(D215,BYEs!$A$2:$A$33,0)),"N/A")</f>
        <v>10</v>
      </c>
      <c r="D215" s="195" t="str">
        <f ca="1">INDEX(INDIRECT(""&amp;B215&amp;"!E2:E700"),MATCH(A215,INDIRECT(""&amp;B215&amp;"!B2:B700"),0))</f>
        <v>PHI</v>
      </c>
      <c r="E215" s="194" t="str">
        <f ca="1">INDEX(INDIRECT(""&amp;$B215&amp;"!Z2:Z709"),MATCH($A215,INDIRECT(""&amp;$B215&amp;"!B2:B709"),0))</f>
        <v>K2</v>
      </c>
      <c r="F215" s="196">
        <f ca="1">IF(LeagueInfo!$H$7="Starter/Bench",INDEX(INDIRECT(""&amp;B215&amp;"!S2:S709"),MATCH(A215,INDIRECT(""&amp;B215&amp;"!B2:B709"),0)),INDEX(INDIRECT(""&amp;B215&amp;"!AA2:AA709"),MATCH(A215,INDIRECT(""&amp;B215&amp;"!B2:B709"),0)))</f>
        <v>0</v>
      </c>
      <c r="G215" s="200">
        <f>IF(H215&gt;0,F215-H215,0)</f>
        <v>0</v>
      </c>
      <c r="H215" s="198"/>
      <c r="I215" s="200">
        <f ca="1">F215*$A$2</f>
        <v>0</v>
      </c>
      <c r="J215" s="197" t="s">
        <v>80</v>
      </c>
      <c r="K215" s="197">
        <f>IF(LeagueInfo!$F$7="Yahoo",IFERROR(INDEX(DefaultAuctionValues!$B$2:$B$359,MATCH(A215,DefaultAuctionValues!$A$2:$A$359,0)),0),IF(LeagueInfo!$F$7="ESPN",IFERROR(INDEX(DefaultAuctionValues!$C$2:$C$359,MATCH(A215,DefaultAuctionValues!$A$2:$A$359,0)),0),IF(LeagueInfo!$F$7="FantasyPros",IFERROR(INDEX(DefaultAuctionValues!$D$2:$D$359,MATCH(A215,DefaultAuctionValues!$A$2:$A$359,0)),0))))</f>
        <v>1</v>
      </c>
      <c r="L215" s="201">
        <f ca="1">I215-K215</f>
        <v>-1</v>
      </c>
      <c r="M215" s="213"/>
      <c r="N215" s="208">
        <f ca="1">INDEX(INDIRECT(""&amp;$B215&amp;"!y2:y709"),MATCH($A215,INDIRECT(""&amp;$B215&amp;"!B2:B709"),0))</f>
        <v>-1.0999999999999943</v>
      </c>
      <c r="O215" s="217" t="str">
        <f ca="1">IF(INDEX(INDIRECT(""&amp;$B215&amp;"!V2:V700"),MATCH($A215,INDIRECT(""&amp;$B215&amp;"!B2:B700"),0))=0,"",INDEX(INDIRECT(""&amp;$B215&amp;"!V2:V700"),MATCH($A215,INDIRECT(""&amp;$B215&amp;"!B2:B700"),0)))</f>
        <v/>
      </c>
    </row>
    <row r="216" spans="1:15" x14ac:dyDescent="0.25">
      <c r="A216" s="195" t="s">
        <v>214</v>
      </c>
      <c r="B216" s="195" t="s">
        <v>52</v>
      </c>
      <c r="C216" s="199">
        <f ca="1">IFERROR(INDEX(BYEs!$B$2:$B$33,MATCH(D216,BYEs!$A$2:$A$33,0)),"N/A")</f>
        <v>9</v>
      </c>
      <c r="D216" s="195" t="str">
        <f ca="1">INDEX(INDIRECT(""&amp;B216&amp;"!E2:E700"),MATCH(A216,INDIRECT(""&amp;B216&amp;"!B2:B700"),0))</f>
        <v>PIT</v>
      </c>
      <c r="E216" s="194" t="str">
        <f ca="1">INDEX(INDIRECT(""&amp;$B216&amp;"!Z2:Z709"),MATCH($A216,INDIRECT(""&amp;$B216&amp;"!B2:B709"),0))</f>
        <v>K2</v>
      </c>
      <c r="F216" s="196">
        <f ca="1">IF(LeagueInfo!$H$7="Starter/Bench",INDEX(INDIRECT(""&amp;B216&amp;"!S2:S709"),MATCH(A216,INDIRECT(""&amp;B216&amp;"!B2:B709"),0)),INDEX(INDIRECT(""&amp;B216&amp;"!AA2:AA709"),MATCH(A216,INDIRECT(""&amp;B216&amp;"!B2:B709"),0)))</f>
        <v>0</v>
      </c>
      <c r="G216" s="200">
        <f>IF(H216&gt;0,F216-H216,0)</f>
        <v>0</v>
      </c>
      <c r="H216" s="198"/>
      <c r="I216" s="200">
        <f ca="1">F216*$A$2</f>
        <v>0</v>
      </c>
      <c r="J216" s="197" t="s">
        <v>80</v>
      </c>
      <c r="K216" s="197">
        <f>IF(LeagueInfo!$F$7="Yahoo",IFERROR(INDEX(DefaultAuctionValues!$B$2:$B$359,MATCH(A216,DefaultAuctionValues!$A$2:$A$359,0)),0),IF(LeagueInfo!$F$7="ESPN",IFERROR(INDEX(DefaultAuctionValues!$C$2:$C$359,MATCH(A216,DefaultAuctionValues!$A$2:$A$359,0)),0),IF(LeagueInfo!$F$7="FantasyPros",IFERROR(INDEX(DefaultAuctionValues!$D$2:$D$359,MATCH(A216,DefaultAuctionValues!$A$2:$A$359,0)),0))))</f>
        <v>1</v>
      </c>
      <c r="L216" s="201">
        <f ca="1">I216-K216</f>
        <v>-1</v>
      </c>
      <c r="M216" s="213"/>
      <c r="N216" s="208">
        <f ca="1">INDEX(INDIRECT(""&amp;$B216&amp;"!y2:y709"),MATCH($A216,INDIRECT(""&amp;$B216&amp;"!B2:B709"),0))</f>
        <v>-1.5</v>
      </c>
      <c r="O216" s="217" t="str">
        <f ca="1">IF(INDEX(INDIRECT(""&amp;$B216&amp;"!V2:V700"),MATCH($A216,INDIRECT(""&amp;$B216&amp;"!B2:B700"),0))=0,"",INDEX(INDIRECT(""&amp;$B216&amp;"!V2:V700"),MATCH($A216,INDIRECT(""&amp;$B216&amp;"!B2:B700"),0)))</f>
        <v/>
      </c>
    </row>
    <row r="217" spans="1:15" x14ac:dyDescent="0.25">
      <c r="A217" s="195" t="s">
        <v>312</v>
      </c>
      <c r="B217" s="195" t="s">
        <v>52</v>
      </c>
      <c r="C217" s="199">
        <f ca="1">IFERROR(INDEX(BYEs!$B$2:$B$33,MATCH(D217,BYEs!$A$2:$A$33,0)),"N/A")</f>
        <v>7</v>
      </c>
      <c r="D217" s="195" t="str">
        <f ca="1">INDEX(INDIRECT(""&amp;B217&amp;"!E2:E700"),MATCH(A217,INDIRECT(""&amp;B217&amp;"!B2:B700"),0))</f>
        <v>DET</v>
      </c>
      <c r="E217" s="194" t="str">
        <f ca="1">INDEX(INDIRECT(""&amp;$B217&amp;"!Z2:Z709"),MATCH($A217,INDIRECT(""&amp;$B217&amp;"!B2:B709"),0))</f>
        <v>K2</v>
      </c>
      <c r="F217" s="196">
        <f ca="1">IF(LeagueInfo!$H$7="Starter/Bench",INDEX(INDIRECT(""&amp;B217&amp;"!S2:S709"),MATCH(A217,INDIRECT(""&amp;B217&amp;"!B2:B709"),0)),INDEX(INDIRECT(""&amp;B217&amp;"!AA2:AA709"),MATCH(A217,INDIRECT(""&amp;B217&amp;"!B2:B709"),0)))</f>
        <v>0</v>
      </c>
      <c r="G217" s="200">
        <f>IF(H217&gt;0,F217-H217,0)</f>
        <v>0</v>
      </c>
      <c r="H217" s="198"/>
      <c r="I217" s="200">
        <f ca="1">F217*$A$2</f>
        <v>0</v>
      </c>
      <c r="J217" s="197" t="s">
        <v>80</v>
      </c>
      <c r="K217" s="197">
        <f>IF(LeagueInfo!$F$7="Yahoo",IFERROR(INDEX(DefaultAuctionValues!$B$2:$B$359,MATCH(A217,DefaultAuctionValues!$A$2:$A$359,0)),0),IF(LeagueInfo!$F$7="ESPN",IFERROR(INDEX(DefaultAuctionValues!$C$2:$C$359,MATCH(A217,DefaultAuctionValues!$A$2:$A$359,0)),0),IF(LeagueInfo!$F$7="FantasyPros",IFERROR(INDEX(DefaultAuctionValues!$D$2:$D$359,MATCH(A217,DefaultAuctionValues!$A$2:$A$359,0)),0))))</f>
        <v>1</v>
      </c>
      <c r="L217" s="201">
        <f ca="1">I217-K217</f>
        <v>-1</v>
      </c>
      <c r="M217" s="213"/>
      <c r="N217" s="208">
        <f ca="1">INDEX(INDIRECT(""&amp;$B217&amp;"!y2:y709"),MATCH($A217,INDIRECT(""&amp;$B217&amp;"!B2:B709"),0))</f>
        <v>-1.5</v>
      </c>
      <c r="O217" s="217" t="str">
        <f ca="1">IF(INDEX(INDIRECT(""&amp;$B217&amp;"!V2:V700"),MATCH($A217,INDIRECT(""&amp;$B217&amp;"!B2:B700"),0))=0,"",INDEX(INDIRECT(""&amp;$B217&amp;"!V2:V700"),MATCH($A217,INDIRECT(""&amp;$B217&amp;"!B2:B700"),0)))</f>
        <v/>
      </c>
    </row>
    <row r="218" spans="1:15" x14ac:dyDescent="0.25">
      <c r="A218" s="195" t="s">
        <v>285</v>
      </c>
      <c r="B218" s="195" t="s">
        <v>52</v>
      </c>
      <c r="C218" s="199">
        <f ca="1">IFERROR(INDEX(BYEs!$B$2:$B$33,MATCH(D218,BYEs!$A$2:$A$33,0)),"N/A")</f>
        <v>8</v>
      </c>
      <c r="D218" s="195" t="str">
        <f ca="1">INDEX(INDIRECT(""&amp;B218&amp;"!E2:E700"),MATCH(A218,INDIRECT(""&amp;B218&amp;"!B2:B700"),0))</f>
        <v>ARI</v>
      </c>
      <c r="E218" s="194" t="str">
        <f ca="1">INDEX(INDIRECT(""&amp;$B218&amp;"!Z2:Z709"),MATCH($A218,INDIRECT(""&amp;$B218&amp;"!B2:B709"),0))</f>
        <v>K2</v>
      </c>
      <c r="F218" s="196">
        <f ca="1">IF(LeagueInfo!$H$7="Starter/Bench",INDEX(INDIRECT(""&amp;B218&amp;"!S2:S709"),MATCH(A218,INDIRECT(""&amp;B218&amp;"!B2:B709"),0)),INDEX(INDIRECT(""&amp;B218&amp;"!AA2:AA709"),MATCH(A218,INDIRECT(""&amp;B218&amp;"!B2:B709"),0)))</f>
        <v>0</v>
      </c>
      <c r="G218" s="200">
        <f>IF(H218&gt;0,F218-H218,0)</f>
        <v>0</v>
      </c>
      <c r="H218" s="198"/>
      <c r="I218" s="200">
        <f ca="1">F218*$A$2</f>
        <v>0</v>
      </c>
      <c r="J218" s="197" t="s">
        <v>80</v>
      </c>
      <c r="K218" s="197">
        <f>IF(LeagueInfo!$F$7="Yahoo",IFERROR(INDEX(DefaultAuctionValues!$B$2:$B$359,MATCH(A218,DefaultAuctionValues!$A$2:$A$359,0)),0),IF(LeagueInfo!$F$7="ESPN",IFERROR(INDEX(DefaultAuctionValues!$C$2:$C$359,MATCH(A218,DefaultAuctionValues!$A$2:$A$359,0)),0),IF(LeagueInfo!$F$7="FantasyPros",IFERROR(INDEX(DefaultAuctionValues!$D$2:$D$359,MATCH(A218,DefaultAuctionValues!$A$2:$A$359,0)),0))))</f>
        <v>1</v>
      </c>
      <c r="L218" s="201">
        <f ca="1">I218-K218</f>
        <v>-1</v>
      </c>
      <c r="M218" s="213"/>
      <c r="N218" s="208">
        <f ca="1">INDEX(INDIRECT(""&amp;$B218&amp;"!y2:y709"),MATCH($A218,INDIRECT(""&amp;$B218&amp;"!B2:B709"),0))</f>
        <v>-3.4000000000000057</v>
      </c>
      <c r="O218" s="217" t="str">
        <f ca="1">IF(INDEX(INDIRECT(""&amp;$B218&amp;"!V2:V700"),MATCH($A218,INDIRECT(""&amp;$B218&amp;"!B2:B700"),0))=0,"",INDEX(INDIRECT(""&amp;$B218&amp;"!V2:V700"),MATCH($A218,INDIRECT(""&amp;$B218&amp;"!B2:B700"),0)))</f>
        <v/>
      </c>
    </row>
    <row r="219" spans="1:15" x14ac:dyDescent="0.25">
      <c r="A219" s="195" t="s">
        <v>318</v>
      </c>
      <c r="B219" s="195" t="s">
        <v>52</v>
      </c>
      <c r="C219" s="199">
        <f ca="1">IFERROR(INDEX(BYEs!$B$2:$B$33,MATCH(D219,BYEs!$A$2:$A$33,0)),"N/A")</f>
        <v>9</v>
      </c>
      <c r="D219" s="195" t="str">
        <f ca="1">INDEX(INDIRECT(""&amp;B219&amp;"!E2:E700"),MATCH(A219,INDIRECT(""&amp;B219&amp;"!B2:B700"),0))</f>
        <v>LAC</v>
      </c>
      <c r="E219" s="194" t="str">
        <f ca="1">INDEX(INDIRECT(""&amp;$B219&amp;"!Z2:Z709"),MATCH($A219,INDIRECT(""&amp;$B219&amp;"!B2:B709"),0))</f>
        <v>K2</v>
      </c>
      <c r="F219" s="196">
        <f ca="1">IF(LeagueInfo!$H$7="Starter/Bench",INDEX(INDIRECT(""&amp;B219&amp;"!S2:S709"),MATCH(A219,INDIRECT(""&amp;B219&amp;"!B2:B709"),0)),INDEX(INDIRECT(""&amp;B219&amp;"!AA2:AA709"),MATCH(A219,INDIRECT(""&amp;B219&amp;"!B2:B709"),0)))</f>
        <v>0</v>
      </c>
      <c r="G219" s="200">
        <f>IF(H219&gt;0,F219-H219,0)</f>
        <v>0</v>
      </c>
      <c r="H219" s="198"/>
      <c r="I219" s="200">
        <f ca="1">F219*$A$2</f>
        <v>0</v>
      </c>
      <c r="J219" s="197" t="s">
        <v>80</v>
      </c>
      <c r="K219" s="197">
        <f>IF(LeagueInfo!$F$7="Yahoo",IFERROR(INDEX(DefaultAuctionValues!$B$2:$B$359,MATCH(A219,DefaultAuctionValues!$A$2:$A$359,0)),0),IF(LeagueInfo!$F$7="ESPN",IFERROR(INDEX(DefaultAuctionValues!$C$2:$C$359,MATCH(A219,DefaultAuctionValues!$A$2:$A$359,0)),0),IF(LeagueInfo!$F$7="FantasyPros",IFERROR(INDEX(DefaultAuctionValues!$D$2:$D$359,MATCH(A219,DefaultAuctionValues!$A$2:$A$359,0)),0))))</f>
        <v>0</v>
      </c>
      <c r="L219" s="201">
        <f ca="1">I219-K219</f>
        <v>0</v>
      </c>
      <c r="M219" s="213"/>
      <c r="N219" s="208">
        <f ca="1">INDEX(INDIRECT(""&amp;$B219&amp;"!y2:y709"),MATCH($A219,INDIRECT(""&amp;$B219&amp;"!B2:B709"),0))</f>
        <v>-3.7000000000000028</v>
      </c>
      <c r="O219" s="217" t="str">
        <f ca="1">IF(INDEX(INDIRECT(""&amp;$B219&amp;"!V2:V700"),MATCH($A219,INDIRECT(""&amp;$B219&amp;"!B2:B700"),0))=0,"",INDEX(INDIRECT(""&amp;$B219&amp;"!V2:V700"),MATCH($A219,INDIRECT(""&amp;$B219&amp;"!B2:B700"),0)))</f>
        <v/>
      </c>
    </row>
    <row r="220" spans="1:15" x14ac:dyDescent="0.25">
      <c r="A220" s="195" t="s">
        <v>309</v>
      </c>
      <c r="B220" s="195" t="s">
        <v>52</v>
      </c>
      <c r="C220" s="199">
        <f ca="1">IFERROR(INDEX(BYEs!$B$2:$B$33,MATCH(D220,BYEs!$A$2:$A$33,0)),"N/A")</f>
        <v>5</v>
      </c>
      <c r="D220" s="195" t="str">
        <f ca="1">INDEX(INDIRECT(""&amp;B220&amp;"!E2:E700"),MATCH(A220,INDIRECT(""&amp;B220&amp;"!B2:B700"),0))</f>
        <v>DEN</v>
      </c>
      <c r="E220" s="194" t="str">
        <f ca="1">INDEX(INDIRECT(""&amp;$B220&amp;"!Z2:Z709"),MATCH($A220,INDIRECT(""&amp;$B220&amp;"!B2:B709"),0))</f>
        <v>K2</v>
      </c>
      <c r="F220" s="196">
        <f ca="1">IF(LeagueInfo!$H$7="Starter/Bench",INDEX(INDIRECT(""&amp;B220&amp;"!S2:S709"),MATCH(A220,INDIRECT(""&amp;B220&amp;"!B2:B709"),0)),INDEX(INDIRECT(""&amp;B220&amp;"!AA2:AA709"),MATCH(A220,INDIRECT(""&amp;B220&amp;"!B2:B709"),0)))</f>
        <v>0</v>
      </c>
      <c r="G220" s="200">
        <f>IF(H220&gt;0,F220-H220,0)</f>
        <v>0</v>
      </c>
      <c r="H220" s="198"/>
      <c r="I220" s="200">
        <f ca="1">F220*$A$2</f>
        <v>0</v>
      </c>
      <c r="J220" s="197" t="s">
        <v>80</v>
      </c>
      <c r="K220" s="197">
        <f>IF(LeagueInfo!$F$7="Yahoo",IFERROR(INDEX(DefaultAuctionValues!$B$2:$B$359,MATCH(A220,DefaultAuctionValues!$A$2:$A$359,0)),0),IF(LeagueInfo!$F$7="ESPN",IFERROR(INDEX(DefaultAuctionValues!$C$2:$C$359,MATCH(A220,DefaultAuctionValues!$A$2:$A$359,0)),0),IF(LeagueInfo!$F$7="FantasyPros",IFERROR(INDEX(DefaultAuctionValues!$D$2:$D$359,MATCH(A220,DefaultAuctionValues!$A$2:$A$359,0)),0))))</f>
        <v>1</v>
      </c>
      <c r="L220" s="201">
        <f ca="1">I220-K220</f>
        <v>-1</v>
      </c>
      <c r="M220" s="213"/>
      <c r="N220" s="208">
        <f ca="1">INDEX(INDIRECT(""&amp;$B220&amp;"!y2:y709"),MATCH($A220,INDIRECT(""&amp;$B220&amp;"!B2:B709"),0))</f>
        <v>-6.4000000000000057</v>
      </c>
      <c r="O220" s="217" t="str">
        <f ca="1">IF(INDEX(INDIRECT(""&amp;$B220&amp;"!V2:V700"),MATCH($A220,INDIRECT(""&amp;$B220&amp;"!B2:B700"),0))=0,"",INDEX(INDIRECT(""&amp;$B220&amp;"!V2:V700"),MATCH($A220,INDIRECT(""&amp;$B220&amp;"!B2:B700"),0)))</f>
        <v/>
      </c>
    </row>
    <row r="221" spans="1:15" x14ac:dyDescent="0.25">
      <c r="A221" s="195" t="s">
        <v>302</v>
      </c>
      <c r="B221" s="195" t="s">
        <v>52</v>
      </c>
      <c r="C221" s="199">
        <f ca="1">IFERROR(INDEX(BYEs!$B$2:$B$33,MATCH(D221,BYEs!$A$2:$A$33,0)),"N/A")</f>
        <v>6</v>
      </c>
      <c r="D221" s="195" t="str">
        <f ca="1">INDEX(INDIRECT(""&amp;B221&amp;"!E2:E700"),MATCH(A221,INDIRECT(""&amp;B221&amp;"!B2:B700"),0))</f>
        <v>BUF</v>
      </c>
      <c r="E221" s="194" t="str">
        <f ca="1">INDEX(INDIRECT(""&amp;$B221&amp;"!Z2:Z709"),MATCH($A221,INDIRECT(""&amp;$B221&amp;"!B2:B709"),0))</f>
        <v>K2</v>
      </c>
      <c r="F221" s="196">
        <f ca="1">IF(LeagueInfo!$H$7="Starter/Bench",INDEX(INDIRECT(""&amp;B221&amp;"!S2:S709"),MATCH(A221,INDIRECT(""&amp;B221&amp;"!B2:B709"),0)),INDEX(INDIRECT(""&amp;B221&amp;"!AA2:AA709"),MATCH(A221,INDIRECT(""&amp;B221&amp;"!B2:B709"),0)))</f>
        <v>0</v>
      </c>
      <c r="G221" s="200">
        <f>IF(H221&gt;0,F221-H221,0)</f>
        <v>0</v>
      </c>
      <c r="H221" s="198"/>
      <c r="I221" s="200">
        <f ca="1">F221*$A$2</f>
        <v>0</v>
      </c>
      <c r="J221" s="197" t="s">
        <v>80</v>
      </c>
      <c r="K221" s="197">
        <f>IF(LeagueInfo!$F$7="Yahoo",IFERROR(INDEX(DefaultAuctionValues!$B$2:$B$359,MATCH(A221,DefaultAuctionValues!$A$2:$A$359,0)),0),IF(LeagueInfo!$F$7="ESPN",IFERROR(INDEX(DefaultAuctionValues!$C$2:$C$359,MATCH(A221,DefaultAuctionValues!$A$2:$A$359,0)),0),IF(LeagueInfo!$F$7="FantasyPros",IFERROR(INDEX(DefaultAuctionValues!$D$2:$D$359,MATCH(A221,DefaultAuctionValues!$A$2:$A$359,0)),0))))</f>
        <v>0</v>
      </c>
      <c r="L221" s="201">
        <f ca="1">I221-K221</f>
        <v>0</v>
      </c>
      <c r="M221" s="213"/>
      <c r="N221" s="208">
        <f ca="1">INDEX(INDIRECT(""&amp;$B221&amp;"!y2:y709"),MATCH($A221,INDIRECT(""&amp;$B221&amp;"!B2:B709"),0))</f>
        <v>-7.2000000000000028</v>
      </c>
      <c r="O221" s="217" t="str">
        <f ca="1">IF(INDEX(INDIRECT(""&amp;$B221&amp;"!V2:V700"),MATCH($A221,INDIRECT(""&amp;$B221&amp;"!B2:B700"),0))=0,"",INDEX(INDIRECT(""&amp;$B221&amp;"!V2:V700"),MATCH($A221,INDIRECT(""&amp;$B221&amp;"!B2:B700"),0)))</f>
        <v/>
      </c>
    </row>
    <row r="222" spans="1:15" x14ac:dyDescent="0.25">
      <c r="A222" s="195" t="s">
        <v>816</v>
      </c>
      <c r="B222" s="195" t="s">
        <v>52</v>
      </c>
      <c r="C222" s="199">
        <f ca="1">IFERROR(INDEX(BYEs!$B$2:$B$33,MATCH(D222,BYEs!$A$2:$A$33,0)),"N/A")</f>
        <v>9</v>
      </c>
      <c r="D222" s="195" t="str">
        <f ca="1">INDEX(INDIRECT(""&amp;B222&amp;"!E2:E700"),MATCH(A222,INDIRECT(""&amp;B222&amp;"!B2:B700"),0))</f>
        <v>MIN</v>
      </c>
      <c r="E222" s="194" t="str">
        <f ca="1">INDEX(INDIRECT(""&amp;$B222&amp;"!Z2:Z709"),MATCH($A222,INDIRECT(""&amp;$B222&amp;"!B2:B709"),0))</f>
        <v>K2</v>
      </c>
      <c r="F222" s="196">
        <f ca="1">IF(LeagueInfo!$H$7="Starter/Bench",INDEX(INDIRECT(""&amp;B222&amp;"!S2:S709"),MATCH(A222,INDIRECT(""&amp;B222&amp;"!B2:B709"),0)),INDEX(INDIRECT(""&amp;B222&amp;"!AA2:AA709"),MATCH(A222,INDIRECT(""&amp;B222&amp;"!B2:B709"),0)))</f>
        <v>0</v>
      </c>
      <c r="G222" s="200">
        <f>IF(H222&gt;0,F222-H222,0)</f>
        <v>0</v>
      </c>
      <c r="H222" s="198"/>
      <c r="I222" s="200">
        <f ca="1">F222*$A$2</f>
        <v>0</v>
      </c>
      <c r="J222" s="197" t="s">
        <v>80</v>
      </c>
      <c r="K222" s="197">
        <f>IF(LeagueInfo!$F$7="Yahoo",IFERROR(INDEX(DefaultAuctionValues!$B$2:$B$359,MATCH(A222,DefaultAuctionValues!$A$2:$A$359,0)),0),IF(LeagueInfo!$F$7="ESPN",IFERROR(INDEX(DefaultAuctionValues!$C$2:$C$359,MATCH(A222,DefaultAuctionValues!$A$2:$A$359,0)),0),IF(LeagueInfo!$F$7="FantasyPros",IFERROR(INDEX(DefaultAuctionValues!$D$2:$D$359,MATCH(A222,DefaultAuctionValues!$A$2:$A$359,0)),0))))</f>
        <v>0</v>
      </c>
      <c r="L222" s="201">
        <f ca="1">I222-K222</f>
        <v>0</v>
      </c>
      <c r="M222" s="213"/>
      <c r="N222" s="208">
        <f ca="1">INDEX(INDIRECT(""&amp;$B222&amp;"!y2:y709"),MATCH($A222,INDIRECT(""&amp;$B222&amp;"!B2:B709"),0))</f>
        <v>-7.9000000000000057</v>
      </c>
      <c r="O222" s="217" t="str">
        <f ca="1">IF(INDEX(INDIRECT(""&amp;$B222&amp;"!V2:V700"),MATCH($A222,INDIRECT(""&amp;$B222&amp;"!B2:B700"),0))=0,"",INDEX(INDIRECT(""&amp;$B222&amp;"!V2:V700"),MATCH($A222,INDIRECT(""&amp;$B222&amp;"!B2:B700"),0)))</f>
        <v/>
      </c>
    </row>
    <row r="223" spans="1:15" x14ac:dyDescent="0.25">
      <c r="A223" s="195" t="s">
        <v>815</v>
      </c>
      <c r="B223" s="195" t="s">
        <v>52</v>
      </c>
      <c r="C223" s="199">
        <f ca="1">IFERROR(INDEX(BYEs!$B$2:$B$33,MATCH(D223,BYEs!$A$2:$A$33,0)),"N/A")</f>
        <v>6</v>
      </c>
      <c r="D223" s="195" t="str">
        <f ca="1">INDEX(INDIRECT(""&amp;B223&amp;"!E2:E700"),MATCH(A223,INDIRECT(""&amp;B223&amp;"!B2:B700"),0))</f>
        <v>CIN</v>
      </c>
      <c r="E223" s="194" t="str">
        <f ca="1">INDEX(INDIRECT(""&amp;$B223&amp;"!Z2:Z709"),MATCH($A223,INDIRECT(""&amp;$B223&amp;"!B2:B709"),0))</f>
        <v>K2</v>
      </c>
      <c r="F223" s="196">
        <f ca="1">IF(LeagueInfo!$H$7="Starter/Bench",INDEX(INDIRECT(""&amp;B223&amp;"!S2:S709"),MATCH(A223,INDIRECT(""&amp;B223&amp;"!B2:B709"),0)),INDEX(INDIRECT(""&amp;B223&amp;"!AA2:AA709"),MATCH(A223,INDIRECT(""&amp;B223&amp;"!B2:B709"),0)))</f>
        <v>0</v>
      </c>
      <c r="G223" s="200">
        <f>IF(H223&gt;0,F223-H223,0)</f>
        <v>0</v>
      </c>
      <c r="H223" s="198"/>
      <c r="I223" s="200">
        <f ca="1">F223*$A$2</f>
        <v>0</v>
      </c>
      <c r="J223" s="197" t="s">
        <v>80</v>
      </c>
      <c r="K223" s="197">
        <f>IF(LeagueInfo!$F$7="Yahoo",IFERROR(INDEX(DefaultAuctionValues!$B$2:$B$359,MATCH(A223,DefaultAuctionValues!$A$2:$A$359,0)),0),IF(LeagueInfo!$F$7="ESPN",IFERROR(INDEX(DefaultAuctionValues!$C$2:$C$359,MATCH(A223,DefaultAuctionValues!$A$2:$A$359,0)),0),IF(LeagueInfo!$F$7="FantasyPros",IFERROR(INDEX(DefaultAuctionValues!$D$2:$D$359,MATCH(A223,DefaultAuctionValues!$A$2:$A$359,0)),0))))</f>
        <v>0</v>
      </c>
      <c r="L223" s="201">
        <f ca="1">I223-K223</f>
        <v>0</v>
      </c>
      <c r="M223" s="213"/>
      <c r="N223" s="208">
        <f ca="1">INDEX(INDIRECT(""&amp;$B223&amp;"!y2:y709"),MATCH($A223,INDIRECT(""&amp;$B223&amp;"!B2:B709"),0))</f>
        <v>-8</v>
      </c>
      <c r="O223" s="217" t="str">
        <f ca="1">IF(INDEX(INDIRECT(""&amp;$B223&amp;"!V2:V700"),MATCH($A223,INDIRECT(""&amp;$B223&amp;"!B2:B700"),0))=0,"",INDEX(INDIRECT(""&amp;$B223&amp;"!V2:V700"),MATCH($A223,INDIRECT(""&amp;$B223&amp;"!B2:B700"),0)))</f>
        <v/>
      </c>
    </row>
    <row r="224" spans="1:15" x14ac:dyDescent="0.25">
      <c r="A224" s="195" t="s">
        <v>320</v>
      </c>
      <c r="B224" s="195" t="s">
        <v>52</v>
      </c>
      <c r="C224" s="199">
        <f ca="1">IFERROR(INDEX(BYEs!$B$2:$B$33,MATCH(D224,BYEs!$A$2:$A$33,0)),"N/A")</f>
        <v>7</v>
      </c>
      <c r="D224" s="195" t="str">
        <f ca="1">INDEX(INDIRECT(""&amp;B224&amp;"!E2:E700"),MATCH(A224,INDIRECT(""&amp;B224&amp;"!B2:B700"),0))</f>
        <v>HOU</v>
      </c>
      <c r="E224" s="194" t="str">
        <f ca="1">INDEX(INDIRECT(""&amp;$B224&amp;"!Z2:Z709"),MATCH($A224,INDIRECT(""&amp;$B224&amp;"!B2:B709"),0))</f>
        <v>K2</v>
      </c>
      <c r="F224" s="196">
        <f ca="1">IF(LeagueInfo!$H$7="Starter/Bench",INDEX(INDIRECT(""&amp;B224&amp;"!S2:S709"),MATCH(A224,INDIRECT(""&amp;B224&amp;"!B2:B709"),0)),INDEX(INDIRECT(""&amp;B224&amp;"!AA2:AA709"),MATCH(A224,INDIRECT(""&amp;B224&amp;"!B2:B709"),0)))</f>
        <v>0</v>
      </c>
      <c r="G224" s="200">
        <f>IF(H224&gt;0,F224-H224,0)</f>
        <v>0</v>
      </c>
      <c r="H224" s="198"/>
      <c r="I224" s="200">
        <f ca="1">F224*$A$2</f>
        <v>0</v>
      </c>
      <c r="J224" s="197" t="s">
        <v>80</v>
      </c>
      <c r="K224" s="197">
        <f>IF(LeagueInfo!$F$7="Yahoo",IFERROR(INDEX(DefaultAuctionValues!$B$2:$B$359,MATCH(A224,DefaultAuctionValues!$A$2:$A$359,0)),0),IF(LeagueInfo!$F$7="ESPN",IFERROR(INDEX(DefaultAuctionValues!$C$2:$C$359,MATCH(A224,DefaultAuctionValues!$A$2:$A$359,0)),0),IF(LeagueInfo!$F$7="FantasyPros",IFERROR(INDEX(DefaultAuctionValues!$D$2:$D$359,MATCH(A224,DefaultAuctionValues!$A$2:$A$359,0)),0))))</f>
        <v>4</v>
      </c>
      <c r="L224" s="201">
        <f ca="1">I224-K224</f>
        <v>-4</v>
      </c>
      <c r="M224" s="213"/>
      <c r="N224" s="208">
        <f ca="1">INDEX(INDIRECT(""&amp;$B224&amp;"!y2:y709"),MATCH($A224,INDIRECT(""&amp;$B224&amp;"!B2:B709"),0))</f>
        <v>-8.5</v>
      </c>
      <c r="O224" s="217" t="str">
        <f ca="1">IF(INDEX(INDIRECT(""&amp;$B224&amp;"!V2:V700"),MATCH($A224,INDIRECT(""&amp;$B224&amp;"!B2:B700"),0))=0,"",INDEX(INDIRECT(""&amp;$B224&amp;"!V2:V700"),MATCH($A224,INDIRECT(""&amp;$B224&amp;"!B2:B700"),0)))</f>
        <v/>
      </c>
    </row>
    <row r="225" spans="1:15" x14ac:dyDescent="0.25">
      <c r="A225" s="195" t="s">
        <v>319</v>
      </c>
      <c r="B225" s="195" t="s">
        <v>52</v>
      </c>
      <c r="C225" s="199">
        <f ca="1">IFERROR(INDEX(BYEs!$B$2:$B$33,MATCH(D225,BYEs!$A$2:$A$33,0)),"N/A")</f>
        <v>8</v>
      </c>
      <c r="D225" s="195" t="str">
        <f ca="1">INDEX(INDIRECT(""&amp;B225&amp;"!E2:E700"),MATCH(A225,INDIRECT(""&amp;B225&amp;"!B2:B700"),0))</f>
        <v>TEN</v>
      </c>
      <c r="E225" s="194" t="str">
        <f ca="1">INDEX(INDIRECT(""&amp;$B225&amp;"!Z2:Z709"),MATCH($A225,INDIRECT(""&amp;$B225&amp;"!B2:B709"),0))</f>
        <v>K2</v>
      </c>
      <c r="F225" s="196">
        <f ca="1">IF(LeagueInfo!$H$7="Starter/Bench",INDEX(INDIRECT(""&amp;B225&amp;"!S2:S709"),MATCH(A225,INDIRECT(""&amp;B225&amp;"!B2:B709"),0)),INDEX(INDIRECT(""&amp;B225&amp;"!AA2:AA709"),MATCH(A225,INDIRECT(""&amp;B225&amp;"!B2:B709"),0)))</f>
        <v>0</v>
      </c>
      <c r="G225" s="200">
        <f>IF(H225&gt;0,F225-H225,0)</f>
        <v>0</v>
      </c>
      <c r="H225" s="198"/>
      <c r="I225" s="200">
        <f ca="1">F225*$A$2</f>
        <v>0</v>
      </c>
      <c r="J225" s="197" t="s">
        <v>80</v>
      </c>
      <c r="K225" s="197">
        <f>IF(LeagueInfo!$F$7="Yahoo",IFERROR(INDEX(DefaultAuctionValues!$B$2:$B$359,MATCH(A225,DefaultAuctionValues!$A$2:$A$359,0)),0),IF(LeagueInfo!$F$7="ESPN",IFERROR(INDEX(DefaultAuctionValues!$C$2:$C$359,MATCH(A225,DefaultAuctionValues!$A$2:$A$359,0)),0),IF(LeagueInfo!$F$7="FantasyPros",IFERROR(INDEX(DefaultAuctionValues!$D$2:$D$359,MATCH(A225,DefaultAuctionValues!$A$2:$A$359,0)),0))))</f>
        <v>1</v>
      </c>
      <c r="L225" s="201">
        <f ca="1">I225-K225</f>
        <v>-1</v>
      </c>
      <c r="M225" s="213"/>
      <c r="N225" s="208">
        <f ca="1">INDEX(INDIRECT(""&amp;$B225&amp;"!y2:y709"),MATCH($A225,INDIRECT(""&amp;$B225&amp;"!B2:B709"),0))</f>
        <v>-9.7000000000000028</v>
      </c>
      <c r="O225" s="217" t="str">
        <f ca="1">IF(INDEX(INDIRECT(""&amp;$B225&amp;"!V2:V700"),MATCH($A225,INDIRECT(""&amp;$B225&amp;"!B2:B700"),0))=0,"",INDEX(INDIRECT(""&amp;$B225&amp;"!V2:V700"),MATCH($A225,INDIRECT(""&amp;$B225&amp;"!B2:B700"),0)))</f>
        <v/>
      </c>
    </row>
    <row r="226" spans="1:15" x14ac:dyDescent="0.25">
      <c r="A226" s="195" t="s">
        <v>818</v>
      </c>
      <c r="B226" s="195" t="s">
        <v>52</v>
      </c>
      <c r="C226" s="199">
        <f ca="1">IFERROR(INDEX(BYEs!$B$2:$B$33,MATCH(D226,BYEs!$A$2:$A$33,0)),"N/A")</f>
        <v>8</v>
      </c>
      <c r="D226" s="195" t="str">
        <f ca="1">INDEX(INDIRECT(""&amp;B226&amp;"!E2:E700"),MATCH(A226,INDIRECT(""&amp;B226&amp;"!B2:B700"),0))</f>
        <v>JAC</v>
      </c>
      <c r="E226" s="194" t="str">
        <f ca="1">INDEX(INDIRECT(""&amp;$B226&amp;"!Z2:Z709"),MATCH($A226,INDIRECT(""&amp;$B226&amp;"!B2:B709"),0))</f>
        <v>K2</v>
      </c>
      <c r="F226" s="196">
        <f ca="1">IF(LeagueInfo!$H$7="Starter/Bench",INDEX(INDIRECT(""&amp;B226&amp;"!S2:S709"),MATCH(A226,INDIRECT(""&amp;B226&amp;"!B2:B709"),0)),INDEX(INDIRECT(""&amp;B226&amp;"!AA2:AA709"),MATCH(A226,INDIRECT(""&amp;B226&amp;"!B2:B709"),0)))</f>
        <v>0</v>
      </c>
      <c r="G226" s="200">
        <f>IF(H226&gt;0,F226-H226,0)</f>
        <v>0</v>
      </c>
      <c r="H226" s="198"/>
      <c r="I226" s="200">
        <f ca="1">F226*$A$2</f>
        <v>0</v>
      </c>
      <c r="J226" s="197" t="s">
        <v>80</v>
      </c>
      <c r="K226" s="197">
        <f>IF(LeagueInfo!$F$7="Yahoo",IFERROR(INDEX(DefaultAuctionValues!$B$2:$B$359,MATCH(A226,DefaultAuctionValues!$A$2:$A$359,0)),0),IF(LeagueInfo!$F$7="ESPN",IFERROR(INDEX(DefaultAuctionValues!$C$2:$C$359,MATCH(A226,DefaultAuctionValues!$A$2:$A$359,0)),0),IF(LeagueInfo!$F$7="FantasyPros",IFERROR(INDEX(DefaultAuctionValues!$D$2:$D$359,MATCH(A226,DefaultAuctionValues!$A$2:$A$359,0)),0))))</f>
        <v>0</v>
      </c>
      <c r="L226" s="201">
        <f ca="1">I226-K226</f>
        <v>0</v>
      </c>
      <c r="M226" s="213"/>
      <c r="N226" s="208">
        <f ca="1">INDEX(INDIRECT(""&amp;$B226&amp;"!y2:y709"),MATCH($A226,INDIRECT(""&amp;$B226&amp;"!B2:B709"),0))</f>
        <v>-9.7000000000000028</v>
      </c>
      <c r="O226" s="217" t="str">
        <f ca="1">IF(INDEX(INDIRECT(""&amp;$B226&amp;"!V2:V700"),MATCH($A226,INDIRECT(""&amp;$B226&amp;"!B2:B700"),0))=0,"",INDEX(INDIRECT(""&amp;$B226&amp;"!V2:V700"),MATCH($A226,INDIRECT(""&amp;$B226&amp;"!B2:B700"),0)))</f>
        <v/>
      </c>
    </row>
    <row r="227" spans="1:15" x14ac:dyDescent="0.25">
      <c r="A227" s="195" t="s">
        <v>826</v>
      </c>
      <c r="B227" s="195" t="s">
        <v>52</v>
      </c>
      <c r="C227" s="199">
        <f ca="1">IFERROR(INDEX(BYEs!$B$2:$B$33,MATCH(D227,BYEs!$A$2:$A$33,0)),"N/A")</f>
        <v>11</v>
      </c>
      <c r="D227" s="195" t="str">
        <f ca="1">INDEX(INDIRECT(""&amp;B227&amp;"!E2:E700"),MATCH(A227,INDIRECT(""&amp;B227&amp;"!B2:B700"),0))</f>
        <v>TB</v>
      </c>
      <c r="E227" s="194" t="str">
        <f ca="1">INDEX(INDIRECT(""&amp;$B227&amp;"!Z2:Z709"),MATCH($A227,INDIRECT(""&amp;$B227&amp;"!B2:B709"),0))</f>
        <v>K2</v>
      </c>
      <c r="F227" s="196">
        <f ca="1">IF(LeagueInfo!$H$7="Starter/Bench",INDEX(INDIRECT(""&amp;B227&amp;"!S2:S709"),MATCH(A227,INDIRECT(""&amp;B227&amp;"!B2:B709"),0)),INDEX(INDIRECT(""&amp;B227&amp;"!AA2:AA709"),MATCH(A227,INDIRECT(""&amp;B227&amp;"!B2:B709"),0)))</f>
        <v>0</v>
      </c>
      <c r="G227" s="200">
        <f>IF(H227&gt;0,F227-H227,0)</f>
        <v>0</v>
      </c>
      <c r="H227" s="198"/>
      <c r="I227" s="200">
        <f ca="1">F227*$A$2</f>
        <v>0</v>
      </c>
      <c r="J227" s="197" t="s">
        <v>80</v>
      </c>
      <c r="K227" s="197">
        <f>IF(LeagueInfo!$F$7="Yahoo",IFERROR(INDEX(DefaultAuctionValues!$B$2:$B$359,MATCH(A227,DefaultAuctionValues!$A$2:$A$359,0)),0),IF(LeagueInfo!$F$7="ESPN",IFERROR(INDEX(DefaultAuctionValues!$C$2:$C$359,MATCH(A227,DefaultAuctionValues!$A$2:$A$359,0)),0),IF(LeagueInfo!$F$7="FantasyPros",IFERROR(INDEX(DefaultAuctionValues!$D$2:$D$359,MATCH(A227,DefaultAuctionValues!$A$2:$A$359,0)),0))))</f>
        <v>0</v>
      </c>
      <c r="L227" s="201">
        <f ca="1">I227-K227</f>
        <v>0</v>
      </c>
      <c r="M227" s="213"/>
      <c r="N227" s="208">
        <f ca="1">INDEX(INDIRECT(""&amp;$B227&amp;"!y2:y709"),MATCH($A227,INDIRECT(""&amp;$B227&amp;"!B2:B709"),0))</f>
        <v>-9.7999999999999972</v>
      </c>
      <c r="O227" s="217" t="str">
        <f ca="1">IF(INDEX(INDIRECT(""&amp;$B227&amp;"!V2:V700"),MATCH($A227,INDIRECT(""&amp;$B227&amp;"!B2:B700"),0))=0,"",INDEX(INDIRECT(""&amp;$B227&amp;"!V2:V700"),MATCH($A227,INDIRECT(""&amp;$B227&amp;"!B2:B700"),0)))</f>
        <v/>
      </c>
    </row>
    <row r="228" spans="1:15" x14ac:dyDescent="0.25">
      <c r="A228" s="195" t="s">
        <v>819</v>
      </c>
      <c r="B228" s="195" t="s">
        <v>52</v>
      </c>
      <c r="C228" s="199">
        <f ca="1">IFERROR(INDEX(BYEs!$B$2:$B$33,MATCH(D228,BYEs!$A$2:$A$33,0)),"N/A")</f>
        <v>11</v>
      </c>
      <c r="D228" s="195" t="str">
        <f ca="1">INDEX(INDIRECT(""&amp;B228&amp;"!E2:E700"),MATCH(A228,INDIRECT(""&amp;B228&amp;"!B2:B700"),0))</f>
        <v>SF</v>
      </c>
      <c r="E228" s="194" t="str">
        <f ca="1">INDEX(INDIRECT(""&amp;$B228&amp;"!Z2:Z709"),MATCH($A228,INDIRECT(""&amp;$B228&amp;"!B2:B709"),0))</f>
        <v>K2</v>
      </c>
      <c r="F228" s="196">
        <f ca="1">IF(LeagueInfo!$H$7="Starter/Bench",INDEX(INDIRECT(""&amp;B228&amp;"!S2:S709"),MATCH(A228,INDIRECT(""&amp;B228&amp;"!B2:B709"),0)),INDEX(INDIRECT(""&amp;B228&amp;"!AA2:AA709"),MATCH(A228,INDIRECT(""&amp;B228&amp;"!B2:B709"),0)))</f>
        <v>0</v>
      </c>
      <c r="G228" s="200">
        <f>IF(H228&gt;0,F228-H228,0)</f>
        <v>0</v>
      </c>
      <c r="H228" s="198"/>
      <c r="I228" s="200">
        <f ca="1">F228*$A$2</f>
        <v>0</v>
      </c>
      <c r="J228" s="197" t="s">
        <v>80</v>
      </c>
      <c r="K228" s="197">
        <f>IF(LeagueInfo!$F$7="Yahoo",IFERROR(INDEX(DefaultAuctionValues!$B$2:$B$359,MATCH(A228,DefaultAuctionValues!$A$2:$A$359,0)),0),IF(LeagueInfo!$F$7="ESPN",IFERROR(INDEX(DefaultAuctionValues!$C$2:$C$359,MATCH(A228,DefaultAuctionValues!$A$2:$A$359,0)),0),IF(LeagueInfo!$F$7="FantasyPros",IFERROR(INDEX(DefaultAuctionValues!$D$2:$D$359,MATCH(A228,DefaultAuctionValues!$A$2:$A$359,0)),0))))</f>
        <v>0</v>
      </c>
      <c r="L228" s="201">
        <f ca="1">I228-K228</f>
        <v>0</v>
      </c>
      <c r="M228" s="213"/>
      <c r="N228" s="208">
        <f ca="1">INDEX(INDIRECT(""&amp;$B228&amp;"!y2:y709"),MATCH($A228,INDIRECT(""&amp;$B228&amp;"!B2:B709"),0))</f>
        <v>-19.200000000000003</v>
      </c>
      <c r="O228" s="217" t="str">
        <f ca="1">IF(INDEX(INDIRECT(""&amp;$B228&amp;"!V2:V700"),MATCH($A228,INDIRECT(""&amp;$B228&amp;"!B2:B700"),0))=0,"",INDEX(INDIRECT(""&amp;$B228&amp;"!V2:V700"),MATCH($A228,INDIRECT(""&amp;$B228&amp;"!B2:B700"),0)))</f>
        <v/>
      </c>
    </row>
    <row r="229" spans="1:15" x14ac:dyDescent="0.25">
      <c r="A229" s="195" t="s">
        <v>821</v>
      </c>
      <c r="B229" s="195" t="s">
        <v>52</v>
      </c>
      <c r="C229" s="199">
        <f ca="1">IFERROR(INDEX(BYEs!$B$2:$B$33,MATCH(D229,BYEs!$A$2:$A$33,0)),"N/A")</f>
        <v>11</v>
      </c>
      <c r="D229" s="195" t="str">
        <f ca="1">INDEX(INDIRECT(""&amp;B229&amp;"!E2:E700"),MATCH(A229,INDIRECT(""&amp;B229&amp;"!B2:B700"),0))</f>
        <v>MIA</v>
      </c>
      <c r="E229" s="194" t="str">
        <f ca="1">INDEX(INDIRECT(""&amp;$B229&amp;"!Z2:Z709"),MATCH($A229,INDIRECT(""&amp;$B229&amp;"!B2:B709"),0))</f>
        <v>K2</v>
      </c>
      <c r="F229" s="196">
        <f ca="1">IF(LeagueInfo!$H$7="Starter/Bench",INDEX(INDIRECT(""&amp;B229&amp;"!S2:S709"),MATCH(A229,INDIRECT(""&amp;B229&amp;"!B2:B709"),0)),INDEX(INDIRECT(""&amp;B229&amp;"!AA2:AA709"),MATCH(A229,INDIRECT(""&amp;B229&amp;"!B2:B709"),0)))</f>
        <v>0</v>
      </c>
      <c r="G229" s="200">
        <f>IF(H229&gt;0,F229-H229,0)</f>
        <v>0</v>
      </c>
      <c r="H229" s="198"/>
      <c r="I229" s="200">
        <f ca="1">F229*$A$2</f>
        <v>0</v>
      </c>
      <c r="J229" s="197" t="s">
        <v>80</v>
      </c>
      <c r="K229" s="197">
        <f>IF(LeagueInfo!$F$7="Yahoo",IFERROR(INDEX(DefaultAuctionValues!$B$2:$B$359,MATCH(A229,DefaultAuctionValues!$A$2:$A$359,0)),0),IF(LeagueInfo!$F$7="ESPN",IFERROR(INDEX(DefaultAuctionValues!$C$2:$C$359,MATCH(A229,DefaultAuctionValues!$A$2:$A$359,0)),0),IF(LeagueInfo!$F$7="FantasyPros",IFERROR(INDEX(DefaultAuctionValues!$D$2:$D$359,MATCH(A229,DefaultAuctionValues!$A$2:$A$359,0)),0))))</f>
        <v>0</v>
      </c>
      <c r="L229" s="201">
        <f ca="1">I229-K229</f>
        <v>0</v>
      </c>
      <c r="M229" s="213"/>
      <c r="N229" s="208">
        <f ca="1">INDEX(INDIRECT(""&amp;$B229&amp;"!y2:y709"),MATCH($A229,INDIRECT(""&amp;$B229&amp;"!B2:B709"),0))</f>
        <v>-20.5</v>
      </c>
      <c r="O229" s="217" t="str">
        <f ca="1">IF(INDEX(INDIRECT(""&amp;$B229&amp;"!V2:V700"),MATCH($A229,INDIRECT(""&amp;$B229&amp;"!B2:B700"),0))=0,"",INDEX(INDIRECT(""&amp;$B229&amp;"!V2:V700"),MATCH($A229,INDIRECT(""&amp;$B229&amp;"!B2:B700"),0)))</f>
        <v/>
      </c>
    </row>
    <row r="230" spans="1:15" x14ac:dyDescent="0.25">
      <c r="A230" s="195" t="s">
        <v>820</v>
      </c>
      <c r="B230" s="195" t="s">
        <v>52</v>
      </c>
      <c r="C230" s="199">
        <f ca="1">IFERROR(INDEX(BYEs!$B$2:$B$33,MATCH(D230,BYEs!$A$2:$A$33,0)),"N/A")</f>
        <v>9</v>
      </c>
      <c r="D230" s="195" t="str">
        <f ca="1">INDEX(INDIRECT(""&amp;B230&amp;"!E2:E700"),MATCH(A230,INDIRECT(""&amp;B230&amp;"!B2:B700"),0))</f>
        <v>CHI</v>
      </c>
      <c r="E230" s="194" t="str">
        <f ca="1">INDEX(INDIRECT(""&amp;$B230&amp;"!Z2:Z709"),MATCH($A230,INDIRECT(""&amp;$B230&amp;"!B2:B709"),0))</f>
        <v>K2</v>
      </c>
      <c r="F230" s="196">
        <f ca="1">IF(LeagueInfo!$H$7="Starter/Bench",INDEX(INDIRECT(""&amp;B230&amp;"!S2:S709"),MATCH(A230,INDIRECT(""&amp;B230&amp;"!B2:B709"),0)),INDEX(INDIRECT(""&amp;B230&amp;"!AA2:AA709"),MATCH(A230,INDIRECT(""&amp;B230&amp;"!B2:B709"),0)))</f>
        <v>0</v>
      </c>
      <c r="G230" s="200">
        <f>IF(H230&gt;0,F230-H230,0)</f>
        <v>0</v>
      </c>
      <c r="H230" s="198"/>
      <c r="I230" s="200">
        <f ca="1">F230*$A$2</f>
        <v>0</v>
      </c>
      <c r="J230" s="197" t="s">
        <v>80</v>
      </c>
      <c r="K230" s="197">
        <f>IF(LeagueInfo!$F$7="Yahoo",IFERROR(INDEX(DefaultAuctionValues!$B$2:$B$359,MATCH(A230,DefaultAuctionValues!$A$2:$A$359,0)),0),IF(LeagueInfo!$F$7="ESPN",IFERROR(INDEX(DefaultAuctionValues!$C$2:$C$359,MATCH(A230,DefaultAuctionValues!$A$2:$A$359,0)),0),IF(LeagueInfo!$F$7="FantasyPros",IFERROR(INDEX(DefaultAuctionValues!$D$2:$D$359,MATCH(A230,DefaultAuctionValues!$A$2:$A$359,0)),0))))</f>
        <v>0</v>
      </c>
      <c r="L230" s="201">
        <f ca="1">I230-K230</f>
        <v>0</v>
      </c>
      <c r="M230" s="213"/>
      <c r="N230" s="208">
        <f ca="1">INDEX(INDIRECT(""&amp;$B230&amp;"!y2:y709"),MATCH($A230,INDIRECT(""&amp;$B230&amp;"!B2:B709"),0))</f>
        <v>-20.599999999999994</v>
      </c>
      <c r="O230" s="217" t="str">
        <f ca="1">IF(INDEX(INDIRECT(""&amp;$B230&amp;"!V2:V700"),MATCH($A230,INDIRECT(""&amp;$B230&amp;"!B2:B700"),0))=0,"",INDEX(INDIRECT(""&amp;$B230&amp;"!V2:V700"),MATCH($A230,INDIRECT(""&amp;$B230&amp;"!B2:B700"),0)))</f>
        <v/>
      </c>
    </row>
    <row r="231" spans="1:15" x14ac:dyDescent="0.25">
      <c r="A231" s="195" t="s">
        <v>829</v>
      </c>
      <c r="B231" s="195" t="s">
        <v>52</v>
      </c>
      <c r="C231" s="199">
        <f ca="1">IFERROR(INDEX(BYEs!$B$2:$B$33,MATCH(D231,BYEs!$A$2:$A$33,0)),"N/A")</f>
        <v>8</v>
      </c>
      <c r="D231" s="195" t="str">
        <f ca="1">INDEX(INDIRECT(""&amp;B231&amp;"!E2:E700"),MATCH(A231,INDIRECT(""&amp;B231&amp;"!B2:B700"),0))</f>
        <v>NYG</v>
      </c>
      <c r="E231" s="194" t="str">
        <f ca="1">INDEX(INDIRECT(""&amp;$B231&amp;"!Z2:Z709"),MATCH($A231,INDIRECT(""&amp;$B231&amp;"!B2:B709"),0))</f>
        <v>K2</v>
      </c>
      <c r="F231" s="196">
        <f ca="1">IF(LeagueInfo!$H$7="Starter/Bench",INDEX(INDIRECT(""&amp;B231&amp;"!S2:S709"),MATCH(A231,INDIRECT(""&amp;B231&amp;"!B2:B709"),0)),INDEX(INDIRECT(""&amp;B231&amp;"!AA2:AA709"),MATCH(A231,INDIRECT(""&amp;B231&amp;"!B2:B709"),0)))</f>
        <v>0</v>
      </c>
      <c r="G231" s="200">
        <f>IF(H231&gt;0,F231-H231,0)</f>
        <v>0</v>
      </c>
      <c r="H231" s="198"/>
      <c r="I231" s="200">
        <f ca="1">F231*$A$2</f>
        <v>0</v>
      </c>
      <c r="J231" s="197" t="s">
        <v>80</v>
      </c>
      <c r="K231" s="197">
        <f>IF(LeagueInfo!$F$7="Yahoo",IFERROR(INDEX(DefaultAuctionValues!$B$2:$B$359,MATCH(A231,DefaultAuctionValues!$A$2:$A$359,0)),0),IF(LeagueInfo!$F$7="ESPN",IFERROR(INDEX(DefaultAuctionValues!$C$2:$C$359,MATCH(A231,DefaultAuctionValues!$A$2:$A$359,0)),0),IF(LeagueInfo!$F$7="FantasyPros",IFERROR(INDEX(DefaultAuctionValues!$D$2:$D$359,MATCH(A231,DefaultAuctionValues!$A$2:$A$359,0)),0))))</f>
        <v>0</v>
      </c>
      <c r="L231" s="201">
        <f ca="1">I231-K231</f>
        <v>0</v>
      </c>
      <c r="M231" s="213"/>
      <c r="N231" s="208">
        <f ca="1">INDEX(INDIRECT(""&amp;$B231&amp;"!y2:y709"),MATCH($A231,INDIRECT(""&amp;$B231&amp;"!B2:B709"),0))</f>
        <v>-20.900000000000006</v>
      </c>
      <c r="O231" s="217" t="str">
        <f ca="1">IF(INDEX(INDIRECT(""&amp;$B231&amp;"!V2:V700"),MATCH($A231,INDIRECT(""&amp;$B231&amp;"!B2:B700"),0))=0,"",INDEX(INDIRECT(""&amp;$B231&amp;"!V2:V700"),MATCH($A231,INDIRECT(""&amp;$B231&amp;"!B2:B700"),0)))</f>
        <v/>
      </c>
    </row>
    <row r="232" spans="1:15" x14ac:dyDescent="0.25">
      <c r="A232" s="195" t="s">
        <v>311</v>
      </c>
      <c r="B232" s="195" t="s">
        <v>52</v>
      </c>
      <c r="C232" s="199">
        <f ca="1">IFERROR(INDEX(BYEs!$B$2:$B$33,MATCH(D232,BYEs!$A$2:$A$33,0)),"N/A")</f>
        <v>11</v>
      </c>
      <c r="D232" s="195" t="str">
        <f ca="1">INDEX(INDIRECT(""&amp;B232&amp;"!E2:E700"),MATCH(A232,INDIRECT(""&amp;B232&amp;"!B2:B700"),0))</f>
        <v>NYJ</v>
      </c>
      <c r="E232" s="194" t="str">
        <f ca="1">INDEX(INDIRECT(""&amp;$B232&amp;"!Z2:Z709"),MATCH($A232,INDIRECT(""&amp;$B232&amp;"!B2:B709"),0))</f>
        <v>K2</v>
      </c>
      <c r="F232" s="196">
        <f ca="1">IF(LeagueInfo!$H$7="Starter/Bench",INDEX(INDIRECT(""&amp;B232&amp;"!S2:S709"),MATCH(A232,INDIRECT(""&amp;B232&amp;"!B2:B709"),0)),INDEX(INDIRECT(""&amp;B232&amp;"!AA2:AA709"),MATCH(A232,INDIRECT(""&amp;B232&amp;"!B2:B709"),0)))</f>
        <v>0</v>
      </c>
      <c r="G232" s="200">
        <f>IF(H232&gt;0,F232-H232,0)</f>
        <v>0</v>
      </c>
      <c r="H232" s="198"/>
      <c r="I232" s="200">
        <f ca="1">F232*$A$2</f>
        <v>0</v>
      </c>
      <c r="J232" s="197" t="s">
        <v>80</v>
      </c>
      <c r="K232" s="197">
        <f>IF(LeagueInfo!$F$7="Yahoo",IFERROR(INDEX(DefaultAuctionValues!$B$2:$B$359,MATCH(A232,DefaultAuctionValues!$A$2:$A$359,0)),0),IF(LeagueInfo!$F$7="ESPN",IFERROR(INDEX(DefaultAuctionValues!$C$2:$C$359,MATCH(A232,DefaultAuctionValues!$A$2:$A$359,0)),0),IF(LeagueInfo!$F$7="FantasyPros",IFERROR(INDEX(DefaultAuctionValues!$D$2:$D$359,MATCH(A232,DefaultAuctionValues!$A$2:$A$359,0)),0))))</f>
        <v>1</v>
      </c>
      <c r="L232" s="201">
        <f ca="1">I232-K232</f>
        <v>-1</v>
      </c>
      <c r="M232" s="213"/>
      <c r="N232" s="208">
        <f ca="1">INDEX(INDIRECT(""&amp;$B232&amp;"!y2:y709"),MATCH($A232,INDIRECT(""&amp;$B232&amp;"!B2:B709"),0))</f>
        <v>-22.5</v>
      </c>
      <c r="O232" s="217" t="str">
        <f ca="1">IF(INDEX(INDIRECT(""&amp;$B232&amp;"!V2:V700"),MATCH($A232,INDIRECT(""&amp;$B232&amp;"!B2:B700"),0))=0,"",INDEX(INDIRECT(""&amp;$B232&amp;"!V2:V700"),MATCH($A232,INDIRECT(""&amp;$B232&amp;"!B2:B700"),0)))</f>
        <v/>
      </c>
    </row>
    <row r="233" spans="1:15" x14ac:dyDescent="0.25">
      <c r="A233" s="195" t="s">
        <v>822</v>
      </c>
      <c r="B233" s="195" t="s">
        <v>52</v>
      </c>
      <c r="C233" s="199">
        <f ca="1">IFERROR(INDEX(BYEs!$B$2:$B$33,MATCH(D233,BYEs!$A$2:$A$33,0)),"N/A")</f>
        <v>8</v>
      </c>
      <c r="D233" s="195" t="str">
        <f ca="1">INDEX(INDIRECT(""&amp;B233&amp;"!E2:E700"),MATCH(A233,INDIRECT(""&amp;B233&amp;"!B2:B700"),0))</f>
        <v>LAR</v>
      </c>
      <c r="E233" s="194" t="str">
        <f ca="1">INDEX(INDIRECT(""&amp;$B233&amp;"!Z2:Z709"),MATCH($A233,INDIRECT(""&amp;$B233&amp;"!B2:B709"),0))</f>
        <v>K2</v>
      </c>
      <c r="F233" s="196">
        <f ca="1">IF(LeagueInfo!$H$7="Starter/Bench",INDEX(INDIRECT(""&amp;B233&amp;"!S2:S709"),MATCH(A233,INDIRECT(""&amp;B233&amp;"!B2:B709"),0)),INDEX(INDIRECT(""&amp;B233&amp;"!AA2:AA709"),MATCH(A233,INDIRECT(""&amp;B233&amp;"!B2:B709"),0)))</f>
        <v>0</v>
      </c>
      <c r="G233" s="200">
        <f>IF(H233&gt;0,F233-H233,0)</f>
        <v>0</v>
      </c>
      <c r="H233" s="198"/>
      <c r="I233" s="200">
        <f ca="1">F233*$A$2</f>
        <v>0</v>
      </c>
      <c r="J233" s="197" t="s">
        <v>80</v>
      </c>
      <c r="K233" s="197">
        <f>IF(LeagueInfo!$F$7="Yahoo",IFERROR(INDEX(DefaultAuctionValues!$B$2:$B$359,MATCH(A233,DefaultAuctionValues!$A$2:$A$359,0)),0),IF(LeagueInfo!$F$7="ESPN",IFERROR(INDEX(DefaultAuctionValues!$C$2:$C$359,MATCH(A233,DefaultAuctionValues!$A$2:$A$359,0)),0),IF(LeagueInfo!$F$7="FantasyPros",IFERROR(INDEX(DefaultAuctionValues!$D$2:$D$359,MATCH(A233,DefaultAuctionValues!$A$2:$A$359,0)),0))))</f>
        <v>0</v>
      </c>
      <c r="L233" s="201">
        <f ca="1">I233-K233</f>
        <v>0</v>
      </c>
      <c r="M233" s="213"/>
      <c r="N233" s="208">
        <f ca="1">INDEX(INDIRECT(""&amp;$B233&amp;"!y2:y709"),MATCH($A233,INDIRECT(""&amp;$B233&amp;"!B2:B709"),0))</f>
        <v>-25.200000000000003</v>
      </c>
      <c r="O233" s="217" t="str">
        <f ca="1">IF(INDEX(INDIRECT(""&amp;$B233&amp;"!V2:V700"),MATCH($A233,INDIRECT(""&amp;$B233&amp;"!B2:B700"),0))=0,"",INDEX(INDIRECT(""&amp;$B233&amp;"!V2:V700"),MATCH($A233,INDIRECT(""&amp;$B233&amp;"!B2:B700"),0)))</f>
        <v/>
      </c>
    </row>
    <row r="234" spans="1:15" x14ac:dyDescent="0.25">
      <c r="A234" s="195" t="s">
        <v>823</v>
      </c>
      <c r="B234" s="195" t="s">
        <v>52</v>
      </c>
      <c r="C234" s="199">
        <f ca="1">IFERROR(INDEX(BYEs!$B$2:$B$33,MATCH(D234,BYEs!$A$2:$A$33,0)),"N/A")</f>
        <v>9</v>
      </c>
      <c r="D234" s="195" t="str">
        <f ca="1">INDEX(INDIRECT(""&amp;B234&amp;"!E2:E700"),MATCH(A234,INDIRECT(""&amp;B234&amp;"!B2:B700"),0))</f>
        <v>CLE</v>
      </c>
      <c r="E234" s="194" t="str">
        <f ca="1">INDEX(INDIRECT(""&amp;$B234&amp;"!Z2:Z709"),MATCH($A234,INDIRECT(""&amp;$B234&amp;"!B2:B709"),0))</f>
        <v>K2</v>
      </c>
      <c r="F234" s="196">
        <f ca="1">IF(LeagueInfo!$H$7="Starter/Bench",INDEX(INDIRECT(""&amp;B234&amp;"!S2:S709"),MATCH(A234,INDIRECT(""&amp;B234&amp;"!B2:B709"),0)),INDEX(INDIRECT(""&amp;B234&amp;"!AA2:AA709"),MATCH(A234,INDIRECT(""&amp;B234&amp;"!B2:B709"),0)))</f>
        <v>0</v>
      </c>
      <c r="G234" s="200">
        <f>IF(H234&gt;0,F234-H234,0)</f>
        <v>0</v>
      </c>
      <c r="H234" s="198"/>
      <c r="I234" s="200">
        <f ca="1">F234*$A$2</f>
        <v>0</v>
      </c>
      <c r="J234" s="197" t="s">
        <v>80</v>
      </c>
      <c r="K234" s="197">
        <f>IF(LeagueInfo!$F$7="Yahoo",IFERROR(INDEX(DefaultAuctionValues!$B$2:$B$359,MATCH(A234,DefaultAuctionValues!$A$2:$A$359,0)),0),IF(LeagueInfo!$F$7="ESPN",IFERROR(INDEX(DefaultAuctionValues!$C$2:$C$359,MATCH(A234,DefaultAuctionValues!$A$2:$A$359,0)),0),IF(LeagueInfo!$F$7="FantasyPros",IFERROR(INDEX(DefaultAuctionValues!$D$2:$D$359,MATCH(A234,DefaultAuctionValues!$A$2:$A$359,0)),0))))</f>
        <v>0</v>
      </c>
      <c r="L234" s="201">
        <f ca="1">I234-K234</f>
        <v>0</v>
      </c>
      <c r="M234" s="213"/>
      <c r="N234" s="208">
        <f ca="1">INDEX(INDIRECT(""&amp;$B234&amp;"!y2:y709"),MATCH($A234,INDIRECT(""&amp;$B234&amp;"!B2:B709"),0))</f>
        <v>-26.599999999999994</v>
      </c>
      <c r="O234" s="217" t="str">
        <f ca="1">IF(INDEX(INDIRECT(""&amp;$B234&amp;"!V2:V700"),MATCH($A234,INDIRECT(""&amp;$B234&amp;"!B2:B700"),0))=0,"",INDEX(INDIRECT(""&amp;$B234&amp;"!V2:V700"),MATCH($A234,INDIRECT(""&amp;$B234&amp;"!B2:B700"),0)))</f>
        <v/>
      </c>
    </row>
    <row r="235" spans="1:15" x14ac:dyDescent="0.25">
      <c r="A235" s="195" t="s">
        <v>825</v>
      </c>
      <c r="B235" s="195" t="s">
        <v>52</v>
      </c>
      <c r="C235" s="199">
        <f ca="1">IFERROR(INDEX(BYEs!$B$2:$B$33,MATCH(D235,BYEs!$A$2:$A$33,0)),"N/A")</f>
        <v>6</v>
      </c>
      <c r="D235" s="195" t="str">
        <f ca="1">INDEX(INDIRECT(""&amp;B235&amp;"!E2:E700"),MATCH(A235,INDIRECT(""&amp;B235&amp;"!B2:B700"),0))</f>
        <v>CIN</v>
      </c>
      <c r="E235" s="194" t="str">
        <f ca="1">INDEX(INDIRECT(""&amp;$B235&amp;"!Z2:Z709"),MATCH($A235,INDIRECT(""&amp;$B235&amp;"!B2:B709"),0))</f>
        <v>K3</v>
      </c>
      <c r="F235" s="196">
        <f ca="1">IF(LeagueInfo!$H$7="Starter/Bench",INDEX(INDIRECT(""&amp;B235&amp;"!S2:S709"),MATCH(A235,INDIRECT(""&amp;B235&amp;"!B2:B709"),0)),INDEX(INDIRECT(""&amp;B235&amp;"!AA2:AA709"),MATCH(A235,INDIRECT(""&amp;B235&amp;"!B2:B709"),0)))</f>
        <v>0</v>
      </c>
      <c r="G235" s="200">
        <f>IF(H235&gt;0,F235-H235,0)</f>
        <v>0</v>
      </c>
      <c r="H235" s="198"/>
      <c r="I235" s="200">
        <f ca="1">F235*$A$2</f>
        <v>0</v>
      </c>
      <c r="J235" s="197" t="s">
        <v>80</v>
      </c>
      <c r="K235" s="197">
        <f>IF(LeagueInfo!$F$7="Yahoo",IFERROR(INDEX(DefaultAuctionValues!$B$2:$B$359,MATCH(A235,DefaultAuctionValues!$A$2:$A$359,0)),0),IF(LeagueInfo!$F$7="ESPN",IFERROR(INDEX(DefaultAuctionValues!$C$2:$C$359,MATCH(A235,DefaultAuctionValues!$A$2:$A$359,0)),0),IF(LeagueInfo!$F$7="FantasyPros",IFERROR(INDEX(DefaultAuctionValues!$D$2:$D$359,MATCH(A235,DefaultAuctionValues!$A$2:$A$359,0)),0))))</f>
        <v>0</v>
      </c>
      <c r="L235" s="201">
        <f ca="1">I235-K235</f>
        <v>0</v>
      </c>
      <c r="M235" s="213"/>
      <c r="N235" s="208">
        <f ca="1">INDEX(INDIRECT(""&amp;$B235&amp;"!y2:y709"),MATCH($A235,INDIRECT(""&amp;$B235&amp;"!B2:B709"),0))</f>
        <v>-34.099999999999994</v>
      </c>
      <c r="O235" s="217" t="str">
        <f ca="1">IF(INDEX(INDIRECT(""&amp;$B235&amp;"!V2:V700"),MATCH($A235,INDIRECT(""&amp;$B235&amp;"!B2:B700"),0))=0,"",INDEX(INDIRECT(""&amp;$B235&amp;"!V2:V700"),MATCH($A235,INDIRECT(""&amp;$B235&amp;"!B2:B700"),0)))</f>
        <v/>
      </c>
    </row>
    <row r="236" spans="1:15" x14ac:dyDescent="0.25">
      <c r="A236" s="195" t="s">
        <v>824</v>
      </c>
      <c r="B236" s="195" t="s">
        <v>52</v>
      </c>
      <c r="C236" s="199">
        <f ca="1">IFERROR(INDEX(BYEs!$B$2:$B$33,MATCH(D236,BYEs!$A$2:$A$33,0)),"N/A")</f>
        <v>8</v>
      </c>
      <c r="D236" s="195" t="str">
        <f ca="1">INDEX(INDIRECT(""&amp;B236&amp;"!E2:E700"),MATCH(A236,INDIRECT(""&amp;B236&amp;"!B2:B700"),0))</f>
        <v>NYG</v>
      </c>
      <c r="E236" s="194" t="str">
        <f ca="1">INDEX(INDIRECT(""&amp;$B236&amp;"!Z2:Z709"),MATCH($A236,INDIRECT(""&amp;$B236&amp;"!B2:B709"),0))</f>
        <v>K3</v>
      </c>
      <c r="F236" s="196">
        <f ca="1">IF(LeagueInfo!$H$7="Starter/Bench",INDEX(INDIRECT(""&amp;B236&amp;"!S2:S709"),MATCH(A236,INDIRECT(""&amp;B236&amp;"!B2:B709"),0)),INDEX(INDIRECT(""&amp;B236&amp;"!AA2:AA709"),MATCH(A236,INDIRECT(""&amp;B236&amp;"!B2:B709"),0)))</f>
        <v>0</v>
      </c>
      <c r="G236" s="200">
        <f>IF(H236&gt;0,F236-H236,0)</f>
        <v>0</v>
      </c>
      <c r="H236" s="198"/>
      <c r="I236" s="200">
        <f ca="1">F236*$A$2</f>
        <v>0</v>
      </c>
      <c r="J236" s="197" t="s">
        <v>80</v>
      </c>
      <c r="K236" s="197">
        <f>IF(LeagueInfo!$F$7="Yahoo",IFERROR(INDEX(DefaultAuctionValues!$B$2:$B$359,MATCH(A236,DefaultAuctionValues!$A$2:$A$359,0)),0),IF(LeagueInfo!$F$7="ESPN",IFERROR(INDEX(DefaultAuctionValues!$C$2:$C$359,MATCH(A236,DefaultAuctionValues!$A$2:$A$359,0)),0),IF(LeagueInfo!$F$7="FantasyPros",IFERROR(INDEX(DefaultAuctionValues!$D$2:$D$359,MATCH(A236,DefaultAuctionValues!$A$2:$A$359,0)),0))))</f>
        <v>0</v>
      </c>
      <c r="L236" s="201">
        <f ca="1">I236-K236</f>
        <v>0</v>
      </c>
      <c r="M236" s="213"/>
      <c r="N236" s="208">
        <f ca="1">INDEX(INDIRECT(""&amp;$B236&amp;"!y2:y709"),MATCH($A236,INDIRECT(""&amp;$B236&amp;"!B2:B709"),0))</f>
        <v>-37.299999999999997</v>
      </c>
      <c r="O236" s="217" t="str">
        <f ca="1">IF(INDEX(INDIRECT(""&amp;$B236&amp;"!V2:V700"),MATCH($A236,INDIRECT(""&amp;$B236&amp;"!B2:B700"),0))=0,"",INDEX(INDIRECT(""&amp;$B236&amp;"!V2:V700"),MATCH($A236,INDIRECT(""&amp;$B236&amp;"!B2:B700"),0)))</f>
        <v/>
      </c>
    </row>
    <row r="237" spans="1:15" x14ac:dyDescent="0.25">
      <c r="A237" s="195" t="s">
        <v>827</v>
      </c>
      <c r="B237" s="195" t="s">
        <v>52</v>
      </c>
      <c r="C237" s="199">
        <f ca="1">IFERROR(INDEX(BYEs!$B$2:$B$33,MATCH(D237,BYEs!$A$2:$A$33,0)),"N/A")</f>
        <v>9</v>
      </c>
      <c r="D237" s="195" t="str">
        <f ca="1">INDEX(INDIRECT(""&amp;B237&amp;"!E2:E700"),MATCH(A237,INDIRECT(""&amp;B237&amp;"!B2:B700"),0))</f>
        <v>CLE</v>
      </c>
      <c r="E237" s="194" t="str">
        <f ca="1">INDEX(INDIRECT(""&amp;$B237&amp;"!Z2:Z709"),MATCH($A237,INDIRECT(""&amp;$B237&amp;"!B2:B709"),0))</f>
        <v>K3</v>
      </c>
      <c r="F237" s="196">
        <f ca="1">IF(LeagueInfo!$H$7="Starter/Bench",INDEX(INDIRECT(""&amp;B237&amp;"!S2:S709"),MATCH(A237,INDIRECT(""&amp;B237&amp;"!B2:B709"),0)),INDEX(INDIRECT(""&amp;B237&amp;"!AA2:AA709"),MATCH(A237,INDIRECT(""&amp;B237&amp;"!B2:B709"),0)))</f>
        <v>0</v>
      </c>
      <c r="G237" s="200">
        <f>IF(H237&gt;0,F237-H237,0)</f>
        <v>0</v>
      </c>
      <c r="H237" s="198"/>
      <c r="I237" s="200">
        <f ca="1">F237*$A$2</f>
        <v>0</v>
      </c>
      <c r="J237" s="197" t="s">
        <v>80</v>
      </c>
      <c r="K237" s="197">
        <f>IF(LeagueInfo!$F$7="Yahoo",IFERROR(INDEX(DefaultAuctionValues!$B$2:$B$359,MATCH(A237,DefaultAuctionValues!$A$2:$A$359,0)),0),IF(LeagueInfo!$F$7="ESPN",IFERROR(INDEX(DefaultAuctionValues!$C$2:$C$359,MATCH(A237,DefaultAuctionValues!$A$2:$A$359,0)),0),IF(LeagueInfo!$F$7="FantasyPros",IFERROR(INDEX(DefaultAuctionValues!$D$2:$D$359,MATCH(A237,DefaultAuctionValues!$A$2:$A$359,0)),0))))</f>
        <v>0</v>
      </c>
      <c r="L237" s="201">
        <f ca="1">I237-K237</f>
        <v>0</v>
      </c>
      <c r="M237" s="213"/>
      <c r="N237" s="208">
        <f ca="1">INDEX(INDIRECT(""&amp;$B237&amp;"!y2:y709"),MATCH($A237,INDIRECT(""&amp;$B237&amp;"!B2:B709"),0))</f>
        <v>-47.2</v>
      </c>
      <c r="O237" s="217" t="str">
        <f ca="1">IF(INDEX(INDIRECT(""&amp;$B237&amp;"!V2:V700"),MATCH($A237,INDIRECT(""&amp;$B237&amp;"!B2:B700"),0))=0,"",INDEX(INDIRECT(""&amp;$B237&amp;"!V2:V700"),MATCH($A237,INDIRECT(""&amp;$B237&amp;"!B2:B700"),0)))</f>
        <v/>
      </c>
    </row>
    <row r="238" spans="1:15" x14ac:dyDescent="0.25">
      <c r="A238" s="195" t="s">
        <v>828</v>
      </c>
      <c r="B238" s="195" t="s">
        <v>52</v>
      </c>
      <c r="C238" s="199">
        <f ca="1">IFERROR(INDEX(BYEs!$B$2:$B$33,MATCH(D238,BYEs!$A$2:$A$33,0)),"N/A")</f>
        <v>11</v>
      </c>
      <c r="D238" s="195" t="str">
        <f ca="1">INDEX(INDIRECT(""&amp;B238&amp;"!E2:E700"),MATCH(A238,INDIRECT(""&amp;B238&amp;"!B2:B700"),0))</f>
        <v>CAR</v>
      </c>
      <c r="E238" s="194" t="str">
        <f ca="1">INDEX(INDIRECT(""&amp;$B238&amp;"!Z2:Z709"),MATCH($A238,INDIRECT(""&amp;$B238&amp;"!B2:B709"),0))</f>
        <v>K3</v>
      </c>
      <c r="F238" s="196">
        <f ca="1">IF(LeagueInfo!$H$7="Starter/Bench",INDEX(INDIRECT(""&amp;B238&amp;"!S2:S709"),MATCH(A238,INDIRECT(""&amp;B238&amp;"!B2:B709"),0)),INDEX(INDIRECT(""&amp;B238&amp;"!AA2:AA709"),MATCH(A238,INDIRECT(""&amp;B238&amp;"!B2:B709"),0)))</f>
        <v>0</v>
      </c>
      <c r="G238" s="200">
        <f>IF(H238&gt;0,F238-H238,0)</f>
        <v>0</v>
      </c>
      <c r="H238" s="198"/>
      <c r="I238" s="200">
        <f ca="1">F238*$A$2</f>
        <v>0</v>
      </c>
      <c r="J238" s="197" t="s">
        <v>80</v>
      </c>
      <c r="K238" s="197">
        <f>IF(LeagueInfo!$F$7="Yahoo",IFERROR(INDEX(DefaultAuctionValues!$B$2:$B$359,MATCH(A238,DefaultAuctionValues!$A$2:$A$359,0)),0),IF(LeagueInfo!$F$7="ESPN",IFERROR(INDEX(DefaultAuctionValues!$C$2:$C$359,MATCH(A238,DefaultAuctionValues!$A$2:$A$359,0)),0),IF(LeagueInfo!$F$7="FantasyPros",IFERROR(INDEX(DefaultAuctionValues!$D$2:$D$359,MATCH(A238,DefaultAuctionValues!$A$2:$A$359,0)),0))))</f>
        <v>0</v>
      </c>
      <c r="L238" s="201">
        <f ca="1">I238-K238</f>
        <v>0</v>
      </c>
      <c r="M238" s="213"/>
      <c r="N238" s="208">
        <f ca="1">INDEX(INDIRECT(""&amp;$B238&amp;"!y2:y709"),MATCH($A238,INDIRECT(""&amp;$B238&amp;"!B2:B709"),0))</f>
        <v>-58.8</v>
      </c>
      <c r="O238" s="217" t="str">
        <f ca="1">IF(INDEX(INDIRECT(""&amp;$B238&amp;"!V2:V700"),MATCH($A238,INDIRECT(""&amp;$B238&amp;"!B2:B700"),0))=0,"",INDEX(INDIRECT(""&amp;$B238&amp;"!V2:V700"),MATCH($A238,INDIRECT(""&amp;$B238&amp;"!B2:B700"),0)))</f>
        <v/>
      </c>
    </row>
    <row r="239" spans="1:15" x14ac:dyDescent="0.25">
      <c r="A239" s="195" t="s">
        <v>554</v>
      </c>
      <c r="B239" s="195" t="s">
        <v>39</v>
      </c>
      <c r="C239" s="199">
        <f ca="1">IFERROR(INDEX(BYEs!$B$2:$B$33,MATCH(D239,BYEs!$A$2:$A$33,0)),"N/A")</f>
        <v>11</v>
      </c>
      <c r="D239" s="195" t="str">
        <f ca="1">INDEX(INDIRECT(""&amp;B239&amp;"!E2:E700"),MATCH(A239,INDIRECT(""&amp;B239&amp;"!B2:B700"),0))</f>
        <v>MIA</v>
      </c>
      <c r="E239" s="194" t="str">
        <f ca="1">INDEX(INDIRECT(""&amp;$B239&amp;"!Z2:Z709"),MATCH($A239,INDIRECT(""&amp;$B239&amp;"!B2:B709"),0))</f>
        <v>WR8</v>
      </c>
      <c r="F239" s="196">
        <f ca="1">IF(LeagueInfo!$H$7="Starter/Bench",INDEX(INDIRECT(""&amp;B239&amp;"!S2:S709"),MATCH(A239,INDIRECT(""&amp;B239&amp;"!B2:B709"),0)),INDEX(INDIRECT(""&amp;B239&amp;"!AA2:AA709"),MATCH(A239,INDIRECT(""&amp;B239&amp;"!B2:B709"),0)))</f>
        <v>-6.4663879268290231E-2</v>
      </c>
      <c r="G239" s="200">
        <f>IF(H239&gt;0,F239-H239,0)</f>
        <v>0</v>
      </c>
      <c r="H239" s="198"/>
      <c r="I239" s="200">
        <f ca="1">F239*$A$2</f>
        <v>-6.4663879268290231E-2</v>
      </c>
      <c r="J239" s="197" t="s">
        <v>80</v>
      </c>
      <c r="K239" s="197">
        <f>IF(LeagueInfo!$F$7="Yahoo",IFERROR(INDEX(DefaultAuctionValues!$B$2:$B$359,MATCH(A239,DefaultAuctionValues!$A$2:$A$359,0)),0),IF(LeagueInfo!$F$7="ESPN",IFERROR(INDEX(DefaultAuctionValues!$C$2:$C$359,MATCH(A239,DefaultAuctionValues!$A$2:$A$359,0)),0),IF(LeagueInfo!$F$7="FantasyPros",IFERROR(INDEX(DefaultAuctionValues!$D$2:$D$359,MATCH(A239,DefaultAuctionValues!$A$2:$A$359,0)),0))))</f>
        <v>1</v>
      </c>
      <c r="L239" s="201">
        <f ca="1">I239-K239</f>
        <v>-1.0646638792682903</v>
      </c>
      <c r="M239" s="213"/>
      <c r="N239" s="208">
        <f ca="1">INDEX(INDIRECT(""&amp;$B239&amp;"!y2:y709"),MATCH($A239,INDIRECT(""&amp;$B239&amp;"!B2:B709"),0))</f>
        <v>-0.13500000000000512</v>
      </c>
      <c r="O239" s="217" t="str">
        <f ca="1">IF(INDEX(INDIRECT(""&amp;$B239&amp;"!V2:V700"),MATCH($A239,INDIRECT(""&amp;$B239&amp;"!B2:B700"),0))=0,"",INDEX(INDIRECT(""&amp;$B239&amp;"!V2:V700"),MATCH($A239,INDIRECT(""&amp;$B239&amp;"!B2:B700"),0)))</f>
        <v/>
      </c>
    </row>
    <row r="240" spans="1:15" x14ac:dyDescent="0.25">
      <c r="A240" s="195" t="s">
        <v>283</v>
      </c>
      <c r="B240" s="195" t="s">
        <v>47</v>
      </c>
      <c r="C240" s="199">
        <f ca="1">IFERROR(INDEX(BYEs!$B$2:$B$33,MATCH(D240,BYEs!$A$2:$A$33,0)),"N/A")</f>
        <v>8</v>
      </c>
      <c r="D240" s="195" t="str">
        <f ca="1">INDEX(INDIRECT(""&amp;B240&amp;"!E2:E700"),MATCH(A240,INDIRECT(""&amp;B240&amp;"!B2:B700"),0))</f>
        <v>NYG</v>
      </c>
      <c r="E240" s="194" t="str">
        <f ca="1">INDEX(INDIRECT(""&amp;$B240&amp;"!Z2:Z709"),MATCH($A240,INDIRECT(""&amp;$B240&amp;"!B2:B709"),0))</f>
        <v>TE9</v>
      </c>
      <c r="F240" s="196">
        <f ca="1">IF(LeagueInfo!$H$7="Starter/Bench",INDEX(INDIRECT(""&amp;B240&amp;"!S2:S709"),MATCH(A240,INDIRECT(""&amp;B240&amp;"!B2:B709"),0)),INDEX(INDIRECT(""&amp;B240&amp;"!AA2:AA709"),MATCH(A240,INDIRECT(""&amp;B240&amp;"!B2:B709"),0)))</f>
        <v>-0.17243701138209705</v>
      </c>
      <c r="G240" s="200">
        <f>IF(H240&gt;0,F240-H240,0)</f>
        <v>0</v>
      </c>
      <c r="H240" s="198"/>
      <c r="I240" s="200">
        <f ca="1">F240*$A$2</f>
        <v>-0.17243701138209705</v>
      </c>
      <c r="J240" s="197" t="s">
        <v>80</v>
      </c>
      <c r="K240" s="197">
        <f>IF(LeagueInfo!$F$7="Yahoo",IFERROR(INDEX(DefaultAuctionValues!$B$2:$B$359,MATCH(A240,DefaultAuctionValues!$A$2:$A$359,0)),0),IF(LeagueInfo!$F$7="ESPN",IFERROR(INDEX(DefaultAuctionValues!$C$2:$C$359,MATCH(A240,DefaultAuctionValues!$A$2:$A$359,0)),0),IF(LeagueInfo!$F$7="FantasyPros",IFERROR(INDEX(DefaultAuctionValues!$D$2:$D$359,MATCH(A240,DefaultAuctionValues!$A$2:$A$359,0)),0))))</f>
        <v>1</v>
      </c>
      <c r="L240" s="201">
        <f ca="1">I240-K240</f>
        <v>-1.172437011382097</v>
      </c>
      <c r="M240" s="213"/>
      <c r="N240" s="208">
        <f ca="1">INDEX(INDIRECT(""&amp;$B240&amp;"!y2:y709"),MATCH($A240,INDIRECT(""&amp;$B240&amp;"!B2:B709"),0))</f>
        <v>-0.35999999999999233</v>
      </c>
      <c r="O240" s="217" t="str">
        <f ca="1">IF(INDEX(INDIRECT(""&amp;$B240&amp;"!V2:V700"),MATCH($A240,INDIRECT(""&amp;$B240&amp;"!B2:B700"),0))=0,"",INDEX(INDIRECT(""&amp;$B240&amp;"!V2:V700"),MATCH($A240,INDIRECT(""&amp;$B240&amp;"!B2:B700"),0)))</f>
        <v/>
      </c>
    </row>
    <row r="241" spans="1:15" x14ac:dyDescent="0.25">
      <c r="A241" s="195" t="s">
        <v>207</v>
      </c>
      <c r="B241" s="195" t="s">
        <v>32</v>
      </c>
      <c r="C241" s="199">
        <f ca="1">IFERROR(INDEX(BYEs!$B$2:$B$33,MATCH(D241,BYEs!$A$2:$A$33,0)),"N/A")</f>
        <v>9</v>
      </c>
      <c r="D241" s="195" t="str">
        <f ca="1">INDEX(INDIRECT(""&amp;B241&amp;"!E2:E700"),MATCH(A241,INDIRECT(""&amp;B241&amp;"!B2:B700"),0))</f>
        <v>NE</v>
      </c>
      <c r="E241" s="194" t="str">
        <f ca="1">INDEX(INDIRECT(""&amp;$B241&amp;"!Z2:Z709"),MATCH($A241,INDIRECT(""&amp;$B241&amp;"!B2:B709"),0))</f>
        <v>RB10</v>
      </c>
      <c r="F241" s="196">
        <f ca="1">IF(LeagueInfo!$H$7="Starter/Bench",INDEX(INDIRECT(""&amp;B241&amp;"!S2:S709"),MATCH(A241,INDIRECT(""&amp;B241&amp;"!B2:B709"),0)),INDEX(INDIRECT(""&amp;B241&amp;"!AA2:AA709"),MATCH(A241,INDIRECT(""&amp;B241&amp;"!B2:B709"),0)))</f>
        <v>-0.18441180383919351</v>
      </c>
      <c r="G241" s="200">
        <f>IF(H241&gt;0,F241-H241,0)</f>
        <v>0</v>
      </c>
      <c r="H241" s="198"/>
      <c r="I241" s="200">
        <f ca="1">F241*$A$2</f>
        <v>-0.18441180383919351</v>
      </c>
      <c r="J241" s="197" t="s">
        <v>80</v>
      </c>
      <c r="K241" s="197">
        <f>IF(LeagueInfo!$F$7="Yahoo",IFERROR(INDEX(DefaultAuctionValues!$B$2:$B$359,MATCH(A241,DefaultAuctionValues!$A$2:$A$359,0)),0),IF(LeagueInfo!$F$7="ESPN",IFERROR(INDEX(DefaultAuctionValues!$C$2:$C$359,MATCH(A241,DefaultAuctionValues!$A$2:$A$359,0)),0),IF(LeagueInfo!$F$7="FantasyPros",IFERROR(INDEX(DefaultAuctionValues!$D$2:$D$359,MATCH(A241,DefaultAuctionValues!$A$2:$A$359,0)),0))))</f>
        <v>1</v>
      </c>
      <c r="L241" s="201">
        <f ca="1">I241-K241</f>
        <v>-1.1844118038391935</v>
      </c>
      <c r="M241" s="213"/>
      <c r="N241" s="208">
        <f ca="1">INDEX(INDIRECT(""&amp;$B241&amp;"!y2:y709"),MATCH($A241,INDIRECT(""&amp;$B241&amp;"!B2:B709"),0))</f>
        <v>-0.38500000000000512</v>
      </c>
      <c r="O241" s="217" t="str">
        <f ca="1">IF(INDEX(INDIRECT(""&amp;$B241&amp;"!V2:V700"),MATCH($A241,INDIRECT(""&amp;$B241&amp;"!B2:B700"),0))=0,"",INDEX(INDIRECT(""&amp;$B241&amp;"!V2:V700"),MATCH($A241,INDIRECT(""&amp;$B241&amp;"!B2:B700"),0)))</f>
        <v/>
      </c>
    </row>
    <row r="242" spans="1:15" x14ac:dyDescent="0.25">
      <c r="A242" s="195" t="s">
        <v>275</v>
      </c>
      <c r="B242" s="195" t="s">
        <v>39</v>
      </c>
      <c r="C242" s="199">
        <f ca="1">IFERROR(INDEX(BYEs!$B$2:$B$33,MATCH(D242,BYEs!$A$2:$A$33,0)),"N/A")</f>
        <v>9</v>
      </c>
      <c r="D242" s="195" t="str">
        <f ca="1">INDEX(INDIRECT(""&amp;B242&amp;"!E2:E700"),MATCH(A242,INDIRECT(""&amp;B242&amp;"!B2:B700"),0))</f>
        <v>CHI</v>
      </c>
      <c r="E242" s="194" t="str">
        <f ca="1">INDEX(INDIRECT(""&amp;$B242&amp;"!Z2:Z709"),MATCH($A242,INDIRECT(""&amp;$B242&amp;"!B2:B709"),0))</f>
        <v>WR8</v>
      </c>
      <c r="F242" s="196">
        <f ca="1">IF(LeagueInfo!$H$7="Starter/Bench",INDEX(INDIRECT(""&amp;B242&amp;"!S2:S709"),MATCH(A242,INDIRECT(""&amp;B242&amp;"!B2:B709"),0)),INDEX(INDIRECT(""&amp;B242&amp;"!AA2:AA709"),MATCH(A242,INDIRECT(""&amp;B242&amp;"!B2:B709"),0)))</f>
        <v>-0.2107563472447887</v>
      </c>
      <c r="G242" s="200">
        <f>IF(H242&gt;0,F242-H242,0)</f>
        <v>0</v>
      </c>
      <c r="H242" s="198"/>
      <c r="I242" s="200">
        <f ca="1">F242*$A$2</f>
        <v>-0.2107563472447887</v>
      </c>
      <c r="J242" s="197" t="s">
        <v>80</v>
      </c>
      <c r="K242" s="197">
        <f>IF(LeagueInfo!$F$7="Yahoo",IFERROR(INDEX(DefaultAuctionValues!$B$2:$B$359,MATCH(A242,DefaultAuctionValues!$A$2:$A$359,0)),0),IF(LeagueInfo!$F$7="ESPN",IFERROR(INDEX(DefaultAuctionValues!$C$2:$C$359,MATCH(A242,DefaultAuctionValues!$A$2:$A$359,0)),0),IF(LeagueInfo!$F$7="FantasyPros",IFERROR(INDEX(DefaultAuctionValues!$D$2:$D$359,MATCH(A242,DefaultAuctionValues!$A$2:$A$359,0)),0))))</f>
        <v>1</v>
      </c>
      <c r="L242" s="201">
        <f ca="1">I242-K242</f>
        <v>-1.2107563472447886</v>
      </c>
      <c r="M242" s="213"/>
      <c r="N242" s="208">
        <f ca="1">INDEX(INDIRECT(""&amp;$B242&amp;"!y2:y709"),MATCH($A242,INDIRECT(""&amp;$B242&amp;"!B2:B709"),0))</f>
        <v>-0.43999999999999773</v>
      </c>
      <c r="O242" s="217" t="str">
        <f ca="1">IF(INDEX(INDIRECT(""&amp;$B242&amp;"!V2:V700"),MATCH($A242,INDIRECT(""&amp;$B242&amp;"!B2:B700"),0))=0,"",INDEX(INDIRECT(""&amp;$B242&amp;"!V2:V700"),MATCH($A242,INDIRECT(""&amp;$B242&amp;"!B2:B700"),0)))</f>
        <v/>
      </c>
    </row>
    <row r="243" spans="1:15" x14ac:dyDescent="0.25">
      <c r="A243" s="195" t="s">
        <v>310</v>
      </c>
      <c r="B243" s="195" t="s">
        <v>39</v>
      </c>
      <c r="C243" s="199">
        <f ca="1">IFERROR(INDEX(BYEs!$B$2:$B$33,MATCH(D243,BYEs!$A$2:$A$33,0)),"N/A")</f>
        <v>5</v>
      </c>
      <c r="D243" s="195" t="str">
        <f ca="1">INDEX(INDIRECT(""&amp;B243&amp;"!E2:E700"),MATCH(A243,INDIRECT(""&amp;B243&amp;"!B2:B700"),0))</f>
        <v>ATL</v>
      </c>
      <c r="E243" s="194" t="str">
        <f ca="1">INDEX(INDIRECT(""&amp;$B243&amp;"!Z2:Z709"),MATCH($A243,INDIRECT(""&amp;$B243&amp;"!B2:B709"),0))</f>
        <v>WR8</v>
      </c>
      <c r="F243" s="196">
        <f ca="1">IF(LeagueInfo!$H$7="Starter/Bench",INDEX(INDIRECT(""&amp;B243&amp;"!S2:S709"),MATCH(A243,INDIRECT(""&amp;B243&amp;"!B2:B709"),0)),INDEX(INDIRECT(""&amp;B243&amp;"!AA2:AA709"),MATCH(A243,INDIRECT(""&amp;B243&amp;"!B2:B709"),0)))</f>
        <v>-0.23231097366755551</v>
      </c>
      <c r="G243" s="200">
        <f>IF(H243&gt;0,F243-H243,0)</f>
        <v>0</v>
      </c>
      <c r="H243" s="198"/>
      <c r="I243" s="200">
        <f ca="1">F243*$A$2</f>
        <v>-0.23231097366755551</v>
      </c>
      <c r="J243" s="197" t="s">
        <v>80</v>
      </c>
      <c r="K243" s="197">
        <f>IF(LeagueInfo!$F$7="Yahoo",IFERROR(INDEX(DefaultAuctionValues!$B$2:$B$359,MATCH(A243,DefaultAuctionValues!$A$2:$A$359,0)),0),IF(LeagueInfo!$F$7="ESPN",IFERROR(INDEX(DefaultAuctionValues!$C$2:$C$359,MATCH(A243,DefaultAuctionValues!$A$2:$A$359,0)),0),IF(LeagueInfo!$F$7="FantasyPros",IFERROR(INDEX(DefaultAuctionValues!$D$2:$D$359,MATCH(A243,DefaultAuctionValues!$A$2:$A$359,0)),0))))</f>
        <v>1</v>
      </c>
      <c r="L243" s="201">
        <f ca="1">I243-K243</f>
        <v>-1.2323109736675555</v>
      </c>
      <c r="M243" s="213"/>
      <c r="N243" s="208">
        <f ca="1">INDEX(INDIRECT(""&amp;$B243&amp;"!y2:y709"),MATCH($A243,INDIRECT(""&amp;$B243&amp;"!B2:B709"),0))</f>
        <v>-0.48500000000000654</v>
      </c>
      <c r="O243" s="217" t="str">
        <f ca="1">IF(INDEX(INDIRECT(""&amp;$B243&amp;"!V2:V700"),MATCH($A243,INDIRECT(""&amp;$B243&amp;"!B2:B700"),0))=0,"",INDEX(INDIRECT(""&amp;$B243&amp;"!V2:V700"),MATCH($A243,INDIRECT(""&amp;$B243&amp;"!B2:B700"),0)))</f>
        <v/>
      </c>
    </row>
    <row r="244" spans="1:15" x14ac:dyDescent="0.25">
      <c r="A244" s="195" t="s">
        <v>439</v>
      </c>
      <c r="B244" s="195" t="s">
        <v>32</v>
      </c>
      <c r="C244" s="199">
        <f ca="1">IFERROR(INDEX(BYEs!$B$2:$B$33,MATCH(D244,BYEs!$A$2:$A$33,0)),"N/A")</f>
        <v>11</v>
      </c>
      <c r="D244" s="195" t="str">
        <f ca="1">INDEX(INDIRECT(""&amp;B244&amp;"!E2:E700"),MATCH(A244,INDIRECT(""&amp;B244&amp;"!B2:B700"),0))</f>
        <v>IND</v>
      </c>
      <c r="E244" s="194" t="str">
        <f ca="1">INDEX(INDIRECT(""&amp;$B244&amp;"!Z2:Z709"),MATCH($A244,INDIRECT(""&amp;$B244&amp;"!B2:B709"),0))</f>
        <v>RB10</v>
      </c>
      <c r="F244" s="196">
        <f ca="1">IF(LeagueInfo!$H$7="Starter/Bench",INDEX(INDIRECT(""&amp;B244&amp;"!S2:S709"),MATCH(A244,INDIRECT(""&amp;B244&amp;"!B2:B709"),0)),INDEX(INDIRECT(""&amp;B244&amp;"!AA2:AA709"),MATCH(A244,INDIRECT(""&amp;B244&amp;"!B2:B709"),0)))</f>
        <v>-0.25147064159889965</v>
      </c>
      <c r="G244" s="200">
        <f>IF(H244&gt;0,F244-H244,0)</f>
        <v>0</v>
      </c>
      <c r="H244" s="198"/>
      <c r="I244" s="200">
        <f ca="1">F244*$A$2</f>
        <v>-0.25147064159889965</v>
      </c>
      <c r="J244" s="197" t="s">
        <v>80</v>
      </c>
      <c r="K244" s="197">
        <f>IF(LeagueInfo!$F$7="Yahoo",IFERROR(INDEX(DefaultAuctionValues!$B$2:$B$359,MATCH(A244,DefaultAuctionValues!$A$2:$A$359,0)),0),IF(LeagueInfo!$F$7="ESPN",IFERROR(INDEX(DefaultAuctionValues!$C$2:$C$359,MATCH(A244,DefaultAuctionValues!$A$2:$A$359,0)),0),IF(LeagueInfo!$F$7="FantasyPros",IFERROR(INDEX(DefaultAuctionValues!$D$2:$D$359,MATCH(A244,DefaultAuctionValues!$A$2:$A$359,0)),0))))</f>
        <v>0</v>
      </c>
      <c r="L244" s="201">
        <f ca="1">I244-K244</f>
        <v>-0.25147064159889965</v>
      </c>
      <c r="M244" s="213"/>
      <c r="N244" s="208">
        <f ca="1">INDEX(INDIRECT(""&amp;$B244&amp;"!y2:y709"),MATCH($A244,INDIRECT(""&amp;$B244&amp;"!B2:B709"),0))</f>
        <v>-0.52500000000000568</v>
      </c>
      <c r="O244" s="217" t="str">
        <f ca="1">IF(INDEX(INDIRECT(""&amp;$B244&amp;"!V2:V700"),MATCH($A244,INDIRECT(""&amp;$B244&amp;"!B2:B700"),0))=0,"",INDEX(INDIRECT(""&amp;$B244&amp;"!V2:V700"),MATCH($A244,INDIRECT(""&amp;$B244&amp;"!B2:B700"),0)))</f>
        <v/>
      </c>
    </row>
    <row r="245" spans="1:15" x14ac:dyDescent="0.25">
      <c r="A245" s="195" t="s">
        <v>234</v>
      </c>
      <c r="B245" s="195" t="s">
        <v>32</v>
      </c>
      <c r="C245" s="199">
        <f ca="1">IFERROR(INDEX(BYEs!$B$2:$B$33,MATCH(D245,BYEs!$A$2:$A$33,0)),"N/A")</f>
        <v>11</v>
      </c>
      <c r="D245" s="195" t="str">
        <f ca="1">INDEX(INDIRECT(""&amp;B245&amp;"!E2:E700"),MATCH(A245,INDIRECT(""&amp;B245&amp;"!B2:B700"),0))</f>
        <v>TB</v>
      </c>
      <c r="E245" s="194" t="str">
        <f ca="1">INDEX(INDIRECT(""&amp;$B245&amp;"!Z2:Z709"),MATCH($A245,INDIRECT(""&amp;$B245&amp;"!B2:B709"),0))</f>
        <v>RB10</v>
      </c>
      <c r="F245" s="196">
        <f ca="1">IF(LeagueInfo!$H$7="Starter/Bench",INDEX(INDIRECT(""&amp;B245&amp;"!S2:S709"),MATCH(A245,INDIRECT(""&amp;B245&amp;"!B2:B709"),0)),INDEX(INDIRECT(""&amp;B245&amp;"!AA2:AA709"),MATCH(A245,INDIRECT(""&amp;B245&amp;"!B2:B709"),0)))</f>
        <v>-0.62987408324295702</v>
      </c>
      <c r="G245" s="200">
        <f>IF(H245&gt;0,F245-H245,0)</f>
        <v>0</v>
      </c>
      <c r="H245" s="198"/>
      <c r="I245" s="200">
        <f ca="1">F245*$A$2</f>
        <v>-0.62987408324295702</v>
      </c>
      <c r="J245" s="197" t="s">
        <v>80</v>
      </c>
      <c r="K245" s="197">
        <f>IF(LeagueInfo!$F$7="Yahoo",IFERROR(INDEX(DefaultAuctionValues!$B$2:$B$359,MATCH(A245,DefaultAuctionValues!$A$2:$A$359,0)),0),IF(LeagueInfo!$F$7="ESPN",IFERROR(INDEX(DefaultAuctionValues!$C$2:$C$359,MATCH(A245,DefaultAuctionValues!$A$2:$A$359,0)),0),IF(LeagueInfo!$F$7="FantasyPros",IFERROR(INDEX(DefaultAuctionValues!$D$2:$D$359,MATCH(A245,DefaultAuctionValues!$A$2:$A$359,0)),0))))</f>
        <v>1</v>
      </c>
      <c r="L245" s="201">
        <f ca="1">I245-K245</f>
        <v>-1.629874083242957</v>
      </c>
      <c r="M245" s="213"/>
      <c r="N245" s="208">
        <f ca="1">INDEX(INDIRECT(""&amp;$B245&amp;"!y2:y709"),MATCH($A245,INDIRECT(""&amp;$B245&amp;"!B2:B709"),0))</f>
        <v>-1.3150000000000119</v>
      </c>
      <c r="O245" s="217" t="str">
        <f ca="1">IF(INDEX(INDIRECT(""&amp;$B245&amp;"!V2:V700"),MATCH($A245,INDIRECT(""&amp;$B245&amp;"!B2:B700"),0))=0,"",INDEX(INDIRECT(""&amp;$B245&amp;"!V2:V700"),MATCH($A245,INDIRECT(""&amp;$B245&amp;"!B2:B700"),0)))</f>
        <v/>
      </c>
    </row>
    <row r="246" spans="1:15" x14ac:dyDescent="0.25">
      <c r="A246" s="195" t="s">
        <v>277</v>
      </c>
      <c r="B246" s="195" t="s">
        <v>47</v>
      </c>
      <c r="C246" s="199">
        <f ca="1">IFERROR(INDEX(BYEs!$B$2:$B$33,MATCH(D246,BYEs!$A$2:$A$33,0)),"N/A")</f>
        <v>9</v>
      </c>
      <c r="D246" s="195" t="str">
        <f ca="1">INDEX(INDIRECT(""&amp;B246&amp;"!E2:E700"),MATCH(A246,INDIRECT(""&amp;B246&amp;"!B2:B700"),0))</f>
        <v>CLE</v>
      </c>
      <c r="E246" s="194" t="str">
        <f ca="1">INDEX(INDIRECT(""&amp;$B246&amp;"!Z2:Z709"),MATCH($A246,INDIRECT(""&amp;$B246&amp;"!B2:B709"),0))</f>
        <v>TE9</v>
      </c>
      <c r="F246" s="196">
        <f ca="1">IF(LeagueInfo!$H$7="Starter/Bench",INDEX(INDIRECT(""&amp;B246&amp;"!S2:S709"),MATCH(A246,INDIRECT(""&amp;B246&amp;"!B2:B709"),0)),INDEX(INDIRECT(""&amp;B246&amp;"!AA2:AA709"),MATCH(A246,INDIRECT(""&amp;B246&amp;"!B2:B709"),0)))</f>
        <v>-0.72567242289967249</v>
      </c>
      <c r="G246" s="200">
        <f>IF(H246&gt;0,F246-H246,0)</f>
        <v>0</v>
      </c>
      <c r="H246" s="198"/>
      <c r="I246" s="200">
        <f ca="1">F246*$A$2</f>
        <v>-0.72567242289967249</v>
      </c>
      <c r="J246" s="197" t="s">
        <v>80</v>
      </c>
      <c r="K246" s="197">
        <f>IF(LeagueInfo!$F$7="Yahoo",IFERROR(INDEX(DefaultAuctionValues!$B$2:$B$359,MATCH(A246,DefaultAuctionValues!$A$2:$A$359,0)),0),IF(LeagueInfo!$F$7="ESPN",IFERROR(INDEX(DefaultAuctionValues!$C$2:$C$359,MATCH(A246,DefaultAuctionValues!$A$2:$A$359,0)),0),IF(LeagueInfo!$F$7="FantasyPros",IFERROR(INDEX(DefaultAuctionValues!$D$2:$D$359,MATCH(A246,DefaultAuctionValues!$A$2:$A$359,0)),0))))</f>
        <v>1</v>
      </c>
      <c r="L246" s="201">
        <f ca="1">I246-K246</f>
        <v>-1.7256724228996725</v>
      </c>
      <c r="M246" s="213"/>
      <c r="N246" s="208">
        <f ca="1">INDEX(INDIRECT(""&amp;$B246&amp;"!y2:y709"),MATCH($A246,INDIRECT(""&amp;$B246&amp;"!B2:B709"),0))</f>
        <v>-1.514999999999997</v>
      </c>
      <c r="O246" s="217" t="str">
        <f ca="1">IF(INDEX(INDIRECT(""&amp;$B246&amp;"!V2:V700"),MATCH($A246,INDIRECT(""&amp;$B246&amp;"!B2:B700"),0))=0,"",INDEX(INDIRECT(""&amp;$B246&amp;"!V2:V700"),MATCH($A246,INDIRECT(""&amp;$B246&amp;"!B2:B700"),0)))</f>
        <v/>
      </c>
    </row>
    <row r="247" spans="1:15" x14ac:dyDescent="0.25">
      <c r="A247" s="195" t="s">
        <v>259</v>
      </c>
      <c r="B247" s="195" t="s">
        <v>39</v>
      </c>
      <c r="C247" s="199">
        <f ca="1">IFERROR(INDEX(BYEs!$B$2:$B$33,MATCH(D247,BYEs!$A$2:$A$33,0)),"N/A")</f>
        <v>5</v>
      </c>
      <c r="D247" s="195" t="str">
        <f ca="1">INDEX(INDIRECT(""&amp;B247&amp;"!E2:E700"),MATCH(A247,INDIRECT(""&amp;B247&amp;"!B2:B700"),0))</f>
        <v>ATL</v>
      </c>
      <c r="E247" s="194" t="str">
        <f ca="1">INDEX(INDIRECT(""&amp;$B247&amp;"!Z2:Z709"),MATCH($A247,INDIRECT(""&amp;$B247&amp;"!B2:B709"),0))</f>
        <v>WR8</v>
      </c>
      <c r="F247" s="196">
        <f ca="1">IF(LeagueInfo!$H$7="Starter/Bench",INDEX(INDIRECT(""&amp;B247&amp;"!S2:S709"),MATCH(A247,INDIRECT(""&amp;B247&amp;"!B2:B709"),0)),INDEX(INDIRECT(""&amp;B247&amp;"!AA2:AA709"),MATCH(A247,INDIRECT(""&amp;B247&amp;"!B2:B709"),0)))</f>
        <v>-0.79752117764221886</v>
      </c>
      <c r="G247" s="200">
        <f>IF(H247&gt;0,F247-H247,0)</f>
        <v>0</v>
      </c>
      <c r="H247" s="198"/>
      <c r="I247" s="200">
        <f ca="1">F247*$A$2</f>
        <v>-0.79752117764221886</v>
      </c>
      <c r="J247" s="197" t="s">
        <v>80</v>
      </c>
      <c r="K247" s="197">
        <f>IF(LeagueInfo!$F$7="Yahoo",IFERROR(INDEX(DefaultAuctionValues!$B$2:$B$359,MATCH(A247,DefaultAuctionValues!$A$2:$A$359,0)),0),IF(LeagueInfo!$F$7="ESPN",IFERROR(INDEX(DefaultAuctionValues!$C$2:$C$359,MATCH(A247,DefaultAuctionValues!$A$2:$A$359,0)),0),IF(LeagueInfo!$F$7="FantasyPros",IFERROR(INDEX(DefaultAuctionValues!$D$2:$D$359,MATCH(A247,DefaultAuctionValues!$A$2:$A$359,0)),0))))</f>
        <v>1</v>
      </c>
      <c r="L247" s="201">
        <f ca="1">I247-K247</f>
        <v>-1.7975211776422189</v>
      </c>
      <c r="M247" s="213"/>
      <c r="N247" s="208">
        <f ca="1">INDEX(INDIRECT(""&amp;$B247&amp;"!y2:y709"),MATCH($A247,INDIRECT(""&amp;$B247&amp;"!B2:B709"),0))</f>
        <v>-1.6650000000000063</v>
      </c>
      <c r="O247" s="217" t="str">
        <f ca="1">IF(INDEX(INDIRECT(""&amp;$B247&amp;"!V2:V700"),MATCH($A247,INDIRECT(""&amp;$B247&amp;"!B2:B700"),0))=0,"",INDEX(INDIRECT(""&amp;$B247&amp;"!V2:V700"),MATCH($A247,INDIRECT(""&amp;$B247&amp;"!B2:B700"),0)))</f>
        <v/>
      </c>
    </row>
    <row r="248" spans="1:15" x14ac:dyDescent="0.25">
      <c r="A248" s="195" t="s">
        <v>566</v>
      </c>
      <c r="B248" s="195" t="s">
        <v>39</v>
      </c>
      <c r="C248" s="199">
        <f ca="1">IFERROR(INDEX(BYEs!$B$2:$B$33,MATCH(D248,BYEs!$A$2:$A$33,0)),"N/A")</f>
        <v>10</v>
      </c>
      <c r="D248" s="195" t="str">
        <f ca="1">INDEX(INDIRECT(""&amp;B248&amp;"!E2:E700"),MATCH(A248,INDIRECT(""&amp;B248&amp;"!B2:B700"),0))</f>
        <v>PHI</v>
      </c>
      <c r="E248" s="194" t="str">
        <f ca="1">INDEX(INDIRECT(""&amp;$B248&amp;"!Z2:Z709"),MATCH($A248,INDIRECT(""&amp;$B248&amp;"!B2:B709"),0))</f>
        <v>WR8</v>
      </c>
      <c r="F248" s="196">
        <f ca="1">IF(LeagueInfo!$H$7="Starter/Bench",INDEX(INDIRECT(""&amp;B248&amp;"!S2:S709"),MATCH(A248,INDIRECT(""&amp;B248&amp;"!B2:B709"),0)),INDEX(INDIRECT(""&amp;B248&amp;"!AA2:AA709"),MATCH(A248,INDIRECT(""&amp;B248&amp;"!B2:B709"),0)))</f>
        <v>-0.90768926824745177</v>
      </c>
      <c r="G248" s="200">
        <f>IF(H248&gt;0,F248-H248,0)</f>
        <v>0</v>
      </c>
      <c r="H248" s="198"/>
      <c r="I248" s="200">
        <f ca="1">F248*$A$2</f>
        <v>-0.90768926824745177</v>
      </c>
      <c r="J248" s="197" t="s">
        <v>80</v>
      </c>
      <c r="K248" s="197">
        <f>IF(LeagueInfo!$F$7="Yahoo",IFERROR(INDEX(DefaultAuctionValues!$B$2:$B$359,MATCH(A248,DefaultAuctionValues!$A$2:$A$359,0)),0),IF(LeagueInfo!$F$7="ESPN",IFERROR(INDEX(DefaultAuctionValues!$C$2:$C$359,MATCH(A248,DefaultAuctionValues!$A$2:$A$359,0)),0),IF(LeagueInfo!$F$7="FantasyPros",IFERROR(INDEX(DefaultAuctionValues!$D$2:$D$359,MATCH(A248,DefaultAuctionValues!$A$2:$A$359,0)),0))))</f>
        <v>0</v>
      </c>
      <c r="L248" s="201">
        <f ca="1">I248-K248</f>
        <v>-0.90768926824745177</v>
      </c>
      <c r="M248" s="213"/>
      <c r="N248" s="208">
        <f ca="1">INDEX(INDIRECT(""&amp;$B248&amp;"!y2:y709"),MATCH($A248,INDIRECT(""&amp;$B248&amp;"!B2:B709"),0))</f>
        <v>-1.8950000000000102</v>
      </c>
      <c r="O248" s="217" t="str">
        <f ca="1">IF(INDEX(INDIRECT(""&amp;$B248&amp;"!V2:V700"),MATCH($A248,INDIRECT(""&amp;$B248&amp;"!B2:B700"),0))=0,"",INDEX(INDIRECT(""&amp;$B248&amp;"!V2:V700"),MATCH($A248,INDIRECT(""&amp;$B248&amp;"!B2:B700"),0)))</f>
        <v/>
      </c>
    </row>
    <row r="249" spans="1:15" x14ac:dyDescent="0.25">
      <c r="A249" s="195" t="s">
        <v>279</v>
      </c>
      <c r="B249" s="195" t="s">
        <v>39</v>
      </c>
      <c r="C249" s="199">
        <f ca="1">IFERROR(INDEX(BYEs!$B$2:$B$33,MATCH(D249,BYEs!$A$2:$A$33,0)),"N/A")</f>
        <v>8</v>
      </c>
      <c r="D249" s="195" t="str">
        <f ca="1">INDEX(INDIRECT(""&amp;B249&amp;"!E2:E700"),MATCH(A249,INDIRECT(""&amp;B249&amp;"!B2:B700"),0))</f>
        <v>JAC</v>
      </c>
      <c r="E249" s="194" t="str">
        <f ca="1">INDEX(INDIRECT(""&amp;$B249&amp;"!Z2:Z709"),MATCH($A249,INDIRECT(""&amp;$B249&amp;"!B2:B709"),0))</f>
        <v>WR8</v>
      </c>
      <c r="F249" s="196">
        <f ca="1">IF(LeagueInfo!$H$7="Starter/Bench",INDEX(INDIRECT(""&amp;B249&amp;"!S2:S709"),MATCH(A249,INDIRECT(""&amp;B249&amp;"!B2:B709"),0)),INDEX(INDIRECT(""&amp;B249&amp;"!AA2:AA709"),MATCH(A249,INDIRECT(""&amp;B249&amp;"!B2:B709"),0)))</f>
        <v>-1.0873111551037999</v>
      </c>
      <c r="G249" s="200">
        <f>IF(H249&gt;0,F249-H249,0)</f>
        <v>0</v>
      </c>
      <c r="H249" s="198"/>
      <c r="I249" s="200">
        <f ca="1">F249*$A$2</f>
        <v>-1.0873111551037999</v>
      </c>
      <c r="J249" s="197" t="s">
        <v>80</v>
      </c>
      <c r="K249" s="197">
        <f>IF(LeagueInfo!$F$7="Yahoo",IFERROR(INDEX(DefaultAuctionValues!$B$2:$B$359,MATCH(A249,DefaultAuctionValues!$A$2:$A$359,0)),0),IF(LeagueInfo!$F$7="ESPN",IFERROR(INDEX(DefaultAuctionValues!$C$2:$C$359,MATCH(A249,DefaultAuctionValues!$A$2:$A$359,0)),0),IF(LeagueInfo!$F$7="FantasyPros",IFERROR(INDEX(DefaultAuctionValues!$D$2:$D$359,MATCH(A249,DefaultAuctionValues!$A$2:$A$359,0)),0))))</f>
        <v>1</v>
      </c>
      <c r="L249" s="201">
        <f ca="1">I249-K249</f>
        <v>-2.0873111551037997</v>
      </c>
      <c r="M249" s="213"/>
      <c r="N249" s="208">
        <f ca="1">INDEX(INDIRECT(""&amp;$B249&amp;"!y2:y709"),MATCH($A249,INDIRECT(""&amp;$B249&amp;"!B2:B709"),0))</f>
        <v>-2.269999999999996</v>
      </c>
      <c r="O249" s="217" t="str">
        <f ca="1">IF(INDEX(INDIRECT(""&amp;$B249&amp;"!V2:V700"),MATCH($A249,INDIRECT(""&amp;$B249&amp;"!B2:B700"),0))=0,"",INDEX(INDIRECT(""&amp;$B249&amp;"!V2:V700"),MATCH($A249,INDIRECT(""&amp;$B249&amp;"!B2:B700"),0)))</f>
        <v/>
      </c>
    </row>
    <row r="250" spans="1:15" x14ac:dyDescent="0.25">
      <c r="A250" s="195" t="s">
        <v>252</v>
      </c>
      <c r="B250" s="195" t="s">
        <v>39</v>
      </c>
      <c r="C250" s="199">
        <f ca="1">IFERROR(INDEX(BYEs!$B$2:$B$33,MATCH(D250,BYEs!$A$2:$A$33,0)),"N/A")</f>
        <v>10</v>
      </c>
      <c r="D250" s="195" t="str">
        <f ca="1">INDEX(INDIRECT(""&amp;B250&amp;"!E2:E700"),MATCH(A250,INDIRECT(""&amp;B250&amp;"!B2:B700"),0))</f>
        <v>BAL</v>
      </c>
      <c r="E250" s="194" t="str">
        <f ca="1">INDEX(INDIRECT(""&amp;$B250&amp;"!Z2:Z709"),MATCH($A250,INDIRECT(""&amp;$B250&amp;"!B2:B709"),0))</f>
        <v>WR8</v>
      </c>
      <c r="F250" s="196">
        <f ca="1">IF(LeagueInfo!$H$7="Starter/Bench",INDEX(INDIRECT(""&amp;B250&amp;"!S2:S709"),MATCH(A250,INDIRECT(""&amp;B250&amp;"!B2:B709"),0)),INDEX(INDIRECT(""&amp;B250&amp;"!AA2:AA709"),MATCH(A250,INDIRECT(""&amp;B250&amp;"!B2:B709"),0)))</f>
        <v>-1.1495800758806709</v>
      </c>
      <c r="G250" s="200">
        <f>IF(H250&gt;0,F250-H250,0)</f>
        <v>0</v>
      </c>
      <c r="H250" s="198"/>
      <c r="I250" s="200">
        <f ca="1">F250*$A$2</f>
        <v>-1.1495800758806709</v>
      </c>
      <c r="J250" s="197" t="s">
        <v>80</v>
      </c>
      <c r="K250" s="197">
        <f>IF(LeagueInfo!$F$7="Yahoo",IFERROR(INDEX(DefaultAuctionValues!$B$2:$B$359,MATCH(A250,DefaultAuctionValues!$A$2:$A$359,0)),0),IF(LeagueInfo!$F$7="ESPN",IFERROR(INDEX(DefaultAuctionValues!$C$2:$C$359,MATCH(A250,DefaultAuctionValues!$A$2:$A$359,0)),0),IF(LeagueInfo!$F$7="FantasyPros",IFERROR(INDEX(DefaultAuctionValues!$D$2:$D$359,MATCH(A250,DefaultAuctionValues!$A$2:$A$359,0)),0))))</f>
        <v>1</v>
      </c>
      <c r="L250" s="201">
        <f ca="1">I250-K250</f>
        <v>-2.1495800758806709</v>
      </c>
      <c r="M250" s="213"/>
      <c r="N250" s="208">
        <f ca="1">INDEX(INDIRECT(""&amp;$B250&amp;"!y2:y709"),MATCH($A250,INDIRECT(""&amp;$B250&amp;"!B2:B709"),0))</f>
        <v>-2.3999999999999986</v>
      </c>
      <c r="O250" s="217" t="str">
        <f ca="1">IF(INDEX(INDIRECT(""&amp;$B250&amp;"!V2:V700"),MATCH($A250,INDIRECT(""&amp;$B250&amp;"!B2:B700"),0))=0,"",INDEX(INDIRECT(""&amp;$B250&amp;"!V2:V700"),MATCH($A250,INDIRECT(""&amp;$B250&amp;"!B2:B700"),0)))</f>
        <v/>
      </c>
    </row>
    <row r="251" spans="1:15" x14ac:dyDescent="0.25">
      <c r="A251" s="195" t="s">
        <v>557</v>
      </c>
      <c r="B251" s="195" t="s">
        <v>39</v>
      </c>
      <c r="C251" s="199">
        <f ca="1">IFERROR(INDEX(BYEs!$B$2:$B$33,MATCH(D251,BYEs!$A$2:$A$33,0)),"N/A")</f>
        <v>11</v>
      </c>
      <c r="D251" s="195" t="str">
        <f ca="1">INDEX(INDIRECT(""&amp;B251&amp;"!E2:E700"),MATCH(A251,INDIRECT(""&amp;B251&amp;"!B2:B700"),0))</f>
        <v>CAR</v>
      </c>
      <c r="E251" s="194" t="str">
        <f ca="1">INDEX(INDIRECT(""&amp;$B251&amp;"!Z2:Z709"),MATCH($A251,INDIRECT(""&amp;$B251&amp;"!B2:B709"),0))</f>
        <v>WR8</v>
      </c>
      <c r="F251" s="196">
        <f ca="1">IF(LeagueInfo!$H$7="Starter/Bench",INDEX(INDIRECT(""&amp;B251&amp;"!S2:S709"),MATCH(A251,INDIRECT(""&amp;B251&amp;"!B2:B709"),0)),INDEX(INDIRECT(""&amp;B251&amp;"!AA2:AA709"),MATCH(A251,INDIRECT(""&amp;B251&amp;"!B2:B709"),0)))</f>
        <v>-1.4393700533422586</v>
      </c>
      <c r="G251" s="200">
        <f>IF(H251&gt;0,F251-H251,0)</f>
        <v>0</v>
      </c>
      <c r="H251" s="198"/>
      <c r="I251" s="200">
        <f ca="1">F251*$A$2</f>
        <v>-1.4393700533422586</v>
      </c>
      <c r="J251" s="197" t="s">
        <v>80</v>
      </c>
      <c r="K251" s="197">
        <f>IF(LeagueInfo!$F$7="Yahoo",IFERROR(INDEX(DefaultAuctionValues!$B$2:$B$359,MATCH(A251,DefaultAuctionValues!$A$2:$A$359,0)),0),IF(LeagueInfo!$F$7="ESPN",IFERROR(INDEX(DefaultAuctionValues!$C$2:$C$359,MATCH(A251,DefaultAuctionValues!$A$2:$A$359,0)),0),IF(LeagueInfo!$F$7="FantasyPros",IFERROR(INDEX(DefaultAuctionValues!$D$2:$D$359,MATCH(A251,DefaultAuctionValues!$A$2:$A$359,0)),0))))</f>
        <v>1</v>
      </c>
      <c r="L251" s="201">
        <f ca="1">I251-K251</f>
        <v>-2.4393700533422589</v>
      </c>
      <c r="M251" s="213"/>
      <c r="N251" s="208">
        <f ca="1">INDEX(INDIRECT(""&amp;$B251&amp;"!y2:y709"),MATCH($A251,INDIRECT(""&amp;$B251&amp;"!B2:B709"),0))</f>
        <v>-3.0050000000000026</v>
      </c>
      <c r="O251" s="217" t="str">
        <f ca="1">IF(INDEX(INDIRECT(""&amp;$B251&amp;"!V2:V700"),MATCH($A251,INDIRECT(""&amp;$B251&amp;"!B2:B700"),0))=0,"",INDEX(INDIRECT(""&amp;$B251&amp;"!V2:V700"),MATCH($A251,INDIRECT(""&amp;$B251&amp;"!B2:B700"),0)))</f>
        <v/>
      </c>
    </row>
    <row r="252" spans="1:15" x14ac:dyDescent="0.25">
      <c r="A252" s="195" t="s">
        <v>443</v>
      </c>
      <c r="B252" s="195" t="s">
        <v>32</v>
      </c>
      <c r="C252" s="199">
        <f ca="1">IFERROR(INDEX(BYEs!$B$2:$B$33,MATCH(D252,BYEs!$A$2:$A$33,0)),"N/A")</f>
        <v>6</v>
      </c>
      <c r="D252" s="195" t="str">
        <f ca="1">INDEX(INDIRECT(""&amp;B252&amp;"!E2:E700"),MATCH(A252,INDIRECT(""&amp;B252&amp;"!B2:B700"),0))</f>
        <v>BUF</v>
      </c>
      <c r="E252" s="194" t="str">
        <f ca="1">INDEX(INDIRECT(""&amp;$B252&amp;"!Z2:Z709"),MATCH($A252,INDIRECT(""&amp;$B252&amp;"!B2:B709"),0))</f>
        <v>RB10</v>
      </c>
      <c r="F252" s="196">
        <f ca="1">IF(LeagueInfo!$H$7="Starter/Bench",INDEX(INDIRECT(""&amp;B252&amp;"!S2:S709"),MATCH(A252,INDIRECT(""&amp;B252&amp;"!B2:B709"),0)),INDEX(INDIRECT(""&amp;B252&amp;"!AA2:AA709"),MATCH(A252,INDIRECT(""&amp;B252&amp;"!B2:B709"),0)))</f>
        <v>-1.5255885590333089</v>
      </c>
      <c r="G252" s="200">
        <f>IF(H252&gt;0,F252-H252,0)</f>
        <v>0</v>
      </c>
      <c r="H252" s="198"/>
      <c r="I252" s="200">
        <f ca="1">F252*$A$2</f>
        <v>-1.5255885590333089</v>
      </c>
      <c r="J252" s="197" t="s">
        <v>80</v>
      </c>
      <c r="K252" s="197">
        <f>IF(LeagueInfo!$F$7="Yahoo",IFERROR(INDEX(DefaultAuctionValues!$B$2:$B$359,MATCH(A252,DefaultAuctionValues!$A$2:$A$359,0)),0),IF(LeagueInfo!$F$7="ESPN",IFERROR(INDEX(DefaultAuctionValues!$C$2:$C$359,MATCH(A252,DefaultAuctionValues!$A$2:$A$359,0)),0),IF(LeagueInfo!$F$7="FantasyPros",IFERROR(INDEX(DefaultAuctionValues!$D$2:$D$359,MATCH(A252,DefaultAuctionValues!$A$2:$A$359,0)),0))))</f>
        <v>0</v>
      </c>
      <c r="L252" s="201">
        <f ca="1">I252-K252</f>
        <v>-1.5255885590333089</v>
      </c>
      <c r="M252" s="213"/>
      <c r="N252" s="208">
        <f ca="1">INDEX(INDIRECT(""&amp;$B252&amp;"!y2:y709"),MATCH($A252,INDIRECT(""&amp;$B252&amp;"!B2:B709"),0))</f>
        <v>-3.1850000000000023</v>
      </c>
      <c r="O252" s="217" t="str">
        <f ca="1">IF(INDEX(INDIRECT(""&amp;$B252&amp;"!V2:V700"),MATCH($A252,INDIRECT(""&amp;$B252&amp;"!B2:B700"),0))=0,"",INDEX(INDIRECT(""&amp;$B252&amp;"!V2:V700"),MATCH($A252,INDIRECT(""&amp;$B252&amp;"!B2:B700"),0)))</f>
        <v/>
      </c>
    </row>
    <row r="253" spans="1:15" x14ac:dyDescent="0.25">
      <c r="A253" s="195" t="s">
        <v>235</v>
      </c>
      <c r="B253" s="195" t="s">
        <v>47</v>
      </c>
      <c r="C253" s="199">
        <f ca="1">IFERROR(INDEX(BYEs!$B$2:$B$33,MATCH(D253,BYEs!$A$2:$A$33,0)),"N/A")</f>
        <v>11</v>
      </c>
      <c r="D253" s="195" t="str">
        <f ca="1">INDEX(INDIRECT(""&amp;B253&amp;"!E2:E700"),MATCH(A253,INDIRECT(""&amp;B253&amp;"!B2:B700"),0))</f>
        <v>TB</v>
      </c>
      <c r="E253" s="194" t="str">
        <f ca="1">INDEX(INDIRECT(""&amp;$B253&amp;"!Z2:Z709"),MATCH($A253,INDIRECT(""&amp;$B253&amp;"!B2:B709"),0))</f>
        <v>TE9</v>
      </c>
      <c r="F253" s="196">
        <f ca="1">IF(LeagueInfo!$H$7="Starter/Bench",INDEX(INDIRECT(""&amp;B253&amp;"!S2:S709"),MATCH(A253,INDIRECT(""&amp;B253&amp;"!B2:B709"),0)),INDEX(INDIRECT(""&amp;B253&amp;"!AA2:AA709"),MATCH(A253,INDIRECT(""&amp;B253&amp;"!B2:B709"),0)))</f>
        <v>-1.6333616911471209</v>
      </c>
      <c r="G253" s="200">
        <f>IF(H253&gt;0,F253-H253,0)</f>
        <v>0</v>
      </c>
      <c r="H253" s="198"/>
      <c r="I253" s="200">
        <f ca="1">F253*$A$2</f>
        <v>-1.6333616911471209</v>
      </c>
      <c r="J253" s="197" t="s">
        <v>80</v>
      </c>
      <c r="K253" s="197">
        <f>IF(LeagueInfo!$F$7="Yahoo",IFERROR(INDEX(DefaultAuctionValues!$B$2:$B$359,MATCH(A253,DefaultAuctionValues!$A$2:$A$359,0)),0),IF(LeagueInfo!$F$7="ESPN",IFERROR(INDEX(DefaultAuctionValues!$C$2:$C$359,MATCH(A253,DefaultAuctionValues!$A$2:$A$359,0)),0),IF(LeagueInfo!$F$7="FantasyPros",IFERROR(INDEX(DefaultAuctionValues!$D$2:$D$359,MATCH(A253,DefaultAuctionValues!$A$2:$A$359,0)),0))))</f>
        <v>1</v>
      </c>
      <c r="L253" s="201">
        <f ca="1">I253-K253</f>
        <v>-2.6333616911471207</v>
      </c>
      <c r="M253" s="213"/>
      <c r="N253" s="208">
        <f ca="1">INDEX(INDIRECT(""&amp;$B253&amp;"!y2:y709"),MATCH($A253,INDIRECT(""&amp;$B253&amp;"!B2:B709"),0))</f>
        <v>-3.41</v>
      </c>
      <c r="O253" s="217" t="str">
        <f ca="1">IF(INDEX(INDIRECT(""&amp;$B253&amp;"!V2:V700"),MATCH($A253,INDIRECT(""&amp;$B253&amp;"!B2:B700"),0))=0,"",INDEX(INDIRECT(""&amp;$B253&amp;"!V2:V700"),MATCH($A253,INDIRECT(""&amp;$B253&amp;"!B2:B700"),0)))</f>
        <v/>
      </c>
    </row>
    <row r="254" spans="1:15" x14ac:dyDescent="0.25">
      <c r="A254" s="195" t="s">
        <v>716</v>
      </c>
      <c r="B254" s="195" t="s">
        <v>47</v>
      </c>
      <c r="C254" s="199">
        <f ca="1">IFERROR(INDEX(BYEs!$B$2:$B$33,MATCH(D254,BYEs!$A$2:$A$33,0)),"N/A")</f>
        <v>8</v>
      </c>
      <c r="D254" s="195" t="str">
        <f ca="1">INDEX(INDIRECT(""&amp;B254&amp;"!E2:E700"),MATCH(A254,INDIRECT(""&amp;B254&amp;"!B2:B700"),0))</f>
        <v>ARI</v>
      </c>
      <c r="E254" s="194" t="str">
        <f ca="1">INDEX(INDIRECT(""&amp;$B254&amp;"!Z2:Z709"),MATCH($A254,INDIRECT(""&amp;$B254&amp;"!B2:B709"),0))</f>
        <v>TE9</v>
      </c>
      <c r="F254" s="196">
        <f ca="1">IF(LeagueInfo!$H$7="Starter/Bench",INDEX(INDIRECT(""&amp;B254&amp;"!S2:S709"),MATCH(A254,INDIRECT(""&amp;B254&amp;"!B2:B709"),0)),INDEX(INDIRECT(""&amp;B254&amp;"!AA2:AA709"),MATCH(A254,INDIRECT(""&amp;B254&amp;"!B2:B709"),0)))</f>
        <v>-1.8010087855463828</v>
      </c>
      <c r="G254" s="200">
        <f>IF(H254&gt;0,F254-H254,0)</f>
        <v>0</v>
      </c>
      <c r="H254" s="198"/>
      <c r="I254" s="200">
        <f ca="1">F254*$A$2</f>
        <v>-1.8010087855463828</v>
      </c>
      <c r="J254" s="197" t="s">
        <v>80</v>
      </c>
      <c r="K254" s="197">
        <f>IF(LeagueInfo!$F$7="Yahoo",IFERROR(INDEX(DefaultAuctionValues!$B$2:$B$359,MATCH(A254,DefaultAuctionValues!$A$2:$A$359,0)),0),IF(LeagueInfo!$F$7="ESPN",IFERROR(INDEX(DefaultAuctionValues!$C$2:$C$359,MATCH(A254,DefaultAuctionValues!$A$2:$A$359,0)),0),IF(LeagueInfo!$F$7="FantasyPros",IFERROR(INDEX(DefaultAuctionValues!$D$2:$D$359,MATCH(A254,DefaultAuctionValues!$A$2:$A$359,0)),0))))</f>
        <v>0</v>
      </c>
      <c r="L254" s="201">
        <f ca="1">I254-K254</f>
        <v>-1.8010087855463828</v>
      </c>
      <c r="M254" s="213"/>
      <c r="N254" s="208">
        <f ca="1">INDEX(INDIRECT(""&amp;$B254&amp;"!y2:y709"),MATCH($A254,INDIRECT(""&amp;$B254&amp;"!B2:B709"),0))</f>
        <v>-3.7599999999999945</v>
      </c>
      <c r="O254" s="217" t="str">
        <f ca="1">IF(INDEX(INDIRECT(""&amp;$B254&amp;"!V2:V700"),MATCH($A254,INDIRECT(""&amp;$B254&amp;"!B2:B700"),0))=0,"",INDEX(INDIRECT(""&amp;$B254&amp;"!V2:V700"),MATCH($A254,INDIRECT(""&amp;$B254&amp;"!B2:B700"),0)))</f>
        <v/>
      </c>
    </row>
    <row r="255" spans="1:15" x14ac:dyDescent="0.25">
      <c r="A255" s="195" t="s">
        <v>896</v>
      </c>
      <c r="B255" s="195" t="s">
        <v>33</v>
      </c>
      <c r="C255" s="199">
        <f ca="1">IFERROR(INDEX(BYEs!$B$2:$B$33,MATCH(D255,BYEs!$A$2:$A$33,0)),"N/A")</f>
        <v>11</v>
      </c>
      <c r="D255" s="195" t="str">
        <f ca="1">INDEX(INDIRECT(""&amp;B255&amp;"!E2:E700"),MATCH(A255,INDIRECT(""&amp;B255&amp;"!B2:B700"),0))</f>
        <v>MIA</v>
      </c>
      <c r="E255" s="194" t="str">
        <f ca="1">INDEX(INDIRECT(""&amp;$B255&amp;"!Z2:Z709"),MATCH($A255,INDIRECT(""&amp;$B255&amp;"!B2:B709"),0))</f>
        <v>QB4</v>
      </c>
      <c r="F255" s="196">
        <f ca="1">IF(LeagueInfo!$H$7="Starter/Bench",INDEX(INDIRECT(""&amp;B255&amp;"!S2:S709"),MATCH(A255,INDIRECT(""&amp;B255&amp;"!B2:B709"),0)),INDEX(INDIRECT(""&amp;B255&amp;"!AA2:AA709"),MATCH(A255,INDIRECT(""&amp;B255&amp;"!B2:B709"),0)))</f>
        <v>-1.9035130089790804</v>
      </c>
      <c r="G255" s="200">
        <f>IF(H255&gt;0,F255-H255,0)</f>
        <v>0</v>
      </c>
      <c r="H255" s="198"/>
      <c r="I255" s="200">
        <f ca="1">F255*$A$2</f>
        <v>-1.9035130089790804</v>
      </c>
      <c r="J255" s="197" t="s">
        <v>80</v>
      </c>
      <c r="K255" s="197">
        <f>IF(LeagueInfo!$F$7="Yahoo",IFERROR(INDEX(DefaultAuctionValues!$B$2:$B$359,MATCH(A255,DefaultAuctionValues!$A$2:$A$359,0)),0),IF(LeagueInfo!$F$7="ESPN",IFERROR(INDEX(DefaultAuctionValues!$C$2:$C$359,MATCH(A255,DefaultAuctionValues!$A$2:$A$359,0)),0),IF(LeagueInfo!$F$7="FantasyPros",IFERROR(INDEX(DefaultAuctionValues!$D$2:$D$359,MATCH(A255,DefaultAuctionValues!$A$2:$A$359,0)),0))))</f>
        <v>1</v>
      </c>
      <c r="L255" s="201">
        <f ca="1">I255-K255</f>
        <v>-2.9035130089790804</v>
      </c>
      <c r="M255" s="213"/>
      <c r="N255" s="208">
        <f ca="1">INDEX(INDIRECT(""&amp;$B255&amp;"!y2:y709"),MATCH($A255,INDIRECT(""&amp;$B255&amp;"!B2:B709"),0))</f>
        <v>-3.9740000000000038</v>
      </c>
      <c r="O255" s="217" t="str">
        <f ca="1">IF(INDEX(INDIRECT(""&amp;$B255&amp;"!V2:V700"),MATCH($A255,INDIRECT(""&amp;$B255&amp;"!B2:B700"),0))=0,"",INDEX(INDIRECT(""&amp;$B255&amp;"!V2:V700"),MATCH($A255,INDIRECT(""&amp;$B255&amp;"!B2:B700"),0)))</f>
        <v/>
      </c>
    </row>
    <row r="256" spans="1:15" x14ac:dyDescent="0.25">
      <c r="A256" s="195" t="s">
        <v>317</v>
      </c>
      <c r="B256" s="195" t="s">
        <v>47</v>
      </c>
      <c r="C256" s="199">
        <f ca="1">IFERROR(INDEX(BYEs!$B$2:$B$33,MATCH(D256,BYEs!$A$2:$A$33,0)),"N/A")</f>
        <v>9</v>
      </c>
      <c r="D256" s="195" t="str">
        <f ca="1">INDEX(INDIRECT(""&amp;B256&amp;"!E2:E700"),MATCH(A256,INDIRECT(""&amp;B256&amp;"!B2:B700"),0))</f>
        <v>PIT</v>
      </c>
      <c r="E256" s="194" t="str">
        <f ca="1">INDEX(INDIRECT(""&amp;$B256&amp;"!Z2:Z709"),MATCH($A256,INDIRECT(""&amp;$B256&amp;"!B2:B709"),0))</f>
        <v>TE9</v>
      </c>
      <c r="F256" s="196">
        <f ca="1">IF(LeagueInfo!$H$7="Starter/Bench",INDEX(INDIRECT(""&amp;B256&amp;"!S2:S709"),MATCH(A256,INDIRECT(""&amp;B256&amp;"!B2:B709"),0)),INDEX(INDIRECT(""&amp;B256&amp;"!AA2:AA709"),MATCH(A256,INDIRECT(""&amp;B256&amp;"!B2:B709"),0)))</f>
        <v>-1.9686558799456482</v>
      </c>
      <c r="G256" s="200">
        <f>IF(H256&gt;0,F256-H256,0)</f>
        <v>0</v>
      </c>
      <c r="H256" s="198"/>
      <c r="I256" s="200">
        <f ca="1">F256*$A$2</f>
        <v>-1.9686558799456482</v>
      </c>
      <c r="J256" s="197" t="s">
        <v>80</v>
      </c>
      <c r="K256" s="197">
        <f>IF(LeagueInfo!$F$7="Yahoo",IFERROR(INDEX(DefaultAuctionValues!$B$2:$B$359,MATCH(A256,DefaultAuctionValues!$A$2:$A$359,0)),0),IF(LeagueInfo!$F$7="ESPN",IFERROR(INDEX(DefaultAuctionValues!$C$2:$C$359,MATCH(A256,DefaultAuctionValues!$A$2:$A$359,0)),0),IF(LeagueInfo!$F$7="FantasyPros",IFERROR(INDEX(DefaultAuctionValues!$D$2:$D$359,MATCH(A256,DefaultAuctionValues!$A$2:$A$359,0)),0))))</f>
        <v>1</v>
      </c>
      <c r="L256" s="201">
        <f ca="1">I256-K256</f>
        <v>-2.9686558799456479</v>
      </c>
      <c r="M256" s="213"/>
      <c r="N256" s="208">
        <f ca="1">INDEX(INDIRECT(""&amp;$B256&amp;"!y2:y709"),MATCH($A256,INDIRECT(""&amp;$B256&amp;"!B2:B709"),0))</f>
        <v>-4.1099999999999959</v>
      </c>
      <c r="O256" s="217" t="str">
        <f ca="1">IF(INDEX(INDIRECT(""&amp;$B256&amp;"!V2:V700"),MATCH($A256,INDIRECT(""&amp;$B256&amp;"!B2:B700"),0))=0,"",INDEX(INDIRECT(""&amp;$B256&amp;"!V2:V700"),MATCH($A256,INDIRECT(""&amp;$B256&amp;"!B2:B700"),0)))</f>
        <v/>
      </c>
    </row>
    <row r="257" spans="1:15" x14ac:dyDescent="0.25">
      <c r="A257" s="195" t="s">
        <v>722</v>
      </c>
      <c r="B257" s="195" t="s">
        <v>47</v>
      </c>
      <c r="C257" s="199">
        <f ca="1">IFERROR(INDEX(BYEs!$B$2:$B$33,MATCH(D257,BYEs!$A$2:$A$33,0)),"N/A")</f>
        <v>11</v>
      </c>
      <c r="D257" s="195" t="str">
        <f ca="1">INDEX(INDIRECT(""&amp;B257&amp;"!E2:E700"),MATCH(A257,INDIRECT(""&amp;B257&amp;"!B2:B700"),0))</f>
        <v>NYJ</v>
      </c>
      <c r="E257" s="194" t="str">
        <f ca="1">INDEX(INDIRECT(""&amp;$B257&amp;"!Z2:Z709"),MATCH($A257,INDIRECT(""&amp;$B257&amp;"!B2:B709"),0))</f>
        <v>TE9</v>
      </c>
      <c r="F257" s="196">
        <f ca="1">IF(LeagueInfo!$H$7="Starter/Bench",INDEX(INDIRECT(""&amp;B257&amp;"!S2:S709"),MATCH(A257,INDIRECT(""&amp;B257&amp;"!B2:B709"),0)),INDEX(INDIRECT(""&amp;B257&amp;"!AA2:AA709"),MATCH(A257,INDIRECT(""&amp;B257&amp;"!B2:B709"),0)))</f>
        <v>-2.057269344128116</v>
      </c>
      <c r="G257" s="200">
        <f>IF(H257&gt;0,F257-H257,0)</f>
        <v>0</v>
      </c>
      <c r="H257" s="198"/>
      <c r="I257" s="200">
        <f ca="1">F257*$A$2</f>
        <v>-2.057269344128116</v>
      </c>
      <c r="J257" s="197" t="s">
        <v>80</v>
      </c>
      <c r="K257" s="197">
        <f>IF(LeagueInfo!$F$7="Yahoo",IFERROR(INDEX(DefaultAuctionValues!$B$2:$B$359,MATCH(A257,DefaultAuctionValues!$A$2:$A$359,0)),0),IF(LeagueInfo!$F$7="ESPN",IFERROR(INDEX(DefaultAuctionValues!$C$2:$C$359,MATCH(A257,DefaultAuctionValues!$A$2:$A$359,0)),0),IF(LeagueInfo!$F$7="FantasyPros",IFERROR(INDEX(DefaultAuctionValues!$D$2:$D$359,MATCH(A257,DefaultAuctionValues!$A$2:$A$359,0)),0))))</f>
        <v>0</v>
      </c>
      <c r="L257" s="201">
        <f ca="1">I257-K257</f>
        <v>-2.057269344128116</v>
      </c>
      <c r="M257" s="213"/>
      <c r="N257" s="208">
        <f ca="1">INDEX(INDIRECT(""&amp;$B257&amp;"!y2:y709"),MATCH($A257,INDIRECT(""&amp;$B257&amp;"!B2:B709"),0))</f>
        <v>-4.2949999999999946</v>
      </c>
      <c r="O257" s="217" t="str">
        <f ca="1">IF(INDEX(INDIRECT(""&amp;$B257&amp;"!V2:V700"),MATCH($A257,INDIRECT(""&amp;$B257&amp;"!B2:B700"),0))=0,"",INDEX(INDIRECT(""&amp;$B257&amp;"!V2:V700"),MATCH($A257,INDIRECT(""&amp;$B257&amp;"!B2:B700"),0)))</f>
        <v/>
      </c>
    </row>
    <row r="258" spans="1:15" x14ac:dyDescent="0.25">
      <c r="A258" s="195" t="s">
        <v>442</v>
      </c>
      <c r="B258" s="195" t="s">
        <v>32</v>
      </c>
      <c r="C258" s="199">
        <f ca="1">IFERROR(INDEX(BYEs!$B$2:$B$33,MATCH(D258,BYEs!$A$2:$A$33,0)),"N/A")</f>
        <v>10</v>
      </c>
      <c r="D258" s="195" t="str">
        <f ca="1">INDEX(INDIRECT(""&amp;B258&amp;"!E2:E700"),MATCH(A258,INDIRECT(""&amp;B258&amp;"!B2:B700"),0))</f>
        <v>OAK</v>
      </c>
      <c r="E258" s="194" t="str">
        <f ca="1">INDEX(INDIRECT(""&amp;$B258&amp;"!Z2:Z709"),MATCH($A258,INDIRECT(""&amp;$B258&amp;"!B2:B709"),0))</f>
        <v>RB10</v>
      </c>
      <c r="F258" s="196">
        <f ca="1">IF(LeagueInfo!$H$7="Starter/Bench",INDEX(INDIRECT(""&amp;B258&amp;"!S2:S709"),MATCH(A258,INDIRECT(""&amp;B258&amp;"!B2:B709"),0)),INDEX(INDIRECT(""&amp;B258&amp;"!AA2:AA709"),MATCH(A258,INDIRECT(""&amp;B258&amp;"!B2:B709"),0)))</f>
        <v>-2.0931937214993916</v>
      </c>
      <c r="G258" s="200">
        <f>IF(H258&gt;0,F258-H258,0)</f>
        <v>0</v>
      </c>
      <c r="H258" s="198"/>
      <c r="I258" s="200">
        <f ca="1">F258*$A$2</f>
        <v>-2.0931937214993916</v>
      </c>
      <c r="J258" s="197" t="s">
        <v>80</v>
      </c>
      <c r="K258" s="197">
        <f>IF(LeagueInfo!$F$7="Yahoo",IFERROR(INDEX(DefaultAuctionValues!$B$2:$B$359,MATCH(A258,DefaultAuctionValues!$A$2:$A$359,0)),0),IF(LeagueInfo!$F$7="ESPN",IFERROR(INDEX(DefaultAuctionValues!$C$2:$C$359,MATCH(A258,DefaultAuctionValues!$A$2:$A$359,0)),0),IF(LeagueInfo!$F$7="FantasyPros",IFERROR(INDEX(DefaultAuctionValues!$D$2:$D$359,MATCH(A258,DefaultAuctionValues!$A$2:$A$359,0)),0))))</f>
        <v>0</v>
      </c>
      <c r="L258" s="201">
        <f ca="1">I258-K258</f>
        <v>-2.0931937214993916</v>
      </c>
      <c r="M258" s="213"/>
      <c r="N258" s="208">
        <f ca="1">INDEX(INDIRECT(""&amp;$B258&amp;"!y2:y709"),MATCH($A258,INDIRECT(""&amp;$B258&amp;"!B2:B709"),0))</f>
        <v>-4.3700000000000045</v>
      </c>
      <c r="O258" s="217" t="str">
        <f ca="1">IF(INDEX(INDIRECT(""&amp;$B258&amp;"!V2:V700"),MATCH($A258,INDIRECT(""&amp;$B258&amp;"!B2:B700"),0))=0,"",INDEX(INDIRECT(""&amp;$B258&amp;"!V2:V700"),MATCH($A258,INDIRECT(""&amp;$B258&amp;"!B2:B700"),0)))</f>
        <v/>
      </c>
    </row>
    <row r="259" spans="1:15" x14ac:dyDescent="0.25">
      <c r="A259" s="195" t="s">
        <v>448</v>
      </c>
      <c r="B259" s="195" t="s">
        <v>32</v>
      </c>
      <c r="C259" s="199">
        <f ca="1">IFERROR(INDEX(BYEs!$B$2:$B$33,MATCH(D259,BYEs!$A$2:$A$33,0)),"N/A")</f>
        <v>5</v>
      </c>
      <c r="D259" s="195" t="str">
        <f ca="1">INDEX(INDIRECT(""&amp;B259&amp;"!E2:E700"),MATCH(A259,INDIRECT(""&amp;B259&amp;"!B2:B700"),0))</f>
        <v>NO</v>
      </c>
      <c r="E259" s="194" t="str">
        <f ca="1">INDEX(INDIRECT(""&amp;$B259&amp;"!Z2:Z709"),MATCH($A259,INDIRECT(""&amp;$B259&amp;"!B2:B709"),0))</f>
        <v>RB10</v>
      </c>
      <c r="F259" s="196">
        <f ca="1">IF(LeagueInfo!$H$7="Starter/Bench",INDEX(INDIRECT(""&amp;B259&amp;"!S2:S709"),MATCH(A259,INDIRECT(""&amp;B259&amp;"!B2:B709"),0)),INDEX(INDIRECT(""&amp;B259&amp;"!AA2:AA709"),MATCH(A259,INDIRECT(""&amp;B259&amp;"!B2:B709"),0)))</f>
        <v>-2.1219332233964079</v>
      </c>
      <c r="G259" s="200">
        <f>IF(H259&gt;0,F259-H259,0)</f>
        <v>0</v>
      </c>
      <c r="H259" s="198"/>
      <c r="I259" s="200">
        <f ca="1">F259*$A$2</f>
        <v>-2.1219332233964079</v>
      </c>
      <c r="J259" s="197" t="s">
        <v>80</v>
      </c>
      <c r="K259" s="197">
        <f>IF(LeagueInfo!$F$7="Yahoo",IFERROR(INDEX(DefaultAuctionValues!$B$2:$B$359,MATCH(A259,DefaultAuctionValues!$A$2:$A$359,0)),0),IF(LeagueInfo!$F$7="ESPN",IFERROR(INDEX(DefaultAuctionValues!$C$2:$C$359,MATCH(A259,DefaultAuctionValues!$A$2:$A$359,0)),0),IF(LeagueInfo!$F$7="FantasyPros",IFERROR(INDEX(DefaultAuctionValues!$D$2:$D$359,MATCH(A259,DefaultAuctionValues!$A$2:$A$359,0)),0))))</f>
        <v>0</v>
      </c>
      <c r="L259" s="201">
        <f ca="1">I259-K259</f>
        <v>-2.1219332233964079</v>
      </c>
      <c r="M259" s="213"/>
      <c r="N259" s="208">
        <f ca="1">INDEX(INDIRECT(""&amp;$B259&amp;"!y2:y709"),MATCH($A259,INDIRECT(""&amp;$B259&amp;"!B2:B709"),0))</f>
        <v>-4.4300000000000033</v>
      </c>
      <c r="O259" s="217" t="str">
        <f ca="1">IF(INDEX(INDIRECT(""&amp;$B259&amp;"!V2:V700"),MATCH($A259,INDIRECT(""&amp;$B259&amp;"!B2:B700"),0))=0,"",INDEX(INDIRECT(""&amp;$B259&amp;"!V2:V700"),MATCH($A259,INDIRECT(""&amp;$B259&amp;"!B2:B700"),0)))</f>
        <v/>
      </c>
    </row>
    <row r="260" spans="1:15" x14ac:dyDescent="0.25">
      <c r="A260" s="195" t="s">
        <v>560</v>
      </c>
      <c r="B260" s="195" t="s">
        <v>39</v>
      </c>
      <c r="C260" s="199">
        <f ca="1">IFERROR(INDEX(BYEs!$B$2:$B$33,MATCH(D260,BYEs!$A$2:$A$33,0)),"N/A")</f>
        <v>8</v>
      </c>
      <c r="D260" s="195" t="str">
        <f ca="1">INDEX(INDIRECT(""&amp;B260&amp;"!E2:E700"),MATCH(A260,INDIRECT(""&amp;B260&amp;"!B2:B700"),0))</f>
        <v>JAC</v>
      </c>
      <c r="E260" s="194" t="str">
        <f ca="1">INDEX(INDIRECT(""&amp;$B260&amp;"!Z2:Z709"),MATCH($A260,INDIRECT(""&amp;$B260&amp;"!B2:B709"),0))</f>
        <v>WR8</v>
      </c>
      <c r="F260" s="196">
        <f ca="1">IF(LeagueInfo!$H$7="Starter/Bench",INDEX(INDIRECT(""&amp;B260&amp;"!S2:S709"),MATCH(A260,INDIRECT(""&amp;B260&amp;"!B2:B709"),0)),INDEX(INDIRECT(""&amp;B260&amp;"!AA2:AA709"),MATCH(A260,INDIRECT(""&amp;B260&amp;"!B2:B709"),0)))</f>
        <v>-2.3853786574523954</v>
      </c>
      <c r="G260" s="200">
        <f>IF(H260&gt;0,F260-H260,0)</f>
        <v>0</v>
      </c>
      <c r="H260" s="198"/>
      <c r="I260" s="200">
        <f ca="1">F260*$A$2</f>
        <v>-2.3853786574523954</v>
      </c>
      <c r="J260" s="197" t="s">
        <v>80</v>
      </c>
      <c r="K260" s="197">
        <f>IF(LeagueInfo!$F$7="Yahoo",IFERROR(INDEX(DefaultAuctionValues!$B$2:$B$359,MATCH(A260,DefaultAuctionValues!$A$2:$A$359,0)),0),IF(LeagueInfo!$F$7="ESPN",IFERROR(INDEX(DefaultAuctionValues!$C$2:$C$359,MATCH(A260,DefaultAuctionValues!$A$2:$A$359,0)),0),IF(LeagueInfo!$F$7="FantasyPros",IFERROR(INDEX(DefaultAuctionValues!$D$2:$D$359,MATCH(A260,DefaultAuctionValues!$A$2:$A$359,0)),0))))</f>
        <v>0</v>
      </c>
      <c r="L260" s="201">
        <f ca="1">I260-K260</f>
        <v>-2.3853786574523954</v>
      </c>
      <c r="M260" s="213"/>
      <c r="N260" s="208">
        <f ca="1">INDEX(INDIRECT(""&amp;$B260&amp;"!y2:y709"),MATCH($A260,INDIRECT(""&amp;$B260&amp;"!B2:B709"),0))</f>
        <v>-4.980000000000004</v>
      </c>
      <c r="O260" s="217" t="str">
        <f ca="1">IF(INDEX(INDIRECT(""&amp;$B260&amp;"!V2:V700"),MATCH($A260,INDIRECT(""&amp;$B260&amp;"!B2:B700"),0))=0,"",INDEX(INDIRECT(""&amp;$B260&amp;"!V2:V700"),MATCH($A260,INDIRECT(""&amp;$B260&amp;"!B2:B700"),0)))</f>
        <v/>
      </c>
    </row>
    <row r="261" spans="1:15" x14ac:dyDescent="0.25">
      <c r="A261" s="195" t="s">
        <v>243</v>
      </c>
      <c r="B261" s="195" t="s">
        <v>39</v>
      </c>
      <c r="C261" s="199">
        <f ca="1">IFERROR(INDEX(BYEs!$B$2:$B$33,MATCH(D261,BYEs!$A$2:$A$33,0)),"N/A")</f>
        <v>8</v>
      </c>
      <c r="D261" s="195" t="str">
        <f ca="1">INDEX(INDIRECT(""&amp;B261&amp;"!E2:E700"),MATCH(A261,INDIRECT(""&amp;B261&amp;"!B2:B700"),0))</f>
        <v>ARI</v>
      </c>
      <c r="E261" s="194" t="str">
        <f ca="1">INDEX(INDIRECT(""&amp;$B261&amp;"!Z2:Z709"),MATCH($A261,INDIRECT(""&amp;$B261&amp;"!B2:B709"),0))</f>
        <v>WR8</v>
      </c>
      <c r="F261" s="196">
        <f ca="1">IF(LeagueInfo!$H$7="Starter/Bench",INDEX(INDIRECT(""&amp;B261&amp;"!S2:S709"),MATCH(A261,INDIRECT(""&amp;B261&amp;"!B2:B709"),0)),INDEX(INDIRECT(""&amp;B261&amp;"!AA2:AA709"),MATCH(A261,INDIRECT(""&amp;B261&amp;"!B2:B709"),0)))</f>
        <v>-2.6847484688796501</v>
      </c>
      <c r="G261" s="200">
        <f>IF(H261&gt;0,F261-H261,0)</f>
        <v>0</v>
      </c>
      <c r="H261" s="198"/>
      <c r="I261" s="200">
        <f ca="1">F261*$A$2</f>
        <v>-2.6847484688796501</v>
      </c>
      <c r="J261" s="197" t="s">
        <v>80</v>
      </c>
      <c r="K261" s="197">
        <f>IF(LeagueInfo!$F$7="Yahoo",IFERROR(INDEX(DefaultAuctionValues!$B$2:$B$359,MATCH(A261,DefaultAuctionValues!$A$2:$A$359,0)),0),IF(LeagueInfo!$F$7="ESPN",IFERROR(INDEX(DefaultAuctionValues!$C$2:$C$359,MATCH(A261,DefaultAuctionValues!$A$2:$A$359,0)),0),IF(LeagueInfo!$F$7="FantasyPros",IFERROR(INDEX(DefaultAuctionValues!$D$2:$D$359,MATCH(A261,DefaultAuctionValues!$A$2:$A$359,0)),0))))</f>
        <v>1</v>
      </c>
      <c r="L261" s="201">
        <f ca="1">I261-K261</f>
        <v>-3.6847484688796501</v>
      </c>
      <c r="M261" s="213"/>
      <c r="N261" s="208">
        <f ca="1">INDEX(INDIRECT(""&amp;$B261&amp;"!y2:y709"),MATCH($A261,INDIRECT(""&amp;$B261&amp;"!B2:B709"),0))</f>
        <v>-5.6049999999999969</v>
      </c>
      <c r="O261" s="217" t="str">
        <f ca="1">IF(INDEX(INDIRECT(""&amp;$B261&amp;"!V2:V700"),MATCH($A261,INDIRECT(""&amp;$B261&amp;"!B2:B700"),0))=0,"",INDEX(INDIRECT(""&amp;$B261&amp;"!V2:V700"),MATCH($A261,INDIRECT(""&amp;$B261&amp;"!B2:B700"),0)))</f>
        <v/>
      </c>
    </row>
    <row r="262" spans="1:15" x14ac:dyDescent="0.25">
      <c r="A262" s="195" t="s">
        <v>942</v>
      </c>
      <c r="B262" s="195" t="s">
        <v>32</v>
      </c>
      <c r="C262" s="199">
        <f ca="1">IFERROR(INDEX(BYEs!$B$2:$B$33,MATCH(D262,BYEs!$A$2:$A$33,0)),"N/A")</f>
        <v>11</v>
      </c>
      <c r="D262" s="195" t="str">
        <f ca="1">INDEX(INDIRECT(""&amp;B262&amp;"!E2:E700"),MATCH(A262,INDIRECT(""&amp;B262&amp;"!B2:B700"),0))</f>
        <v>SF</v>
      </c>
      <c r="E262" s="194" t="str">
        <f ca="1">INDEX(INDIRECT(""&amp;$B262&amp;"!Z2:Z709"),MATCH($A262,INDIRECT(""&amp;$B262&amp;"!B2:B709"),0))</f>
        <v>RB10</v>
      </c>
      <c r="F262" s="196">
        <f ca="1">IF(LeagueInfo!$H$7="Starter/Bench",INDEX(INDIRECT(""&amp;B262&amp;"!S2:S709"),MATCH(A262,INDIRECT(""&amp;B262&amp;"!B2:B709"),0)),INDEX(INDIRECT(""&amp;B262&amp;"!AA2:AA709"),MATCH(A262,INDIRECT(""&amp;B262&amp;"!B2:B709"),0)))</f>
        <v>-2.8140762274162308</v>
      </c>
      <c r="G262" s="200">
        <f>IF(H262&gt;0,F262-H262,0)</f>
        <v>0</v>
      </c>
      <c r="H262" s="198"/>
      <c r="I262" s="200">
        <f ca="1">F262*$A$2</f>
        <v>-2.8140762274162308</v>
      </c>
      <c r="J262" s="197" t="s">
        <v>80</v>
      </c>
      <c r="K262" s="197">
        <f>IF(LeagueInfo!$F$7="Yahoo",IFERROR(INDEX(DefaultAuctionValues!$B$2:$B$359,MATCH(A262,DefaultAuctionValues!$A$2:$A$359,0)),0),IF(LeagueInfo!$F$7="ESPN",IFERROR(INDEX(DefaultAuctionValues!$C$2:$C$359,MATCH(A262,DefaultAuctionValues!$A$2:$A$359,0)),0),IF(LeagueInfo!$F$7="FantasyPros",IFERROR(INDEX(DefaultAuctionValues!$D$2:$D$359,MATCH(A262,DefaultAuctionValues!$A$2:$A$359,0)),0))))</f>
        <v>0</v>
      </c>
      <c r="L262" s="201">
        <f ca="1">I262-K262</f>
        <v>-2.8140762274162308</v>
      </c>
      <c r="M262" s="213"/>
      <c r="N262" s="208">
        <f ca="1">INDEX(INDIRECT(""&amp;$B262&amp;"!y2:y709"),MATCH($A262,INDIRECT(""&amp;$B262&amp;"!B2:B709"),0))</f>
        <v>-5.8750000000000071</v>
      </c>
      <c r="O262" s="217" t="str">
        <f ca="1">IF(INDEX(INDIRECT(""&amp;$B262&amp;"!V2:V700"),MATCH($A262,INDIRECT(""&amp;$B262&amp;"!B2:B700"),0))=0,"",INDEX(INDIRECT(""&amp;$B262&amp;"!V2:V700"),MATCH($A262,INDIRECT(""&amp;$B262&amp;"!B2:B700"),0)))</f>
        <v/>
      </c>
    </row>
    <row r="263" spans="1:15" x14ac:dyDescent="0.25">
      <c r="A263" s="195" t="s">
        <v>440</v>
      </c>
      <c r="B263" s="195" t="s">
        <v>32</v>
      </c>
      <c r="C263" s="199">
        <f ca="1">IFERROR(INDEX(BYEs!$B$2:$B$33,MATCH(D263,BYEs!$A$2:$A$33,0)),"N/A")</f>
        <v>8</v>
      </c>
      <c r="D263" s="195" t="str">
        <f ca="1">INDEX(INDIRECT(""&amp;B263&amp;"!E2:E700"),MATCH(A263,INDIRECT(""&amp;B263&amp;"!B2:B700"),0))</f>
        <v>JAC</v>
      </c>
      <c r="E263" s="194" t="str">
        <f ca="1">INDEX(INDIRECT(""&amp;$B263&amp;"!Z2:Z709"),MATCH($A263,INDIRECT(""&amp;$B263&amp;"!B2:B709"),0))</f>
        <v>RB11</v>
      </c>
      <c r="F263" s="196">
        <f ca="1">IF(LeagueInfo!$H$7="Starter/Bench",INDEX(INDIRECT(""&amp;B263&amp;"!S2:S709"),MATCH(A263,INDIRECT(""&amp;B263&amp;"!B2:B709"),0)),INDEX(INDIRECT(""&amp;B263&amp;"!AA2:AA709"),MATCH(A263,INDIRECT(""&amp;B263&amp;"!B2:B709"),0)))</f>
        <v>-2.8260510198733204</v>
      </c>
      <c r="G263" s="200">
        <f>IF(H263&gt;0,F263-H263,0)</f>
        <v>0</v>
      </c>
      <c r="H263" s="198"/>
      <c r="I263" s="200">
        <f ca="1">F263*$A$2</f>
        <v>-2.8260510198733204</v>
      </c>
      <c r="J263" s="197" t="s">
        <v>80</v>
      </c>
      <c r="K263" s="197">
        <f>IF(LeagueInfo!$F$7="Yahoo",IFERROR(INDEX(DefaultAuctionValues!$B$2:$B$359,MATCH(A263,DefaultAuctionValues!$A$2:$A$359,0)),0),IF(LeagueInfo!$F$7="ESPN",IFERROR(INDEX(DefaultAuctionValues!$C$2:$C$359,MATCH(A263,DefaultAuctionValues!$A$2:$A$359,0)),0),IF(LeagueInfo!$F$7="FantasyPros",IFERROR(INDEX(DefaultAuctionValues!$D$2:$D$359,MATCH(A263,DefaultAuctionValues!$A$2:$A$359,0)),0))))</f>
        <v>0</v>
      </c>
      <c r="L263" s="201">
        <f ca="1">I263-K263</f>
        <v>-2.8260510198733204</v>
      </c>
      <c r="M263" s="213"/>
      <c r="N263" s="208">
        <f ca="1">INDEX(INDIRECT(""&amp;$B263&amp;"!y2:y709"),MATCH($A263,INDIRECT(""&amp;$B263&amp;"!B2:B709"),0))</f>
        <v>-5.9000000000000057</v>
      </c>
      <c r="O263" s="217" t="str">
        <f ca="1">IF(INDEX(INDIRECT(""&amp;$B263&amp;"!V2:V700"),MATCH($A263,INDIRECT(""&amp;$B263&amp;"!B2:B700"),0))=0,"",INDEX(INDIRECT(""&amp;$B263&amp;"!V2:V700"),MATCH($A263,INDIRECT(""&amp;$B263&amp;"!B2:B700"),0)))</f>
        <v/>
      </c>
    </row>
    <row r="264" spans="1:15" x14ac:dyDescent="0.25">
      <c r="A264" s="195" t="s">
        <v>719</v>
      </c>
      <c r="B264" s="195" t="s">
        <v>47</v>
      </c>
      <c r="C264" s="199">
        <f ca="1">IFERROR(INDEX(BYEs!$B$2:$B$33,MATCH(D264,BYEs!$A$2:$A$33,0)),"N/A")</f>
        <v>11</v>
      </c>
      <c r="D264" s="195" t="str">
        <f ca="1">INDEX(INDIRECT(""&amp;B264&amp;"!E2:E700"),MATCH(A264,INDIRECT(""&amp;B264&amp;"!B2:B700"),0))</f>
        <v>IND</v>
      </c>
      <c r="E264" s="194" t="str">
        <f ca="1">INDEX(INDIRECT(""&amp;$B264&amp;"!Z2:Z709"),MATCH($A264,INDIRECT(""&amp;$B264&amp;"!B2:B709"),0))</f>
        <v>TE9</v>
      </c>
      <c r="F264" s="196">
        <f ca="1">IF(LeagueInfo!$H$7="Starter/Bench",INDEX(INDIRECT(""&amp;B264&amp;"!S2:S709"),MATCH(A264,INDIRECT(""&amp;B264&amp;"!B2:B709"),0)),INDEX(INDIRECT(""&amp;B264&amp;"!AA2:AA709"),MATCH(A264,INDIRECT(""&amp;B264&amp;"!B2:B709"),0)))</f>
        <v>-3.1589502501804265</v>
      </c>
      <c r="G264" s="200">
        <f>IF(H264&gt;0,F264-H264,0)</f>
        <v>0</v>
      </c>
      <c r="H264" s="198"/>
      <c r="I264" s="200">
        <f ca="1">F264*$A$2</f>
        <v>-3.1589502501804265</v>
      </c>
      <c r="J264" s="197" t="s">
        <v>80</v>
      </c>
      <c r="K264" s="197">
        <f>IF(LeagueInfo!$F$7="Yahoo",IFERROR(INDEX(DefaultAuctionValues!$B$2:$B$359,MATCH(A264,DefaultAuctionValues!$A$2:$A$359,0)),0),IF(LeagueInfo!$F$7="ESPN",IFERROR(INDEX(DefaultAuctionValues!$C$2:$C$359,MATCH(A264,DefaultAuctionValues!$A$2:$A$359,0)),0),IF(LeagueInfo!$F$7="FantasyPros",IFERROR(INDEX(DefaultAuctionValues!$D$2:$D$359,MATCH(A264,DefaultAuctionValues!$A$2:$A$359,0)),0))))</f>
        <v>0</v>
      </c>
      <c r="L264" s="201">
        <f ca="1">I264-K264</f>
        <v>-3.1589502501804265</v>
      </c>
      <c r="M264" s="213"/>
      <c r="N264" s="208">
        <f ca="1">INDEX(INDIRECT(""&amp;$B264&amp;"!y2:y709"),MATCH($A264,INDIRECT(""&amp;$B264&amp;"!B2:B709"),0))</f>
        <v>-6.5949999999999953</v>
      </c>
      <c r="O264" s="217" t="str">
        <f ca="1">IF(INDEX(INDIRECT(""&amp;$B264&amp;"!V2:V700"),MATCH($A264,INDIRECT(""&amp;$B264&amp;"!B2:B700"),0))=0,"",INDEX(INDIRECT(""&amp;$B264&amp;"!V2:V700"),MATCH($A264,INDIRECT(""&amp;$B264&amp;"!B2:B700"),0)))</f>
        <v/>
      </c>
    </row>
    <row r="265" spans="1:15" x14ac:dyDescent="0.25">
      <c r="A265" s="195" t="s">
        <v>575</v>
      </c>
      <c r="B265" s="195" t="s">
        <v>39</v>
      </c>
      <c r="C265" s="199">
        <f ca="1">IFERROR(INDEX(BYEs!$B$2:$B$33,MATCH(D265,BYEs!$A$2:$A$33,0)),"N/A")</f>
        <v>9</v>
      </c>
      <c r="D265" s="195" t="str">
        <f ca="1">INDEX(INDIRECT(""&amp;B265&amp;"!E2:E700"),MATCH(A265,INDIRECT(""&amp;B265&amp;"!B2:B700"),0))</f>
        <v>CHI</v>
      </c>
      <c r="E265" s="194" t="str">
        <f ca="1">INDEX(INDIRECT(""&amp;$B265&amp;"!Z2:Z709"),MATCH($A265,INDIRECT(""&amp;$B265&amp;"!B2:B709"),0))</f>
        <v>WR8</v>
      </c>
      <c r="F265" s="196">
        <f ca="1">IF(LeagueInfo!$H$7="Starter/Bench",INDEX(INDIRECT(""&amp;B265&amp;"!S2:S709"),MATCH(A265,INDIRECT(""&amp;B265&amp;"!B2:B709"),0)),INDEX(INDIRECT(""&amp;B265&amp;"!AA2:AA709"),MATCH(A265,INDIRECT(""&amp;B265&amp;"!B2:B709"),0)))</f>
        <v>-3.5134041069103064</v>
      </c>
      <c r="G265" s="200">
        <f>IF(H265&gt;0,F265-H265,0)</f>
        <v>0</v>
      </c>
      <c r="H265" s="198"/>
      <c r="I265" s="200">
        <f ca="1">F265*$A$2</f>
        <v>-3.5134041069103064</v>
      </c>
      <c r="J265" s="197" t="s">
        <v>80</v>
      </c>
      <c r="K265" s="197">
        <f>IF(LeagueInfo!$F$7="Yahoo",IFERROR(INDEX(DefaultAuctionValues!$B$2:$B$359,MATCH(A265,DefaultAuctionValues!$A$2:$A$359,0)),0),IF(LeagueInfo!$F$7="ESPN",IFERROR(INDEX(DefaultAuctionValues!$C$2:$C$359,MATCH(A265,DefaultAuctionValues!$A$2:$A$359,0)),0),IF(LeagueInfo!$F$7="FantasyPros",IFERROR(INDEX(DefaultAuctionValues!$D$2:$D$359,MATCH(A265,DefaultAuctionValues!$A$2:$A$359,0)),0))))</f>
        <v>0</v>
      </c>
      <c r="L265" s="201">
        <f ca="1">I265-K265</f>
        <v>-3.5134041069103064</v>
      </c>
      <c r="M265" s="213"/>
      <c r="N265" s="208">
        <f ca="1">INDEX(INDIRECT(""&amp;$B265&amp;"!y2:y709"),MATCH($A265,INDIRECT(""&amp;$B265&amp;"!B2:B709"),0))</f>
        <v>-7.335000000000008</v>
      </c>
      <c r="O265" s="217" t="str">
        <f ca="1">IF(INDEX(INDIRECT(""&amp;$B265&amp;"!V2:V700"),MATCH($A265,INDIRECT(""&amp;$B265&amp;"!B2:B700"),0))=0,"",INDEX(INDIRECT(""&amp;$B265&amp;"!V2:V700"),MATCH($A265,INDIRECT(""&amp;$B265&amp;"!B2:B700"),0)))</f>
        <v/>
      </c>
    </row>
    <row r="266" spans="1:15" x14ac:dyDescent="0.25">
      <c r="A266" s="195" t="s">
        <v>565</v>
      </c>
      <c r="B266" s="195" t="s">
        <v>39</v>
      </c>
      <c r="C266" s="199">
        <f ca="1">IFERROR(INDEX(BYEs!$B$2:$B$33,MATCH(D266,BYEs!$A$2:$A$33,0)),"N/A")</f>
        <v>7</v>
      </c>
      <c r="D266" s="195" t="str">
        <f ca="1">INDEX(INDIRECT(""&amp;B266&amp;"!E2:E700"),MATCH(A266,INDIRECT(""&amp;B266&amp;"!B2:B700"),0))</f>
        <v>DET</v>
      </c>
      <c r="E266" s="194" t="str">
        <f ca="1">INDEX(INDIRECT(""&amp;$B266&amp;"!Z2:Z709"),MATCH($A266,INDIRECT(""&amp;$B266&amp;"!B2:B709"),0))</f>
        <v>WR8</v>
      </c>
      <c r="F266" s="196">
        <f ca="1">IF(LeagueInfo!$H$7="Starter/Bench",INDEX(INDIRECT(""&amp;B266&amp;"!S2:S709"),MATCH(A266,INDIRECT(""&amp;B266&amp;"!B2:B709"),0)),INDEX(INDIRECT(""&amp;B266&amp;"!AA2:AA709"),MATCH(A266,INDIRECT(""&amp;B266&amp;"!B2:B709"),0)))</f>
        <v>-3.5852528616528443</v>
      </c>
      <c r="G266" s="200">
        <f>IF(H266&gt;0,F266-H266,0)</f>
        <v>0</v>
      </c>
      <c r="H266" s="198"/>
      <c r="I266" s="200">
        <f ca="1">F266*$A$2</f>
        <v>-3.5852528616528443</v>
      </c>
      <c r="J266" s="197" t="s">
        <v>80</v>
      </c>
      <c r="K266" s="197">
        <f>IF(LeagueInfo!$F$7="Yahoo",IFERROR(INDEX(DefaultAuctionValues!$B$2:$B$359,MATCH(A266,DefaultAuctionValues!$A$2:$A$359,0)),0),IF(LeagueInfo!$F$7="ESPN",IFERROR(INDEX(DefaultAuctionValues!$C$2:$C$359,MATCH(A266,DefaultAuctionValues!$A$2:$A$359,0)),0),IF(LeagueInfo!$F$7="FantasyPros",IFERROR(INDEX(DefaultAuctionValues!$D$2:$D$359,MATCH(A266,DefaultAuctionValues!$A$2:$A$359,0)),0))))</f>
        <v>1</v>
      </c>
      <c r="L266" s="201">
        <f ca="1">I266-K266</f>
        <v>-4.5852528616528438</v>
      </c>
      <c r="M266" s="213"/>
      <c r="N266" s="208">
        <f ca="1">INDEX(INDIRECT(""&amp;$B266&amp;"!y2:y709"),MATCH($A266,INDIRECT(""&amp;$B266&amp;"!B2:B709"),0))</f>
        <v>-7.4849999999999994</v>
      </c>
      <c r="O266" s="217" t="str">
        <f ca="1">IF(INDEX(INDIRECT(""&amp;$B266&amp;"!V2:V700"),MATCH($A266,INDIRECT(""&amp;$B266&amp;"!B2:B700"),0))=0,"",INDEX(INDIRECT(""&amp;$B266&amp;"!V2:V700"),MATCH($A266,INDIRECT(""&amp;$B266&amp;"!B2:B700"),0)))</f>
        <v/>
      </c>
    </row>
    <row r="267" spans="1:15" x14ac:dyDescent="0.25">
      <c r="A267" s="195" t="s">
        <v>446</v>
      </c>
      <c r="B267" s="195" t="s">
        <v>32</v>
      </c>
      <c r="C267" s="199">
        <f ca="1">IFERROR(INDEX(BYEs!$B$2:$B$33,MATCH(D267,BYEs!$A$2:$A$33,0)),"N/A")</f>
        <v>11</v>
      </c>
      <c r="D267" s="195" t="str">
        <f ca="1">INDEX(INDIRECT(""&amp;B267&amp;"!E2:E700"),MATCH(A267,INDIRECT(""&amp;B267&amp;"!B2:B700"),0))</f>
        <v>SF</v>
      </c>
      <c r="E267" s="194" t="str">
        <f ca="1">INDEX(INDIRECT(""&amp;$B267&amp;"!Z2:Z709"),MATCH($A267,INDIRECT(""&amp;$B267&amp;"!B2:B709"),0))</f>
        <v>RB11</v>
      </c>
      <c r="F267" s="196">
        <f ca="1">IF(LeagueInfo!$H$7="Starter/Bench",INDEX(INDIRECT(""&amp;B267&amp;"!S2:S709"),MATCH(A267,INDIRECT(""&amp;B267&amp;"!B2:B709"),0)),INDEX(INDIRECT(""&amp;B267&amp;"!AA2:AA709"),MATCH(A267,INDIRECT(""&amp;B267&amp;"!B2:B709"),0)))</f>
        <v>-3.6403369069554623</v>
      </c>
      <c r="G267" s="200">
        <f>IF(H267&gt;0,F267-H267,0)</f>
        <v>0</v>
      </c>
      <c r="H267" s="198"/>
      <c r="I267" s="200">
        <f ca="1">F267*$A$2</f>
        <v>-3.6403369069554623</v>
      </c>
      <c r="J267" s="197" t="s">
        <v>80</v>
      </c>
      <c r="K267" s="197">
        <f>IF(LeagueInfo!$F$7="Yahoo",IFERROR(INDEX(DefaultAuctionValues!$B$2:$B$359,MATCH(A267,DefaultAuctionValues!$A$2:$A$359,0)),0),IF(LeagueInfo!$F$7="ESPN",IFERROR(INDEX(DefaultAuctionValues!$C$2:$C$359,MATCH(A267,DefaultAuctionValues!$A$2:$A$359,0)),0),IF(LeagueInfo!$F$7="FantasyPros",IFERROR(INDEX(DefaultAuctionValues!$D$2:$D$359,MATCH(A267,DefaultAuctionValues!$A$2:$A$359,0)),0))))</f>
        <v>0</v>
      </c>
      <c r="L267" s="201">
        <f ca="1">I267-K267</f>
        <v>-3.6403369069554623</v>
      </c>
      <c r="M267" s="213"/>
      <c r="N267" s="208">
        <f ca="1">INDEX(INDIRECT(""&amp;$B267&amp;"!y2:y709"),MATCH($A267,INDIRECT(""&amp;$B267&amp;"!B2:B709"),0))</f>
        <v>-7.600000000000005</v>
      </c>
      <c r="O267" s="217" t="str">
        <f ca="1">IF(INDEX(INDIRECT(""&amp;$B267&amp;"!V2:V700"),MATCH($A267,INDIRECT(""&amp;$B267&amp;"!B2:B700"),0))=0,"",INDEX(INDIRECT(""&amp;$B267&amp;"!V2:V700"),MATCH($A267,INDIRECT(""&amp;$B267&amp;"!B2:B700"),0)))</f>
        <v/>
      </c>
    </row>
    <row r="268" spans="1:15" x14ac:dyDescent="0.25">
      <c r="A268" s="195" t="s">
        <v>451</v>
      </c>
      <c r="B268" s="195" t="s">
        <v>32</v>
      </c>
      <c r="C268" s="199">
        <f ca="1">IFERROR(INDEX(BYEs!$B$2:$B$33,MATCH(D268,BYEs!$A$2:$A$33,0)),"N/A")</f>
        <v>10</v>
      </c>
      <c r="D268" s="195" t="str">
        <f ca="1">INDEX(INDIRECT(""&amp;B268&amp;"!E2:E700"),MATCH(A268,INDIRECT(""&amp;B268&amp;"!B2:B700"),0))</f>
        <v>PHI</v>
      </c>
      <c r="E268" s="194" t="str">
        <f ca="1">INDEX(INDIRECT(""&amp;$B268&amp;"!Z2:Z709"),MATCH($A268,INDIRECT(""&amp;$B268&amp;"!B2:B709"),0))</f>
        <v>RB11</v>
      </c>
      <c r="F268" s="196">
        <f ca="1">IF(LeagueInfo!$H$7="Starter/Bench",INDEX(INDIRECT(""&amp;B268&amp;"!S2:S709"),MATCH(A268,INDIRECT(""&amp;B268&amp;"!B2:B709"),0)),INDEX(INDIRECT(""&amp;B268&amp;"!AA2:AA709"),MATCH(A268,INDIRECT(""&amp;B268&amp;"!B2:B709"),0)))</f>
        <v>-3.7145806201894231</v>
      </c>
      <c r="G268" s="200">
        <f>IF(H268&gt;0,F268-H268,0)</f>
        <v>0</v>
      </c>
      <c r="H268" s="198"/>
      <c r="I268" s="200">
        <f ca="1">F268*$A$2</f>
        <v>-3.7145806201894231</v>
      </c>
      <c r="J268" s="197" t="s">
        <v>80</v>
      </c>
      <c r="K268" s="197">
        <f>IF(LeagueInfo!$F$7="Yahoo",IFERROR(INDEX(DefaultAuctionValues!$B$2:$B$359,MATCH(A268,DefaultAuctionValues!$A$2:$A$359,0)),0),IF(LeagueInfo!$F$7="ESPN",IFERROR(INDEX(DefaultAuctionValues!$C$2:$C$359,MATCH(A268,DefaultAuctionValues!$A$2:$A$359,0)),0),IF(LeagueInfo!$F$7="FantasyPros",IFERROR(INDEX(DefaultAuctionValues!$D$2:$D$359,MATCH(A268,DefaultAuctionValues!$A$2:$A$359,0)),0))))</f>
        <v>0</v>
      </c>
      <c r="L268" s="201">
        <f ca="1">I268-K268</f>
        <v>-3.7145806201894231</v>
      </c>
      <c r="M268" s="213"/>
      <c r="N268" s="208">
        <f ca="1">INDEX(INDIRECT(""&amp;$B268&amp;"!y2:y709"),MATCH($A268,INDIRECT(""&amp;$B268&amp;"!B2:B709"),0))</f>
        <v>-7.7550000000000061</v>
      </c>
      <c r="O268" s="217" t="str">
        <f ca="1">IF(INDEX(INDIRECT(""&amp;$B268&amp;"!V2:V700"),MATCH($A268,INDIRECT(""&amp;$B268&amp;"!B2:B700"),0))=0,"",INDEX(INDIRECT(""&amp;$B268&amp;"!V2:V700"),MATCH($A268,INDIRECT(""&amp;$B268&amp;"!B2:B700"),0)))</f>
        <v/>
      </c>
    </row>
    <row r="269" spans="1:15" x14ac:dyDescent="0.25">
      <c r="A269" s="195" t="s">
        <v>558</v>
      </c>
      <c r="B269" s="195" t="s">
        <v>39</v>
      </c>
      <c r="C269" s="199">
        <f ca="1">IFERROR(INDEX(BYEs!$B$2:$B$33,MATCH(D269,BYEs!$A$2:$A$33,0)),"N/A")</f>
        <v>6</v>
      </c>
      <c r="D269" s="195" t="str">
        <f ca="1">INDEX(INDIRECT(""&amp;B269&amp;"!E2:E700"),MATCH(A269,INDIRECT(""&amp;B269&amp;"!B2:B700"),0))</f>
        <v>DAL</v>
      </c>
      <c r="E269" s="194" t="str">
        <f ca="1">INDEX(INDIRECT(""&amp;$B269&amp;"!Z2:Z709"),MATCH($A269,INDIRECT(""&amp;$B269&amp;"!B2:B709"),0))</f>
        <v>WR8</v>
      </c>
      <c r="F269" s="196">
        <f ca="1">IF(LeagueInfo!$H$7="Starter/Bench",INDEX(INDIRECT(""&amp;B269&amp;"!S2:S709"),MATCH(A269,INDIRECT(""&amp;B269&amp;"!B2:B709"),0)),INDEX(INDIRECT(""&amp;B269&amp;"!AA2:AA709"),MATCH(A269,INDIRECT(""&amp;B269&amp;"!B2:B709"),0)))</f>
        <v>-3.7241604541550917</v>
      </c>
      <c r="G269" s="200">
        <f>IF(H269&gt;0,F269-H269,0)</f>
        <v>0</v>
      </c>
      <c r="H269" s="198"/>
      <c r="I269" s="200">
        <f ca="1">F269*$A$2</f>
        <v>-3.7241604541550917</v>
      </c>
      <c r="J269" s="197" t="s">
        <v>80</v>
      </c>
      <c r="K269" s="197">
        <f>IF(LeagueInfo!$F$7="Yahoo",IFERROR(INDEX(DefaultAuctionValues!$B$2:$B$359,MATCH(A269,DefaultAuctionValues!$A$2:$A$359,0)),0),IF(LeagueInfo!$F$7="ESPN",IFERROR(INDEX(DefaultAuctionValues!$C$2:$C$359,MATCH(A269,DefaultAuctionValues!$A$2:$A$359,0)),0),IF(LeagueInfo!$F$7="FantasyPros",IFERROR(INDEX(DefaultAuctionValues!$D$2:$D$359,MATCH(A269,DefaultAuctionValues!$A$2:$A$359,0)),0))))</f>
        <v>0</v>
      </c>
      <c r="L269" s="201">
        <f ca="1">I269-K269</f>
        <v>-3.7241604541550917</v>
      </c>
      <c r="M269" s="213"/>
      <c r="N269" s="208">
        <f ca="1">INDEX(INDIRECT(""&amp;$B269&amp;"!y2:y709"),MATCH($A269,INDIRECT(""&amp;$B269&amp;"!B2:B709"),0))</f>
        <v>-7.7749999999999986</v>
      </c>
      <c r="O269" s="217" t="str">
        <f ca="1">IF(INDEX(INDIRECT(""&amp;$B269&amp;"!V2:V700"),MATCH($A269,INDIRECT(""&amp;$B269&amp;"!B2:B700"),0))=0,"",INDEX(INDIRECT(""&amp;$B269&amp;"!V2:V700"),MATCH($A269,INDIRECT(""&amp;$B269&amp;"!B2:B700"),0)))</f>
        <v/>
      </c>
    </row>
    <row r="270" spans="1:15" x14ac:dyDescent="0.25">
      <c r="A270" s="195" t="s">
        <v>447</v>
      </c>
      <c r="B270" s="195" t="s">
        <v>32</v>
      </c>
      <c r="C270" s="199">
        <f ca="1">IFERROR(INDEX(BYEs!$B$2:$B$33,MATCH(D270,BYEs!$A$2:$A$33,0)),"N/A")</f>
        <v>7</v>
      </c>
      <c r="D270" s="195" t="str">
        <f ca="1">INDEX(INDIRECT(""&amp;B270&amp;"!E2:E700"),MATCH(A270,INDIRECT(""&amp;B270&amp;"!B2:B700"),0))</f>
        <v>HOU</v>
      </c>
      <c r="E270" s="194" t="str">
        <f ca="1">INDEX(INDIRECT(""&amp;$B270&amp;"!Z2:Z709"),MATCH($A270,INDIRECT(""&amp;$B270&amp;"!B2:B709"),0))</f>
        <v>RB11</v>
      </c>
      <c r="F270" s="196">
        <f ca="1">IF(LeagueInfo!$H$7="Starter/Bench",INDEX(INDIRECT(""&amp;B270&amp;"!S2:S709"),MATCH(A270,INDIRECT(""&amp;B270&amp;"!B2:B709"),0)),INDEX(INDIRECT(""&amp;B270&amp;"!AA2:AA709"),MATCH(A270,INDIRECT(""&amp;B270&amp;"!B2:B709"),0)))</f>
        <v>-3.726555412646511</v>
      </c>
      <c r="G270" s="200">
        <f>IF(H270&gt;0,F270-H270,0)</f>
        <v>0</v>
      </c>
      <c r="H270" s="198"/>
      <c r="I270" s="200">
        <f ca="1">F270*$A$2</f>
        <v>-3.726555412646511</v>
      </c>
      <c r="J270" s="197" t="s">
        <v>80</v>
      </c>
      <c r="K270" s="197">
        <f>IF(LeagueInfo!$F$7="Yahoo",IFERROR(INDEX(DefaultAuctionValues!$B$2:$B$359,MATCH(A270,DefaultAuctionValues!$A$2:$A$359,0)),0),IF(LeagueInfo!$F$7="ESPN",IFERROR(INDEX(DefaultAuctionValues!$C$2:$C$359,MATCH(A270,DefaultAuctionValues!$A$2:$A$359,0)),0),IF(LeagueInfo!$F$7="FantasyPros",IFERROR(INDEX(DefaultAuctionValues!$D$2:$D$359,MATCH(A270,DefaultAuctionValues!$A$2:$A$359,0)),0))))</f>
        <v>0</v>
      </c>
      <c r="L270" s="201">
        <f ca="1">I270-K270</f>
        <v>-3.726555412646511</v>
      </c>
      <c r="M270" s="213"/>
      <c r="N270" s="208">
        <f ca="1">INDEX(INDIRECT(""&amp;$B270&amp;"!y2:y709"),MATCH($A270,INDIRECT(""&amp;$B270&amp;"!B2:B709"),0))</f>
        <v>-7.7800000000000011</v>
      </c>
      <c r="O270" s="217" t="str">
        <f ca="1">IF(INDEX(INDIRECT(""&amp;$B270&amp;"!V2:V700"),MATCH($A270,INDIRECT(""&amp;$B270&amp;"!B2:B700"),0))=0,"",INDEX(INDIRECT(""&amp;$B270&amp;"!V2:V700"),MATCH($A270,INDIRECT(""&amp;$B270&amp;"!B2:B700"),0)))</f>
        <v/>
      </c>
    </row>
    <row r="271" spans="1:15" x14ac:dyDescent="0.25">
      <c r="A271" s="195" t="s">
        <v>471</v>
      </c>
      <c r="B271" s="195" t="s">
        <v>32</v>
      </c>
      <c r="C271" s="199">
        <f ca="1">IFERROR(INDEX(BYEs!$B$2:$B$33,MATCH(D271,BYEs!$A$2:$A$33,0)),"N/A")</f>
        <v>10</v>
      </c>
      <c r="D271" s="195" t="str">
        <f ca="1">INDEX(INDIRECT(""&amp;B271&amp;"!E2:E700"),MATCH(A271,INDIRECT(""&amp;B271&amp;"!B2:B700"),0))</f>
        <v>KC</v>
      </c>
      <c r="E271" s="194" t="str">
        <f ca="1">INDEX(INDIRECT(""&amp;$B271&amp;"!Z2:Z709"),MATCH($A271,INDIRECT(""&amp;$B271&amp;"!B2:B709"),0))</f>
        <v>RB11</v>
      </c>
      <c r="F271" s="196">
        <f ca="1">IF(LeagueInfo!$H$7="Starter/Bench",INDEX(INDIRECT(""&amp;B271&amp;"!S2:S709"),MATCH(A271,INDIRECT(""&amp;B271&amp;"!B2:B709"),0)),INDEX(INDIRECT(""&amp;B271&amp;"!AA2:AA709"),MATCH(A271,INDIRECT(""&amp;B271&amp;"!B2:B709"),0)))</f>
        <v>-3.7337402881207655</v>
      </c>
      <c r="G271" s="200">
        <f>IF(H271&gt;0,F271-H271,0)</f>
        <v>0</v>
      </c>
      <c r="H271" s="198"/>
      <c r="I271" s="200">
        <f ca="1">F271*$A$2</f>
        <v>-3.7337402881207655</v>
      </c>
      <c r="J271" s="197" t="s">
        <v>80</v>
      </c>
      <c r="K271" s="197">
        <f>IF(LeagueInfo!$F$7="Yahoo",IFERROR(INDEX(DefaultAuctionValues!$B$2:$B$359,MATCH(A271,DefaultAuctionValues!$A$2:$A$359,0)),0),IF(LeagueInfo!$F$7="ESPN",IFERROR(INDEX(DefaultAuctionValues!$C$2:$C$359,MATCH(A271,DefaultAuctionValues!$A$2:$A$359,0)),0),IF(LeagueInfo!$F$7="FantasyPros",IFERROR(INDEX(DefaultAuctionValues!$D$2:$D$359,MATCH(A271,DefaultAuctionValues!$A$2:$A$359,0)),0))))</f>
        <v>0</v>
      </c>
      <c r="L271" s="201">
        <f ca="1">I271-K271</f>
        <v>-3.7337402881207655</v>
      </c>
      <c r="M271" s="213"/>
      <c r="N271" s="208">
        <f ca="1">INDEX(INDIRECT(""&amp;$B271&amp;"!y2:y709"),MATCH($A271,INDIRECT(""&amp;$B271&amp;"!B2:B709"),0))</f>
        <v>-7.7950000000000017</v>
      </c>
      <c r="O271" s="217" t="str">
        <f ca="1">IF(INDEX(INDIRECT(""&amp;$B271&amp;"!V2:V700"),MATCH($A271,INDIRECT(""&amp;$B271&amp;"!B2:B700"),0))=0,"",INDEX(INDIRECT(""&amp;$B271&amp;"!V2:V700"),MATCH($A271,INDIRECT(""&amp;$B271&amp;"!B2:B700"),0)))</f>
        <v/>
      </c>
    </row>
    <row r="272" spans="1:15" x14ac:dyDescent="0.25">
      <c r="A272" s="195" t="s">
        <v>717</v>
      </c>
      <c r="B272" s="195" t="s">
        <v>47</v>
      </c>
      <c r="C272" s="199">
        <f ca="1">IFERROR(INDEX(BYEs!$B$2:$B$33,MATCH(D272,BYEs!$A$2:$A$33,0)),"N/A")</f>
        <v>8</v>
      </c>
      <c r="D272" s="195" t="str">
        <f ca="1">INDEX(INDIRECT(""&amp;B272&amp;"!E2:E700"),MATCH(A272,INDIRECT(""&amp;B272&amp;"!B2:B700"),0))</f>
        <v>LAR</v>
      </c>
      <c r="E272" s="194" t="str">
        <f ca="1">INDEX(INDIRECT(""&amp;$B272&amp;"!Z2:Z709"),MATCH($A272,INDIRECT(""&amp;$B272&amp;"!B2:B709"),0))</f>
        <v>TE10</v>
      </c>
      <c r="F272" s="196">
        <f ca="1">IF(LeagueInfo!$H$7="Starter/Bench",INDEX(INDIRECT(""&amp;B272&amp;"!S2:S709"),MATCH(A272,INDIRECT(""&amp;B272&amp;"!B2:B709"),0)),INDEX(INDIRECT(""&amp;B272&amp;"!AA2:AA709"),MATCH(A272,INDIRECT(""&amp;B272&amp;"!B2:B709"),0)))</f>
        <v>-4.1025638957991459</v>
      </c>
      <c r="G272" s="200">
        <f>IF(H272&gt;0,F272-H272,0)</f>
        <v>0</v>
      </c>
      <c r="H272" s="198"/>
      <c r="I272" s="200">
        <f ca="1">F272*$A$2</f>
        <v>-4.1025638957991459</v>
      </c>
      <c r="J272" s="197" t="s">
        <v>80</v>
      </c>
      <c r="K272" s="197">
        <f>IF(LeagueInfo!$F$7="Yahoo",IFERROR(INDEX(DefaultAuctionValues!$B$2:$B$359,MATCH(A272,DefaultAuctionValues!$A$2:$A$359,0)),0),IF(LeagueInfo!$F$7="ESPN",IFERROR(INDEX(DefaultAuctionValues!$C$2:$C$359,MATCH(A272,DefaultAuctionValues!$A$2:$A$359,0)),0),IF(LeagueInfo!$F$7="FantasyPros",IFERROR(INDEX(DefaultAuctionValues!$D$2:$D$359,MATCH(A272,DefaultAuctionValues!$A$2:$A$359,0)),0))))</f>
        <v>0</v>
      </c>
      <c r="L272" s="201">
        <f ca="1">I272-K272</f>
        <v>-4.1025638957991459</v>
      </c>
      <c r="M272" s="213"/>
      <c r="N272" s="208">
        <f ca="1">INDEX(INDIRECT(""&amp;$B272&amp;"!y2:y709"),MATCH($A272,INDIRECT(""&amp;$B272&amp;"!B2:B709"),0))</f>
        <v>-8.5649999999999977</v>
      </c>
      <c r="O272" s="217" t="str">
        <f ca="1">IF(INDEX(INDIRECT(""&amp;$B272&amp;"!V2:V700"),MATCH($A272,INDIRECT(""&amp;$B272&amp;"!B2:B700"),0))=0,"",INDEX(INDIRECT(""&amp;$B272&amp;"!V2:V700"),MATCH($A272,INDIRECT(""&amp;$B272&amp;"!B2:B700"),0)))</f>
        <v/>
      </c>
    </row>
    <row r="273" spans="1:15" x14ac:dyDescent="0.25">
      <c r="A273" s="195" t="s">
        <v>276</v>
      </c>
      <c r="B273" s="195" t="s">
        <v>39</v>
      </c>
      <c r="C273" s="199">
        <f ca="1">IFERROR(INDEX(BYEs!$B$2:$B$33,MATCH(D273,BYEs!$A$2:$A$33,0)),"N/A")</f>
        <v>5</v>
      </c>
      <c r="D273" s="195" t="str">
        <f ca="1">INDEX(INDIRECT(""&amp;B273&amp;"!E2:E700"),MATCH(A273,INDIRECT(""&amp;B273&amp;"!B2:B700"),0))</f>
        <v>WAS</v>
      </c>
      <c r="E273" s="194" t="str">
        <f ca="1">INDEX(INDIRECT(""&amp;$B273&amp;"!Z2:Z709"),MATCH($A273,INDIRECT(""&amp;$B273&amp;"!B2:B709"),0))</f>
        <v>WR8</v>
      </c>
      <c r="F273" s="196">
        <f ca="1">IF(LeagueInfo!$H$7="Starter/Bench",INDEX(INDIRECT(""&amp;B273&amp;"!S2:S709"),MATCH(A273,INDIRECT(""&amp;B273&amp;"!B2:B709"),0)),INDEX(INDIRECT(""&amp;B273&amp;"!AA2:AA709"),MATCH(A273,INDIRECT(""&amp;B273&amp;"!B2:B709"),0)))</f>
        <v>-4.1935723184730307</v>
      </c>
      <c r="G273" s="200">
        <f>IF(H273&gt;0,F273-H273,0)</f>
        <v>0</v>
      </c>
      <c r="H273" s="198"/>
      <c r="I273" s="200">
        <f ca="1">F273*$A$2</f>
        <v>-4.1935723184730307</v>
      </c>
      <c r="J273" s="197" t="s">
        <v>80</v>
      </c>
      <c r="K273" s="197">
        <f>IF(LeagueInfo!$F$7="Yahoo",IFERROR(INDEX(DefaultAuctionValues!$B$2:$B$359,MATCH(A273,DefaultAuctionValues!$A$2:$A$359,0)),0),IF(LeagueInfo!$F$7="ESPN",IFERROR(INDEX(DefaultAuctionValues!$C$2:$C$359,MATCH(A273,DefaultAuctionValues!$A$2:$A$359,0)),0),IF(LeagueInfo!$F$7="FantasyPros",IFERROR(INDEX(DefaultAuctionValues!$D$2:$D$359,MATCH(A273,DefaultAuctionValues!$A$2:$A$359,0)),0))))</f>
        <v>1</v>
      </c>
      <c r="L273" s="201">
        <f ca="1">I273-K273</f>
        <v>-5.1935723184730307</v>
      </c>
      <c r="M273" s="213"/>
      <c r="N273" s="208">
        <f ca="1">INDEX(INDIRECT(""&amp;$B273&amp;"!y2:y709"),MATCH($A273,INDIRECT(""&amp;$B273&amp;"!B2:B709"),0))</f>
        <v>-8.7549999999999955</v>
      </c>
      <c r="O273" s="217" t="str">
        <f ca="1">IF(INDEX(INDIRECT(""&amp;$B273&amp;"!V2:V700"),MATCH($A273,INDIRECT(""&amp;$B273&amp;"!B2:B700"),0))=0,"",INDEX(INDIRECT(""&amp;$B273&amp;"!V2:V700"),MATCH($A273,INDIRECT(""&amp;$B273&amp;"!B2:B700"),0)))</f>
        <v/>
      </c>
    </row>
    <row r="274" spans="1:15" x14ac:dyDescent="0.25">
      <c r="A274" s="195" t="s">
        <v>269</v>
      </c>
      <c r="B274" s="195" t="s">
        <v>33</v>
      </c>
      <c r="C274" s="199">
        <f ca="1">IFERROR(INDEX(BYEs!$B$2:$B$33,MATCH(D274,BYEs!$A$2:$A$33,0)),"N/A")</f>
        <v>8</v>
      </c>
      <c r="D274" s="195" t="str">
        <f ca="1">INDEX(INDIRECT(""&amp;B274&amp;"!E2:E700"),MATCH(A274,INDIRECT(""&amp;B274&amp;"!B2:B700"),0))</f>
        <v>JAC</v>
      </c>
      <c r="E274" s="194" t="str">
        <f ca="1">INDEX(INDIRECT(""&amp;$B274&amp;"!Z2:Z709"),MATCH($A274,INDIRECT(""&amp;$B274&amp;"!B2:B709"),0))</f>
        <v>QB4</v>
      </c>
      <c r="F274" s="196">
        <f ca="1">IF(LeagueInfo!$H$7="Starter/Bench",INDEX(INDIRECT(""&amp;B274&amp;"!S2:S709"),MATCH(A274,INDIRECT(""&amp;B274&amp;"!B2:B709"),0)),INDEX(INDIRECT(""&amp;B274&amp;"!AA2:AA709"),MATCH(A274,INDIRECT(""&amp;B274&amp;"!B2:B709"),0)))</f>
        <v>-4.4139084996834903</v>
      </c>
      <c r="G274" s="200">
        <f>IF(H274&gt;0,F274-H274,0)</f>
        <v>0</v>
      </c>
      <c r="H274" s="198"/>
      <c r="I274" s="200">
        <f ca="1">F274*$A$2</f>
        <v>-4.4139084996834903</v>
      </c>
      <c r="J274" s="197" t="s">
        <v>80</v>
      </c>
      <c r="K274" s="197">
        <f>IF(LeagueInfo!$F$7="Yahoo",IFERROR(INDEX(DefaultAuctionValues!$B$2:$B$359,MATCH(A274,DefaultAuctionValues!$A$2:$A$359,0)),0),IF(LeagueInfo!$F$7="ESPN",IFERROR(INDEX(DefaultAuctionValues!$C$2:$C$359,MATCH(A274,DefaultAuctionValues!$A$2:$A$359,0)),0),IF(LeagueInfo!$F$7="FantasyPros",IFERROR(INDEX(DefaultAuctionValues!$D$2:$D$359,MATCH(A274,DefaultAuctionValues!$A$2:$A$359,0)),0))))</f>
        <v>1</v>
      </c>
      <c r="L274" s="201">
        <f ca="1">I274-K274</f>
        <v>-5.4139084996834903</v>
      </c>
      <c r="M274" s="213"/>
      <c r="N274" s="208">
        <f ca="1">INDEX(INDIRECT(""&amp;$B274&amp;"!y2:y709"),MATCH($A274,INDIRECT(""&amp;$B274&amp;"!B2:B709"),0))</f>
        <v>-9.2149999999999892</v>
      </c>
      <c r="O274" s="217" t="str">
        <f ca="1">IF(INDEX(INDIRECT(""&amp;$B274&amp;"!V2:V700"),MATCH($A274,INDIRECT(""&amp;$B274&amp;"!B2:B700"),0))=0,"",INDEX(INDIRECT(""&amp;$B274&amp;"!V2:V700"),MATCH($A274,INDIRECT(""&amp;$B274&amp;"!B2:B700"),0)))</f>
        <v/>
      </c>
    </row>
    <row r="275" spans="1:15" x14ac:dyDescent="0.25">
      <c r="A275" s="195" t="s">
        <v>718</v>
      </c>
      <c r="B275" s="195" t="s">
        <v>47</v>
      </c>
      <c r="C275" s="199">
        <f ca="1">IFERROR(INDEX(BYEs!$B$2:$B$33,MATCH(D275,BYEs!$A$2:$A$33,0)),"N/A")</f>
        <v>9</v>
      </c>
      <c r="D275" s="195" t="str">
        <f ca="1">INDEX(INDIRECT(""&amp;B275&amp;"!E2:E700"),MATCH(A275,INDIRECT(""&amp;B275&amp;"!B2:B700"),0))</f>
        <v>PIT</v>
      </c>
      <c r="E275" s="194" t="str">
        <f ca="1">INDEX(INDIRECT(""&amp;$B275&amp;"!Z2:Z709"),MATCH($A275,INDIRECT(""&amp;$B275&amp;"!B2:B709"),0))</f>
        <v>TE10</v>
      </c>
      <c r="F275" s="196">
        <f ca="1">IF(LeagueInfo!$H$7="Starter/Bench",INDEX(INDIRECT(""&amp;B275&amp;"!S2:S709"),MATCH(A275,INDIRECT(""&amp;B275&amp;"!B2:B709"),0)),INDEX(INDIRECT(""&amp;B275&amp;"!AA2:AA709"),MATCH(A275,INDIRECT(""&amp;B275&amp;"!B2:B709"),0)))</f>
        <v>-4.4354631261062565</v>
      </c>
      <c r="G275" s="200">
        <f>IF(H275&gt;0,F275-H275,0)</f>
        <v>0</v>
      </c>
      <c r="H275" s="198"/>
      <c r="I275" s="200">
        <f ca="1">F275*$A$2</f>
        <v>-4.4354631261062565</v>
      </c>
      <c r="J275" s="197" t="s">
        <v>80</v>
      </c>
      <c r="K275" s="197">
        <f>IF(LeagueInfo!$F$7="Yahoo",IFERROR(INDEX(DefaultAuctionValues!$B$2:$B$359,MATCH(A275,DefaultAuctionValues!$A$2:$A$359,0)),0),IF(LeagueInfo!$F$7="ESPN",IFERROR(INDEX(DefaultAuctionValues!$C$2:$C$359,MATCH(A275,DefaultAuctionValues!$A$2:$A$359,0)),0),IF(LeagueInfo!$F$7="FantasyPros",IFERROR(INDEX(DefaultAuctionValues!$D$2:$D$359,MATCH(A275,DefaultAuctionValues!$A$2:$A$359,0)),0))))</f>
        <v>0</v>
      </c>
      <c r="L275" s="201">
        <f ca="1">I275-K275</f>
        <v>-4.4354631261062565</v>
      </c>
      <c r="M275" s="213"/>
      <c r="N275" s="208">
        <f ca="1">INDEX(INDIRECT(""&amp;$B275&amp;"!y2:y709"),MATCH($A275,INDIRECT(""&amp;$B275&amp;"!B2:B709"),0))</f>
        <v>-9.259999999999998</v>
      </c>
      <c r="O275" s="217" t="str">
        <f ca="1">IF(INDEX(INDIRECT(""&amp;$B275&amp;"!V2:V700"),MATCH($A275,INDIRECT(""&amp;$B275&amp;"!B2:B700"),0))=0,"",INDEX(INDIRECT(""&amp;$B275&amp;"!V2:V700"),MATCH($A275,INDIRECT(""&amp;$B275&amp;"!B2:B700"),0)))</f>
        <v/>
      </c>
    </row>
    <row r="276" spans="1:15" x14ac:dyDescent="0.25">
      <c r="A276" s="195" t="s">
        <v>720</v>
      </c>
      <c r="B276" s="195" t="s">
        <v>47</v>
      </c>
      <c r="C276" s="199">
        <f ca="1">IFERROR(INDEX(BYEs!$B$2:$B$33,MATCH(D276,BYEs!$A$2:$A$33,0)),"N/A")</f>
        <v>10</v>
      </c>
      <c r="D276" s="195" t="str">
        <f ca="1">INDEX(INDIRECT(""&amp;B276&amp;"!E2:E700"),MATCH(A276,INDIRECT(""&amp;B276&amp;"!B2:B700"),0))</f>
        <v>BAL</v>
      </c>
      <c r="E276" s="194" t="str">
        <f ca="1">INDEX(INDIRECT(""&amp;$B276&amp;"!Z2:Z709"),MATCH($A276,INDIRECT(""&amp;$B276&amp;"!B2:B709"),0))</f>
        <v>TE10</v>
      </c>
      <c r="F276" s="196">
        <f ca="1">IF(LeagueInfo!$H$7="Starter/Bench",INDEX(INDIRECT(""&amp;B276&amp;"!S2:S709"),MATCH(A276,INDIRECT(""&amp;B276&amp;"!B2:B709"),0)),INDEX(INDIRECT(""&amp;B276&amp;"!AA2:AA709"),MATCH(A276,INDIRECT(""&amp;B276&amp;"!B2:B709"),0)))</f>
        <v>-4.4402530430890934</v>
      </c>
      <c r="G276" s="200">
        <f>IF(H276&gt;0,F276-H276,0)</f>
        <v>0</v>
      </c>
      <c r="H276" s="198"/>
      <c r="I276" s="200">
        <f ca="1">F276*$A$2</f>
        <v>-4.4402530430890934</v>
      </c>
      <c r="J276" s="197" t="s">
        <v>80</v>
      </c>
      <c r="K276" s="197">
        <f>IF(LeagueInfo!$F$7="Yahoo",IFERROR(INDEX(DefaultAuctionValues!$B$2:$B$359,MATCH(A276,DefaultAuctionValues!$A$2:$A$359,0)),0),IF(LeagueInfo!$F$7="ESPN",IFERROR(INDEX(DefaultAuctionValues!$C$2:$C$359,MATCH(A276,DefaultAuctionValues!$A$2:$A$359,0)),0),IF(LeagueInfo!$F$7="FantasyPros",IFERROR(INDEX(DefaultAuctionValues!$D$2:$D$359,MATCH(A276,DefaultAuctionValues!$A$2:$A$359,0)),0))))</f>
        <v>0</v>
      </c>
      <c r="L276" s="201">
        <f ca="1">I276-K276</f>
        <v>-4.4402530430890934</v>
      </c>
      <c r="M276" s="213"/>
      <c r="N276" s="208">
        <f ca="1">INDEX(INDIRECT(""&amp;$B276&amp;"!y2:y709"),MATCH($A276,INDIRECT(""&amp;$B276&amp;"!B2:B709"),0))</f>
        <v>-9.27</v>
      </c>
      <c r="O276" s="217" t="str">
        <f ca="1">IF(INDEX(INDIRECT(""&amp;$B276&amp;"!V2:V700"),MATCH($A276,INDIRECT(""&amp;$B276&amp;"!B2:B700"),0))=0,"",INDEX(INDIRECT(""&amp;$B276&amp;"!V2:V700"),MATCH($A276,INDIRECT(""&amp;$B276&amp;"!B2:B700"),0)))</f>
        <v/>
      </c>
    </row>
    <row r="277" spans="1:15" x14ac:dyDescent="0.25">
      <c r="A277" s="195" t="s">
        <v>287</v>
      </c>
      <c r="B277" s="195" t="s">
        <v>47</v>
      </c>
      <c r="C277" s="199">
        <f ca="1">IFERROR(INDEX(BYEs!$B$2:$B$33,MATCH(D277,BYEs!$A$2:$A$33,0)),"N/A")</f>
        <v>9</v>
      </c>
      <c r="D277" s="195" t="str">
        <f ca="1">INDEX(INDIRECT(""&amp;B277&amp;"!E2:E700"),MATCH(A277,INDIRECT(""&amp;B277&amp;"!B2:B700"),0))</f>
        <v>NE</v>
      </c>
      <c r="E277" s="194" t="str">
        <f ca="1">INDEX(INDIRECT(""&amp;$B277&amp;"!Z2:Z709"),MATCH($A277,INDIRECT(""&amp;$B277&amp;"!B2:B709"),0))</f>
        <v>TE10</v>
      </c>
      <c r="F277" s="196">
        <f ca="1">IF(LeagueInfo!$H$7="Starter/Bench",INDEX(INDIRECT(""&amp;B277&amp;"!S2:S709"),MATCH(A277,INDIRECT(""&amp;B277&amp;"!B2:B709"),0)),INDEX(INDIRECT(""&amp;B277&amp;"!AA2:AA709"),MATCH(A277,INDIRECT(""&amp;B277&amp;"!B2:B709"),0)))</f>
        <v>-4.4929421299002925</v>
      </c>
      <c r="G277" s="200">
        <f>IF(H277&gt;0,F277-H277,0)</f>
        <v>0</v>
      </c>
      <c r="H277" s="198"/>
      <c r="I277" s="200">
        <f ca="1">F277*$A$2</f>
        <v>-4.4929421299002925</v>
      </c>
      <c r="J277" s="197" t="s">
        <v>80</v>
      </c>
      <c r="K277" s="197">
        <f>IF(LeagueInfo!$F$7="Yahoo",IFERROR(INDEX(DefaultAuctionValues!$B$2:$B$359,MATCH(A277,DefaultAuctionValues!$A$2:$A$359,0)),0),IF(LeagueInfo!$F$7="ESPN",IFERROR(INDEX(DefaultAuctionValues!$C$2:$C$359,MATCH(A277,DefaultAuctionValues!$A$2:$A$359,0)),0),IF(LeagueInfo!$F$7="FantasyPros",IFERROR(INDEX(DefaultAuctionValues!$D$2:$D$359,MATCH(A277,DefaultAuctionValues!$A$2:$A$359,0)),0))))</f>
        <v>1</v>
      </c>
      <c r="L277" s="201">
        <f ca="1">I277-K277</f>
        <v>-5.4929421299002925</v>
      </c>
      <c r="M277" s="213"/>
      <c r="N277" s="208">
        <f ca="1">INDEX(INDIRECT(""&amp;$B277&amp;"!y2:y709"),MATCH($A277,INDIRECT(""&amp;$B277&amp;"!B2:B709"),0))</f>
        <v>-9.3800000000000026</v>
      </c>
      <c r="O277" s="217" t="str">
        <f ca="1">IF(INDEX(INDIRECT(""&amp;$B277&amp;"!V2:V700"),MATCH($A277,INDIRECT(""&amp;$B277&amp;"!B2:B700"),0))=0,"",INDEX(INDIRECT(""&amp;$B277&amp;"!V2:V700"),MATCH($A277,INDIRECT(""&amp;$B277&amp;"!B2:B700"),0)))</f>
        <v/>
      </c>
    </row>
    <row r="278" spans="1:15" x14ac:dyDescent="0.25">
      <c r="A278" s="195" t="s">
        <v>567</v>
      </c>
      <c r="B278" s="195" t="s">
        <v>39</v>
      </c>
      <c r="C278" s="199">
        <f ca="1">IFERROR(INDEX(BYEs!$B$2:$B$33,MATCH(D278,BYEs!$A$2:$A$33,0)),"N/A")</f>
        <v>11</v>
      </c>
      <c r="D278" s="195" t="str">
        <f ca="1">INDEX(INDIRECT(""&amp;B278&amp;"!E2:E700"),MATCH(A278,INDIRECT(""&amp;B278&amp;"!B2:B700"),0))</f>
        <v>SF</v>
      </c>
      <c r="E278" s="194" t="str">
        <f ca="1">INDEX(INDIRECT(""&amp;$B278&amp;"!Z2:Z709"),MATCH($A278,INDIRECT(""&amp;$B278&amp;"!B2:B709"),0))</f>
        <v>WR8</v>
      </c>
      <c r="F278" s="196">
        <f ca="1">IF(LeagueInfo!$H$7="Starter/Bench",INDEX(INDIRECT(""&amp;B278&amp;"!S2:S709"),MATCH(A278,INDIRECT(""&amp;B278&amp;"!B2:B709"),0)),INDEX(INDIRECT(""&amp;B278&amp;"!AA2:AA709"),MATCH(A278,INDIRECT(""&amp;B278&amp;"!B2:B709"),0)))</f>
        <v>-4.5121017978316367</v>
      </c>
      <c r="G278" s="200">
        <f>IF(H278&gt;0,F278-H278,0)</f>
        <v>0</v>
      </c>
      <c r="H278" s="198"/>
      <c r="I278" s="200">
        <f ca="1">F278*$A$2</f>
        <v>-4.5121017978316367</v>
      </c>
      <c r="J278" s="197" t="s">
        <v>80</v>
      </c>
      <c r="K278" s="197">
        <f>IF(LeagueInfo!$F$7="Yahoo",IFERROR(INDEX(DefaultAuctionValues!$B$2:$B$359,MATCH(A278,DefaultAuctionValues!$A$2:$A$359,0)),0),IF(LeagueInfo!$F$7="ESPN",IFERROR(INDEX(DefaultAuctionValues!$C$2:$C$359,MATCH(A278,DefaultAuctionValues!$A$2:$A$359,0)),0),IF(LeagueInfo!$F$7="FantasyPros",IFERROR(INDEX(DefaultAuctionValues!$D$2:$D$359,MATCH(A278,DefaultAuctionValues!$A$2:$A$359,0)),0))))</f>
        <v>0</v>
      </c>
      <c r="L278" s="201">
        <f ca="1">I278-K278</f>
        <v>-4.5121017978316367</v>
      </c>
      <c r="M278" s="213"/>
      <c r="N278" s="208">
        <f ca="1">INDEX(INDIRECT(""&amp;$B278&amp;"!y2:y709"),MATCH($A278,INDIRECT(""&amp;$B278&amp;"!B2:B709"),0))</f>
        <v>-9.4200000000000017</v>
      </c>
      <c r="O278" s="217" t="str">
        <f ca="1">IF(INDEX(INDIRECT(""&amp;$B278&amp;"!V2:V700"),MATCH($A278,INDIRECT(""&amp;$B278&amp;"!B2:B700"),0))=0,"",INDEX(INDIRECT(""&amp;$B278&amp;"!V2:V700"),MATCH($A278,INDIRECT(""&amp;$B278&amp;"!B2:B700"),0)))</f>
        <v/>
      </c>
    </row>
    <row r="279" spans="1:15" x14ac:dyDescent="0.25">
      <c r="A279" s="195" t="s">
        <v>559</v>
      </c>
      <c r="B279" s="195" t="s">
        <v>39</v>
      </c>
      <c r="C279" s="199">
        <f ca="1">IFERROR(INDEX(BYEs!$B$2:$B$33,MATCH(D279,BYEs!$A$2:$A$33,0)),"N/A")</f>
        <v>10</v>
      </c>
      <c r="D279" s="195" t="str">
        <f ca="1">INDEX(INDIRECT(""&amp;B279&amp;"!E2:E700"),MATCH(A279,INDIRECT(""&amp;B279&amp;"!B2:B700"),0))</f>
        <v>KC</v>
      </c>
      <c r="E279" s="194" t="str">
        <f ca="1">INDEX(INDIRECT(""&amp;$B279&amp;"!Z2:Z709"),MATCH($A279,INDIRECT(""&amp;$B279&amp;"!B2:B709"),0))</f>
        <v>WR8</v>
      </c>
      <c r="F279" s="196">
        <f ca="1">IF(LeagueInfo!$H$7="Starter/Bench",INDEX(INDIRECT(""&amp;B279&amp;"!S2:S709"),MATCH(A279,INDIRECT(""&amp;B279&amp;"!B2:B709"),0)),INDEX(INDIRECT(""&amp;B279&amp;"!AA2:AA709"),MATCH(A279,INDIRECT(""&amp;B279&amp;"!B2:B709"),0)))</f>
        <v>-4.7492026884820273</v>
      </c>
      <c r="G279" s="200">
        <f>IF(H279&gt;0,F279-H279,0)</f>
        <v>0</v>
      </c>
      <c r="H279" s="198"/>
      <c r="I279" s="200">
        <f ca="1">F279*$A$2</f>
        <v>-4.7492026884820273</v>
      </c>
      <c r="J279" s="197" t="s">
        <v>80</v>
      </c>
      <c r="K279" s="197">
        <f>IF(LeagueInfo!$F$7="Yahoo",IFERROR(INDEX(DefaultAuctionValues!$B$2:$B$359,MATCH(A279,DefaultAuctionValues!$A$2:$A$359,0)),0),IF(LeagueInfo!$F$7="ESPN",IFERROR(INDEX(DefaultAuctionValues!$C$2:$C$359,MATCH(A279,DefaultAuctionValues!$A$2:$A$359,0)),0),IF(LeagueInfo!$F$7="FantasyPros",IFERROR(INDEX(DefaultAuctionValues!$D$2:$D$359,MATCH(A279,DefaultAuctionValues!$A$2:$A$359,0)),0))))</f>
        <v>0</v>
      </c>
      <c r="L279" s="201">
        <f ca="1">I279-K279</f>
        <v>-4.7492026884820273</v>
      </c>
      <c r="M279" s="213"/>
      <c r="N279" s="208">
        <f ca="1">INDEX(INDIRECT(""&amp;$B279&amp;"!y2:y709"),MATCH($A279,INDIRECT(""&amp;$B279&amp;"!B2:B709"),0))</f>
        <v>-9.9150000000000063</v>
      </c>
      <c r="O279" s="217" t="str">
        <f ca="1">IF(INDEX(INDIRECT(""&amp;$B279&amp;"!V2:V700"),MATCH($A279,INDIRECT(""&amp;$B279&amp;"!B2:B700"),0))=0,"",INDEX(INDIRECT(""&amp;$B279&amp;"!V2:V700"),MATCH($A279,INDIRECT(""&amp;$B279&amp;"!B2:B700"),0)))</f>
        <v/>
      </c>
    </row>
    <row r="280" spans="1:15" x14ac:dyDescent="0.25">
      <c r="A280" s="195" t="s">
        <v>281</v>
      </c>
      <c r="B280" s="195" t="s">
        <v>32</v>
      </c>
      <c r="C280" s="199">
        <f ca="1">IFERROR(INDEX(BYEs!$B$2:$B$33,MATCH(D280,BYEs!$A$2:$A$33,0)),"N/A")</f>
        <v>11</v>
      </c>
      <c r="D280" s="195" t="str">
        <f ca="1">INDEX(INDIRECT(""&amp;B280&amp;"!E2:E700"),MATCH(A280,INDIRECT(""&amp;B280&amp;"!B2:B700"),0))</f>
        <v>IND</v>
      </c>
      <c r="E280" s="194" t="str">
        <f ca="1">INDEX(INDIRECT(""&amp;$B280&amp;"!Z2:Z709"),MATCH($A280,INDIRECT(""&amp;$B280&amp;"!B2:B709"),0))</f>
        <v>RB11</v>
      </c>
      <c r="F280" s="196">
        <f ca="1">IF(LeagueInfo!$H$7="Starter/Bench",INDEX(INDIRECT(""&amp;B280&amp;"!S2:S709"),MATCH(A280,INDIRECT(""&amp;B280&amp;"!B2:B709"),0)),INDEX(INDIRECT(""&amp;B280&amp;"!AA2:AA709"),MATCH(A280,INDIRECT(""&amp;B280&amp;"!B2:B709"),0)))</f>
        <v>-4.9264296168469617</v>
      </c>
      <c r="G280" s="200">
        <f>IF(H280&gt;0,F280-H280,0)</f>
        <v>0</v>
      </c>
      <c r="H280" s="198"/>
      <c r="I280" s="200">
        <f ca="1">F280*$A$2</f>
        <v>-4.9264296168469617</v>
      </c>
      <c r="J280" s="197" t="s">
        <v>80</v>
      </c>
      <c r="K280" s="197">
        <f>IF(LeagueInfo!$F$7="Yahoo",IFERROR(INDEX(DefaultAuctionValues!$B$2:$B$359,MATCH(A280,DefaultAuctionValues!$A$2:$A$359,0)),0),IF(LeagueInfo!$F$7="ESPN",IFERROR(INDEX(DefaultAuctionValues!$C$2:$C$359,MATCH(A280,DefaultAuctionValues!$A$2:$A$359,0)),0),IF(LeagueInfo!$F$7="FantasyPros",IFERROR(INDEX(DefaultAuctionValues!$D$2:$D$359,MATCH(A280,DefaultAuctionValues!$A$2:$A$359,0)),0))))</f>
        <v>0</v>
      </c>
      <c r="L280" s="201">
        <f ca="1">I280-K280</f>
        <v>-4.9264296168469617</v>
      </c>
      <c r="M280" s="213"/>
      <c r="N280" s="208">
        <f ca="1">INDEX(INDIRECT(""&amp;$B280&amp;"!y2:y709"),MATCH($A280,INDIRECT(""&amp;$B280&amp;"!B2:B709"),0))</f>
        <v>-10.285</v>
      </c>
      <c r="O280" s="217" t="str">
        <f ca="1">IF(INDEX(INDIRECT(""&amp;$B280&amp;"!V2:V700"),MATCH($A280,INDIRECT(""&amp;$B280&amp;"!B2:B700"),0))=0,"",INDEX(INDIRECT(""&amp;$B280&amp;"!V2:V700"),MATCH($A280,INDIRECT(""&amp;$B280&amp;"!B2:B700"),0)))</f>
        <v/>
      </c>
    </row>
    <row r="281" spans="1:15" x14ac:dyDescent="0.25">
      <c r="A281" s="195" t="s">
        <v>449</v>
      </c>
      <c r="B281" s="195" t="s">
        <v>32</v>
      </c>
      <c r="C281" s="199">
        <f ca="1">IFERROR(INDEX(BYEs!$B$2:$B$33,MATCH(D281,BYEs!$A$2:$A$33,0)),"N/A")</f>
        <v>5</v>
      </c>
      <c r="D281" s="195" t="str">
        <f ca="1">INDEX(INDIRECT(""&amp;B281&amp;"!E2:E700"),MATCH(A281,INDIRECT(""&amp;B281&amp;"!B2:B700"),0))</f>
        <v>DEN</v>
      </c>
      <c r="E281" s="194" t="str">
        <f ca="1">INDEX(INDIRECT(""&amp;$B281&amp;"!Z2:Z709"),MATCH($A281,INDIRECT(""&amp;$B281&amp;"!B2:B709"),0))</f>
        <v>RB11</v>
      </c>
      <c r="F281" s="196">
        <f ca="1">IF(LeagueInfo!$H$7="Starter/Bench",INDEX(INDIRECT(""&amp;B281&amp;"!S2:S709"),MATCH(A281,INDIRECT(""&amp;B281&amp;"!B2:B709"),0)),INDEX(INDIRECT(""&amp;B281&amp;"!AA2:AA709"),MATCH(A281,INDIRECT(""&amp;B281&amp;"!B2:B709"),0)))</f>
        <v>-4.9982783715895041</v>
      </c>
      <c r="G281" s="200">
        <f>IF(H281&gt;0,F281-H281,0)</f>
        <v>0</v>
      </c>
      <c r="H281" s="198"/>
      <c r="I281" s="200">
        <f ca="1">F281*$A$2</f>
        <v>-4.9982783715895041</v>
      </c>
      <c r="J281" s="197" t="s">
        <v>80</v>
      </c>
      <c r="K281" s="197">
        <f>IF(LeagueInfo!$F$7="Yahoo",IFERROR(INDEX(DefaultAuctionValues!$B$2:$B$359,MATCH(A281,DefaultAuctionValues!$A$2:$A$359,0)),0),IF(LeagueInfo!$F$7="ESPN",IFERROR(INDEX(DefaultAuctionValues!$C$2:$C$359,MATCH(A281,DefaultAuctionValues!$A$2:$A$359,0)),0),IF(LeagueInfo!$F$7="FantasyPros",IFERROR(INDEX(DefaultAuctionValues!$D$2:$D$359,MATCH(A281,DefaultAuctionValues!$A$2:$A$359,0)),0))))</f>
        <v>0</v>
      </c>
      <c r="L281" s="201">
        <f ca="1">I281-K281</f>
        <v>-4.9982783715895041</v>
      </c>
      <c r="M281" s="213"/>
      <c r="N281" s="208">
        <f ca="1">INDEX(INDIRECT(""&amp;$B281&amp;"!y2:y709"),MATCH($A281,INDIRECT(""&amp;$B281&amp;"!B2:B709"),0))</f>
        <v>-10.435000000000002</v>
      </c>
      <c r="O281" s="217" t="str">
        <f ca="1">IF(INDEX(INDIRECT(""&amp;$B281&amp;"!V2:V700"),MATCH($A281,INDIRECT(""&amp;$B281&amp;"!B2:B700"),0))=0,"",INDEX(INDIRECT(""&amp;$B281&amp;"!V2:V700"),MATCH($A281,INDIRECT(""&amp;$B281&amp;"!B2:B700"),0)))</f>
        <v/>
      </c>
    </row>
    <row r="282" spans="1:15" x14ac:dyDescent="0.25">
      <c r="A282" s="195" t="s">
        <v>552</v>
      </c>
      <c r="B282" s="195" t="s">
        <v>39</v>
      </c>
      <c r="C282" s="199">
        <f ca="1">IFERROR(INDEX(BYEs!$B$2:$B$33,MATCH(D282,BYEs!$A$2:$A$33,0)),"N/A")</f>
        <v>8</v>
      </c>
      <c r="D282" s="195" t="str">
        <f ca="1">INDEX(INDIRECT(""&amp;B282&amp;"!E2:E700"),MATCH(A282,INDIRECT(""&amp;B282&amp;"!B2:B700"),0))</f>
        <v>LAR</v>
      </c>
      <c r="E282" s="194" t="str">
        <f ca="1">INDEX(INDIRECT(""&amp;$B282&amp;"!Z2:Z709"),MATCH($A282,INDIRECT(""&amp;$B282&amp;"!B2:B709"),0))</f>
        <v>WR8</v>
      </c>
      <c r="F282" s="196">
        <f ca="1">IF(LeagueInfo!$H$7="Starter/Bench",INDEX(INDIRECT(""&amp;B282&amp;"!S2:S709"),MATCH(A282,INDIRECT(""&amp;B282&amp;"!B2:B709"),0)),INDEX(INDIRECT(""&amp;B282&amp;"!AA2:AA709"),MATCH(A282,INDIRECT(""&amp;B282&amp;"!B2:B709"),0)))</f>
        <v>-5.019832998012264</v>
      </c>
      <c r="G282" s="200">
        <f>IF(H282&gt;0,F282-H282,0)</f>
        <v>0</v>
      </c>
      <c r="H282" s="198"/>
      <c r="I282" s="200">
        <f ca="1">F282*$A$2</f>
        <v>-5.019832998012264</v>
      </c>
      <c r="J282" s="197" t="s">
        <v>80</v>
      </c>
      <c r="K282" s="197">
        <f>IF(LeagueInfo!$F$7="Yahoo",IFERROR(INDEX(DefaultAuctionValues!$B$2:$B$359,MATCH(A282,DefaultAuctionValues!$A$2:$A$359,0)),0),IF(LeagueInfo!$F$7="ESPN",IFERROR(INDEX(DefaultAuctionValues!$C$2:$C$359,MATCH(A282,DefaultAuctionValues!$A$2:$A$359,0)),0),IF(LeagueInfo!$F$7="FantasyPros",IFERROR(INDEX(DefaultAuctionValues!$D$2:$D$359,MATCH(A282,DefaultAuctionValues!$A$2:$A$359,0)),0))))</f>
        <v>1</v>
      </c>
      <c r="L282" s="201">
        <f ca="1">I282-K282</f>
        <v>-6.019832998012264</v>
      </c>
      <c r="M282" s="213"/>
      <c r="N282" s="208">
        <f ca="1">INDEX(INDIRECT(""&amp;$B282&amp;"!y2:y709"),MATCH($A282,INDIRECT(""&amp;$B282&amp;"!B2:B709"),0))</f>
        <v>-10.479999999999997</v>
      </c>
      <c r="O282" s="217" t="str">
        <f ca="1">IF(INDEX(INDIRECT(""&amp;$B282&amp;"!V2:V700"),MATCH($A282,INDIRECT(""&amp;$B282&amp;"!B2:B700"),0))=0,"",INDEX(INDIRECT(""&amp;$B282&amp;"!V2:V700"),MATCH($A282,INDIRECT(""&amp;$B282&amp;"!B2:B700"),0)))</f>
        <v/>
      </c>
    </row>
    <row r="283" spans="1:15" x14ac:dyDescent="0.25">
      <c r="A283" s="195" t="s">
        <v>721</v>
      </c>
      <c r="B283" s="195" t="s">
        <v>47</v>
      </c>
      <c r="C283" s="199">
        <f ca="1">IFERROR(INDEX(BYEs!$B$2:$B$33,MATCH(D283,BYEs!$A$2:$A$33,0)),"N/A")</f>
        <v>5</v>
      </c>
      <c r="D283" s="195" t="str">
        <f ca="1">INDEX(INDIRECT(""&amp;B283&amp;"!E2:E700"),MATCH(A283,INDIRECT(""&amp;B283&amp;"!B2:B700"),0))</f>
        <v>WAS</v>
      </c>
      <c r="E283" s="194" t="str">
        <f ca="1">INDEX(INDIRECT(""&amp;$B283&amp;"!Z2:Z709"),MATCH($A283,INDIRECT(""&amp;$B283&amp;"!B2:B709"),0))</f>
        <v>TE10</v>
      </c>
      <c r="F283" s="196">
        <f ca="1">IF(LeagueInfo!$H$7="Starter/Bench",INDEX(INDIRECT(""&amp;B283&amp;"!S2:S709"),MATCH(A283,INDIRECT(""&amp;B283&amp;"!B2:B709"),0)),INDEX(INDIRECT(""&amp;B283&amp;"!AA2:AA709"),MATCH(A283,INDIRECT(""&amp;B283&amp;"!B2:B709"),0)))</f>
        <v>-5.0413876244350257</v>
      </c>
      <c r="G283" s="200">
        <f>IF(H283&gt;0,F283-H283,0)</f>
        <v>0</v>
      </c>
      <c r="H283" s="198"/>
      <c r="I283" s="200">
        <f ca="1">F283*$A$2</f>
        <v>-5.0413876244350257</v>
      </c>
      <c r="J283" s="197" t="s">
        <v>80</v>
      </c>
      <c r="K283" s="197">
        <f>IF(LeagueInfo!$F$7="Yahoo",IFERROR(INDEX(DefaultAuctionValues!$B$2:$B$359,MATCH(A283,DefaultAuctionValues!$A$2:$A$359,0)),0),IF(LeagueInfo!$F$7="ESPN",IFERROR(INDEX(DefaultAuctionValues!$C$2:$C$359,MATCH(A283,DefaultAuctionValues!$A$2:$A$359,0)),0),IF(LeagueInfo!$F$7="FantasyPros",IFERROR(INDEX(DefaultAuctionValues!$D$2:$D$359,MATCH(A283,DefaultAuctionValues!$A$2:$A$359,0)),0))))</f>
        <v>0</v>
      </c>
      <c r="L283" s="201">
        <f ca="1">I283-K283</f>
        <v>-5.0413876244350257</v>
      </c>
      <c r="M283" s="213"/>
      <c r="N283" s="208">
        <f ca="1">INDEX(INDIRECT(""&amp;$B283&amp;"!y2:y709"),MATCH($A283,INDIRECT(""&amp;$B283&amp;"!B2:B709"),0))</f>
        <v>-10.524999999999995</v>
      </c>
      <c r="O283" s="217" t="str">
        <f ca="1">IF(INDEX(INDIRECT(""&amp;$B283&amp;"!V2:V700"),MATCH($A283,INDIRECT(""&amp;$B283&amp;"!B2:B700"),0))=0,"",INDEX(INDIRECT(""&amp;$B283&amp;"!V2:V700"),MATCH($A283,INDIRECT(""&amp;$B283&amp;"!B2:B700"),0)))</f>
        <v/>
      </c>
    </row>
    <row r="284" spans="1:15" x14ac:dyDescent="0.25">
      <c r="A284" s="195" t="s">
        <v>571</v>
      </c>
      <c r="B284" s="195" t="s">
        <v>39</v>
      </c>
      <c r="C284" s="199">
        <f ca="1">IFERROR(INDEX(BYEs!$B$2:$B$33,MATCH(D284,BYEs!$A$2:$A$33,0)),"N/A")</f>
        <v>11</v>
      </c>
      <c r="D284" s="195" t="str">
        <f ca="1">INDEX(INDIRECT(""&amp;B284&amp;"!E2:E700"),MATCH(A284,INDIRECT(""&amp;B284&amp;"!B2:B700"),0))</f>
        <v>NYJ</v>
      </c>
      <c r="E284" s="194" t="str">
        <f ca="1">INDEX(INDIRECT(""&amp;$B284&amp;"!Z2:Z709"),MATCH($A284,INDIRECT(""&amp;$B284&amp;"!B2:B709"),0))</f>
        <v>WR8</v>
      </c>
      <c r="F284" s="196">
        <f ca="1">IF(LeagueInfo!$H$7="Starter/Bench",INDEX(INDIRECT(""&amp;B284&amp;"!S2:S709"),MATCH(A284,INDIRECT(""&amp;B284&amp;"!B2:B709"),0)),INDEX(INDIRECT(""&amp;B284&amp;"!AA2:AA709"),MATCH(A284,INDIRECT(""&amp;B284&amp;"!B2:B709"),0)))</f>
        <v>-5.2281943867656375</v>
      </c>
      <c r="G284" s="200">
        <f>IF(H284&gt;0,F284-H284,0)</f>
        <v>0</v>
      </c>
      <c r="H284" s="198"/>
      <c r="I284" s="200">
        <f ca="1">F284*$A$2</f>
        <v>-5.2281943867656375</v>
      </c>
      <c r="J284" s="197" t="s">
        <v>80</v>
      </c>
      <c r="K284" s="197">
        <f>IF(LeagueInfo!$F$7="Yahoo",IFERROR(INDEX(DefaultAuctionValues!$B$2:$B$359,MATCH(A284,DefaultAuctionValues!$A$2:$A$359,0)),0),IF(LeagueInfo!$F$7="ESPN",IFERROR(INDEX(DefaultAuctionValues!$C$2:$C$359,MATCH(A284,DefaultAuctionValues!$A$2:$A$359,0)),0),IF(LeagueInfo!$F$7="FantasyPros",IFERROR(INDEX(DefaultAuctionValues!$D$2:$D$359,MATCH(A284,DefaultAuctionValues!$A$2:$A$359,0)),0))))</f>
        <v>0</v>
      </c>
      <c r="L284" s="201">
        <f ca="1">I284-K284</f>
        <v>-5.2281943867656375</v>
      </c>
      <c r="M284" s="213"/>
      <c r="N284" s="208">
        <f ca="1">INDEX(INDIRECT(""&amp;$B284&amp;"!y2:y709"),MATCH($A284,INDIRECT(""&amp;$B284&amp;"!B2:B709"),0))</f>
        <v>-10.914999999999999</v>
      </c>
      <c r="O284" s="217" t="str">
        <f ca="1">IF(INDEX(INDIRECT(""&amp;$B284&amp;"!V2:V700"),MATCH($A284,INDIRECT(""&amp;$B284&amp;"!B2:B700"),0))=0,"",INDEX(INDIRECT(""&amp;$B284&amp;"!V2:V700"),MATCH($A284,INDIRECT(""&amp;$B284&amp;"!B2:B700"),0)))</f>
        <v/>
      </c>
    </row>
    <row r="285" spans="1:15" x14ac:dyDescent="0.25">
      <c r="A285" s="195" t="s">
        <v>450</v>
      </c>
      <c r="B285" s="195" t="s">
        <v>32</v>
      </c>
      <c r="C285" s="199">
        <f ca="1">IFERROR(INDEX(BYEs!$B$2:$B$33,MATCH(D285,BYEs!$A$2:$A$33,0)),"N/A")</f>
        <v>11</v>
      </c>
      <c r="D285" s="195" t="str">
        <f ca="1">INDEX(INDIRECT(""&amp;B285&amp;"!E2:E700"),MATCH(A285,INDIRECT(""&amp;B285&amp;"!B2:B700"),0))</f>
        <v>MIA</v>
      </c>
      <c r="E285" s="194" t="str">
        <f ca="1">INDEX(INDIRECT(""&amp;$B285&amp;"!Z2:Z709"),MATCH($A285,INDIRECT(""&amp;$B285&amp;"!B2:B709"),0))</f>
        <v>RB11</v>
      </c>
      <c r="F285" s="196">
        <f ca="1">IF(LeagueInfo!$H$7="Starter/Bench",INDEX(INDIRECT(""&amp;B285&amp;"!S2:S709"),MATCH(A285,INDIRECT(""&amp;B285&amp;"!B2:B709"),0)),INDEX(INDIRECT(""&amp;B285&amp;"!AA2:AA709"),MATCH(A285,INDIRECT(""&amp;B285&amp;"!B2:B709"),0)))</f>
        <v>-5.4102112321134133</v>
      </c>
      <c r="G285" s="200">
        <f>IF(H285&gt;0,F285-H285,0)</f>
        <v>0</v>
      </c>
      <c r="H285" s="198"/>
      <c r="I285" s="200">
        <f ca="1">F285*$A$2</f>
        <v>-5.4102112321134133</v>
      </c>
      <c r="J285" s="197" t="s">
        <v>80</v>
      </c>
      <c r="K285" s="197">
        <f>IF(LeagueInfo!$F$7="Yahoo",IFERROR(INDEX(DefaultAuctionValues!$B$2:$B$359,MATCH(A285,DefaultAuctionValues!$A$2:$A$359,0)),0),IF(LeagueInfo!$F$7="ESPN",IFERROR(INDEX(DefaultAuctionValues!$C$2:$C$359,MATCH(A285,DefaultAuctionValues!$A$2:$A$359,0)),0),IF(LeagueInfo!$F$7="FantasyPros",IFERROR(INDEX(DefaultAuctionValues!$D$2:$D$359,MATCH(A285,DefaultAuctionValues!$A$2:$A$359,0)),0))))</f>
        <v>0</v>
      </c>
      <c r="L285" s="201">
        <f ca="1">I285-K285</f>
        <v>-5.4102112321134133</v>
      </c>
      <c r="M285" s="213"/>
      <c r="N285" s="208">
        <f ca="1">INDEX(INDIRECT(""&amp;$B285&amp;"!y2:y709"),MATCH($A285,INDIRECT(""&amp;$B285&amp;"!B2:B709"),0))</f>
        <v>-11.295000000000005</v>
      </c>
      <c r="O285" s="217" t="str">
        <f ca="1">IF(INDEX(INDIRECT(""&amp;$B285&amp;"!V2:V700"),MATCH($A285,INDIRECT(""&amp;$B285&amp;"!B2:B700"),0))=0,"",INDEX(INDIRECT(""&amp;$B285&amp;"!V2:V700"),MATCH($A285,INDIRECT(""&amp;$B285&amp;"!B2:B700"),0)))</f>
        <v/>
      </c>
    </row>
    <row r="286" spans="1:15" x14ac:dyDescent="0.25">
      <c r="A286" s="195" t="s">
        <v>563</v>
      </c>
      <c r="B286" s="195" t="s">
        <v>39</v>
      </c>
      <c r="C286" s="199">
        <f ca="1">IFERROR(INDEX(BYEs!$B$2:$B$33,MATCH(D286,BYEs!$A$2:$A$33,0)),"N/A")</f>
        <v>6</v>
      </c>
      <c r="D286" s="195" t="str">
        <f ca="1">INDEX(INDIRECT(""&amp;B286&amp;"!E2:E700"),MATCH(A286,INDIRECT(""&amp;B286&amp;"!B2:B700"),0))</f>
        <v>CIN</v>
      </c>
      <c r="E286" s="194" t="str">
        <f ca="1">INDEX(INDIRECT(""&amp;$B286&amp;"!Z2:Z709"),MATCH($A286,INDIRECT(""&amp;$B286&amp;"!B2:B709"),0))</f>
        <v>WR8</v>
      </c>
      <c r="F286" s="196">
        <f ca="1">IF(LeagueInfo!$H$7="Starter/Bench",INDEX(INDIRECT(""&amp;B286&amp;"!S2:S709"),MATCH(A286,INDIRECT(""&amp;B286&amp;"!B2:B709"),0)),INDEX(INDIRECT(""&amp;B286&amp;"!AA2:AA709"),MATCH(A286,INDIRECT(""&amp;B286&amp;"!B2:B709"),0)))</f>
        <v>-5.7191608775063436</v>
      </c>
      <c r="G286" s="200">
        <f>IF(H286&gt;0,F286-H286,0)</f>
        <v>0</v>
      </c>
      <c r="H286" s="198"/>
      <c r="I286" s="200">
        <f ca="1">F286*$A$2</f>
        <v>-5.7191608775063436</v>
      </c>
      <c r="J286" s="197" t="s">
        <v>80</v>
      </c>
      <c r="K286" s="197">
        <f>IF(LeagueInfo!$F$7="Yahoo",IFERROR(INDEX(DefaultAuctionValues!$B$2:$B$359,MATCH(A286,DefaultAuctionValues!$A$2:$A$359,0)),0),IF(LeagueInfo!$F$7="ESPN",IFERROR(INDEX(DefaultAuctionValues!$C$2:$C$359,MATCH(A286,DefaultAuctionValues!$A$2:$A$359,0)),0),IF(LeagueInfo!$F$7="FantasyPros",IFERROR(INDEX(DefaultAuctionValues!$D$2:$D$359,MATCH(A286,DefaultAuctionValues!$A$2:$A$359,0)),0))))</f>
        <v>0</v>
      </c>
      <c r="L286" s="201">
        <f ca="1">I286-K286</f>
        <v>-5.7191608775063436</v>
      </c>
      <c r="M286" s="213"/>
      <c r="N286" s="208">
        <f ca="1">INDEX(INDIRECT(""&amp;$B286&amp;"!y2:y709"),MATCH($A286,INDIRECT(""&amp;$B286&amp;"!B2:B709"),0))</f>
        <v>-11.940000000000005</v>
      </c>
      <c r="O286" s="217" t="str">
        <f ca="1">IF(INDEX(INDIRECT(""&amp;$B286&amp;"!V2:V700"),MATCH($A286,INDIRECT(""&amp;$B286&amp;"!B2:B700"),0))=0,"",INDEX(INDIRECT(""&amp;$B286&amp;"!V2:V700"),MATCH($A286,INDIRECT(""&amp;$B286&amp;"!B2:B700"),0)))</f>
        <v/>
      </c>
    </row>
    <row r="287" spans="1:15" x14ac:dyDescent="0.25">
      <c r="A287" s="195" t="s">
        <v>444</v>
      </c>
      <c r="B287" s="195" t="s">
        <v>32</v>
      </c>
      <c r="C287" s="199">
        <f ca="1">IFERROR(INDEX(BYEs!$B$2:$B$33,MATCH(D287,BYEs!$A$2:$A$33,0)),"N/A")</f>
        <v>9</v>
      </c>
      <c r="D287" s="195" t="str">
        <f ca="1">INDEX(INDIRECT(""&amp;B287&amp;"!E2:E700"),MATCH(A287,INDIRECT(""&amp;B287&amp;"!B2:B700"),0))</f>
        <v>MIN</v>
      </c>
      <c r="E287" s="194" t="str">
        <f ca="1">INDEX(INDIRECT(""&amp;$B287&amp;"!Z2:Z709"),MATCH($A287,INDIRECT(""&amp;$B287&amp;"!B2:B709"),0))</f>
        <v>RB11</v>
      </c>
      <c r="F287" s="196">
        <f ca="1">IF(LeagueInfo!$H$7="Starter/Bench",INDEX(INDIRECT(""&amp;B287&amp;"!S2:S709"),MATCH(A287,INDIRECT(""&amp;B287&amp;"!B2:B709"),0)),INDEX(INDIRECT(""&amp;B287&amp;"!AA2:AA709"),MATCH(A287,INDIRECT(""&amp;B287&amp;"!B2:B709"),0)))</f>
        <v>-5.7598751718604513</v>
      </c>
      <c r="G287" s="200">
        <f>IF(H287&gt;0,F287-H287,0)</f>
        <v>0</v>
      </c>
      <c r="H287" s="198"/>
      <c r="I287" s="200">
        <f ca="1">F287*$A$2</f>
        <v>-5.7598751718604513</v>
      </c>
      <c r="J287" s="197" t="s">
        <v>80</v>
      </c>
      <c r="K287" s="197">
        <f>IF(LeagueInfo!$F$7="Yahoo",IFERROR(INDEX(DefaultAuctionValues!$B$2:$B$359,MATCH(A287,DefaultAuctionValues!$A$2:$A$359,0)),0),IF(LeagueInfo!$F$7="ESPN",IFERROR(INDEX(DefaultAuctionValues!$C$2:$C$359,MATCH(A287,DefaultAuctionValues!$A$2:$A$359,0)),0),IF(LeagueInfo!$F$7="FantasyPros",IFERROR(INDEX(DefaultAuctionValues!$D$2:$D$359,MATCH(A287,DefaultAuctionValues!$A$2:$A$359,0)),0))))</f>
        <v>0</v>
      </c>
      <c r="L287" s="201">
        <f ca="1">I287-K287</f>
        <v>-5.7598751718604513</v>
      </c>
      <c r="M287" s="213"/>
      <c r="N287" s="208">
        <f ca="1">INDEX(INDIRECT(""&amp;$B287&amp;"!y2:y709"),MATCH($A287,INDIRECT(""&amp;$B287&amp;"!B2:B709"),0))</f>
        <v>-12.025000000000006</v>
      </c>
      <c r="O287" s="217" t="str">
        <f ca="1">IF(INDEX(INDIRECT(""&amp;$B287&amp;"!V2:V700"),MATCH($A287,INDIRECT(""&amp;$B287&amp;"!B2:B700"),0))=0,"",INDEX(INDIRECT(""&amp;$B287&amp;"!V2:V700"),MATCH($A287,INDIRECT(""&amp;$B287&amp;"!B2:B700"),0)))</f>
        <v/>
      </c>
    </row>
    <row r="288" spans="1:15" x14ac:dyDescent="0.25">
      <c r="A288" s="195" t="s">
        <v>228</v>
      </c>
      <c r="B288" s="195" t="s">
        <v>39</v>
      </c>
      <c r="C288" s="199">
        <f ca="1">IFERROR(INDEX(BYEs!$B$2:$B$33,MATCH(D288,BYEs!$A$2:$A$33,0)),"N/A")</f>
        <v>6</v>
      </c>
      <c r="D288" s="195" t="str">
        <f ca="1">INDEX(INDIRECT(""&amp;B288&amp;"!E2:E700"),MATCH(A288,INDIRECT(""&amp;B288&amp;"!B2:B700"),0))</f>
        <v>CIN</v>
      </c>
      <c r="E288" s="194" t="str">
        <f ca="1">INDEX(INDIRECT(""&amp;$B288&amp;"!Z2:Z709"),MATCH($A288,INDIRECT(""&amp;$B288&amp;"!B2:B709"),0))</f>
        <v>WR8</v>
      </c>
      <c r="F288" s="196">
        <f ca="1">IF(LeagueInfo!$H$7="Starter/Bench",INDEX(INDIRECT(""&amp;B288&amp;"!S2:S709"),MATCH(A288,INDIRECT(""&amp;B288&amp;"!B2:B709"),0)),INDEX(INDIRECT(""&amp;B288&amp;"!AA2:AA709"),MATCH(A288,INDIRECT(""&amp;B288&amp;"!B2:B709"),0)))</f>
        <v>-5.7646650888432829</v>
      </c>
      <c r="G288" s="200">
        <f>IF(H288&gt;0,F288-H288,0)</f>
        <v>0</v>
      </c>
      <c r="H288" s="198"/>
      <c r="I288" s="200">
        <f ca="1">F288*$A$2</f>
        <v>-5.7646650888432829</v>
      </c>
      <c r="J288" s="197" t="s">
        <v>80</v>
      </c>
      <c r="K288" s="197">
        <f>IF(LeagueInfo!$F$7="Yahoo",IFERROR(INDEX(DefaultAuctionValues!$B$2:$B$359,MATCH(A288,DefaultAuctionValues!$A$2:$A$359,0)),0),IF(LeagueInfo!$F$7="ESPN",IFERROR(INDEX(DefaultAuctionValues!$C$2:$C$359,MATCH(A288,DefaultAuctionValues!$A$2:$A$359,0)),0),IF(LeagueInfo!$F$7="FantasyPros",IFERROR(INDEX(DefaultAuctionValues!$D$2:$D$359,MATCH(A288,DefaultAuctionValues!$A$2:$A$359,0)),0))))</f>
        <v>1</v>
      </c>
      <c r="L288" s="201">
        <f ca="1">I288-K288</f>
        <v>-6.7646650888432829</v>
      </c>
      <c r="M288" s="213"/>
      <c r="N288" s="208">
        <f ca="1">INDEX(INDIRECT(""&amp;$B288&amp;"!y2:y709"),MATCH($A288,INDIRECT(""&amp;$B288&amp;"!B2:B709"),0))</f>
        <v>-12.034999999999997</v>
      </c>
      <c r="O288" s="217" t="str">
        <f ca="1">IF(INDEX(INDIRECT(""&amp;$B288&amp;"!V2:V700"),MATCH($A288,INDIRECT(""&amp;$B288&amp;"!B2:B700"),0))=0,"",INDEX(INDIRECT(""&amp;$B288&amp;"!V2:V700"),MATCH($A288,INDIRECT(""&amp;$B288&amp;"!B2:B700"),0)))</f>
        <v/>
      </c>
    </row>
    <row r="289" spans="1:15" x14ac:dyDescent="0.25">
      <c r="A289" s="195" t="s">
        <v>732</v>
      </c>
      <c r="B289" s="195" t="s">
        <v>47</v>
      </c>
      <c r="C289" s="199">
        <f ca="1">IFERROR(INDEX(BYEs!$B$2:$B$33,MATCH(D289,BYEs!$A$2:$A$33,0)),"N/A")</f>
        <v>11</v>
      </c>
      <c r="D289" s="195" t="str">
        <f ca="1">INDEX(INDIRECT(""&amp;B289&amp;"!E2:E700"),MATCH(A289,INDIRECT(""&amp;B289&amp;"!B2:B700"),0))</f>
        <v>SF</v>
      </c>
      <c r="E289" s="194" t="str">
        <f ca="1">INDEX(INDIRECT(""&amp;$B289&amp;"!Z2:Z709"),MATCH($A289,INDIRECT(""&amp;$B289&amp;"!B2:B709"),0))</f>
        <v>TE10</v>
      </c>
      <c r="F289" s="196">
        <f ca="1">IF(LeagueInfo!$H$7="Starter/Bench",INDEX(INDIRECT(""&amp;B289&amp;"!S2:S709"),MATCH(A289,INDIRECT(""&amp;B289&amp;"!B2:B709"),0)),INDEX(INDIRECT(""&amp;B289&amp;"!AA2:AA709"),MATCH(A289,INDIRECT(""&amp;B289&amp;"!B2:B709"),0)))</f>
        <v>-6.1358836550130835</v>
      </c>
      <c r="G289" s="200">
        <f>IF(H289&gt;0,F289-H289,0)</f>
        <v>0</v>
      </c>
      <c r="H289" s="198"/>
      <c r="I289" s="200">
        <f ca="1">F289*$A$2</f>
        <v>-6.1358836550130835</v>
      </c>
      <c r="J289" s="197" t="s">
        <v>80</v>
      </c>
      <c r="K289" s="197">
        <f>IF(LeagueInfo!$F$7="Yahoo",IFERROR(INDEX(DefaultAuctionValues!$B$2:$B$359,MATCH(A289,DefaultAuctionValues!$A$2:$A$359,0)),0),IF(LeagueInfo!$F$7="ESPN",IFERROR(INDEX(DefaultAuctionValues!$C$2:$C$359,MATCH(A289,DefaultAuctionValues!$A$2:$A$359,0)),0),IF(LeagueInfo!$F$7="FantasyPros",IFERROR(INDEX(DefaultAuctionValues!$D$2:$D$359,MATCH(A289,DefaultAuctionValues!$A$2:$A$359,0)),0))))</f>
        <v>0</v>
      </c>
      <c r="L289" s="201">
        <f ca="1">I289-K289</f>
        <v>-6.1358836550130835</v>
      </c>
      <c r="M289" s="213"/>
      <c r="N289" s="208">
        <f ca="1">INDEX(INDIRECT(""&amp;$B289&amp;"!y2:y709"),MATCH($A289,INDIRECT(""&amp;$B289&amp;"!B2:B709"),0))</f>
        <v>-12.809999999999999</v>
      </c>
      <c r="O289" s="217" t="str">
        <f ca="1">IF(INDEX(INDIRECT(""&amp;$B289&amp;"!V2:V700"),MATCH($A289,INDIRECT(""&amp;$B289&amp;"!B2:B700"),0))=0,"",INDEX(INDIRECT(""&amp;$B289&amp;"!V2:V700"),MATCH($A289,INDIRECT(""&amp;$B289&amp;"!B2:B700"),0)))</f>
        <v/>
      </c>
    </row>
    <row r="290" spans="1:15" x14ac:dyDescent="0.25">
      <c r="A290" s="195" t="s">
        <v>556</v>
      </c>
      <c r="B290" s="195" t="s">
        <v>39</v>
      </c>
      <c r="C290" s="199">
        <f ca="1">IFERROR(INDEX(BYEs!$B$2:$B$33,MATCH(D290,BYEs!$A$2:$A$33,0)),"N/A")</f>
        <v>8</v>
      </c>
      <c r="D290" s="195" t="str">
        <f ca="1">INDEX(INDIRECT(""&amp;B290&amp;"!E2:E700"),MATCH(A290,INDIRECT(""&amp;B290&amp;"!B2:B700"),0))</f>
        <v>LAR</v>
      </c>
      <c r="E290" s="194" t="str">
        <f ca="1">INDEX(INDIRECT(""&amp;$B290&amp;"!Z2:Z709"),MATCH($A290,INDIRECT(""&amp;$B290&amp;"!B2:B709"),0))</f>
        <v>WR9</v>
      </c>
      <c r="F290" s="196">
        <f ca="1">IF(LeagueInfo!$H$7="Starter/Bench",INDEX(INDIRECT(""&amp;B290&amp;"!S2:S709"),MATCH(A290,INDIRECT(""&amp;B290&amp;"!B2:B709"),0)),INDEX(INDIRECT(""&amp;B290&amp;"!AA2:AA709"),MATCH(A290,INDIRECT(""&amp;B290&amp;"!B2:B709"),0)))</f>
        <v>-6.2436567871268975</v>
      </c>
      <c r="G290" s="200">
        <f>IF(H290&gt;0,F290-H290,0)</f>
        <v>0</v>
      </c>
      <c r="H290" s="198"/>
      <c r="I290" s="200">
        <f ca="1">F290*$A$2</f>
        <v>-6.2436567871268975</v>
      </c>
      <c r="J290" s="197" t="s">
        <v>80</v>
      </c>
      <c r="K290" s="197">
        <f>IF(LeagueInfo!$F$7="Yahoo",IFERROR(INDEX(DefaultAuctionValues!$B$2:$B$359,MATCH(A290,DefaultAuctionValues!$A$2:$A$359,0)),0),IF(LeagueInfo!$F$7="ESPN",IFERROR(INDEX(DefaultAuctionValues!$C$2:$C$359,MATCH(A290,DefaultAuctionValues!$A$2:$A$359,0)),0),IF(LeagueInfo!$F$7="FantasyPros",IFERROR(INDEX(DefaultAuctionValues!$D$2:$D$359,MATCH(A290,DefaultAuctionValues!$A$2:$A$359,0)),0))))</f>
        <v>0</v>
      </c>
      <c r="L290" s="201">
        <f ca="1">I290-K290</f>
        <v>-6.2436567871268975</v>
      </c>
      <c r="M290" s="213"/>
      <c r="N290" s="208">
        <f ca="1">INDEX(INDIRECT(""&amp;$B290&amp;"!y2:y709"),MATCH($A290,INDIRECT(""&amp;$B290&amp;"!B2:B709"),0))</f>
        <v>-13.035</v>
      </c>
      <c r="O290" s="217" t="str">
        <f ca="1">IF(INDEX(INDIRECT(""&amp;$B290&amp;"!V2:V700"),MATCH($A290,INDIRECT(""&amp;$B290&amp;"!B2:B700"),0))=0,"",INDEX(INDIRECT(""&amp;$B290&amp;"!V2:V700"),MATCH($A290,INDIRECT(""&amp;$B290&amp;"!B2:B700"),0)))</f>
        <v/>
      </c>
    </row>
    <row r="291" spans="1:15" x14ac:dyDescent="0.25">
      <c r="A291" s="195" t="s">
        <v>564</v>
      </c>
      <c r="B291" s="195" t="s">
        <v>39</v>
      </c>
      <c r="C291" s="199">
        <f ca="1">IFERROR(INDEX(BYEs!$B$2:$B$33,MATCH(D291,BYEs!$A$2:$A$33,0)),"N/A")</f>
        <v>10</v>
      </c>
      <c r="D291" s="195" t="str">
        <f ca="1">INDEX(INDIRECT(""&amp;B291&amp;"!E2:E700"),MATCH(A291,INDIRECT(""&amp;B291&amp;"!B2:B700"),0))</f>
        <v>OAK</v>
      </c>
      <c r="E291" s="194" t="str">
        <f ca="1">INDEX(INDIRECT(""&amp;$B291&amp;"!Z2:Z709"),MATCH($A291,INDIRECT(""&amp;$B291&amp;"!B2:B709"),0))</f>
        <v>WR9</v>
      </c>
      <c r="F291" s="196">
        <f ca="1">IF(LeagueInfo!$H$7="Starter/Bench",INDEX(INDIRECT(""&amp;B291&amp;"!S2:S709"),MATCH(A291,INDIRECT(""&amp;B291&amp;"!B2:B709"),0)),INDEX(INDIRECT(""&amp;B291&amp;"!AA2:AA709"),MATCH(A291,INDIRECT(""&amp;B291&amp;"!B2:B709"),0)))</f>
        <v>-6.4017240475604886</v>
      </c>
      <c r="G291" s="200">
        <f>IF(H291&gt;0,F291-H291,0)</f>
        <v>0</v>
      </c>
      <c r="H291" s="198"/>
      <c r="I291" s="200">
        <f ca="1">F291*$A$2</f>
        <v>-6.4017240475604886</v>
      </c>
      <c r="J291" s="197" t="s">
        <v>80</v>
      </c>
      <c r="K291" s="197">
        <f>IF(LeagueInfo!$F$7="Yahoo",IFERROR(INDEX(DefaultAuctionValues!$B$2:$B$359,MATCH(A291,DefaultAuctionValues!$A$2:$A$359,0)),0),IF(LeagueInfo!$F$7="ESPN",IFERROR(INDEX(DefaultAuctionValues!$C$2:$C$359,MATCH(A291,DefaultAuctionValues!$A$2:$A$359,0)),0),IF(LeagueInfo!$F$7="FantasyPros",IFERROR(INDEX(DefaultAuctionValues!$D$2:$D$359,MATCH(A291,DefaultAuctionValues!$A$2:$A$359,0)),0))))</f>
        <v>0</v>
      </c>
      <c r="L291" s="201">
        <f ca="1">I291-K291</f>
        <v>-6.4017240475604886</v>
      </c>
      <c r="M291" s="213"/>
      <c r="N291" s="208">
        <f ca="1">INDEX(INDIRECT(""&amp;$B291&amp;"!y2:y709"),MATCH($A291,INDIRECT(""&amp;$B291&amp;"!B2:B709"),0))</f>
        <v>-13.364999999999998</v>
      </c>
      <c r="O291" s="217" t="str">
        <f ca="1">IF(INDEX(INDIRECT(""&amp;$B291&amp;"!V2:V700"),MATCH($A291,INDIRECT(""&amp;$B291&amp;"!B2:B700"),0))=0,"",INDEX(INDIRECT(""&amp;$B291&amp;"!V2:V700"),MATCH($A291,INDIRECT(""&amp;$B291&amp;"!B2:B700"),0)))</f>
        <v/>
      </c>
    </row>
    <row r="292" spans="1:15" x14ac:dyDescent="0.25">
      <c r="A292" s="195" t="s">
        <v>454</v>
      </c>
      <c r="B292" s="195" t="s">
        <v>32</v>
      </c>
      <c r="C292" s="199">
        <f ca="1">IFERROR(INDEX(BYEs!$B$2:$B$33,MATCH(D292,BYEs!$A$2:$A$33,0)),"N/A")</f>
        <v>9</v>
      </c>
      <c r="D292" s="195" t="str">
        <f ca="1">INDEX(INDIRECT(""&amp;B292&amp;"!E2:E700"),MATCH(A292,INDIRECT(""&amp;B292&amp;"!B2:B700"),0))</f>
        <v>PIT</v>
      </c>
      <c r="E292" s="194" t="str">
        <f ca="1">INDEX(INDIRECT(""&amp;$B292&amp;"!Z2:Z709"),MATCH($A292,INDIRECT(""&amp;$B292&amp;"!B2:B709"),0))</f>
        <v>RB11</v>
      </c>
      <c r="F292" s="196">
        <f ca="1">IF(LeagueInfo!$H$7="Starter/Bench",INDEX(INDIRECT(""&amp;B292&amp;"!S2:S709"),MATCH(A292,INDIRECT(""&amp;B292&amp;"!B2:B709"),0)),INDEX(INDIRECT(""&amp;B292&amp;"!AA2:AA709"),MATCH(A292,INDIRECT(""&amp;B292&amp;"!B2:B709"),0)))</f>
        <v>-6.5214719721313941</v>
      </c>
      <c r="G292" s="200">
        <f>IF(H292&gt;0,F292-H292,0)</f>
        <v>0</v>
      </c>
      <c r="H292" s="198"/>
      <c r="I292" s="200">
        <f ca="1">F292*$A$2</f>
        <v>-6.5214719721313941</v>
      </c>
      <c r="J292" s="197" t="s">
        <v>80</v>
      </c>
      <c r="K292" s="197">
        <f>IF(LeagueInfo!$F$7="Yahoo",IFERROR(INDEX(DefaultAuctionValues!$B$2:$B$359,MATCH(A292,DefaultAuctionValues!$A$2:$A$359,0)),0),IF(LeagueInfo!$F$7="ESPN",IFERROR(INDEX(DefaultAuctionValues!$C$2:$C$359,MATCH(A292,DefaultAuctionValues!$A$2:$A$359,0)),0),IF(LeagueInfo!$F$7="FantasyPros",IFERROR(INDEX(DefaultAuctionValues!$D$2:$D$359,MATCH(A292,DefaultAuctionValues!$A$2:$A$359,0)),0))))</f>
        <v>0</v>
      </c>
      <c r="L292" s="201">
        <f ca="1">I292-K292</f>
        <v>-6.5214719721313941</v>
      </c>
      <c r="M292" s="213"/>
      <c r="N292" s="208">
        <f ca="1">INDEX(INDIRECT(""&amp;$B292&amp;"!y2:y709"),MATCH($A292,INDIRECT(""&amp;$B292&amp;"!B2:B709"),0))</f>
        <v>-13.615000000000002</v>
      </c>
      <c r="O292" s="217" t="str">
        <f ca="1">IF(INDEX(INDIRECT(""&amp;$B292&amp;"!V2:V700"),MATCH($A292,INDIRECT(""&amp;$B292&amp;"!B2:B700"),0))=0,"",INDEX(INDIRECT(""&amp;$B292&amp;"!V2:V700"),MATCH($A292,INDIRECT(""&amp;$B292&amp;"!B2:B700"),0)))</f>
        <v/>
      </c>
    </row>
    <row r="293" spans="1:15" x14ac:dyDescent="0.25">
      <c r="A293" s="195" t="s">
        <v>423</v>
      </c>
      <c r="B293" s="195" t="s">
        <v>47</v>
      </c>
      <c r="C293" s="199">
        <f ca="1">IFERROR(INDEX(BYEs!$B$2:$B$33,MATCH(D293,BYEs!$A$2:$A$33,0)),"N/A")</f>
        <v>7</v>
      </c>
      <c r="D293" s="195" t="str">
        <f ca="1">INDEX(INDIRECT(""&amp;B293&amp;"!E2:E700"),MATCH(A293,INDIRECT(""&amp;B293&amp;"!B2:B700"),0))</f>
        <v>HOU</v>
      </c>
      <c r="E293" s="194" t="str">
        <f ca="1">INDEX(INDIRECT(""&amp;$B293&amp;"!Z2:Z709"),MATCH($A293,INDIRECT(""&amp;$B293&amp;"!B2:B709"),0))</f>
        <v>TE10</v>
      </c>
      <c r="F293" s="196">
        <f ca="1">IF(LeagueInfo!$H$7="Starter/Bench",INDEX(INDIRECT(""&amp;B293&amp;"!S2:S709"),MATCH(A293,INDIRECT(""&amp;B293&amp;"!B2:B709"),0)),INDEX(INDIRECT(""&amp;B293&amp;"!AA2:AA709"),MATCH(A293,INDIRECT(""&amp;B293&amp;"!B2:B709"),0)))</f>
        <v>-6.6843291495478203</v>
      </c>
      <c r="G293" s="200">
        <f>IF(H293&gt;0,F293-H293,0)</f>
        <v>0</v>
      </c>
      <c r="H293" s="198"/>
      <c r="I293" s="200">
        <f ca="1">F293*$A$2</f>
        <v>-6.6843291495478203</v>
      </c>
      <c r="J293" s="197" t="s">
        <v>80</v>
      </c>
      <c r="K293" s="197">
        <f>IF(LeagueInfo!$F$7="Yahoo",IFERROR(INDEX(DefaultAuctionValues!$B$2:$B$359,MATCH(A293,DefaultAuctionValues!$A$2:$A$359,0)),0),IF(LeagueInfo!$F$7="ESPN",IFERROR(INDEX(DefaultAuctionValues!$C$2:$C$359,MATCH(A293,DefaultAuctionValues!$A$2:$A$359,0)),0),IF(LeagueInfo!$F$7="FantasyPros",IFERROR(INDEX(DefaultAuctionValues!$D$2:$D$359,MATCH(A293,DefaultAuctionValues!$A$2:$A$359,0)),0))))</f>
        <v>0</v>
      </c>
      <c r="L293" s="201">
        <f ca="1">I293-K293</f>
        <v>-6.6843291495478203</v>
      </c>
      <c r="M293" s="213"/>
      <c r="N293" s="208">
        <f ca="1">INDEX(INDIRECT(""&amp;$B293&amp;"!y2:y709"),MATCH($A293,INDIRECT(""&amp;$B293&amp;"!B2:B709"),0))</f>
        <v>-13.954999999999998</v>
      </c>
      <c r="O293" s="217" t="str">
        <f ca="1">IF(INDEX(INDIRECT(""&amp;$B293&amp;"!V2:V700"),MATCH($A293,INDIRECT(""&amp;$B293&amp;"!B2:B700"),0))=0,"",INDEX(INDIRECT(""&amp;$B293&amp;"!V2:V700"),MATCH($A293,INDIRECT(""&amp;$B293&amp;"!B2:B700"),0)))</f>
        <v/>
      </c>
    </row>
    <row r="294" spans="1:15" x14ac:dyDescent="0.25">
      <c r="A294" s="195" t="s">
        <v>562</v>
      </c>
      <c r="B294" s="195" t="s">
        <v>39</v>
      </c>
      <c r="C294" s="199">
        <f ca="1">IFERROR(INDEX(BYEs!$B$2:$B$33,MATCH(D294,BYEs!$A$2:$A$33,0)),"N/A")</f>
        <v>11</v>
      </c>
      <c r="D294" s="195" t="str">
        <f ca="1">INDEX(INDIRECT(""&amp;B294&amp;"!E2:E700"),MATCH(A294,INDIRECT(""&amp;B294&amp;"!B2:B700"),0))</f>
        <v>CAR</v>
      </c>
      <c r="E294" s="194" t="str">
        <f ca="1">INDEX(INDIRECT(""&amp;$B294&amp;"!Z2:Z709"),MATCH($A294,INDIRECT(""&amp;$B294&amp;"!B2:B709"),0))</f>
        <v>WR9</v>
      </c>
      <c r="F294" s="196">
        <f ca="1">IF(LeagueInfo!$H$7="Starter/Bench",INDEX(INDIRECT(""&amp;B294&amp;"!S2:S709"),MATCH(A294,INDIRECT(""&amp;B294&amp;"!B2:B709"),0)),INDEX(INDIRECT(""&amp;B294&amp;"!AA2:AA709"),MATCH(A294,INDIRECT(""&amp;B294&amp;"!B2:B709"),0)))</f>
        <v>-7.1082368025288192</v>
      </c>
      <c r="G294" s="200">
        <f>IF(H294&gt;0,F294-H294,0)</f>
        <v>0</v>
      </c>
      <c r="H294" s="198"/>
      <c r="I294" s="200">
        <f ca="1">F294*$A$2</f>
        <v>-7.1082368025288192</v>
      </c>
      <c r="J294" s="197" t="s">
        <v>80</v>
      </c>
      <c r="K294" s="197">
        <f>IF(LeagueInfo!$F$7="Yahoo",IFERROR(INDEX(DefaultAuctionValues!$B$2:$B$359,MATCH(A294,DefaultAuctionValues!$A$2:$A$359,0)),0),IF(LeagueInfo!$F$7="ESPN",IFERROR(INDEX(DefaultAuctionValues!$C$2:$C$359,MATCH(A294,DefaultAuctionValues!$A$2:$A$359,0)),0),IF(LeagueInfo!$F$7="FantasyPros",IFERROR(INDEX(DefaultAuctionValues!$D$2:$D$359,MATCH(A294,DefaultAuctionValues!$A$2:$A$359,0)),0))))</f>
        <v>0</v>
      </c>
      <c r="L294" s="201">
        <f ca="1">I294-K294</f>
        <v>-7.1082368025288192</v>
      </c>
      <c r="M294" s="213"/>
      <c r="N294" s="208">
        <f ca="1">INDEX(INDIRECT(""&amp;$B294&amp;"!y2:y709"),MATCH($A294,INDIRECT(""&amp;$B294&amp;"!B2:B709"),0))</f>
        <v>-14.84</v>
      </c>
      <c r="O294" s="217" t="str">
        <f ca="1">IF(INDEX(INDIRECT(""&amp;$B294&amp;"!V2:V700"),MATCH($A294,INDIRECT(""&amp;$B294&amp;"!B2:B700"),0))=0,"",INDEX(INDIRECT(""&amp;$B294&amp;"!V2:V700"),MATCH($A294,INDIRECT(""&amp;$B294&amp;"!B2:B700"),0)))</f>
        <v/>
      </c>
    </row>
    <row r="295" spans="1:15" x14ac:dyDescent="0.25">
      <c r="A295" s="195" t="s">
        <v>600</v>
      </c>
      <c r="B295" s="195" t="s">
        <v>39</v>
      </c>
      <c r="C295" s="199">
        <f ca="1">IFERROR(INDEX(BYEs!$B$2:$B$33,MATCH(D295,BYEs!$A$2:$A$33,0)),"N/A")</f>
        <v>10</v>
      </c>
      <c r="D295" s="195" t="str">
        <f ca="1">INDEX(INDIRECT(""&amp;B295&amp;"!E2:E700"),MATCH(A295,INDIRECT(""&amp;B295&amp;"!B2:B700"),0))</f>
        <v>PHI</v>
      </c>
      <c r="E295" s="194" t="str">
        <f ca="1">INDEX(INDIRECT(""&amp;$B295&amp;"!Z2:Z709"),MATCH($A295,INDIRECT(""&amp;$B295&amp;"!B2:B709"),0))</f>
        <v>WR9</v>
      </c>
      <c r="F295" s="196">
        <f ca="1">IF(LeagueInfo!$H$7="Starter/Bench",INDEX(INDIRECT(""&amp;B295&amp;"!S2:S709"),MATCH(A295,INDIRECT(""&amp;B295&amp;"!B2:B709"),0)),INDEX(INDIRECT(""&amp;B295&amp;"!AA2:AA709"),MATCH(A295,INDIRECT(""&amp;B295&amp;"!B2:B709"),0)))</f>
        <v>-7.146556138391511</v>
      </c>
      <c r="G295" s="200">
        <f>IF(H295&gt;0,F295-H295,0)</f>
        <v>0</v>
      </c>
      <c r="H295" s="198"/>
      <c r="I295" s="200">
        <f ca="1">F295*$A$2</f>
        <v>-7.146556138391511</v>
      </c>
      <c r="J295" s="197" t="s">
        <v>80</v>
      </c>
      <c r="K295" s="197">
        <f>IF(LeagueInfo!$F$7="Yahoo",IFERROR(INDEX(DefaultAuctionValues!$B$2:$B$359,MATCH(A295,DefaultAuctionValues!$A$2:$A$359,0)),0),IF(LeagueInfo!$F$7="ESPN",IFERROR(INDEX(DefaultAuctionValues!$C$2:$C$359,MATCH(A295,DefaultAuctionValues!$A$2:$A$359,0)),0),IF(LeagueInfo!$F$7="FantasyPros",IFERROR(INDEX(DefaultAuctionValues!$D$2:$D$359,MATCH(A295,DefaultAuctionValues!$A$2:$A$359,0)),0))))</f>
        <v>0</v>
      </c>
      <c r="L295" s="201">
        <f ca="1">I295-K295</f>
        <v>-7.146556138391511</v>
      </c>
      <c r="M295" s="213"/>
      <c r="N295" s="208">
        <f ca="1">INDEX(INDIRECT(""&amp;$B295&amp;"!y2:y709"),MATCH($A295,INDIRECT(""&amp;$B295&amp;"!B2:B709"),0))</f>
        <v>-14.920000000000005</v>
      </c>
      <c r="O295" s="217" t="str">
        <f ca="1">IF(INDEX(INDIRECT(""&amp;$B295&amp;"!V2:V700"),MATCH($A295,INDIRECT(""&amp;$B295&amp;"!B2:B700"),0))=0,"",INDEX(INDIRECT(""&amp;$B295&amp;"!V2:V700"),MATCH($A295,INDIRECT(""&amp;$B295&amp;"!B2:B700"),0)))</f>
        <v/>
      </c>
    </row>
    <row r="296" spans="1:15" x14ac:dyDescent="0.25">
      <c r="A296" s="195" t="s">
        <v>475</v>
      </c>
      <c r="B296" s="195" t="s">
        <v>32</v>
      </c>
      <c r="C296" s="199">
        <f ca="1">IFERROR(INDEX(BYEs!$B$2:$B$33,MATCH(D296,BYEs!$A$2:$A$33,0)),"N/A")</f>
        <v>6</v>
      </c>
      <c r="D296" s="195" t="str">
        <f ca="1">INDEX(INDIRECT(""&amp;B296&amp;"!E2:E700"),MATCH(A296,INDIRECT(""&amp;B296&amp;"!B2:B700"),0))</f>
        <v>DAL</v>
      </c>
      <c r="E296" s="194" t="str">
        <f ca="1">INDEX(INDIRECT(""&amp;$B296&amp;"!Z2:Z709"),MATCH($A296,INDIRECT(""&amp;$B296&amp;"!B2:B709"),0))</f>
        <v>RB11</v>
      </c>
      <c r="F296" s="196">
        <f ca="1">IF(LeagueInfo!$H$7="Starter/Bench",INDEX(INDIRECT(""&amp;B296&amp;"!S2:S709"),MATCH(A296,INDIRECT(""&amp;B296&amp;"!B2:B709"),0)),INDEX(INDIRECT(""&amp;B296&amp;"!AA2:AA709"),MATCH(A296,INDIRECT(""&amp;B296&amp;"!B2:B709"),0)))</f>
        <v>-7.1489510968829286</v>
      </c>
      <c r="G296" s="200">
        <f>IF(H296&gt;0,F296-H296,0)</f>
        <v>0</v>
      </c>
      <c r="H296" s="198"/>
      <c r="I296" s="200">
        <f ca="1">F296*$A$2</f>
        <v>-7.1489510968829286</v>
      </c>
      <c r="J296" s="197" t="s">
        <v>80</v>
      </c>
      <c r="K296" s="197">
        <f>IF(LeagueInfo!$F$7="Yahoo",IFERROR(INDEX(DefaultAuctionValues!$B$2:$B$359,MATCH(A296,DefaultAuctionValues!$A$2:$A$359,0)),0),IF(LeagueInfo!$F$7="ESPN",IFERROR(INDEX(DefaultAuctionValues!$C$2:$C$359,MATCH(A296,DefaultAuctionValues!$A$2:$A$359,0)),0),IF(LeagueInfo!$F$7="FantasyPros",IFERROR(INDEX(DefaultAuctionValues!$D$2:$D$359,MATCH(A296,DefaultAuctionValues!$A$2:$A$359,0)),0))))</f>
        <v>0</v>
      </c>
      <c r="L296" s="201">
        <f ca="1">I296-K296</f>
        <v>-7.1489510968829286</v>
      </c>
      <c r="M296" s="213"/>
      <c r="N296" s="208">
        <f ca="1">INDEX(INDIRECT(""&amp;$B296&amp;"!y2:y709"),MATCH($A296,INDIRECT(""&amp;$B296&amp;"!B2:B709"),0))</f>
        <v>-14.925000000000004</v>
      </c>
      <c r="O296" s="217" t="str">
        <f ca="1">IF(INDEX(INDIRECT(""&amp;$B296&amp;"!V2:V700"),MATCH($A296,INDIRECT(""&amp;$B296&amp;"!B2:B700"),0))=0,"",INDEX(INDIRECT(""&amp;$B296&amp;"!V2:V700"),MATCH($A296,INDIRECT(""&amp;$B296&amp;"!B2:B700"),0)))</f>
        <v/>
      </c>
    </row>
    <row r="297" spans="1:15" x14ac:dyDescent="0.25">
      <c r="A297" s="195" t="s">
        <v>191</v>
      </c>
      <c r="B297" s="195" t="s">
        <v>32</v>
      </c>
      <c r="C297" s="199">
        <f ca="1">IFERROR(INDEX(BYEs!$B$2:$B$33,MATCH(D297,BYEs!$A$2:$A$33,0)),"N/A")</f>
        <v>11</v>
      </c>
      <c r="D297" s="195" t="str">
        <f ca="1">INDEX(INDIRECT(""&amp;B297&amp;"!E2:E700"),MATCH(A297,INDIRECT(""&amp;B297&amp;"!B2:B700"),0))</f>
        <v>SF</v>
      </c>
      <c r="E297" s="194" t="str">
        <f ca="1">INDEX(INDIRECT(""&amp;$B297&amp;"!Z2:Z709"),MATCH($A297,INDIRECT(""&amp;$B297&amp;"!B2:B709"),0))</f>
        <v>RB11</v>
      </c>
      <c r="F297" s="196">
        <f ca="1">IF(LeagueInfo!$H$7="Starter/Bench",INDEX(INDIRECT(""&amp;B297&amp;"!S2:S709"),MATCH(A297,INDIRECT(""&amp;B297&amp;"!B2:B709"),0)),INDEX(INDIRECT(""&amp;B297&amp;"!AA2:AA709"),MATCH(A297,INDIRECT(""&amp;B297&amp;"!B2:B709"),0)))</f>
        <v>-7.206430100676962</v>
      </c>
      <c r="G297" s="200">
        <f>IF(H297&gt;0,F297-H297,0)</f>
        <v>0</v>
      </c>
      <c r="H297" s="198"/>
      <c r="I297" s="200">
        <f ca="1">F297*$A$2</f>
        <v>-7.206430100676962</v>
      </c>
      <c r="J297" s="197" t="s">
        <v>80</v>
      </c>
      <c r="K297" s="197">
        <f>IF(LeagueInfo!$F$7="Yahoo",IFERROR(INDEX(DefaultAuctionValues!$B$2:$B$359,MATCH(A297,DefaultAuctionValues!$A$2:$A$359,0)),0),IF(LeagueInfo!$F$7="ESPN",IFERROR(INDEX(DefaultAuctionValues!$C$2:$C$359,MATCH(A297,DefaultAuctionValues!$A$2:$A$359,0)),0),IF(LeagueInfo!$F$7="FantasyPros",IFERROR(INDEX(DefaultAuctionValues!$D$2:$D$359,MATCH(A297,DefaultAuctionValues!$A$2:$A$359,0)),0))))</f>
        <v>2</v>
      </c>
      <c r="L297" s="201">
        <f ca="1">I297-K297</f>
        <v>-9.2064301006769611</v>
      </c>
      <c r="M297" s="213"/>
      <c r="N297" s="208">
        <f ca="1">INDEX(INDIRECT(""&amp;$B297&amp;"!y2:y709"),MATCH($A297,INDIRECT(""&amp;$B297&amp;"!B2:B709"),0))</f>
        <v>-15.045000000000005</v>
      </c>
      <c r="O297" s="217" t="str">
        <f ca="1">IF(INDEX(INDIRECT(""&amp;$B297&amp;"!V2:V700"),MATCH($A297,INDIRECT(""&amp;$B297&amp;"!B2:B700"),0))=0,"",INDEX(INDIRECT(""&amp;$B297&amp;"!V2:V700"),MATCH($A297,INDIRECT(""&amp;$B297&amp;"!B2:B700"),0)))</f>
        <v/>
      </c>
    </row>
    <row r="298" spans="1:15" x14ac:dyDescent="0.25">
      <c r="A298" s="195" t="s">
        <v>724</v>
      </c>
      <c r="B298" s="195" t="s">
        <v>47</v>
      </c>
      <c r="C298" s="199">
        <f ca="1">IFERROR(INDEX(BYEs!$B$2:$B$33,MATCH(D298,BYEs!$A$2:$A$33,0)),"N/A")</f>
        <v>5</v>
      </c>
      <c r="D298" s="195" t="str">
        <f ca="1">INDEX(INDIRECT(""&amp;B298&amp;"!E2:E700"),MATCH(A298,INDIRECT(""&amp;B298&amp;"!B2:B700"),0))</f>
        <v>DEN</v>
      </c>
      <c r="E298" s="194" t="str">
        <f ca="1">INDEX(INDIRECT(""&amp;$B298&amp;"!Z2:Z709"),MATCH($A298,INDIRECT(""&amp;$B298&amp;"!B2:B709"),0))</f>
        <v>TE10</v>
      </c>
      <c r="F298" s="196">
        <f ca="1">IF(LeagueInfo!$H$7="Starter/Bench",INDEX(INDIRECT(""&amp;B298&amp;"!S2:S709"),MATCH(A298,INDIRECT(""&amp;B298&amp;"!B2:B709"),0)),INDEX(INDIRECT(""&amp;B298&amp;"!AA2:AA709"),MATCH(A298,INDIRECT(""&amp;B298&amp;"!B2:B709"),0)))</f>
        <v>-7.3597074441277153</v>
      </c>
      <c r="G298" s="200">
        <f>IF(H298&gt;0,F298-H298,0)</f>
        <v>0</v>
      </c>
      <c r="H298" s="198"/>
      <c r="I298" s="200">
        <f ca="1">F298*$A$2</f>
        <v>-7.3597074441277153</v>
      </c>
      <c r="J298" s="197" t="s">
        <v>80</v>
      </c>
      <c r="K298" s="197">
        <f>IF(LeagueInfo!$F$7="Yahoo",IFERROR(INDEX(DefaultAuctionValues!$B$2:$B$359,MATCH(A298,DefaultAuctionValues!$A$2:$A$359,0)),0),IF(LeagueInfo!$F$7="ESPN",IFERROR(INDEX(DefaultAuctionValues!$C$2:$C$359,MATCH(A298,DefaultAuctionValues!$A$2:$A$359,0)),0),IF(LeagueInfo!$F$7="FantasyPros",IFERROR(INDEX(DefaultAuctionValues!$D$2:$D$359,MATCH(A298,DefaultAuctionValues!$A$2:$A$359,0)),0))))</f>
        <v>0</v>
      </c>
      <c r="L298" s="201">
        <f ca="1">I298-K298</f>
        <v>-7.3597074441277153</v>
      </c>
      <c r="M298" s="213"/>
      <c r="N298" s="208">
        <f ca="1">INDEX(INDIRECT(""&amp;$B298&amp;"!y2:y709"),MATCH($A298,INDIRECT(""&amp;$B298&amp;"!B2:B709"),0))</f>
        <v>-15.364999999999998</v>
      </c>
      <c r="O298" s="217" t="str">
        <f ca="1">IF(INDEX(INDIRECT(""&amp;$B298&amp;"!V2:V700"),MATCH($A298,INDIRECT(""&amp;$B298&amp;"!B2:B700"),0))=0,"",INDEX(INDIRECT(""&amp;$B298&amp;"!V2:V700"),MATCH($A298,INDIRECT(""&amp;$B298&amp;"!B2:B700"),0)))</f>
        <v/>
      </c>
    </row>
    <row r="299" spans="1:15" x14ac:dyDescent="0.25">
      <c r="A299" s="195" t="s">
        <v>456</v>
      </c>
      <c r="B299" s="195" t="s">
        <v>32</v>
      </c>
      <c r="C299" s="199">
        <f ca="1">IFERROR(INDEX(BYEs!$B$2:$B$33,MATCH(D299,BYEs!$A$2:$A$33,0)),"N/A")</f>
        <v>9</v>
      </c>
      <c r="D299" s="195" t="str">
        <f ca="1">INDEX(INDIRECT(""&amp;B299&amp;"!E2:E700"),MATCH(A299,INDIRECT(""&amp;B299&amp;"!B2:B700"),0))</f>
        <v>CHI</v>
      </c>
      <c r="E299" s="194" t="str">
        <f ca="1">INDEX(INDIRECT(""&amp;$B299&amp;"!Z2:Z709"),MATCH($A299,INDIRECT(""&amp;$B299&amp;"!B2:B709"),0))</f>
        <v>RB11</v>
      </c>
      <c r="F299" s="196">
        <f ca="1">IF(LeagueInfo!$H$7="Starter/Bench",INDEX(INDIRECT(""&amp;B299&amp;"!S2:S709"),MATCH(A299,INDIRECT(""&amp;B299&amp;"!B2:B709"),0)),INDEX(INDIRECT(""&amp;B299&amp;"!AA2:AA709"),MATCH(A299,INDIRECT(""&amp;B299&amp;"!B2:B709"),0)))</f>
        <v>-7.5201696630527275</v>
      </c>
      <c r="G299" s="200">
        <f>IF(H299&gt;0,F299-H299,0)</f>
        <v>0</v>
      </c>
      <c r="H299" s="198"/>
      <c r="I299" s="200">
        <f ca="1">F299*$A$2</f>
        <v>-7.5201696630527275</v>
      </c>
      <c r="J299" s="197" t="s">
        <v>80</v>
      </c>
      <c r="K299" s="197">
        <f>IF(LeagueInfo!$F$7="Yahoo",IFERROR(INDEX(DefaultAuctionValues!$B$2:$B$359,MATCH(A299,DefaultAuctionValues!$A$2:$A$359,0)),0),IF(LeagueInfo!$F$7="ESPN",IFERROR(INDEX(DefaultAuctionValues!$C$2:$C$359,MATCH(A299,DefaultAuctionValues!$A$2:$A$359,0)),0),IF(LeagueInfo!$F$7="FantasyPros",IFERROR(INDEX(DefaultAuctionValues!$D$2:$D$359,MATCH(A299,DefaultAuctionValues!$A$2:$A$359,0)),0))))</f>
        <v>0</v>
      </c>
      <c r="L299" s="201">
        <f ca="1">I299-K299</f>
        <v>-7.5201696630527275</v>
      </c>
      <c r="M299" s="213"/>
      <c r="N299" s="208">
        <f ca="1">INDEX(INDIRECT(""&amp;$B299&amp;"!y2:y709"),MATCH($A299,INDIRECT(""&amp;$B299&amp;"!B2:B709"),0))</f>
        <v>-15.700000000000003</v>
      </c>
      <c r="O299" s="217" t="str">
        <f ca="1">IF(INDEX(INDIRECT(""&amp;$B299&amp;"!V2:V700"),MATCH($A299,INDIRECT(""&amp;$B299&amp;"!B2:B700"),0))=0,"",INDEX(INDIRECT(""&amp;$B299&amp;"!V2:V700"),MATCH($A299,INDIRECT(""&amp;$B299&amp;"!B2:B700"),0)))</f>
        <v/>
      </c>
    </row>
    <row r="300" spans="1:15" x14ac:dyDescent="0.25">
      <c r="A300" s="195" t="s">
        <v>457</v>
      </c>
      <c r="B300" s="195" t="s">
        <v>32</v>
      </c>
      <c r="C300" s="199">
        <f ca="1">IFERROR(INDEX(BYEs!$B$2:$B$33,MATCH(D300,BYEs!$A$2:$A$33,0)),"N/A")</f>
        <v>6</v>
      </c>
      <c r="D300" s="195" t="str">
        <f ca="1">INDEX(INDIRECT(""&amp;B300&amp;"!E2:E700"),MATCH(A300,INDIRECT(""&amp;B300&amp;"!B2:B700"),0))</f>
        <v>SEA</v>
      </c>
      <c r="E300" s="194" t="str">
        <f ca="1">INDEX(INDIRECT(""&amp;$B300&amp;"!Z2:Z709"),MATCH($A300,INDIRECT(""&amp;$B300&amp;"!B2:B709"),0))</f>
        <v>RB11</v>
      </c>
      <c r="F300" s="196">
        <f ca="1">IF(LeagueInfo!$H$7="Starter/Bench",INDEX(INDIRECT(""&amp;B300&amp;"!S2:S709"),MATCH(A300,INDIRECT(""&amp;B300&amp;"!B2:B709"),0)),INDEX(INDIRECT(""&amp;B300&amp;"!AA2:AA709"),MATCH(A300,INDIRECT(""&amp;B300&amp;"!B2:B709"),0)))</f>
        <v>-7.5776486668467617</v>
      </c>
      <c r="G300" s="200">
        <f>IF(H300&gt;0,F300-H300,0)</f>
        <v>0</v>
      </c>
      <c r="H300" s="198"/>
      <c r="I300" s="200">
        <f ca="1">F300*$A$2</f>
        <v>-7.5776486668467617</v>
      </c>
      <c r="J300" s="197" t="s">
        <v>80</v>
      </c>
      <c r="K300" s="197">
        <f>IF(LeagueInfo!$F$7="Yahoo",IFERROR(INDEX(DefaultAuctionValues!$B$2:$B$359,MATCH(A300,DefaultAuctionValues!$A$2:$A$359,0)),0),IF(LeagueInfo!$F$7="ESPN",IFERROR(INDEX(DefaultAuctionValues!$C$2:$C$359,MATCH(A300,DefaultAuctionValues!$A$2:$A$359,0)),0),IF(LeagueInfo!$F$7="FantasyPros",IFERROR(INDEX(DefaultAuctionValues!$D$2:$D$359,MATCH(A300,DefaultAuctionValues!$A$2:$A$359,0)),0))))</f>
        <v>0</v>
      </c>
      <c r="L300" s="201">
        <f ca="1">I300-K300</f>
        <v>-7.5776486668467617</v>
      </c>
      <c r="M300" s="213"/>
      <c r="N300" s="208">
        <f ca="1">INDEX(INDIRECT(""&amp;$B300&amp;"!y2:y709"),MATCH($A300,INDIRECT(""&amp;$B300&amp;"!B2:B709"),0))</f>
        <v>-15.820000000000004</v>
      </c>
      <c r="O300" s="217" t="str">
        <f ca="1">IF(INDEX(INDIRECT(""&amp;$B300&amp;"!V2:V700"),MATCH($A300,INDIRECT(""&amp;$B300&amp;"!B2:B700"),0))=0,"",INDEX(INDIRECT(""&amp;$B300&amp;"!V2:V700"),MATCH($A300,INDIRECT(""&amp;$B300&amp;"!B2:B700"),0)))</f>
        <v/>
      </c>
    </row>
    <row r="301" spans="1:15" x14ac:dyDescent="0.25">
      <c r="A301" s="195" t="s">
        <v>453</v>
      </c>
      <c r="B301" s="195" t="s">
        <v>32</v>
      </c>
      <c r="C301" s="199">
        <f ca="1">IFERROR(INDEX(BYEs!$B$2:$B$33,MATCH(D301,BYEs!$A$2:$A$33,0)),"N/A")</f>
        <v>7</v>
      </c>
      <c r="D301" s="195" t="str">
        <f ca="1">INDEX(INDIRECT(""&amp;B301&amp;"!E2:E700"),MATCH(A301,INDIRECT(""&amp;B301&amp;"!B2:B700"),0))</f>
        <v>DET</v>
      </c>
      <c r="E301" s="194" t="str">
        <f ca="1">INDEX(INDIRECT(""&amp;$B301&amp;"!Z2:Z709"),MATCH($A301,INDIRECT(""&amp;$B301&amp;"!B2:B709"),0))</f>
        <v>RB11</v>
      </c>
      <c r="F301" s="196">
        <f ca="1">IF(LeagueInfo!$H$7="Starter/Bench",INDEX(INDIRECT(""&amp;B301&amp;"!S2:S709"),MATCH(A301,INDIRECT(""&amp;B301&amp;"!B2:B709"),0)),INDEX(INDIRECT(""&amp;B301&amp;"!AA2:AA709"),MATCH(A301,INDIRECT(""&amp;B301&amp;"!B2:B709"),0)))</f>
        <v>-7.6542873385721402</v>
      </c>
      <c r="G301" s="200">
        <f>IF(H301&gt;0,F301-H301,0)</f>
        <v>0</v>
      </c>
      <c r="H301" s="198"/>
      <c r="I301" s="200">
        <f ca="1">F301*$A$2</f>
        <v>-7.6542873385721402</v>
      </c>
      <c r="J301" s="197" t="s">
        <v>80</v>
      </c>
      <c r="K301" s="197">
        <f>IF(LeagueInfo!$F$7="Yahoo",IFERROR(INDEX(DefaultAuctionValues!$B$2:$B$359,MATCH(A301,DefaultAuctionValues!$A$2:$A$359,0)),0),IF(LeagueInfo!$F$7="ESPN",IFERROR(INDEX(DefaultAuctionValues!$C$2:$C$359,MATCH(A301,DefaultAuctionValues!$A$2:$A$359,0)),0),IF(LeagueInfo!$F$7="FantasyPros",IFERROR(INDEX(DefaultAuctionValues!$D$2:$D$359,MATCH(A301,DefaultAuctionValues!$A$2:$A$359,0)),0))))</f>
        <v>0</v>
      </c>
      <c r="L301" s="201">
        <f ca="1">I301-K301</f>
        <v>-7.6542873385721402</v>
      </c>
      <c r="M301" s="213"/>
      <c r="N301" s="208">
        <f ca="1">INDEX(INDIRECT(""&amp;$B301&amp;"!y2:y709"),MATCH($A301,INDIRECT(""&amp;$B301&amp;"!B2:B709"),0))</f>
        <v>-15.980000000000004</v>
      </c>
      <c r="O301" s="217" t="str">
        <f ca="1">IF(INDEX(INDIRECT(""&amp;$B301&amp;"!V2:V700"),MATCH($A301,INDIRECT(""&amp;$B301&amp;"!B2:B700"),0))=0,"",INDEX(INDIRECT(""&amp;$B301&amp;"!V2:V700"),MATCH($A301,INDIRECT(""&amp;$B301&amp;"!B2:B700"),0)))</f>
        <v/>
      </c>
    </row>
    <row r="302" spans="1:15" x14ac:dyDescent="0.25">
      <c r="A302" s="195" t="s">
        <v>573</v>
      </c>
      <c r="B302" s="195" t="s">
        <v>39</v>
      </c>
      <c r="C302" s="199">
        <f ca="1">IFERROR(INDEX(BYEs!$B$2:$B$33,MATCH(D302,BYEs!$A$2:$A$33,0)),"N/A")</f>
        <v>8</v>
      </c>
      <c r="D302" s="195" t="str">
        <f ca="1">INDEX(INDIRECT(""&amp;B302&amp;"!E2:E700"),MATCH(A302,INDIRECT(""&amp;B302&amp;"!B2:B700"),0))</f>
        <v>LAR</v>
      </c>
      <c r="E302" s="194" t="str">
        <f ca="1">INDEX(INDIRECT(""&amp;$B302&amp;"!Z2:Z709"),MATCH($A302,INDIRECT(""&amp;$B302&amp;"!B2:B709"),0))</f>
        <v>WR9</v>
      </c>
      <c r="F302" s="196">
        <f ca="1">IF(LeagueInfo!$H$7="Starter/Bench",INDEX(INDIRECT(""&amp;B302&amp;"!S2:S709"),MATCH(A302,INDIRECT(""&amp;B302&amp;"!B2:B709"),0)),INDEX(INDIRECT(""&amp;B302&amp;"!AA2:AA709"),MATCH(A302,INDIRECT(""&amp;B302&amp;"!B2:B709"),0)))</f>
        <v>-7.7476907197374452</v>
      </c>
      <c r="G302" s="200">
        <f>IF(H302&gt;0,F302-H302,0)</f>
        <v>0</v>
      </c>
      <c r="H302" s="198"/>
      <c r="I302" s="200">
        <f ca="1">F302*$A$2</f>
        <v>-7.7476907197374452</v>
      </c>
      <c r="J302" s="197" t="s">
        <v>80</v>
      </c>
      <c r="K302" s="197">
        <f>IF(LeagueInfo!$F$7="Yahoo",IFERROR(INDEX(DefaultAuctionValues!$B$2:$B$359,MATCH(A302,DefaultAuctionValues!$A$2:$A$359,0)),0),IF(LeagueInfo!$F$7="ESPN",IFERROR(INDEX(DefaultAuctionValues!$C$2:$C$359,MATCH(A302,DefaultAuctionValues!$A$2:$A$359,0)),0),IF(LeagueInfo!$F$7="FantasyPros",IFERROR(INDEX(DefaultAuctionValues!$D$2:$D$359,MATCH(A302,DefaultAuctionValues!$A$2:$A$359,0)),0))))</f>
        <v>1</v>
      </c>
      <c r="L302" s="201">
        <f ca="1">I302-K302</f>
        <v>-8.7476907197374452</v>
      </c>
      <c r="M302" s="213"/>
      <c r="N302" s="208">
        <f ca="1">INDEX(INDIRECT(""&amp;$B302&amp;"!y2:y709"),MATCH($A302,INDIRECT(""&amp;$B302&amp;"!B2:B709"),0))</f>
        <v>-16.175000000000004</v>
      </c>
      <c r="O302" s="217" t="str">
        <f ca="1">IF(INDEX(INDIRECT(""&amp;$B302&amp;"!V2:V700"),MATCH($A302,INDIRECT(""&amp;$B302&amp;"!B2:B700"),0))=0,"",INDEX(INDIRECT(""&amp;$B302&amp;"!V2:V700"),MATCH($A302,INDIRECT(""&amp;$B302&amp;"!B2:B700"),0)))</f>
        <v/>
      </c>
    </row>
    <row r="303" spans="1:15" x14ac:dyDescent="0.25">
      <c r="A303" s="195" t="s">
        <v>577</v>
      </c>
      <c r="B303" s="195" t="s">
        <v>39</v>
      </c>
      <c r="C303" s="199">
        <f ca="1">IFERROR(INDEX(BYEs!$B$2:$B$33,MATCH(D303,BYEs!$A$2:$A$33,0)),"N/A")</f>
        <v>11</v>
      </c>
      <c r="D303" s="195" t="str">
        <f ca="1">INDEX(INDIRECT(""&amp;B303&amp;"!E2:E700"),MATCH(A303,INDIRECT(""&amp;B303&amp;"!B2:B700"),0))</f>
        <v>SF</v>
      </c>
      <c r="E303" s="194" t="str">
        <f ca="1">INDEX(INDIRECT(""&amp;$B303&amp;"!Z2:Z709"),MATCH($A303,INDIRECT(""&amp;$B303&amp;"!B2:B709"),0))</f>
        <v>WR9</v>
      </c>
      <c r="F303" s="196">
        <f ca="1">IF(LeagueInfo!$H$7="Starter/Bench",INDEX(INDIRECT(""&amp;B303&amp;"!S2:S709"),MATCH(A303,INDIRECT(""&amp;B303&amp;"!B2:B709"),0)),INDEX(INDIRECT(""&amp;B303&amp;"!AA2:AA709"),MATCH(A303,INDIRECT(""&amp;B303&amp;"!B2:B709"),0)))</f>
        <v>-8.01113615379343</v>
      </c>
      <c r="G303" s="200">
        <f>IF(H303&gt;0,F303-H303,0)</f>
        <v>0</v>
      </c>
      <c r="H303" s="198"/>
      <c r="I303" s="200">
        <f ca="1">F303*$A$2</f>
        <v>-8.01113615379343</v>
      </c>
      <c r="J303" s="197" t="s">
        <v>80</v>
      </c>
      <c r="K303" s="197">
        <f>IF(LeagueInfo!$F$7="Yahoo",IFERROR(INDEX(DefaultAuctionValues!$B$2:$B$359,MATCH(A303,DefaultAuctionValues!$A$2:$A$359,0)),0),IF(LeagueInfo!$F$7="ESPN",IFERROR(INDEX(DefaultAuctionValues!$C$2:$C$359,MATCH(A303,DefaultAuctionValues!$A$2:$A$359,0)),0),IF(LeagueInfo!$F$7="FantasyPros",IFERROR(INDEX(DefaultAuctionValues!$D$2:$D$359,MATCH(A303,DefaultAuctionValues!$A$2:$A$359,0)),0))))</f>
        <v>0</v>
      </c>
      <c r="L303" s="201">
        <f ca="1">I303-K303</f>
        <v>-8.01113615379343</v>
      </c>
      <c r="M303" s="213"/>
      <c r="N303" s="208">
        <f ca="1">INDEX(INDIRECT(""&amp;$B303&amp;"!y2:y709"),MATCH($A303,INDIRECT(""&amp;$B303&amp;"!B2:B709"),0))</f>
        <v>-16.725000000000001</v>
      </c>
      <c r="O303" s="217" t="str">
        <f ca="1">IF(INDEX(INDIRECT(""&amp;$B303&amp;"!V2:V700"),MATCH($A303,INDIRECT(""&amp;$B303&amp;"!B2:B700"),0))=0,"",INDEX(INDIRECT(""&amp;$B303&amp;"!V2:V700"),MATCH($A303,INDIRECT(""&amp;$B303&amp;"!B2:B700"),0)))</f>
        <v/>
      </c>
    </row>
    <row r="304" spans="1:15" x14ac:dyDescent="0.25">
      <c r="A304" s="195" t="s">
        <v>729</v>
      </c>
      <c r="B304" s="195" t="s">
        <v>47</v>
      </c>
      <c r="C304" s="199">
        <f ca="1">IFERROR(INDEX(BYEs!$B$2:$B$33,MATCH(D304,BYEs!$A$2:$A$33,0)),"N/A")</f>
        <v>9</v>
      </c>
      <c r="D304" s="195" t="str">
        <f ca="1">INDEX(INDIRECT(""&amp;B304&amp;"!E2:E700"),MATCH(A304,INDIRECT(""&amp;B304&amp;"!B2:B700"),0))</f>
        <v>CLE</v>
      </c>
      <c r="E304" s="194" t="str">
        <f ca="1">INDEX(INDIRECT(""&amp;$B304&amp;"!Z2:Z709"),MATCH($A304,INDIRECT(""&amp;$B304&amp;"!B2:B709"),0))</f>
        <v>TE10</v>
      </c>
      <c r="F304" s="196">
        <f ca="1">IF(LeagueInfo!$H$7="Starter/Bench",INDEX(INDIRECT(""&amp;B304&amp;"!S2:S709"),MATCH(A304,INDIRECT(""&amp;B304&amp;"!B2:B709"),0)),INDEX(INDIRECT(""&amp;B304&amp;"!AA2:AA709"),MATCH(A304,INDIRECT(""&amp;B304&amp;"!B2:B709"),0)))</f>
        <v>-8.0422706141818647</v>
      </c>
      <c r="G304" s="200">
        <f>IF(H304&gt;0,F304-H304,0)</f>
        <v>0</v>
      </c>
      <c r="H304" s="198"/>
      <c r="I304" s="200">
        <f ca="1">F304*$A$2</f>
        <v>-8.0422706141818647</v>
      </c>
      <c r="J304" s="197" t="s">
        <v>80</v>
      </c>
      <c r="K304" s="197">
        <f>IF(LeagueInfo!$F$7="Yahoo",IFERROR(INDEX(DefaultAuctionValues!$B$2:$B$359,MATCH(A304,DefaultAuctionValues!$A$2:$A$359,0)),0),IF(LeagueInfo!$F$7="ESPN",IFERROR(INDEX(DefaultAuctionValues!$C$2:$C$359,MATCH(A304,DefaultAuctionValues!$A$2:$A$359,0)),0),IF(LeagueInfo!$F$7="FantasyPros",IFERROR(INDEX(DefaultAuctionValues!$D$2:$D$359,MATCH(A304,DefaultAuctionValues!$A$2:$A$359,0)),0))))</f>
        <v>0</v>
      </c>
      <c r="L304" s="201">
        <f ca="1">I304-K304</f>
        <v>-8.0422706141818647</v>
      </c>
      <c r="M304" s="213"/>
      <c r="N304" s="208">
        <f ca="1">INDEX(INDIRECT(""&amp;$B304&amp;"!y2:y709"),MATCH($A304,INDIRECT(""&amp;$B304&amp;"!B2:B709"),0))</f>
        <v>-16.79</v>
      </c>
      <c r="O304" s="217" t="str">
        <f ca="1">IF(INDEX(INDIRECT(""&amp;$B304&amp;"!V2:V700"),MATCH($A304,INDIRECT(""&amp;$B304&amp;"!B2:B700"),0))=0,"",INDEX(INDIRECT(""&amp;$B304&amp;"!V2:V700"),MATCH($A304,INDIRECT(""&amp;$B304&amp;"!B2:B700"),0)))</f>
        <v/>
      </c>
    </row>
    <row r="305" spans="1:15" x14ac:dyDescent="0.25">
      <c r="A305" s="195" t="s">
        <v>576</v>
      </c>
      <c r="B305" s="195" t="s">
        <v>39</v>
      </c>
      <c r="C305" s="199">
        <f ca="1">IFERROR(INDEX(BYEs!$B$2:$B$33,MATCH(D305,BYEs!$A$2:$A$33,0)),"N/A")</f>
        <v>9</v>
      </c>
      <c r="D305" s="195" t="str">
        <f ca="1">INDEX(INDIRECT(""&amp;B305&amp;"!E2:E700"),MATCH(A305,INDIRECT(""&amp;B305&amp;"!B2:B700"),0))</f>
        <v>MIN</v>
      </c>
      <c r="E305" s="194" t="str">
        <f ca="1">INDEX(INDIRECT(""&amp;$B305&amp;"!Z2:Z709"),MATCH($A305,INDIRECT(""&amp;$B305&amp;"!B2:B709"),0))</f>
        <v>WR9</v>
      </c>
      <c r="F305" s="196">
        <f ca="1">IF(LeagueInfo!$H$7="Starter/Bench",INDEX(INDIRECT(""&amp;B305&amp;"!S2:S709"),MATCH(A305,INDIRECT(""&amp;B305&amp;"!B2:B709"),0)),INDEX(INDIRECT(""&amp;B305&amp;"!AA2:AA709"),MATCH(A305,INDIRECT(""&amp;B305&amp;"!B2:B709"),0)))</f>
        <v>-8.0686151575874625</v>
      </c>
      <c r="G305" s="200">
        <f>IF(H305&gt;0,F305-H305,0)</f>
        <v>0</v>
      </c>
      <c r="H305" s="198"/>
      <c r="I305" s="200">
        <f ca="1">F305*$A$2</f>
        <v>-8.0686151575874625</v>
      </c>
      <c r="J305" s="197" t="s">
        <v>80</v>
      </c>
      <c r="K305" s="197">
        <f>IF(LeagueInfo!$F$7="Yahoo",IFERROR(INDEX(DefaultAuctionValues!$B$2:$B$359,MATCH(A305,DefaultAuctionValues!$A$2:$A$359,0)),0),IF(LeagueInfo!$F$7="ESPN",IFERROR(INDEX(DefaultAuctionValues!$C$2:$C$359,MATCH(A305,DefaultAuctionValues!$A$2:$A$359,0)),0),IF(LeagueInfo!$F$7="FantasyPros",IFERROR(INDEX(DefaultAuctionValues!$D$2:$D$359,MATCH(A305,DefaultAuctionValues!$A$2:$A$359,0)),0))))</f>
        <v>0</v>
      </c>
      <c r="L305" s="201">
        <f ca="1">I305-K305</f>
        <v>-8.0686151575874625</v>
      </c>
      <c r="M305" s="213"/>
      <c r="N305" s="208">
        <f ca="1">INDEX(INDIRECT(""&amp;$B305&amp;"!y2:y709"),MATCH($A305,INDIRECT(""&amp;$B305&amp;"!B2:B709"),0))</f>
        <v>-16.844999999999999</v>
      </c>
      <c r="O305" s="217" t="str">
        <f ca="1">IF(INDEX(INDIRECT(""&amp;$B305&amp;"!V2:V700"),MATCH($A305,INDIRECT(""&amp;$B305&amp;"!B2:B700"),0))=0,"",INDEX(INDIRECT(""&amp;$B305&amp;"!V2:V700"),MATCH($A305,INDIRECT(""&amp;$B305&amp;"!B2:B700"),0)))</f>
        <v/>
      </c>
    </row>
    <row r="306" spans="1:15" x14ac:dyDescent="0.25">
      <c r="A306" s="195" t="s">
        <v>462</v>
      </c>
      <c r="B306" s="195" t="s">
        <v>32</v>
      </c>
      <c r="C306" s="199">
        <f ca="1">IFERROR(INDEX(BYEs!$B$2:$B$33,MATCH(D306,BYEs!$A$2:$A$33,0)),"N/A")</f>
        <v>9</v>
      </c>
      <c r="D306" s="195" t="str">
        <f ca="1">INDEX(INDIRECT(""&amp;B306&amp;"!E2:E700"),MATCH(A306,INDIRECT(""&amp;B306&amp;"!B2:B700"),0))</f>
        <v>LAC</v>
      </c>
      <c r="E306" s="194" t="str">
        <f ca="1">INDEX(INDIRECT(""&amp;$B306&amp;"!Z2:Z709"),MATCH($A306,INDIRECT(""&amp;$B306&amp;"!B2:B709"),0))</f>
        <v>RB11</v>
      </c>
      <c r="F306" s="196">
        <f ca="1">IF(LeagueInfo!$H$7="Starter/Bench",INDEX(INDIRECT(""&amp;B306&amp;"!S2:S709"),MATCH(A306,INDIRECT(""&amp;B306&amp;"!B2:B709"),0)),INDEX(INDIRECT(""&amp;B306&amp;"!AA2:AA709"),MATCH(A306,INDIRECT(""&amp;B306&amp;"!B2:B709"),0)))</f>
        <v>-8.0781949915531381</v>
      </c>
      <c r="G306" s="200">
        <f>IF(H306&gt;0,F306-H306,0)</f>
        <v>0</v>
      </c>
      <c r="H306" s="198"/>
      <c r="I306" s="200">
        <f ca="1">F306*$A$2</f>
        <v>-8.0781949915531381</v>
      </c>
      <c r="J306" s="197" t="s">
        <v>80</v>
      </c>
      <c r="K306" s="197">
        <f>IF(LeagueInfo!$F$7="Yahoo",IFERROR(INDEX(DefaultAuctionValues!$B$2:$B$359,MATCH(A306,DefaultAuctionValues!$A$2:$A$359,0)),0),IF(LeagueInfo!$F$7="ESPN",IFERROR(INDEX(DefaultAuctionValues!$C$2:$C$359,MATCH(A306,DefaultAuctionValues!$A$2:$A$359,0)),0),IF(LeagueInfo!$F$7="FantasyPros",IFERROR(INDEX(DefaultAuctionValues!$D$2:$D$359,MATCH(A306,DefaultAuctionValues!$A$2:$A$359,0)),0))))</f>
        <v>0</v>
      </c>
      <c r="L306" s="201">
        <f ca="1">I306-K306</f>
        <v>-8.0781949915531381</v>
      </c>
      <c r="M306" s="213"/>
      <c r="N306" s="208">
        <f ca="1">INDEX(INDIRECT(""&amp;$B306&amp;"!y2:y709"),MATCH($A306,INDIRECT(""&amp;$B306&amp;"!B2:B709"),0))</f>
        <v>-16.865000000000006</v>
      </c>
      <c r="O306" s="217" t="str">
        <f ca="1">IF(INDEX(INDIRECT(""&amp;$B306&amp;"!V2:V700"),MATCH($A306,INDIRECT(""&amp;$B306&amp;"!B2:B700"),0))=0,"",INDEX(INDIRECT(""&amp;$B306&amp;"!V2:V700"),MATCH($A306,INDIRECT(""&amp;$B306&amp;"!B2:B700"),0)))</f>
        <v/>
      </c>
    </row>
    <row r="307" spans="1:15" x14ac:dyDescent="0.25">
      <c r="A307" s="195" t="s">
        <v>379</v>
      </c>
      <c r="B307" s="195" t="s">
        <v>33</v>
      </c>
      <c r="C307" s="199">
        <f ca="1">IFERROR(INDEX(BYEs!$B$2:$B$33,MATCH(D307,BYEs!$A$2:$A$33,0)),"N/A")</f>
        <v>8</v>
      </c>
      <c r="D307" s="195" t="str">
        <f ca="1">INDEX(INDIRECT(""&amp;B307&amp;"!E2:E700"),MATCH(A307,INDIRECT(""&amp;B307&amp;"!B2:B700"),0))</f>
        <v>LAR</v>
      </c>
      <c r="E307" s="194" t="str">
        <f ca="1">INDEX(INDIRECT(""&amp;$B307&amp;"!Z2:Z709"),MATCH($A307,INDIRECT(""&amp;$B307&amp;"!B2:B709"),0))</f>
        <v>QB5</v>
      </c>
      <c r="F307" s="196">
        <f ca="1">IF(LeagueInfo!$H$7="Starter/Bench",INDEX(INDIRECT(""&amp;B307&amp;"!S2:S709"),MATCH(A307,INDIRECT(""&amp;B307&amp;"!B2:B709"),0)),INDEX(INDIRECT(""&amp;B307&amp;"!AA2:AA709"),MATCH(A307,INDIRECT(""&amp;B307&amp;"!B2:B709"),0)))</f>
        <v>-8.0858588587256808</v>
      </c>
      <c r="G307" s="200">
        <f>IF(H307&gt;0,F307-H307,0)</f>
        <v>0</v>
      </c>
      <c r="H307" s="198"/>
      <c r="I307" s="200">
        <f ca="1">F307*$A$2</f>
        <v>-8.0858588587256808</v>
      </c>
      <c r="J307" s="197" t="s">
        <v>80</v>
      </c>
      <c r="K307" s="197">
        <f>IF(LeagueInfo!$F$7="Yahoo",IFERROR(INDEX(DefaultAuctionValues!$B$2:$B$359,MATCH(A307,DefaultAuctionValues!$A$2:$A$359,0)),0),IF(LeagueInfo!$F$7="ESPN",IFERROR(INDEX(DefaultAuctionValues!$C$2:$C$359,MATCH(A307,DefaultAuctionValues!$A$2:$A$359,0)),0),IF(LeagueInfo!$F$7="FantasyPros",IFERROR(INDEX(DefaultAuctionValues!$D$2:$D$359,MATCH(A307,DefaultAuctionValues!$A$2:$A$359,0)),0))))</f>
        <v>0</v>
      </c>
      <c r="L307" s="201">
        <f ca="1">I307-K307</f>
        <v>-8.0858588587256808</v>
      </c>
      <c r="M307" s="213"/>
      <c r="N307" s="208">
        <f ca="1">INDEX(INDIRECT(""&amp;$B307&amp;"!y2:y709"),MATCH($A307,INDIRECT(""&amp;$B307&amp;"!B2:B709"),0))</f>
        <v>-16.881000000000014</v>
      </c>
      <c r="O307" s="217" t="str">
        <f ca="1">IF(INDEX(INDIRECT(""&amp;$B307&amp;"!V2:V700"),MATCH($A307,INDIRECT(""&amp;$B307&amp;"!B2:B700"),0))=0,"",INDEX(INDIRECT(""&amp;$B307&amp;"!V2:V700"),MATCH($A307,INDIRECT(""&amp;$B307&amp;"!B2:B700"),0)))</f>
        <v/>
      </c>
    </row>
    <row r="308" spans="1:15" x14ac:dyDescent="0.25">
      <c r="A308" s="195" t="s">
        <v>730</v>
      </c>
      <c r="B308" s="195" t="s">
        <v>47</v>
      </c>
      <c r="C308" s="199">
        <f ca="1">IFERROR(INDEX(BYEs!$B$2:$B$33,MATCH(D308,BYEs!$A$2:$A$33,0)),"N/A")</f>
        <v>11</v>
      </c>
      <c r="D308" s="195" t="str">
        <f ca="1">INDEX(INDIRECT(""&amp;B308&amp;"!E2:E700"),MATCH(A308,INDIRECT(""&amp;B308&amp;"!B2:B700"),0))</f>
        <v>SF</v>
      </c>
      <c r="E308" s="194" t="str">
        <f ca="1">INDEX(INDIRECT(""&amp;$B308&amp;"!Z2:Z709"),MATCH($A308,INDIRECT(""&amp;$B308&amp;"!B2:B709"),0))</f>
        <v>TE10</v>
      </c>
      <c r="F308" s="196">
        <f ca="1">IF(LeagueInfo!$H$7="Starter/Bench",INDEX(INDIRECT(""&amp;B308&amp;"!S2:S709"),MATCH(A308,INDIRECT(""&amp;B308&amp;"!B2:B709"),0)),INDEX(INDIRECT(""&amp;B308&amp;"!AA2:AA709"),MATCH(A308,INDIRECT(""&amp;B308&amp;"!B2:B709"),0)))</f>
        <v>-8.0949597009930621</v>
      </c>
      <c r="G308" s="200">
        <f>IF(H308&gt;0,F308-H308,0)</f>
        <v>0</v>
      </c>
      <c r="H308" s="198"/>
      <c r="I308" s="200">
        <f ca="1">F308*$A$2</f>
        <v>-8.0949597009930621</v>
      </c>
      <c r="J308" s="197" t="s">
        <v>80</v>
      </c>
      <c r="K308" s="197">
        <f>IF(LeagueInfo!$F$7="Yahoo",IFERROR(INDEX(DefaultAuctionValues!$B$2:$B$359,MATCH(A308,DefaultAuctionValues!$A$2:$A$359,0)),0),IF(LeagueInfo!$F$7="ESPN",IFERROR(INDEX(DefaultAuctionValues!$C$2:$C$359,MATCH(A308,DefaultAuctionValues!$A$2:$A$359,0)),0),IF(LeagueInfo!$F$7="FantasyPros",IFERROR(INDEX(DefaultAuctionValues!$D$2:$D$359,MATCH(A308,DefaultAuctionValues!$A$2:$A$359,0)),0))))</f>
        <v>0</v>
      </c>
      <c r="L308" s="201">
        <f ca="1">I308-K308</f>
        <v>-8.0949597009930621</v>
      </c>
      <c r="M308" s="213"/>
      <c r="N308" s="208">
        <f ca="1">INDEX(INDIRECT(""&amp;$B308&amp;"!y2:y709"),MATCH($A308,INDIRECT(""&amp;$B308&amp;"!B2:B709"),0))</f>
        <v>-16.899999999999999</v>
      </c>
      <c r="O308" s="217" t="str">
        <f ca="1">IF(INDEX(INDIRECT(""&amp;$B308&amp;"!V2:V700"),MATCH($A308,INDIRECT(""&amp;$B308&amp;"!B2:B700"),0))=0,"",INDEX(INDIRECT(""&amp;$B308&amp;"!V2:V700"),MATCH($A308,INDIRECT(""&amp;$B308&amp;"!B2:B700"),0)))</f>
        <v/>
      </c>
    </row>
    <row r="309" spans="1:15" x14ac:dyDescent="0.25">
      <c r="A309" s="195" t="s">
        <v>723</v>
      </c>
      <c r="B309" s="195" t="s">
        <v>47</v>
      </c>
      <c r="C309" s="199">
        <f ca="1">IFERROR(INDEX(BYEs!$B$2:$B$33,MATCH(D309,BYEs!$A$2:$A$33,0)),"N/A")</f>
        <v>8</v>
      </c>
      <c r="D309" s="195" t="str">
        <f ca="1">INDEX(INDIRECT(""&amp;B309&amp;"!E2:E700"),MATCH(A309,INDIRECT(""&amp;B309&amp;"!B2:B700"),0))</f>
        <v>JAC</v>
      </c>
      <c r="E309" s="194" t="str">
        <f ca="1">INDEX(INDIRECT(""&amp;$B309&amp;"!Z2:Z709"),MATCH($A309,INDIRECT(""&amp;$B309&amp;"!B2:B709"),0))</f>
        <v>TE10</v>
      </c>
      <c r="F309" s="196">
        <f ca="1">IF(LeagueInfo!$H$7="Starter/Bench",INDEX(INDIRECT(""&amp;B309&amp;"!S2:S709"),MATCH(A309,INDIRECT(""&amp;B309&amp;"!B2:B709"),0)),INDEX(INDIRECT(""&amp;B309&amp;"!AA2:AA709"),MATCH(A309,INDIRECT(""&amp;B309&amp;"!B2:B709"),0)))</f>
        <v>-8.1141193689244062</v>
      </c>
      <c r="G309" s="200">
        <f>IF(H309&gt;0,F309-H309,0)</f>
        <v>0</v>
      </c>
      <c r="H309" s="198"/>
      <c r="I309" s="200">
        <f ca="1">F309*$A$2</f>
        <v>-8.1141193689244062</v>
      </c>
      <c r="J309" s="197" t="s">
        <v>80</v>
      </c>
      <c r="K309" s="197">
        <f>IF(LeagueInfo!$F$7="Yahoo",IFERROR(INDEX(DefaultAuctionValues!$B$2:$B$359,MATCH(A309,DefaultAuctionValues!$A$2:$A$359,0)),0),IF(LeagueInfo!$F$7="ESPN",IFERROR(INDEX(DefaultAuctionValues!$C$2:$C$359,MATCH(A309,DefaultAuctionValues!$A$2:$A$359,0)),0),IF(LeagueInfo!$F$7="FantasyPros",IFERROR(INDEX(DefaultAuctionValues!$D$2:$D$359,MATCH(A309,DefaultAuctionValues!$A$2:$A$359,0)),0))))</f>
        <v>0</v>
      </c>
      <c r="L309" s="201">
        <f ca="1">I309-K309</f>
        <v>-8.1141193689244062</v>
      </c>
      <c r="M309" s="213"/>
      <c r="N309" s="208">
        <f ca="1">INDEX(INDIRECT(""&amp;$B309&amp;"!y2:y709"),MATCH($A309,INDIRECT(""&amp;$B309&amp;"!B2:B709"),0))</f>
        <v>-16.939999999999998</v>
      </c>
      <c r="O309" s="217" t="str">
        <f ca="1">IF(INDEX(INDIRECT(""&amp;$B309&amp;"!V2:V700"),MATCH($A309,INDIRECT(""&amp;$B309&amp;"!B2:B700"),0))=0,"",INDEX(INDIRECT(""&amp;$B309&amp;"!V2:V700"),MATCH($A309,INDIRECT(""&amp;$B309&amp;"!B2:B700"),0)))</f>
        <v/>
      </c>
    </row>
    <row r="310" spans="1:15" x14ac:dyDescent="0.25">
      <c r="A310" s="195" t="s">
        <v>727</v>
      </c>
      <c r="B310" s="195" t="s">
        <v>47</v>
      </c>
      <c r="C310" s="199">
        <f ca="1">IFERROR(INDEX(BYEs!$B$2:$B$33,MATCH(D310,BYEs!$A$2:$A$33,0)),"N/A")</f>
        <v>10</v>
      </c>
      <c r="D310" s="195" t="str">
        <f ca="1">INDEX(INDIRECT(""&amp;B310&amp;"!E2:E700"),MATCH(A310,INDIRECT(""&amp;B310&amp;"!B2:B700"),0))</f>
        <v>OAK</v>
      </c>
      <c r="E310" s="194" t="str">
        <f ca="1">INDEX(INDIRECT(""&amp;$B310&amp;"!Z2:Z709"),MATCH($A310,INDIRECT(""&amp;$B310&amp;"!B2:B709"),0))</f>
        <v>TE10</v>
      </c>
      <c r="F310" s="196">
        <f ca="1">IF(LeagueInfo!$H$7="Starter/Bench",INDEX(INDIRECT(""&amp;B310&amp;"!S2:S709"),MATCH(A310,INDIRECT(""&amp;B310&amp;"!B2:B709"),0)),INDEX(INDIRECT(""&amp;B310&amp;"!AA2:AA709"),MATCH(A310,INDIRECT(""&amp;B310&amp;"!B2:B709"),0)))</f>
        <v>-8.140463912330004</v>
      </c>
      <c r="G310" s="200">
        <f>IF(H310&gt;0,F310-H310,0)</f>
        <v>0</v>
      </c>
      <c r="H310" s="198"/>
      <c r="I310" s="200">
        <f ca="1">F310*$A$2</f>
        <v>-8.140463912330004</v>
      </c>
      <c r="J310" s="197" t="s">
        <v>80</v>
      </c>
      <c r="K310" s="197">
        <f>IF(LeagueInfo!$F$7="Yahoo",IFERROR(INDEX(DefaultAuctionValues!$B$2:$B$359,MATCH(A310,DefaultAuctionValues!$A$2:$A$359,0)),0),IF(LeagueInfo!$F$7="ESPN",IFERROR(INDEX(DefaultAuctionValues!$C$2:$C$359,MATCH(A310,DefaultAuctionValues!$A$2:$A$359,0)),0),IF(LeagueInfo!$F$7="FantasyPros",IFERROR(INDEX(DefaultAuctionValues!$D$2:$D$359,MATCH(A310,DefaultAuctionValues!$A$2:$A$359,0)),0))))</f>
        <v>0</v>
      </c>
      <c r="L310" s="201">
        <f ca="1">I310-K310</f>
        <v>-8.140463912330004</v>
      </c>
      <c r="M310" s="213"/>
      <c r="N310" s="208">
        <f ca="1">INDEX(INDIRECT(""&amp;$B310&amp;"!y2:y709"),MATCH($A310,INDIRECT(""&amp;$B310&amp;"!B2:B709"),0))</f>
        <v>-16.994999999999997</v>
      </c>
      <c r="O310" s="217" t="str">
        <f ca="1">IF(INDEX(INDIRECT(""&amp;$B310&amp;"!V2:V700"),MATCH($A310,INDIRECT(""&amp;$B310&amp;"!B2:B700"),0))=0,"",INDEX(INDIRECT(""&amp;$B310&amp;"!V2:V700"),MATCH($A310,INDIRECT(""&amp;$B310&amp;"!B2:B700"),0)))</f>
        <v/>
      </c>
    </row>
    <row r="311" spans="1:15" x14ac:dyDescent="0.25">
      <c r="A311" s="195" t="s">
        <v>568</v>
      </c>
      <c r="B311" s="195" t="s">
        <v>39</v>
      </c>
      <c r="C311" s="199">
        <f ca="1">IFERROR(INDEX(BYEs!$B$2:$B$33,MATCH(D311,BYEs!$A$2:$A$33,0)),"N/A")</f>
        <v>6</v>
      </c>
      <c r="D311" s="195" t="str">
        <f ca="1">INDEX(INDIRECT(""&amp;B311&amp;"!E2:E700"),MATCH(A311,INDIRECT(""&amp;B311&amp;"!B2:B700"),0))</f>
        <v>CIN</v>
      </c>
      <c r="E311" s="194" t="str">
        <f ca="1">INDEX(INDIRECT(""&amp;$B311&amp;"!Z2:Z709"),MATCH($A311,INDIRECT(""&amp;$B311&amp;"!B2:B709"),0))</f>
        <v>WR9</v>
      </c>
      <c r="F311" s="196">
        <f ca="1">IF(LeagueInfo!$H$7="Starter/Bench",INDEX(INDIRECT(""&amp;B311&amp;"!S2:S709"),MATCH(A311,INDIRECT(""&amp;B311&amp;"!B2:B709"),0)),INDEX(INDIRECT(""&amp;B311&amp;"!AA2:AA709"),MATCH(A311,INDIRECT(""&amp;B311&amp;"!B2:B709"),0)))</f>
        <v>-8.3081110067292698</v>
      </c>
      <c r="G311" s="200">
        <f>IF(H311&gt;0,F311-H311,0)</f>
        <v>0</v>
      </c>
      <c r="H311" s="198"/>
      <c r="I311" s="200">
        <f ca="1">F311*$A$2</f>
        <v>-8.3081110067292698</v>
      </c>
      <c r="J311" s="197" t="s">
        <v>80</v>
      </c>
      <c r="K311" s="197">
        <f>IF(LeagueInfo!$F$7="Yahoo",IFERROR(INDEX(DefaultAuctionValues!$B$2:$B$359,MATCH(A311,DefaultAuctionValues!$A$2:$A$359,0)),0),IF(LeagueInfo!$F$7="ESPN",IFERROR(INDEX(DefaultAuctionValues!$C$2:$C$359,MATCH(A311,DefaultAuctionValues!$A$2:$A$359,0)),0),IF(LeagueInfo!$F$7="FantasyPros",IFERROR(INDEX(DefaultAuctionValues!$D$2:$D$359,MATCH(A311,DefaultAuctionValues!$A$2:$A$359,0)),0))))</f>
        <v>0</v>
      </c>
      <c r="L311" s="201">
        <f ca="1">I311-K311</f>
        <v>-8.3081110067292698</v>
      </c>
      <c r="M311" s="213"/>
      <c r="N311" s="208">
        <f ca="1">INDEX(INDIRECT(""&amp;$B311&amp;"!y2:y709"),MATCH($A311,INDIRECT(""&amp;$B311&amp;"!B2:B709"),0))</f>
        <v>-17.344999999999999</v>
      </c>
      <c r="O311" s="217" t="str">
        <f ca="1">IF(INDEX(INDIRECT(""&amp;$B311&amp;"!V2:V700"),MATCH($A311,INDIRECT(""&amp;$B311&amp;"!B2:B700"),0))=0,"",INDEX(INDIRECT(""&amp;$B311&amp;"!V2:V700"),MATCH($A311,INDIRECT(""&amp;$B311&amp;"!B2:B700"),0)))</f>
        <v/>
      </c>
    </row>
    <row r="312" spans="1:15" x14ac:dyDescent="0.25">
      <c r="A312" s="195" t="s">
        <v>740</v>
      </c>
      <c r="B312" s="195" t="s">
        <v>47</v>
      </c>
      <c r="C312" s="199">
        <f ca="1">IFERROR(INDEX(BYEs!$B$2:$B$33,MATCH(D312,BYEs!$A$2:$A$33,0)),"N/A")</f>
        <v>5</v>
      </c>
      <c r="D312" s="195" t="str">
        <f ca="1">INDEX(INDIRECT(""&amp;B312&amp;"!E2:E700"),MATCH(A312,INDIRECT(""&amp;B312&amp;"!B2:B700"),0))</f>
        <v>DEN</v>
      </c>
      <c r="E312" s="194" t="str">
        <f ca="1">INDEX(INDIRECT(""&amp;$B312&amp;"!Z2:Z709"),MATCH($A312,INDIRECT(""&amp;$B312&amp;"!B2:B709"),0))</f>
        <v>TE10</v>
      </c>
      <c r="F312" s="196">
        <f ca="1">IF(LeagueInfo!$H$7="Starter/Bench",INDEX(INDIRECT(""&amp;B312&amp;"!S2:S709"),MATCH(A312,INDIRECT(""&amp;B312&amp;"!B2:B709"),0)),INDEX(INDIRECT(""&amp;B312&amp;"!AA2:AA709"),MATCH(A312,INDIRECT(""&amp;B312&amp;"!B2:B709"),0)))</f>
        <v>-8.3105059652206865</v>
      </c>
      <c r="G312" s="200">
        <f>IF(H312&gt;0,F312-H312,0)</f>
        <v>0</v>
      </c>
      <c r="H312" s="198"/>
      <c r="I312" s="200">
        <f ca="1">F312*$A$2</f>
        <v>-8.3105059652206865</v>
      </c>
      <c r="J312" s="197" t="s">
        <v>80</v>
      </c>
      <c r="K312" s="197">
        <f>IF(LeagueInfo!$F$7="Yahoo",IFERROR(INDEX(DefaultAuctionValues!$B$2:$B$359,MATCH(A312,DefaultAuctionValues!$A$2:$A$359,0)),0),IF(LeagueInfo!$F$7="ESPN",IFERROR(INDEX(DefaultAuctionValues!$C$2:$C$359,MATCH(A312,DefaultAuctionValues!$A$2:$A$359,0)),0),IF(LeagueInfo!$F$7="FantasyPros",IFERROR(INDEX(DefaultAuctionValues!$D$2:$D$359,MATCH(A312,DefaultAuctionValues!$A$2:$A$359,0)),0))))</f>
        <v>0</v>
      </c>
      <c r="L312" s="201">
        <f ca="1">I312-K312</f>
        <v>-8.3105059652206865</v>
      </c>
      <c r="M312" s="213"/>
      <c r="N312" s="208">
        <f ca="1">INDEX(INDIRECT(""&amp;$B312&amp;"!y2:y709"),MATCH($A312,INDIRECT(""&amp;$B312&amp;"!B2:B709"),0))</f>
        <v>-17.349999999999998</v>
      </c>
      <c r="O312" s="217" t="str">
        <f ca="1">IF(INDEX(INDIRECT(""&amp;$B312&amp;"!V2:V700"),MATCH($A312,INDIRECT(""&amp;$B312&amp;"!B2:B700"),0))=0,"",INDEX(INDIRECT(""&amp;$B312&amp;"!V2:V700"),MATCH($A312,INDIRECT(""&amp;$B312&amp;"!B2:B700"),0)))</f>
        <v/>
      </c>
    </row>
    <row r="313" spans="1:15" x14ac:dyDescent="0.25">
      <c r="A313" s="195" t="s">
        <v>735</v>
      </c>
      <c r="B313" s="195" t="s">
        <v>47</v>
      </c>
      <c r="C313" s="199">
        <f ca="1">IFERROR(INDEX(BYEs!$B$2:$B$33,MATCH(D313,BYEs!$A$2:$A$33,0)),"N/A")</f>
        <v>10</v>
      </c>
      <c r="D313" s="195" t="str">
        <f ca="1">INDEX(INDIRECT(""&amp;B313&amp;"!E2:E700"),MATCH(A313,INDIRECT(""&amp;B313&amp;"!B2:B700"),0))</f>
        <v>PHI</v>
      </c>
      <c r="E313" s="194" t="str">
        <f ca="1">INDEX(INDIRECT(""&amp;$B313&amp;"!Z2:Z709"),MATCH($A313,INDIRECT(""&amp;$B313&amp;"!B2:B709"),0))</f>
        <v>TE10</v>
      </c>
      <c r="F313" s="196">
        <f ca="1">IF(LeagueInfo!$H$7="Starter/Bench",INDEX(INDIRECT(""&amp;B313&amp;"!S2:S709"),MATCH(A313,INDIRECT(""&amp;B313&amp;"!B2:B709"),0)),INDEX(INDIRECT(""&amp;B313&amp;"!AA2:AA709"),MATCH(A313,INDIRECT(""&amp;B313&amp;"!B2:B709"),0)))</f>
        <v>-8.3296656331520307</v>
      </c>
      <c r="G313" s="200">
        <f>IF(H313&gt;0,F313-H313,0)</f>
        <v>0</v>
      </c>
      <c r="H313" s="198"/>
      <c r="I313" s="200">
        <f ca="1">F313*$A$2</f>
        <v>-8.3296656331520307</v>
      </c>
      <c r="J313" s="197" t="s">
        <v>80</v>
      </c>
      <c r="K313" s="197">
        <f>IF(LeagueInfo!$F$7="Yahoo",IFERROR(INDEX(DefaultAuctionValues!$B$2:$B$359,MATCH(A313,DefaultAuctionValues!$A$2:$A$359,0)),0),IF(LeagueInfo!$F$7="ESPN",IFERROR(INDEX(DefaultAuctionValues!$C$2:$C$359,MATCH(A313,DefaultAuctionValues!$A$2:$A$359,0)),0),IF(LeagueInfo!$F$7="FantasyPros",IFERROR(INDEX(DefaultAuctionValues!$D$2:$D$359,MATCH(A313,DefaultAuctionValues!$A$2:$A$359,0)),0))))</f>
        <v>0</v>
      </c>
      <c r="L313" s="201">
        <f ca="1">I313-K313</f>
        <v>-8.3296656331520307</v>
      </c>
      <c r="M313" s="213"/>
      <c r="N313" s="208">
        <f ca="1">INDEX(INDIRECT(""&amp;$B313&amp;"!y2:y709"),MATCH($A313,INDIRECT(""&amp;$B313&amp;"!B2:B709"),0))</f>
        <v>-17.389999999999997</v>
      </c>
      <c r="O313" s="217" t="str">
        <f ca="1">IF(INDEX(INDIRECT(""&amp;$B313&amp;"!V2:V700"),MATCH($A313,INDIRECT(""&amp;$B313&amp;"!B2:B700"),0))=0,"",INDEX(INDIRECT(""&amp;$B313&amp;"!V2:V700"),MATCH($A313,INDIRECT(""&amp;$B313&amp;"!B2:B700"),0)))</f>
        <v/>
      </c>
    </row>
    <row r="314" spans="1:15" x14ac:dyDescent="0.25">
      <c r="A314" s="195" t="s">
        <v>725</v>
      </c>
      <c r="B314" s="195" t="s">
        <v>47</v>
      </c>
      <c r="C314" s="199">
        <f ca="1">IFERROR(INDEX(BYEs!$B$2:$B$33,MATCH(D314,BYEs!$A$2:$A$33,0)),"N/A")</f>
        <v>8</v>
      </c>
      <c r="D314" s="195" t="str">
        <f ca="1">INDEX(INDIRECT(""&amp;B314&amp;"!E2:E700"),MATCH(A314,INDIRECT(""&amp;B314&amp;"!B2:B700"),0))</f>
        <v>LAR</v>
      </c>
      <c r="E314" s="194" t="str">
        <f ca="1">INDEX(INDIRECT(""&amp;$B314&amp;"!Z2:Z709"),MATCH($A314,INDIRECT(""&amp;$B314&amp;"!B2:B709"),0))</f>
        <v>TE10</v>
      </c>
      <c r="F314" s="196">
        <f ca="1">IF(LeagueInfo!$H$7="Starter/Bench",INDEX(INDIRECT(""&amp;B314&amp;"!S2:S709"),MATCH(A314,INDIRECT(""&amp;B314&amp;"!B2:B709"),0)),INDEX(INDIRECT(""&amp;B314&amp;"!AA2:AA709"),MATCH(A314,INDIRECT(""&amp;B314&amp;"!B2:B709"),0)))</f>
        <v>-8.4973127275512965</v>
      </c>
      <c r="G314" s="200">
        <f>IF(H314&gt;0,F314-H314,0)</f>
        <v>0</v>
      </c>
      <c r="H314" s="198"/>
      <c r="I314" s="200">
        <f ca="1">F314*$A$2</f>
        <v>-8.4973127275512965</v>
      </c>
      <c r="J314" s="197" t="s">
        <v>80</v>
      </c>
      <c r="K314" s="197">
        <f>IF(LeagueInfo!$F$7="Yahoo",IFERROR(INDEX(DefaultAuctionValues!$B$2:$B$359,MATCH(A314,DefaultAuctionValues!$A$2:$A$359,0)),0),IF(LeagueInfo!$F$7="ESPN",IFERROR(INDEX(DefaultAuctionValues!$C$2:$C$359,MATCH(A314,DefaultAuctionValues!$A$2:$A$359,0)),0),IF(LeagueInfo!$F$7="FantasyPros",IFERROR(INDEX(DefaultAuctionValues!$D$2:$D$359,MATCH(A314,DefaultAuctionValues!$A$2:$A$359,0)),0))))</f>
        <v>0</v>
      </c>
      <c r="L314" s="201">
        <f ca="1">I314-K314</f>
        <v>-8.4973127275512965</v>
      </c>
      <c r="M314" s="213"/>
      <c r="N314" s="208">
        <f ca="1">INDEX(INDIRECT(""&amp;$B314&amp;"!y2:y709"),MATCH($A314,INDIRECT(""&amp;$B314&amp;"!B2:B709"),0))</f>
        <v>-17.739999999999998</v>
      </c>
      <c r="O314" s="217" t="str">
        <f ca="1">IF(INDEX(INDIRECT(""&amp;$B314&amp;"!V2:V700"),MATCH($A314,INDIRECT(""&amp;$B314&amp;"!B2:B700"),0))=0,"",INDEX(INDIRECT(""&amp;$B314&amp;"!V2:V700"),MATCH($A314,INDIRECT(""&amp;$B314&amp;"!B2:B700"),0)))</f>
        <v/>
      </c>
    </row>
    <row r="315" spans="1:15" x14ac:dyDescent="0.25">
      <c r="A315" s="195" t="s">
        <v>569</v>
      </c>
      <c r="B315" s="195" t="s">
        <v>39</v>
      </c>
      <c r="C315" s="199">
        <f ca="1">IFERROR(INDEX(BYEs!$B$2:$B$33,MATCH(D315,BYEs!$A$2:$A$33,0)),"N/A")</f>
        <v>9</v>
      </c>
      <c r="D315" s="195" t="str">
        <f ca="1">INDEX(INDIRECT(""&amp;B315&amp;"!E2:E700"),MATCH(A315,INDIRECT(""&amp;B315&amp;"!B2:B700"),0))</f>
        <v>PIT</v>
      </c>
      <c r="E315" s="194" t="str">
        <f ca="1">INDEX(INDIRECT(""&amp;$B315&amp;"!Z2:Z709"),MATCH($A315,INDIRECT(""&amp;$B315&amp;"!B2:B709"),0))</f>
        <v>WR9</v>
      </c>
      <c r="F315" s="196">
        <f ca="1">IF(LeagueInfo!$H$7="Starter/Bench",INDEX(INDIRECT(""&amp;B315&amp;"!S2:S709"),MATCH(A315,INDIRECT(""&amp;B315&amp;"!B2:B709"),0)),INDEX(INDIRECT(""&amp;B315&amp;"!AA2:AA709"),MATCH(A315,INDIRECT(""&amp;B315&amp;"!B2:B709"),0)))</f>
        <v>-8.5092875200083888</v>
      </c>
      <c r="G315" s="200">
        <f>IF(H315&gt;0,F315-H315,0)</f>
        <v>0</v>
      </c>
      <c r="H315" s="198"/>
      <c r="I315" s="200">
        <f ca="1">F315*$A$2</f>
        <v>-8.5092875200083888</v>
      </c>
      <c r="J315" s="197" t="s">
        <v>80</v>
      </c>
      <c r="K315" s="197">
        <f>IF(LeagueInfo!$F$7="Yahoo",IFERROR(INDEX(DefaultAuctionValues!$B$2:$B$359,MATCH(A315,DefaultAuctionValues!$A$2:$A$359,0)),0),IF(LeagueInfo!$F$7="ESPN",IFERROR(INDEX(DefaultAuctionValues!$C$2:$C$359,MATCH(A315,DefaultAuctionValues!$A$2:$A$359,0)),0),IF(LeagueInfo!$F$7="FantasyPros",IFERROR(INDEX(DefaultAuctionValues!$D$2:$D$359,MATCH(A315,DefaultAuctionValues!$A$2:$A$359,0)),0))))</f>
        <v>0</v>
      </c>
      <c r="L315" s="201">
        <f ca="1">I315-K315</f>
        <v>-8.5092875200083888</v>
      </c>
      <c r="M315" s="213"/>
      <c r="N315" s="208">
        <f ca="1">INDEX(INDIRECT(""&amp;$B315&amp;"!y2:y709"),MATCH($A315,INDIRECT(""&amp;$B315&amp;"!B2:B709"),0))</f>
        <v>-17.765000000000004</v>
      </c>
      <c r="O315" s="217" t="str">
        <f ca="1">IF(INDEX(INDIRECT(""&amp;$B315&amp;"!V2:V700"),MATCH($A315,INDIRECT(""&amp;$B315&amp;"!B2:B700"),0))=0,"",INDEX(INDIRECT(""&amp;$B315&amp;"!V2:V700"),MATCH($A315,INDIRECT(""&amp;$B315&amp;"!B2:B700"),0)))</f>
        <v/>
      </c>
    </row>
    <row r="316" spans="1:15" x14ac:dyDescent="0.25">
      <c r="A316" s="195" t="s">
        <v>736</v>
      </c>
      <c r="B316" s="195" t="s">
        <v>47</v>
      </c>
      <c r="C316" s="199">
        <f ca="1">IFERROR(INDEX(BYEs!$B$2:$B$33,MATCH(D316,BYEs!$A$2:$A$33,0)),"N/A")</f>
        <v>9</v>
      </c>
      <c r="D316" s="195" t="str">
        <f ca="1">INDEX(INDIRECT(""&amp;B316&amp;"!E2:E700"),MATCH(A316,INDIRECT(""&amp;B316&amp;"!B2:B700"),0))</f>
        <v>CHI</v>
      </c>
      <c r="E316" s="194" t="str">
        <f ca="1">INDEX(INDIRECT(""&amp;$B316&amp;"!Z2:Z709"),MATCH($A316,INDIRECT(""&amp;$B316&amp;"!B2:B709"),0))</f>
        <v>TE11</v>
      </c>
      <c r="F316" s="196">
        <f ca="1">IF(LeagueInfo!$H$7="Starter/Bench",INDEX(INDIRECT(""&amp;B316&amp;"!S2:S709"),MATCH(A316,INDIRECT(""&amp;B316&amp;"!B2:B709"),0)),INDEX(INDIRECT(""&amp;B316&amp;"!AA2:AA709"),MATCH(A316,INDIRECT(""&amp;B316&amp;"!B2:B709"),0)))</f>
        <v>-8.5571866898367492</v>
      </c>
      <c r="G316" s="200">
        <f>IF(H316&gt;0,F316-H316,0)</f>
        <v>0</v>
      </c>
      <c r="H316" s="198"/>
      <c r="I316" s="200">
        <f ca="1">F316*$A$2</f>
        <v>-8.5571866898367492</v>
      </c>
      <c r="J316" s="197" t="s">
        <v>80</v>
      </c>
      <c r="K316" s="197">
        <f>IF(LeagueInfo!$F$7="Yahoo",IFERROR(INDEX(DefaultAuctionValues!$B$2:$B$359,MATCH(A316,DefaultAuctionValues!$A$2:$A$359,0)),0),IF(LeagueInfo!$F$7="ESPN",IFERROR(INDEX(DefaultAuctionValues!$C$2:$C$359,MATCH(A316,DefaultAuctionValues!$A$2:$A$359,0)),0),IF(LeagueInfo!$F$7="FantasyPros",IFERROR(INDEX(DefaultAuctionValues!$D$2:$D$359,MATCH(A316,DefaultAuctionValues!$A$2:$A$359,0)),0))))</f>
        <v>0</v>
      </c>
      <c r="L316" s="201">
        <f ca="1">I316-K316</f>
        <v>-8.5571866898367492</v>
      </c>
      <c r="M316" s="213"/>
      <c r="N316" s="208">
        <f ca="1">INDEX(INDIRECT(""&amp;$B316&amp;"!y2:y709"),MATCH($A316,INDIRECT(""&amp;$B316&amp;"!B2:B709"),0))</f>
        <v>-17.865000000000002</v>
      </c>
      <c r="O316" s="217" t="str">
        <f ca="1">IF(INDEX(INDIRECT(""&amp;$B316&amp;"!V2:V700"),MATCH($A316,INDIRECT(""&amp;$B316&amp;"!B2:B700"),0))=0,"",INDEX(INDIRECT(""&amp;$B316&amp;"!V2:V700"),MATCH($A316,INDIRECT(""&amp;$B316&amp;"!B2:B700"),0)))</f>
        <v/>
      </c>
    </row>
    <row r="317" spans="1:15" x14ac:dyDescent="0.25">
      <c r="A317" s="195" t="s">
        <v>460</v>
      </c>
      <c r="B317" s="195" t="s">
        <v>32</v>
      </c>
      <c r="C317" s="199">
        <f ca="1">IFERROR(INDEX(BYEs!$B$2:$B$33,MATCH(D317,BYEs!$A$2:$A$33,0)),"N/A")</f>
        <v>11</v>
      </c>
      <c r="D317" s="195" t="str">
        <f ca="1">INDEX(INDIRECT(""&amp;B317&amp;"!E2:E700"),MATCH(A317,INDIRECT(""&amp;B317&amp;"!B2:B700"),0))</f>
        <v>SF</v>
      </c>
      <c r="E317" s="194" t="str">
        <f ca="1">INDEX(INDIRECT(""&amp;$B317&amp;"!Z2:Z709"),MATCH($A317,INDIRECT(""&amp;$B317&amp;"!B2:B709"),0))</f>
        <v>RB11</v>
      </c>
      <c r="F317" s="196">
        <f ca="1">IF(LeagueInfo!$H$7="Starter/Bench",INDEX(INDIRECT(""&amp;B317&amp;"!S2:S709"),MATCH(A317,INDIRECT(""&amp;B317&amp;"!B2:B709"),0)),INDEX(INDIRECT(""&amp;B317&amp;"!AA2:AA709"),MATCH(A317,INDIRECT(""&amp;B317&amp;"!B2:B709"),0)))</f>
        <v>-8.5835312332423488</v>
      </c>
      <c r="G317" s="200">
        <f>IF(H317&gt;0,F317-H317,0)</f>
        <v>0</v>
      </c>
      <c r="H317" s="198"/>
      <c r="I317" s="200">
        <f ca="1">F317*$A$2</f>
        <v>-8.5835312332423488</v>
      </c>
      <c r="J317" s="197" t="s">
        <v>80</v>
      </c>
      <c r="K317" s="197">
        <f>IF(LeagueInfo!$F$7="Yahoo",IFERROR(INDEX(DefaultAuctionValues!$B$2:$B$359,MATCH(A317,DefaultAuctionValues!$A$2:$A$359,0)),0),IF(LeagueInfo!$F$7="ESPN",IFERROR(INDEX(DefaultAuctionValues!$C$2:$C$359,MATCH(A317,DefaultAuctionValues!$A$2:$A$359,0)),0),IF(LeagueInfo!$F$7="FantasyPros",IFERROR(INDEX(DefaultAuctionValues!$D$2:$D$359,MATCH(A317,DefaultAuctionValues!$A$2:$A$359,0)),0))))</f>
        <v>0</v>
      </c>
      <c r="L317" s="201">
        <f ca="1">I317-K317</f>
        <v>-8.5835312332423488</v>
      </c>
      <c r="M317" s="213"/>
      <c r="N317" s="208">
        <f ca="1">INDEX(INDIRECT(""&amp;$B317&amp;"!y2:y709"),MATCH($A317,INDIRECT(""&amp;$B317&amp;"!B2:B709"),0))</f>
        <v>-17.920000000000002</v>
      </c>
      <c r="O317" s="217" t="str">
        <f ca="1">IF(INDEX(INDIRECT(""&amp;$B317&amp;"!V2:V700"),MATCH($A317,INDIRECT(""&amp;$B317&amp;"!B2:B700"),0))=0,"",INDEX(INDIRECT(""&amp;$B317&amp;"!V2:V700"),MATCH($A317,INDIRECT(""&amp;$B317&amp;"!B2:B700"),0)))</f>
        <v/>
      </c>
    </row>
    <row r="318" spans="1:15" x14ac:dyDescent="0.25">
      <c r="A318" s="195" t="s">
        <v>467</v>
      </c>
      <c r="B318" s="195" t="s">
        <v>32</v>
      </c>
      <c r="C318" s="199">
        <f ca="1">IFERROR(INDEX(BYEs!$B$2:$B$33,MATCH(D318,BYEs!$A$2:$A$33,0)),"N/A")</f>
        <v>8</v>
      </c>
      <c r="D318" s="195" t="str">
        <f ca="1">INDEX(INDIRECT(""&amp;B318&amp;"!E2:E700"),MATCH(A318,INDIRECT(""&amp;B318&amp;"!B2:B700"),0))</f>
        <v>ARI</v>
      </c>
      <c r="E318" s="194" t="str">
        <f ca="1">INDEX(INDIRECT(""&amp;$B318&amp;"!Z2:Z709"),MATCH($A318,INDIRECT(""&amp;$B318&amp;"!B2:B709"),0))</f>
        <v>RB11</v>
      </c>
      <c r="F318" s="196">
        <f ca="1">IF(LeagueInfo!$H$7="Starter/Bench",INDEX(INDIRECT(""&amp;B318&amp;"!S2:S709"),MATCH(A318,INDIRECT(""&amp;B318&amp;"!B2:B709"),0)),INDEX(INDIRECT(""&amp;B318&amp;"!AA2:AA709"),MATCH(A318,INDIRECT(""&amp;B318&amp;"!B2:B709"),0)))</f>
        <v>-8.6362203200535479</v>
      </c>
      <c r="G318" s="200">
        <f>IF(H318&gt;0,F318-H318,0)</f>
        <v>0</v>
      </c>
      <c r="H318" s="198"/>
      <c r="I318" s="200">
        <f ca="1">F318*$A$2</f>
        <v>-8.6362203200535479</v>
      </c>
      <c r="J318" s="197" t="s">
        <v>80</v>
      </c>
      <c r="K318" s="197">
        <f>IF(LeagueInfo!$F$7="Yahoo",IFERROR(INDEX(DefaultAuctionValues!$B$2:$B$359,MATCH(A318,DefaultAuctionValues!$A$2:$A$359,0)),0),IF(LeagueInfo!$F$7="ESPN",IFERROR(INDEX(DefaultAuctionValues!$C$2:$C$359,MATCH(A318,DefaultAuctionValues!$A$2:$A$359,0)),0),IF(LeagueInfo!$F$7="FantasyPros",IFERROR(INDEX(DefaultAuctionValues!$D$2:$D$359,MATCH(A318,DefaultAuctionValues!$A$2:$A$359,0)),0))))</f>
        <v>0</v>
      </c>
      <c r="L318" s="201">
        <f ca="1">I318-K318</f>
        <v>-8.6362203200535479</v>
      </c>
      <c r="M318" s="213"/>
      <c r="N318" s="208">
        <f ca="1">INDEX(INDIRECT(""&amp;$B318&amp;"!y2:y709"),MATCH($A318,INDIRECT(""&amp;$B318&amp;"!B2:B709"),0))</f>
        <v>-18.030000000000005</v>
      </c>
      <c r="O318" s="217" t="str">
        <f ca="1">IF(INDEX(INDIRECT(""&amp;$B318&amp;"!V2:V700"),MATCH($A318,INDIRECT(""&amp;$B318&amp;"!B2:B700"),0))=0,"",INDEX(INDIRECT(""&amp;$B318&amp;"!V2:V700"),MATCH($A318,INDIRECT(""&amp;$B318&amp;"!B2:B700"),0)))</f>
        <v/>
      </c>
    </row>
    <row r="319" spans="1:15" x14ac:dyDescent="0.25">
      <c r="A319" s="195" t="s">
        <v>570</v>
      </c>
      <c r="B319" s="195" t="s">
        <v>39</v>
      </c>
      <c r="C319" s="199">
        <f ca="1">IFERROR(INDEX(BYEs!$B$2:$B$33,MATCH(D319,BYEs!$A$2:$A$33,0)),"N/A")</f>
        <v>9</v>
      </c>
      <c r="D319" s="195" t="str">
        <f ca="1">INDEX(INDIRECT(""&amp;B319&amp;"!E2:E700"),MATCH(A319,INDIRECT(""&amp;B319&amp;"!B2:B700"),0))</f>
        <v>LAC</v>
      </c>
      <c r="E319" s="194" t="str">
        <f ca="1">INDEX(INDIRECT(""&amp;$B319&amp;"!Z2:Z709"),MATCH($A319,INDIRECT(""&amp;$B319&amp;"!B2:B709"),0))</f>
        <v>WR9</v>
      </c>
      <c r="F319" s="196">
        <f ca="1">IF(LeagueInfo!$H$7="Starter/Bench",INDEX(INDIRECT(""&amp;B319&amp;"!S2:S709"),MATCH(A319,INDIRECT(""&amp;B319&amp;"!B2:B709"),0)),INDEX(INDIRECT(""&amp;B319&amp;"!AA2:AA709"),MATCH(A319,INDIRECT(""&amp;B319&amp;"!B2:B709"),0)))</f>
        <v>-8.6697497389333993</v>
      </c>
      <c r="G319" s="200">
        <f>IF(H319&gt;0,F319-H319,0)</f>
        <v>0</v>
      </c>
      <c r="H319" s="198"/>
      <c r="I319" s="200">
        <f ca="1">F319*$A$2</f>
        <v>-8.6697497389333993</v>
      </c>
      <c r="J319" s="197" t="s">
        <v>80</v>
      </c>
      <c r="K319" s="197">
        <f>IF(LeagueInfo!$F$7="Yahoo",IFERROR(INDEX(DefaultAuctionValues!$B$2:$B$359,MATCH(A319,DefaultAuctionValues!$A$2:$A$359,0)),0),IF(LeagueInfo!$F$7="ESPN",IFERROR(INDEX(DefaultAuctionValues!$C$2:$C$359,MATCH(A319,DefaultAuctionValues!$A$2:$A$359,0)),0),IF(LeagueInfo!$F$7="FantasyPros",IFERROR(INDEX(DefaultAuctionValues!$D$2:$D$359,MATCH(A319,DefaultAuctionValues!$A$2:$A$359,0)),0))))</f>
        <v>0</v>
      </c>
      <c r="L319" s="201">
        <f ca="1">I319-K319</f>
        <v>-8.6697497389333993</v>
      </c>
      <c r="M319" s="213"/>
      <c r="N319" s="208">
        <f ca="1">INDEX(INDIRECT(""&amp;$B319&amp;"!y2:y709"),MATCH($A319,INDIRECT(""&amp;$B319&amp;"!B2:B709"),0))</f>
        <v>-18.100000000000001</v>
      </c>
      <c r="O319" s="217" t="str">
        <f ca="1">IF(INDEX(INDIRECT(""&amp;$B319&amp;"!V2:V700"),MATCH($A319,INDIRECT(""&amp;$B319&amp;"!B2:B700"),0))=0,"",INDEX(INDIRECT(""&amp;$B319&amp;"!V2:V700"),MATCH($A319,INDIRECT(""&amp;$B319&amp;"!B2:B700"),0)))</f>
        <v/>
      </c>
    </row>
    <row r="320" spans="1:15" x14ac:dyDescent="0.25">
      <c r="A320" s="195" t="s">
        <v>459</v>
      </c>
      <c r="B320" s="195" t="s">
        <v>32</v>
      </c>
      <c r="C320" s="199">
        <f ca="1">IFERROR(INDEX(BYEs!$B$2:$B$33,MATCH(D320,BYEs!$A$2:$A$33,0)),"N/A")</f>
        <v>8</v>
      </c>
      <c r="D320" s="195" t="str">
        <f ca="1">INDEX(INDIRECT(""&amp;B320&amp;"!E2:E700"),MATCH(A320,INDIRECT(""&amp;B320&amp;"!B2:B700"),0))</f>
        <v>JAC</v>
      </c>
      <c r="E320" s="194" t="str">
        <f ca="1">INDEX(INDIRECT(""&amp;$B320&amp;"!Z2:Z709"),MATCH($A320,INDIRECT(""&amp;$B320&amp;"!B2:B709"),0))</f>
        <v>RB11</v>
      </c>
      <c r="F320" s="196">
        <f ca="1">IF(LeagueInfo!$H$7="Starter/Bench",INDEX(INDIRECT(""&amp;B320&amp;"!S2:S709"),MATCH(A320,INDIRECT(""&amp;B320&amp;"!B2:B709"),0)),INDEX(INDIRECT(""&amp;B320&amp;"!AA2:AA709"),MATCH(A320,INDIRECT(""&amp;B320&amp;"!B2:B709"),0)))</f>
        <v>-8.6936993238475804</v>
      </c>
      <c r="G320" s="200">
        <f>IF(H320&gt;0,F320-H320,0)</f>
        <v>0</v>
      </c>
      <c r="H320" s="198"/>
      <c r="I320" s="200">
        <f ca="1">F320*$A$2</f>
        <v>-8.6936993238475804</v>
      </c>
      <c r="J320" s="197" t="s">
        <v>80</v>
      </c>
      <c r="K320" s="197">
        <f>IF(LeagueInfo!$F$7="Yahoo",IFERROR(INDEX(DefaultAuctionValues!$B$2:$B$359,MATCH(A320,DefaultAuctionValues!$A$2:$A$359,0)),0),IF(LeagueInfo!$F$7="ESPN",IFERROR(INDEX(DefaultAuctionValues!$C$2:$C$359,MATCH(A320,DefaultAuctionValues!$A$2:$A$359,0)),0),IF(LeagueInfo!$F$7="FantasyPros",IFERROR(INDEX(DefaultAuctionValues!$D$2:$D$359,MATCH(A320,DefaultAuctionValues!$A$2:$A$359,0)),0))))</f>
        <v>0</v>
      </c>
      <c r="L320" s="201">
        <f ca="1">I320-K320</f>
        <v>-8.6936993238475804</v>
      </c>
      <c r="M320" s="213"/>
      <c r="N320" s="208">
        <f ca="1">INDEX(INDIRECT(""&amp;$B320&amp;"!y2:y709"),MATCH($A320,INDIRECT(""&amp;$B320&amp;"!B2:B709"),0))</f>
        <v>-18.150000000000002</v>
      </c>
      <c r="O320" s="217" t="str">
        <f ca="1">IF(INDEX(INDIRECT(""&amp;$B320&amp;"!V2:V700"),MATCH($A320,INDIRECT(""&amp;$B320&amp;"!B2:B700"),0))=0,"",INDEX(INDIRECT(""&amp;$B320&amp;"!V2:V700"),MATCH($A320,INDIRECT(""&amp;$B320&amp;"!B2:B700"),0)))</f>
        <v/>
      </c>
    </row>
    <row r="321" spans="1:15" x14ac:dyDescent="0.25">
      <c r="A321" s="195" t="s">
        <v>383</v>
      </c>
      <c r="B321" s="195" t="s">
        <v>33</v>
      </c>
      <c r="C321" s="199">
        <f ca="1">IFERROR(INDEX(BYEs!$B$2:$B$33,MATCH(D321,BYEs!$A$2:$A$33,0)),"N/A")</f>
        <v>5</v>
      </c>
      <c r="D321" s="195" t="str">
        <f ca="1">INDEX(INDIRECT(""&amp;B321&amp;"!E2:E700"),MATCH(A321,INDIRECT(""&amp;B321&amp;"!B2:B700"),0))</f>
        <v>DEN</v>
      </c>
      <c r="E321" s="194" t="str">
        <f ca="1">INDEX(INDIRECT(""&amp;$B321&amp;"!Z2:Z709"),MATCH($A321,INDIRECT(""&amp;$B321&amp;"!B2:B709"),0))</f>
        <v>QB5</v>
      </c>
      <c r="F321" s="196">
        <f ca="1">IF(LeagueInfo!$H$7="Starter/Bench",INDEX(INDIRECT(""&amp;B321&amp;"!S2:S709"),MATCH(A321,INDIRECT(""&amp;B321&amp;"!B2:B709"),0)),INDEX(INDIRECT(""&amp;B321&amp;"!AA2:AA709"),MATCH(A321,INDIRECT(""&amp;B321&amp;"!B2:B709"),0)))</f>
        <v>-8.7641111034952619</v>
      </c>
      <c r="G321" s="200">
        <f>IF(H321&gt;0,F321-H321,0)</f>
        <v>0</v>
      </c>
      <c r="H321" s="198"/>
      <c r="I321" s="200">
        <f ca="1">F321*$A$2</f>
        <v>-8.7641111034952619</v>
      </c>
      <c r="J321" s="197" t="s">
        <v>80</v>
      </c>
      <c r="K321" s="197">
        <f>IF(LeagueInfo!$F$7="Yahoo",IFERROR(INDEX(DefaultAuctionValues!$B$2:$B$359,MATCH(A321,DefaultAuctionValues!$A$2:$A$359,0)),0),IF(LeagueInfo!$F$7="ESPN",IFERROR(INDEX(DefaultAuctionValues!$C$2:$C$359,MATCH(A321,DefaultAuctionValues!$A$2:$A$359,0)),0),IF(LeagueInfo!$F$7="FantasyPros",IFERROR(INDEX(DefaultAuctionValues!$D$2:$D$359,MATCH(A321,DefaultAuctionValues!$A$2:$A$359,0)),0))))</f>
        <v>0</v>
      </c>
      <c r="L321" s="201">
        <f ca="1">I321-K321</f>
        <v>-8.7641111034952619</v>
      </c>
      <c r="M321" s="213"/>
      <c r="N321" s="208">
        <f ca="1">INDEX(INDIRECT(""&amp;$B321&amp;"!y2:y709"),MATCH($A321,INDIRECT(""&amp;$B321&amp;"!B2:B709"),0))</f>
        <v>-18.296999999999983</v>
      </c>
      <c r="O321" s="217" t="str">
        <f ca="1">IF(INDEX(INDIRECT(""&amp;$B321&amp;"!V2:V700"),MATCH($A321,INDIRECT(""&amp;$B321&amp;"!B2:B700"),0))=0,"",INDEX(INDIRECT(""&amp;$B321&amp;"!V2:V700"),MATCH($A321,INDIRECT(""&amp;$B321&amp;"!B2:B700"),0)))</f>
        <v/>
      </c>
    </row>
    <row r="322" spans="1:15" x14ac:dyDescent="0.25">
      <c r="A322" s="195" t="s">
        <v>482</v>
      </c>
      <c r="B322" s="195" t="s">
        <v>32</v>
      </c>
      <c r="C322" s="199">
        <f ca="1">IFERROR(INDEX(BYEs!$B$2:$B$33,MATCH(D322,BYEs!$A$2:$A$33,0)),"N/A")</f>
        <v>10</v>
      </c>
      <c r="D322" s="195" t="str">
        <f ca="1">INDEX(INDIRECT(""&amp;B322&amp;"!E2:E700"),MATCH(A322,INDIRECT(""&amp;B322&amp;"!B2:B700"),0))</f>
        <v>BAL</v>
      </c>
      <c r="E322" s="194" t="str">
        <f ca="1">INDEX(INDIRECT(""&amp;$B322&amp;"!Z2:Z709"),MATCH($A322,INDIRECT(""&amp;$B322&amp;"!B2:B709"),0))</f>
        <v>RB11</v>
      </c>
      <c r="F322" s="196">
        <f ca="1">IF(LeagueInfo!$H$7="Starter/Bench",INDEX(INDIRECT(""&amp;B322&amp;"!S2:S709"),MATCH(A322,INDIRECT(""&amp;B322&amp;"!B2:B709"),0)),INDEX(INDIRECT(""&amp;B322&amp;"!AA2:AA709"),MATCH(A322,INDIRECT(""&amp;B322&amp;"!B2:B709"),0)))</f>
        <v>-8.7703379955729588</v>
      </c>
      <c r="G322" s="200">
        <f>IF(H322&gt;0,F322-H322,0)</f>
        <v>0</v>
      </c>
      <c r="H322" s="198"/>
      <c r="I322" s="200">
        <f ca="1">F322*$A$2</f>
        <v>-8.7703379955729588</v>
      </c>
      <c r="J322" s="197" t="s">
        <v>80</v>
      </c>
      <c r="K322" s="197">
        <f>IF(LeagueInfo!$F$7="Yahoo",IFERROR(INDEX(DefaultAuctionValues!$B$2:$B$359,MATCH(A322,DefaultAuctionValues!$A$2:$A$359,0)),0),IF(LeagueInfo!$F$7="ESPN",IFERROR(INDEX(DefaultAuctionValues!$C$2:$C$359,MATCH(A322,DefaultAuctionValues!$A$2:$A$359,0)),0),IF(LeagueInfo!$F$7="FantasyPros",IFERROR(INDEX(DefaultAuctionValues!$D$2:$D$359,MATCH(A322,DefaultAuctionValues!$A$2:$A$359,0)),0))))</f>
        <v>0</v>
      </c>
      <c r="L322" s="201">
        <f ca="1">I322-K322</f>
        <v>-8.7703379955729588</v>
      </c>
      <c r="M322" s="213"/>
      <c r="N322" s="208">
        <f ca="1">INDEX(INDIRECT(""&amp;$B322&amp;"!y2:y709"),MATCH($A322,INDIRECT(""&amp;$B322&amp;"!B2:B709"),0))</f>
        <v>-18.310000000000002</v>
      </c>
      <c r="O322" s="217" t="str">
        <f ca="1">IF(INDEX(INDIRECT(""&amp;$B322&amp;"!V2:V700"),MATCH($A322,INDIRECT(""&amp;$B322&amp;"!B2:B700"),0))=0,"",INDEX(INDIRECT(""&amp;$B322&amp;"!V2:V700"),MATCH($A322,INDIRECT(""&amp;$B322&amp;"!B2:B700"),0)))</f>
        <v/>
      </c>
    </row>
    <row r="323" spans="1:15" x14ac:dyDescent="0.25">
      <c r="A323" s="195" t="s">
        <v>498</v>
      </c>
      <c r="B323" s="195" t="s">
        <v>32</v>
      </c>
      <c r="C323" s="199">
        <f ca="1">IFERROR(INDEX(BYEs!$B$2:$B$33,MATCH(D323,BYEs!$A$2:$A$33,0)),"N/A")</f>
        <v>8</v>
      </c>
      <c r="D323" s="195" t="str">
        <f ca="1">INDEX(INDIRECT(""&amp;B323&amp;"!E2:E700"),MATCH(A323,INDIRECT(""&amp;B323&amp;"!B2:B700"),0))</f>
        <v>NYG</v>
      </c>
      <c r="E323" s="194" t="str">
        <f ca="1">INDEX(INDIRECT(""&amp;$B323&amp;"!Z2:Z709"),MATCH($A323,INDIRECT(""&amp;$B323&amp;"!B2:B709"),0))</f>
        <v>RB11</v>
      </c>
      <c r="F323" s="196">
        <f ca="1">IF(LeagueInfo!$H$7="Starter/Bench",INDEX(INDIRECT(""&amp;B323&amp;"!S2:S709"),MATCH(A323,INDIRECT(""&amp;B323&amp;"!B2:B709"),0)),INDEX(INDIRECT(""&amp;B323&amp;"!AA2:AA709"),MATCH(A323,INDIRECT(""&amp;B323&amp;"!B2:B709"),0)))</f>
        <v>-8.7823127880300493</v>
      </c>
      <c r="G323" s="200">
        <f>IF(H323&gt;0,F323-H323,0)</f>
        <v>0</v>
      </c>
      <c r="H323" s="198"/>
      <c r="I323" s="200">
        <f ca="1">F323*$A$2</f>
        <v>-8.7823127880300493</v>
      </c>
      <c r="J323" s="197" t="s">
        <v>80</v>
      </c>
      <c r="K323" s="197">
        <f>IF(LeagueInfo!$F$7="Yahoo",IFERROR(INDEX(DefaultAuctionValues!$B$2:$B$359,MATCH(A323,DefaultAuctionValues!$A$2:$A$359,0)),0),IF(LeagueInfo!$F$7="ESPN",IFERROR(INDEX(DefaultAuctionValues!$C$2:$C$359,MATCH(A323,DefaultAuctionValues!$A$2:$A$359,0)),0),IF(LeagueInfo!$F$7="FantasyPros",IFERROR(INDEX(DefaultAuctionValues!$D$2:$D$359,MATCH(A323,DefaultAuctionValues!$A$2:$A$359,0)),0))))</f>
        <v>0</v>
      </c>
      <c r="L323" s="201">
        <f ca="1">I323-K323</f>
        <v>-8.7823127880300493</v>
      </c>
      <c r="M323" s="213"/>
      <c r="N323" s="208">
        <f ca="1">INDEX(INDIRECT(""&amp;$B323&amp;"!y2:y709"),MATCH($A323,INDIRECT(""&amp;$B323&amp;"!B2:B709"),0))</f>
        <v>-18.335000000000004</v>
      </c>
      <c r="O323" s="217" t="str">
        <f ca="1">IF(INDEX(INDIRECT(""&amp;$B323&amp;"!V2:V700"),MATCH($A323,INDIRECT(""&amp;$B323&amp;"!B2:B700"),0))=0,"",INDEX(INDIRECT(""&amp;$B323&amp;"!V2:V700"),MATCH($A323,INDIRECT(""&amp;$B323&amp;"!B2:B700"),0)))</f>
        <v/>
      </c>
    </row>
    <row r="324" spans="1:15" x14ac:dyDescent="0.25">
      <c r="A324" s="195" t="s">
        <v>726</v>
      </c>
      <c r="B324" s="195" t="s">
        <v>47</v>
      </c>
      <c r="C324" s="199">
        <f ca="1">IFERROR(INDEX(BYEs!$B$2:$B$33,MATCH(D324,BYEs!$A$2:$A$33,0)),"N/A")</f>
        <v>5</v>
      </c>
      <c r="D324" s="195" t="str">
        <f ca="1">INDEX(INDIRECT(""&amp;B324&amp;"!E2:E700"),MATCH(A324,INDIRECT(""&amp;B324&amp;"!B2:B700"),0))</f>
        <v>NO</v>
      </c>
      <c r="E324" s="194" t="str">
        <f ca="1">INDEX(INDIRECT(""&amp;$B324&amp;"!Z2:Z709"),MATCH($A324,INDIRECT(""&amp;$B324&amp;"!B2:B709"),0))</f>
        <v>TE11</v>
      </c>
      <c r="F324" s="196">
        <f ca="1">IF(LeagueInfo!$H$7="Starter/Bench",INDEX(INDIRECT(""&amp;B324&amp;"!S2:S709"),MATCH(A324,INDIRECT(""&amp;B324&amp;"!B2:B709"),0)),INDEX(INDIRECT(""&amp;B324&amp;"!AA2:AA709"),MATCH(A324,INDIRECT(""&amp;B324&amp;"!B2:B709"),0)))</f>
        <v>-8.8469766672983337</v>
      </c>
      <c r="G324" s="200">
        <f>IF(H324&gt;0,F324-H324,0)</f>
        <v>0</v>
      </c>
      <c r="H324" s="198"/>
      <c r="I324" s="200">
        <f ca="1">F324*$A$2</f>
        <v>-8.8469766672983337</v>
      </c>
      <c r="J324" s="197" t="s">
        <v>80</v>
      </c>
      <c r="K324" s="197">
        <f>IF(LeagueInfo!$F$7="Yahoo",IFERROR(INDEX(DefaultAuctionValues!$B$2:$B$359,MATCH(A324,DefaultAuctionValues!$A$2:$A$359,0)),0),IF(LeagueInfo!$F$7="ESPN",IFERROR(INDEX(DefaultAuctionValues!$C$2:$C$359,MATCH(A324,DefaultAuctionValues!$A$2:$A$359,0)),0),IF(LeagueInfo!$F$7="FantasyPros",IFERROR(INDEX(DefaultAuctionValues!$D$2:$D$359,MATCH(A324,DefaultAuctionValues!$A$2:$A$359,0)),0))))</f>
        <v>0</v>
      </c>
      <c r="L324" s="201">
        <f ca="1">I324-K324</f>
        <v>-8.8469766672983337</v>
      </c>
      <c r="M324" s="213"/>
      <c r="N324" s="208">
        <f ca="1">INDEX(INDIRECT(""&amp;$B324&amp;"!y2:y709"),MATCH($A324,INDIRECT(""&amp;$B324&amp;"!B2:B709"),0))</f>
        <v>-18.47</v>
      </c>
      <c r="O324" s="217" t="str">
        <f ca="1">IF(INDEX(INDIRECT(""&amp;$B324&amp;"!V2:V700"),MATCH($A324,INDIRECT(""&amp;$B324&amp;"!B2:B700"),0))=0,"",INDEX(INDIRECT(""&amp;$B324&amp;"!V2:V700"),MATCH($A324,INDIRECT(""&amp;$B324&amp;"!B2:B700"),0)))</f>
        <v/>
      </c>
    </row>
    <row r="325" spans="1:15" x14ac:dyDescent="0.25">
      <c r="A325" s="195" t="s">
        <v>734</v>
      </c>
      <c r="B325" s="195" t="s">
        <v>47</v>
      </c>
      <c r="C325" s="199">
        <f ca="1">IFERROR(INDEX(BYEs!$B$2:$B$33,MATCH(D325,BYEs!$A$2:$A$33,0)),"N/A")</f>
        <v>8</v>
      </c>
      <c r="D325" s="195" t="str">
        <f ca="1">INDEX(INDIRECT(""&amp;B325&amp;"!E2:E700"),MATCH(A325,INDIRECT(""&amp;B325&amp;"!B2:B700"),0))</f>
        <v>JAC</v>
      </c>
      <c r="E325" s="194" t="str">
        <f ca="1">INDEX(INDIRECT(""&amp;$B325&amp;"!Z2:Z709"),MATCH($A325,INDIRECT(""&amp;$B325&amp;"!B2:B709"),0))</f>
        <v>TE11</v>
      </c>
      <c r="F325" s="196">
        <f ca="1">IF(LeagueInfo!$H$7="Starter/Bench",INDEX(INDIRECT(""&amp;B325&amp;"!S2:S709"),MATCH(A325,INDIRECT(""&amp;B325&amp;"!B2:B709"),0)),INDEX(INDIRECT(""&amp;B325&amp;"!AA2:AA709"),MATCH(A325,INDIRECT(""&amp;B325&amp;"!B2:B709"),0)))</f>
        <v>-8.8805060861781868</v>
      </c>
      <c r="G325" s="200">
        <f>IF(H325&gt;0,F325-H325,0)</f>
        <v>0</v>
      </c>
      <c r="H325" s="198"/>
      <c r="I325" s="200">
        <f ca="1">F325*$A$2</f>
        <v>-8.8805060861781868</v>
      </c>
      <c r="J325" s="197" t="s">
        <v>80</v>
      </c>
      <c r="K325" s="197">
        <f>IF(LeagueInfo!$F$7="Yahoo",IFERROR(INDEX(DefaultAuctionValues!$B$2:$B$359,MATCH(A325,DefaultAuctionValues!$A$2:$A$359,0)),0),IF(LeagueInfo!$F$7="ESPN",IFERROR(INDEX(DefaultAuctionValues!$C$2:$C$359,MATCH(A325,DefaultAuctionValues!$A$2:$A$359,0)),0),IF(LeagueInfo!$F$7="FantasyPros",IFERROR(INDEX(DefaultAuctionValues!$D$2:$D$359,MATCH(A325,DefaultAuctionValues!$A$2:$A$359,0)),0))))</f>
        <v>0</v>
      </c>
      <c r="L325" s="201">
        <f ca="1">I325-K325</f>
        <v>-8.8805060861781868</v>
      </c>
      <c r="M325" s="213"/>
      <c r="N325" s="208">
        <f ca="1">INDEX(INDIRECT(""&amp;$B325&amp;"!y2:y709"),MATCH($A325,INDIRECT(""&amp;$B325&amp;"!B2:B709"),0))</f>
        <v>-18.54</v>
      </c>
      <c r="O325" s="217" t="str">
        <f ca="1">IF(INDEX(INDIRECT(""&amp;$B325&amp;"!V2:V700"),MATCH($A325,INDIRECT(""&amp;$B325&amp;"!B2:B700"),0))=0,"",INDEX(INDIRECT(""&amp;$B325&amp;"!V2:V700"),MATCH($A325,INDIRECT(""&amp;$B325&amp;"!B2:B700"),0)))</f>
        <v/>
      </c>
    </row>
    <row r="326" spans="1:15" x14ac:dyDescent="0.25">
      <c r="A326" s="195" t="s">
        <v>452</v>
      </c>
      <c r="B326" s="195" t="s">
        <v>32</v>
      </c>
      <c r="C326" s="199">
        <f ca="1">IFERROR(INDEX(BYEs!$B$2:$B$33,MATCH(D326,BYEs!$A$2:$A$33,0)),"N/A")</f>
        <v>10</v>
      </c>
      <c r="D326" s="195" t="str">
        <f ca="1">INDEX(INDIRECT(""&amp;B326&amp;"!E2:E700"),MATCH(A326,INDIRECT(""&amp;B326&amp;"!B2:B700"),0))</f>
        <v>PHI</v>
      </c>
      <c r="E326" s="194" t="str">
        <f ca="1">INDEX(INDIRECT(""&amp;$B326&amp;"!Z2:Z709"),MATCH($A326,INDIRECT(""&amp;$B326&amp;"!B2:B709"),0))</f>
        <v>RB11</v>
      </c>
      <c r="F326" s="196">
        <f ca="1">IF(LeagueInfo!$H$7="Starter/Bench",INDEX(INDIRECT(""&amp;B326&amp;"!S2:S709"),MATCH(A326,INDIRECT(""&amp;B326&amp;"!B2:B709"),0)),INDEX(INDIRECT(""&amp;B326&amp;"!AA2:AA709"),MATCH(A326,INDIRECT(""&amp;B326&amp;"!B2:B709"),0)))</f>
        <v>-8.9331951729893877</v>
      </c>
      <c r="G326" s="200">
        <f>IF(H326&gt;0,F326-H326,0)</f>
        <v>0</v>
      </c>
      <c r="H326" s="198"/>
      <c r="I326" s="200">
        <f ca="1">F326*$A$2</f>
        <v>-8.9331951729893877</v>
      </c>
      <c r="J326" s="197" t="s">
        <v>80</v>
      </c>
      <c r="K326" s="197">
        <f>IF(LeagueInfo!$F$7="Yahoo",IFERROR(INDEX(DefaultAuctionValues!$B$2:$B$359,MATCH(A326,DefaultAuctionValues!$A$2:$A$359,0)),0),IF(LeagueInfo!$F$7="ESPN",IFERROR(INDEX(DefaultAuctionValues!$C$2:$C$359,MATCH(A326,DefaultAuctionValues!$A$2:$A$359,0)),0),IF(LeagueInfo!$F$7="FantasyPros",IFERROR(INDEX(DefaultAuctionValues!$D$2:$D$359,MATCH(A326,DefaultAuctionValues!$A$2:$A$359,0)),0))))</f>
        <v>0</v>
      </c>
      <c r="L326" s="201">
        <f ca="1">I326-K326</f>
        <v>-8.9331951729893877</v>
      </c>
      <c r="M326" s="213"/>
      <c r="N326" s="208">
        <f ca="1">INDEX(INDIRECT(""&amp;$B326&amp;"!y2:y709"),MATCH($A326,INDIRECT(""&amp;$B326&amp;"!B2:B709"),0))</f>
        <v>-18.650000000000006</v>
      </c>
      <c r="O326" s="217" t="str">
        <f ca="1">IF(INDEX(INDIRECT(""&amp;$B326&amp;"!V2:V700"),MATCH($A326,INDIRECT(""&amp;$B326&amp;"!B2:B700"),0))=0,"",INDEX(INDIRECT(""&amp;$B326&amp;"!V2:V700"),MATCH($A326,INDIRECT(""&amp;$B326&amp;"!B2:B700"),0)))</f>
        <v/>
      </c>
    </row>
    <row r="327" spans="1:15" x14ac:dyDescent="0.25">
      <c r="A327" s="195" t="s">
        <v>738</v>
      </c>
      <c r="B327" s="195" t="s">
        <v>47</v>
      </c>
      <c r="C327" s="199">
        <f ca="1">IFERROR(INDEX(BYEs!$B$2:$B$33,MATCH(D327,BYEs!$A$2:$A$33,0)),"N/A")</f>
        <v>10</v>
      </c>
      <c r="D327" s="195" t="str">
        <f ca="1">INDEX(INDIRECT(""&amp;B327&amp;"!E2:E700"),MATCH(A327,INDIRECT(""&amp;B327&amp;"!B2:B700"),0))</f>
        <v>BAL</v>
      </c>
      <c r="E327" s="194" t="str">
        <f ca="1">INDEX(INDIRECT(""&amp;$B327&amp;"!Z2:Z709"),MATCH($A327,INDIRECT(""&amp;$B327&amp;"!B2:B709"),0))</f>
        <v>TE11</v>
      </c>
      <c r="F327" s="196">
        <f ca="1">IF(LeagueInfo!$H$7="Starter/Bench",INDEX(INDIRECT(""&amp;B327&amp;"!S2:S709"),MATCH(A327,INDIRECT(""&amp;B327&amp;"!B2:B709"),0)),INDEX(INDIRECT(""&amp;B327&amp;"!AA2:AA709"),MATCH(A327,INDIRECT(""&amp;B327&amp;"!B2:B709"),0)))</f>
        <v>-9.0074388862233441</v>
      </c>
      <c r="G327" s="200">
        <f>IF(H327&gt;0,F327-H327,0)</f>
        <v>0</v>
      </c>
      <c r="H327" s="198"/>
      <c r="I327" s="200">
        <f ca="1">F327*$A$2</f>
        <v>-9.0074388862233441</v>
      </c>
      <c r="J327" s="197" t="s">
        <v>80</v>
      </c>
      <c r="K327" s="197">
        <f>IF(LeagueInfo!$F$7="Yahoo",IFERROR(INDEX(DefaultAuctionValues!$B$2:$B$359,MATCH(A327,DefaultAuctionValues!$A$2:$A$359,0)),0),IF(LeagueInfo!$F$7="ESPN",IFERROR(INDEX(DefaultAuctionValues!$C$2:$C$359,MATCH(A327,DefaultAuctionValues!$A$2:$A$359,0)),0),IF(LeagueInfo!$F$7="FantasyPros",IFERROR(INDEX(DefaultAuctionValues!$D$2:$D$359,MATCH(A327,DefaultAuctionValues!$A$2:$A$359,0)),0))))</f>
        <v>0</v>
      </c>
      <c r="L327" s="201">
        <f ca="1">I327-K327</f>
        <v>-9.0074388862233441</v>
      </c>
      <c r="M327" s="213"/>
      <c r="N327" s="208">
        <f ca="1">INDEX(INDIRECT(""&amp;$B327&amp;"!y2:y709"),MATCH($A327,INDIRECT(""&amp;$B327&amp;"!B2:B709"),0))</f>
        <v>-18.804999999999996</v>
      </c>
      <c r="O327" s="217" t="str">
        <f ca="1">IF(INDEX(INDIRECT(""&amp;$B327&amp;"!V2:V700"),MATCH($A327,INDIRECT(""&amp;$B327&amp;"!B2:B700"),0))=0,"",INDEX(INDIRECT(""&amp;$B327&amp;"!V2:V700"),MATCH($A327,INDIRECT(""&amp;$B327&amp;"!B2:B700"),0)))</f>
        <v/>
      </c>
    </row>
    <row r="328" spans="1:15" x14ac:dyDescent="0.25">
      <c r="A328" s="195" t="s">
        <v>463</v>
      </c>
      <c r="B328" s="195" t="s">
        <v>32</v>
      </c>
      <c r="C328" s="199">
        <f ca="1">IFERROR(INDEX(BYEs!$B$2:$B$33,MATCH(D328,BYEs!$A$2:$A$33,0)),"N/A")</f>
        <v>9</v>
      </c>
      <c r="D328" s="195" t="str">
        <f ca="1">INDEX(INDIRECT(""&amp;B328&amp;"!E2:E700"),MATCH(A328,INDIRECT(""&amp;B328&amp;"!B2:B700"),0))</f>
        <v>CHI</v>
      </c>
      <c r="E328" s="194" t="str">
        <f ca="1">INDEX(INDIRECT(""&amp;$B328&amp;"!Z2:Z709"),MATCH($A328,INDIRECT(""&amp;$B328&amp;"!B2:B709"),0))</f>
        <v>RB11</v>
      </c>
      <c r="F328" s="196">
        <f ca="1">IF(LeagueInfo!$H$7="Starter/Bench",INDEX(INDIRECT(""&amp;B328&amp;"!S2:S709"),MATCH(A328,INDIRECT(""&amp;B328&amp;"!B2:B709"),0)),INDEX(INDIRECT(""&amp;B328&amp;"!AA2:AA709"),MATCH(A328,INDIRECT(""&amp;B328&amp;"!B2:B709"),0)))</f>
        <v>-9.129581769285668</v>
      </c>
      <c r="G328" s="200">
        <f>IF(H328&gt;0,F328-H328,0)</f>
        <v>0</v>
      </c>
      <c r="H328" s="198"/>
      <c r="I328" s="200">
        <f ca="1">F328*$A$2</f>
        <v>-9.129581769285668</v>
      </c>
      <c r="J328" s="197" t="s">
        <v>80</v>
      </c>
      <c r="K328" s="197">
        <f>IF(LeagueInfo!$F$7="Yahoo",IFERROR(INDEX(DefaultAuctionValues!$B$2:$B$359,MATCH(A328,DefaultAuctionValues!$A$2:$A$359,0)),0),IF(LeagueInfo!$F$7="ESPN",IFERROR(INDEX(DefaultAuctionValues!$C$2:$C$359,MATCH(A328,DefaultAuctionValues!$A$2:$A$359,0)),0),IF(LeagueInfo!$F$7="FantasyPros",IFERROR(INDEX(DefaultAuctionValues!$D$2:$D$359,MATCH(A328,DefaultAuctionValues!$A$2:$A$359,0)),0))))</f>
        <v>0</v>
      </c>
      <c r="L328" s="201">
        <f ca="1">I328-K328</f>
        <v>-9.129581769285668</v>
      </c>
      <c r="M328" s="213"/>
      <c r="N328" s="208">
        <f ca="1">INDEX(INDIRECT(""&amp;$B328&amp;"!y2:y709"),MATCH($A328,INDIRECT(""&amp;$B328&amp;"!B2:B709"),0))</f>
        <v>-19.060000000000002</v>
      </c>
      <c r="O328" s="217" t="str">
        <f ca="1">IF(INDEX(INDIRECT(""&amp;$B328&amp;"!V2:V700"),MATCH($A328,INDIRECT(""&amp;$B328&amp;"!B2:B700"),0))=0,"",INDEX(INDIRECT(""&amp;$B328&amp;"!V2:V700"),MATCH($A328,INDIRECT(""&amp;$B328&amp;"!B2:B700"),0)))</f>
        <v/>
      </c>
    </row>
    <row r="329" spans="1:15" x14ac:dyDescent="0.25">
      <c r="A329" s="195" t="s">
        <v>458</v>
      </c>
      <c r="B329" s="195" t="s">
        <v>32</v>
      </c>
      <c r="C329" s="199">
        <f ca="1">IFERROR(INDEX(BYEs!$B$2:$B$33,MATCH(D329,BYEs!$A$2:$A$33,0)),"N/A")</f>
        <v>8</v>
      </c>
      <c r="D329" s="195" t="str">
        <f ca="1">INDEX(INDIRECT(""&amp;B329&amp;"!E2:E700"),MATCH(A329,INDIRECT(""&amp;B329&amp;"!B2:B700"),0))</f>
        <v>NYG</v>
      </c>
      <c r="E329" s="194" t="str">
        <f ca="1">INDEX(INDIRECT(""&amp;$B329&amp;"!Z2:Z709"),MATCH($A329,INDIRECT(""&amp;$B329&amp;"!B2:B709"),0))</f>
        <v>RB11</v>
      </c>
      <c r="F329" s="196">
        <f ca="1">IF(LeagueInfo!$H$7="Starter/Bench",INDEX(INDIRECT(""&amp;B329&amp;"!S2:S709"),MATCH(A329,INDIRECT(""&amp;B329&amp;"!B2:B709"),0)),INDEX(INDIRECT(""&amp;B329&amp;"!AA2:AA709"),MATCH(A329,INDIRECT(""&amp;B329&amp;"!B2:B709"),0)))</f>
        <v>-9.4241616637300911</v>
      </c>
      <c r="G329" s="200">
        <f>IF(H329&gt;0,F329-H329,0)</f>
        <v>0</v>
      </c>
      <c r="H329" s="198"/>
      <c r="I329" s="200">
        <f ca="1">F329*$A$2</f>
        <v>-9.4241616637300911</v>
      </c>
      <c r="J329" s="197" t="s">
        <v>80</v>
      </c>
      <c r="K329" s="197">
        <f>IF(LeagueInfo!$F$7="Yahoo",IFERROR(INDEX(DefaultAuctionValues!$B$2:$B$359,MATCH(A329,DefaultAuctionValues!$A$2:$A$359,0)),0),IF(LeagueInfo!$F$7="ESPN",IFERROR(INDEX(DefaultAuctionValues!$C$2:$C$359,MATCH(A329,DefaultAuctionValues!$A$2:$A$359,0)),0),IF(LeagueInfo!$F$7="FantasyPros",IFERROR(INDEX(DefaultAuctionValues!$D$2:$D$359,MATCH(A329,DefaultAuctionValues!$A$2:$A$359,0)),0))))</f>
        <v>0</v>
      </c>
      <c r="L329" s="201">
        <f ca="1">I329-K329</f>
        <v>-9.4241616637300911</v>
      </c>
      <c r="M329" s="213"/>
      <c r="N329" s="208">
        <f ca="1">INDEX(INDIRECT(""&amp;$B329&amp;"!y2:y709"),MATCH($A329,INDIRECT(""&amp;$B329&amp;"!B2:B709"),0))</f>
        <v>-19.675000000000004</v>
      </c>
      <c r="O329" s="217" t="str">
        <f ca="1">IF(INDEX(INDIRECT(""&amp;$B329&amp;"!V2:V700"),MATCH($A329,INDIRECT(""&amp;$B329&amp;"!B2:B700"),0))=0,"",INDEX(INDIRECT(""&amp;$B329&amp;"!V2:V700"),MATCH($A329,INDIRECT(""&amp;$B329&amp;"!B2:B700"),0)))</f>
        <v/>
      </c>
    </row>
    <row r="330" spans="1:15" x14ac:dyDescent="0.25">
      <c r="A330" s="195" t="s">
        <v>579</v>
      </c>
      <c r="B330" s="195" t="s">
        <v>39</v>
      </c>
      <c r="C330" s="199">
        <f ca="1">IFERROR(INDEX(BYEs!$B$2:$B$33,MATCH(D330,BYEs!$A$2:$A$33,0)),"N/A")</f>
        <v>9</v>
      </c>
      <c r="D330" s="195" t="str">
        <f ca="1">INDEX(INDIRECT(""&amp;B330&amp;"!E2:E700"),MATCH(A330,INDIRECT(""&amp;B330&amp;"!B2:B700"),0))</f>
        <v>CHI</v>
      </c>
      <c r="E330" s="194" t="str">
        <f ca="1">INDEX(INDIRECT(""&amp;$B330&amp;"!Z2:Z709"),MATCH($A330,INDIRECT(""&amp;$B330&amp;"!B2:B709"),0))</f>
        <v>WR9</v>
      </c>
      <c r="F330" s="196">
        <f ca="1">IF(LeagueInfo!$H$7="Starter/Bench",INDEX(INDIRECT(""&amp;B330&amp;"!S2:S709"),MATCH(A330,INDIRECT(""&amp;B330&amp;"!B2:B709"),0)),INDEX(INDIRECT(""&amp;B330&amp;"!AA2:AA709"),MATCH(A330,INDIRECT(""&amp;B330&amp;"!B2:B709"),0)))</f>
        <v>-9.440926373170015</v>
      </c>
      <c r="G330" s="200">
        <f>IF(H330&gt;0,F330-H330,0)</f>
        <v>0</v>
      </c>
      <c r="H330" s="198"/>
      <c r="I330" s="200">
        <f ca="1">F330*$A$2</f>
        <v>-9.440926373170015</v>
      </c>
      <c r="J330" s="197" t="s">
        <v>80</v>
      </c>
      <c r="K330" s="197">
        <f>IF(LeagueInfo!$F$7="Yahoo",IFERROR(INDEX(DefaultAuctionValues!$B$2:$B$359,MATCH(A330,DefaultAuctionValues!$A$2:$A$359,0)),0),IF(LeagueInfo!$F$7="ESPN",IFERROR(INDEX(DefaultAuctionValues!$C$2:$C$359,MATCH(A330,DefaultAuctionValues!$A$2:$A$359,0)),0),IF(LeagueInfo!$F$7="FantasyPros",IFERROR(INDEX(DefaultAuctionValues!$D$2:$D$359,MATCH(A330,DefaultAuctionValues!$A$2:$A$359,0)),0))))</f>
        <v>0</v>
      </c>
      <c r="L330" s="201">
        <f ca="1">I330-K330</f>
        <v>-9.440926373170015</v>
      </c>
      <c r="M330" s="213"/>
      <c r="N330" s="208">
        <f ca="1">INDEX(INDIRECT(""&amp;$B330&amp;"!y2:y709"),MATCH($A330,INDIRECT(""&amp;$B330&amp;"!B2:B709"),0))</f>
        <v>-19.71</v>
      </c>
      <c r="O330" s="217" t="str">
        <f ca="1">IF(INDEX(INDIRECT(""&amp;$B330&amp;"!V2:V700"),MATCH($A330,INDIRECT(""&amp;$B330&amp;"!B2:B700"),0))=0,"",INDEX(INDIRECT(""&amp;$B330&amp;"!V2:V700"),MATCH($A330,INDIRECT(""&amp;$B330&amp;"!B2:B700"),0)))</f>
        <v/>
      </c>
    </row>
    <row r="331" spans="1:15" x14ac:dyDescent="0.25">
      <c r="A331" s="195" t="s">
        <v>455</v>
      </c>
      <c r="B331" s="195" t="s">
        <v>32</v>
      </c>
      <c r="C331" s="199">
        <f ca="1">IFERROR(INDEX(BYEs!$B$2:$B$33,MATCH(D331,BYEs!$A$2:$A$33,0)),"N/A")</f>
        <v>11</v>
      </c>
      <c r="D331" s="195" t="str">
        <f ca="1">INDEX(INDIRECT(""&amp;B331&amp;"!E2:E700"),MATCH(A331,INDIRECT(""&amp;B331&amp;"!B2:B700"),0))</f>
        <v>MIA</v>
      </c>
      <c r="E331" s="194" t="str">
        <f ca="1">INDEX(INDIRECT(""&amp;$B331&amp;"!Z2:Z709"),MATCH($A331,INDIRECT(""&amp;$B331&amp;"!B2:B709"),0))</f>
        <v>RB11</v>
      </c>
      <c r="F331" s="196">
        <f ca="1">IF(LeagueInfo!$H$7="Starter/Bench",INDEX(INDIRECT(""&amp;B331&amp;"!S2:S709"),MATCH(A331,INDIRECT(""&amp;B331&amp;"!B2:B709"),0)),INDEX(INDIRECT(""&amp;B331&amp;"!AA2:AA709"),MATCH(A331,INDIRECT(""&amp;B331&amp;"!B2:B709"),0)))</f>
        <v>-9.4984053769640511</v>
      </c>
      <c r="G331" s="200">
        <f>IF(H331&gt;0,F331-H331,0)</f>
        <v>0</v>
      </c>
      <c r="H331" s="198"/>
      <c r="I331" s="200">
        <f ca="1">F331*$A$2</f>
        <v>-9.4984053769640511</v>
      </c>
      <c r="J331" s="197" t="s">
        <v>80</v>
      </c>
      <c r="K331" s="197">
        <f>IF(LeagueInfo!$F$7="Yahoo",IFERROR(INDEX(DefaultAuctionValues!$B$2:$B$359,MATCH(A331,DefaultAuctionValues!$A$2:$A$359,0)),0),IF(LeagueInfo!$F$7="ESPN",IFERROR(INDEX(DefaultAuctionValues!$C$2:$C$359,MATCH(A331,DefaultAuctionValues!$A$2:$A$359,0)),0),IF(LeagueInfo!$F$7="FantasyPros",IFERROR(INDEX(DefaultAuctionValues!$D$2:$D$359,MATCH(A331,DefaultAuctionValues!$A$2:$A$359,0)),0))))</f>
        <v>0</v>
      </c>
      <c r="L331" s="201">
        <f ca="1">I331-K331</f>
        <v>-9.4984053769640511</v>
      </c>
      <c r="M331" s="213"/>
      <c r="N331" s="208">
        <f ca="1">INDEX(INDIRECT(""&amp;$B331&amp;"!y2:y709"),MATCH($A331,INDIRECT(""&amp;$B331&amp;"!B2:B709"),0))</f>
        <v>-19.830000000000005</v>
      </c>
      <c r="O331" s="217" t="str">
        <f ca="1">IF(INDEX(INDIRECT(""&amp;$B331&amp;"!V2:V700"),MATCH($A331,INDIRECT(""&amp;$B331&amp;"!B2:B700"),0))=0,"",INDEX(INDIRECT(""&amp;$B331&amp;"!V2:V700"),MATCH($A331,INDIRECT(""&amp;$B331&amp;"!B2:B700"),0)))</f>
        <v/>
      </c>
    </row>
    <row r="332" spans="1:15" x14ac:dyDescent="0.25">
      <c r="A332" s="195" t="s">
        <v>469</v>
      </c>
      <c r="B332" s="195" t="s">
        <v>32</v>
      </c>
      <c r="C332" s="199">
        <f ca="1">IFERROR(INDEX(BYEs!$B$2:$B$33,MATCH(D332,BYEs!$A$2:$A$33,0)),"N/A")</f>
        <v>11</v>
      </c>
      <c r="D332" s="195" t="str">
        <f ca="1">INDEX(INDIRECT(""&amp;B332&amp;"!E2:E700"),MATCH(A332,INDIRECT(""&amp;B332&amp;"!B2:B700"),0))</f>
        <v>NYJ</v>
      </c>
      <c r="E332" s="194" t="str">
        <f ca="1">INDEX(INDIRECT(""&amp;$B332&amp;"!Z2:Z709"),MATCH($A332,INDIRECT(""&amp;$B332&amp;"!B2:B709"),0))</f>
        <v>RB11</v>
      </c>
      <c r="F332" s="196">
        <f ca="1">IF(LeagueInfo!$H$7="Starter/Bench",INDEX(INDIRECT(""&amp;B332&amp;"!S2:S709"),MATCH(A332,INDIRECT(""&amp;B332&amp;"!B2:B709"),0)),INDEX(INDIRECT(""&amp;B332&amp;"!AA2:AA709"),MATCH(A332,INDIRECT(""&amp;B332&amp;"!B2:B709"),0)))</f>
        <v>-9.5271448788610673</v>
      </c>
      <c r="G332" s="200">
        <f>IF(H332&gt;0,F332-H332,0)</f>
        <v>0</v>
      </c>
      <c r="H332" s="198"/>
      <c r="I332" s="200">
        <f ca="1">F332*$A$2</f>
        <v>-9.5271448788610673</v>
      </c>
      <c r="J332" s="197" t="s">
        <v>80</v>
      </c>
      <c r="K332" s="197">
        <f>IF(LeagueInfo!$F$7="Yahoo",IFERROR(INDEX(DefaultAuctionValues!$B$2:$B$359,MATCH(A332,DefaultAuctionValues!$A$2:$A$359,0)),0),IF(LeagueInfo!$F$7="ESPN",IFERROR(INDEX(DefaultAuctionValues!$C$2:$C$359,MATCH(A332,DefaultAuctionValues!$A$2:$A$359,0)),0),IF(LeagueInfo!$F$7="FantasyPros",IFERROR(INDEX(DefaultAuctionValues!$D$2:$D$359,MATCH(A332,DefaultAuctionValues!$A$2:$A$359,0)),0))))</f>
        <v>0</v>
      </c>
      <c r="L332" s="201">
        <f ca="1">I332-K332</f>
        <v>-9.5271448788610673</v>
      </c>
      <c r="M332" s="213"/>
      <c r="N332" s="208">
        <f ca="1">INDEX(INDIRECT(""&amp;$B332&amp;"!y2:y709"),MATCH($A332,INDIRECT(""&amp;$B332&amp;"!B2:B709"),0))</f>
        <v>-19.890000000000004</v>
      </c>
      <c r="O332" s="217" t="str">
        <f ca="1">IF(INDEX(INDIRECT(""&amp;$B332&amp;"!V2:V700"),MATCH($A332,INDIRECT(""&amp;$B332&amp;"!B2:B700"),0))=0,"",INDEX(INDIRECT(""&amp;$B332&amp;"!V2:V700"),MATCH($A332,INDIRECT(""&amp;$B332&amp;"!B2:B700"),0)))</f>
        <v/>
      </c>
    </row>
    <row r="333" spans="1:15" x14ac:dyDescent="0.25">
      <c r="A333" s="195" t="s">
        <v>580</v>
      </c>
      <c r="B333" s="195" t="s">
        <v>39</v>
      </c>
      <c r="C333" s="199">
        <f ca="1">IFERROR(INDEX(BYEs!$B$2:$B$33,MATCH(D333,BYEs!$A$2:$A$33,0)),"N/A")</f>
        <v>11</v>
      </c>
      <c r="D333" s="195" t="str">
        <f ca="1">INDEX(INDIRECT(""&amp;B333&amp;"!E2:E700"),MATCH(A333,INDIRECT(""&amp;B333&amp;"!B2:B700"),0))</f>
        <v>TB</v>
      </c>
      <c r="E333" s="194" t="str">
        <f ca="1">INDEX(INDIRECT(""&amp;$B333&amp;"!Z2:Z709"),MATCH($A333,INDIRECT(""&amp;$B333&amp;"!B2:B709"),0))</f>
        <v>WR9</v>
      </c>
      <c r="F333" s="196">
        <f ca="1">IF(LeagueInfo!$H$7="Starter/Bench",INDEX(INDIRECT(""&amp;B333&amp;"!S2:S709"),MATCH(A333,INDIRECT(""&amp;B333&amp;"!B2:B709"),0)),INDEX(INDIRECT(""&amp;B333&amp;"!AA2:AA709"),MATCH(A333,INDIRECT(""&amp;B333&amp;"!B2:B709"),0)))</f>
        <v>-9.5822289241636831</v>
      </c>
      <c r="G333" s="200">
        <f>IF(H333&gt;0,F333-H333,0)</f>
        <v>0</v>
      </c>
      <c r="H333" s="198"/>
      <c r="I333" s="200">
        <f ca="1">F333*$A$2</f>
        <v>-9.5822289241636831</v>
      </c>
      <c r="J333" s="197" t="s">
        <v>80</v>
      </c>
      <c r="K333" s="197">
        <f>IF(LeagueInfo!$F$7="Yahoo",IFERROR(INDEX(DefaultAuctionValues!$B$2:$B$359,MATCH(A333,DefaultAuctionValues!$A$2:$A$359,0)),0),IF(LeagueInfo!$F$7="ESPN",IFERROR(INDEX(DefaultAuctionValues!$C$2:$C$359,MATCH(A333,DefaultAuctionValues!$A$2:$A$359,0)),0),IF(LeagueInfo!$F$7="FantasyPros",IFERROR(INDEX(DefaultAuctionValues!$D$2:$D$359,MATCH(A333,DefaultAuctionValues!$A$2:$A$359,0)),0))))</f>
        <v>0</v>
      </c>
      <c r="L333" s="201">
        <f ca="1">I333-K333</f>
        <v>-9.5822289241636831</v>
      </c>
      <c r="M333" s="213"/>
      <c r="N333" s="208">
        <f ca="1">INDEX(INDIRECT(""&amp;$B333&amp;"!y2:y709"),MATCH($A333,INDIRECT(""&amp;$B333&amp;"!B2:B709"),0))</f>
        <v>-20.005000000000003</v>
      </c>
      <c r="O333" s="217" t="str">
        <f ca="1">IF(INDEX(INDIRECT(""&amp;$B333&amp;"!V2:V700"),MATCH($A333,INDIRECT(""&amp;$B333&amp;"!B2:B700"),0))=0,"",INDEX(INDIRECT(""&amp;$B333&amp;"!V2:V700"),MATCH($A333,INDIRECT(""&amp;$B333&amp;"!B2:B700"),0)))</f>
        <v/>
      </c>
    </row>
    <row r="334" spans="1:15" x14ac:dyDescent="0.25">
      <c r="A334" s="195" t="s">
        <v>509</v>
      </c>
      <c r="B334" s="195" t="s">
        <v>32</v>
      </c>
      <c r="C334" s="199">
        <f ca="1">IFERROR(INDEX(BYEs!$B$2:$B$33,MATCH(D334,BYEs!$A$2:$A$33,0)),"N/A")</f>
        <v>6</v>
      </c>
      <c r="D334" s="195" t="str">
        <f ca="1">INDEX(INDIRECT(""&amp;B334&amp;"!E2:E700"),MATCH(A334,INDIRECT(""&amp;B334&amp;"!B2:B700"),0))</f>
        <v>SEA</v>
      </c>
      <c r="E334" s="194" t="str">
        <f ca="1">INDEX(INDIRECT(""&amp;$B334&amp;"!Z2:Z709"),MATCH($A334,INDIRECT(""&amp;$B334&amp;"!B2:B709"),0))</f>
        <v>RB11</v>
      </c>
      <c r="F334" s="196">
        <f ca="1">IF(LeagueInfo!$H$7="Starter/Bench",INDEX(INDIRECT(""&amp;B334&amp;"!S2:S709"),MATCH(A334,INDIRECT(""&amp;B334&amp;"!B2:B709"),0)),INDEX(INDIRECT(""&amp;B334&amp;"!AA2:AA709"),MATCH(A334,INDIRECT(""&amp;B334&amp;"!B2:B709"),0)))</f>
        <v>-9.5894137996379367</v>
      </c>
      <c r="G334" s="200">
        <f>IF(H334&gt;0,F334-H334,0)</f>
        <v>0</v>
      </c>
      <c r="H334" s="198"/>
      <c r="I334" s="200">
        <f ca="1">F334*$A$2</f>
        <v>-9.5894137996379367</v>
      </c>
      <c r="J334" s="197" t="s">
        <v>80</v>
      </c>
      <c r="K334" s="197">
        <f>IF(LeagueInfo!$F$7="Yahoo",IFERROR(INDEX(DefaultAuctionValues!$B$2:$B$359,MATCH(A334,DefaultAuctionValues!$A$2:$A$359,0)),0),IF(LeagueInfo!$F$7="ESPN",IFERROR(INDEX(DefaultAuctionValues!$C$2:$C$359,MATCH(A334,DefaultAuctionValues!$A$2:$A$359,0)),0),IF(LeagueInfo!$F$7="FantasyPros",IFERROR(INDEX(DefaultAuctionValues!$D$2:$D$359,MATCH(A334,DefaultAuctionValues!$A$2:$A$359,0)),0))))</f>
        <v>0</v>
      </c>
      <c r="L334" s="201">
        <f ca="1">I334-K334</f>
        <v>-9.5894137996379367</v>
      </c>
      <c r="M334" s="213"/>
      <c r="N334" s="208">
        <f ca="1">INDEX(INDIRECT(""&amp;$B334&amp;"!y2:y709"),MATCH($A334,INDIRECT(""&amp;$B334&amp;"!B2:B709"),0))</f>
        <v>-20.020000000000003</v>
      </c>
      <c r="O334" s="217" t="str">
        <f ca="1">IF(INDEX(INDIRECT(""&amp;$B334&amp;"!V2:V700"),MATCH($A334,INDIRECT(""&amp;$B334&amp;"!B2:B700"),0))=0,"",INDEX(INDIRECT(""&amp;$B334&amp;"!V2:V700"),MATCH($A334,INDIRECT(""&amp;$B334&amp;"!B2:B700"),0)))</f>
        <v/>
      </c>
    </row>
    <row r="335" spans="1:15" x14ac:dyDescent="0.25">
      <c r="A335" s="195" t="s">
        <v>507</v>
      </c>
      <c r="B335" s="195" t="s">
        <v>32</v>
      </c>
      <c r="C335" s="199">
        <f ca="1">IFERROR(INDEX(BYEs!$B$2:$B$33,MATCH(D335,BYEs!$A$2:$A$33,0)),"N/A")</f>
        <v>10</v>
      </c>
      <c r="D335" s="195" t="str">
        <f ca="1">INDEX(INDIRECT(""&amp;B335&amp;"!E2:E700"),MATCH(A335,INDIRECT(""&amp;B335&amp;"!B2:B700"),0))</f>
        <v>KC</v>
      </c>
      <c r="E335" s="194" t="str">
        <f ca="1">INDEX(INDIRECT(""&amp;$B335&amp;"!Z2:Z709"),MATCH($A335,INDIRECT(""&amp;$B335&amp;"!B2:B709"),0))</f>
        <v>RB11</v>
      </c>
      <c r="F335" s="196">
        <f ca="1">IF(LeagueInfo!$H$7="Starter/Bench",INDEX(INDIRECT(""&amp;B335&amp;"!S2:S709"),MATCH(A335,INDIRECT(""&amp;B335&amp;"!B2:B709"),0)),INDEX(INDIRECT(""&amp;B335&amp;"!AA2:AA709"),MATCH(A335,INDIRECT(""&amp;B335&amp;"!B2:B709"),0)))</f>
        <v>-9.6397079279577174</v>
      </c>
      <c r="G335" s="200">
        <f>IF(H335&gt;0,F335-H335,0)</f>
        <v>0</v>
      </c>
      <c r="H335" s="198"/>
      <c r="I335" s="200">
        <f ca="1">F335*$A$2</f>
        <v>-9.6397079279577174</v>
      </c>
      <c r="J335" s="197" t="s">
        <v>80</v>
      </c>
      <c r="K335" s="197">
        <f>IF(LeagueInfo!$F$7="Yahoo",IFERROR(INDEX(DefaultAuctionValues!$B$2:$B$359,MATCH(A335,DefaultAuctionValues!$A$2:$A$359,0)),0),IF(LeagueInfo!$F$7="ESPN",IFERROR(INDEX(DefaultAuctionValues!$C$2:$C$359,MATCH(A335,DefaultAuctionValues!$A$2:$A$359,0)),0),IF(LeagueInfo!$F$7="FantasyPros",IFERROR(INDEX(DefaultAuctionValues!$D$2:$D$359,MATCH(A335,DefaultAuctionValues!$A$2:$A$359,0)),0))))</f>
        <v>0</v>
      </c>
      <c r="L335" s="201">
        <f ca="1">I335-K335</f>
        <v>-9.6397079279577174</v>
      </c>
      <c r="M335" s="213"/>
      <c r="N335" s="208">
        <f ca="1">INDEX(INDIRECT(""&amp;$B335&amp;"!y2:y709"),MATCH($A335,INDIRECT(""&amp;$B335&amp;"!B2:B709"),0))</f>
        <v>-20.125000000000007</v>
      </c>
      <c r="O335" s="217" t="str">
        <f ca="1">IF(INDEX(INDIRECT(""&amp;$B335&amp;"!V2:V700"),MATCH($A335,INDIRECT(""&amp;$B335&amp;"!B2:B700"),0))=0,"",INDEX(INDIRECT(""&amp;$B335&amp;"!V2:V700"),MATCH($A335,INDIRECT(""&amp;$B335&amp;"!B2:B700"),0)))</f>
        <v/>
      </c>
    </row>
    <row r="336" spans="1:15" x14ac:dyDescent="0.25">
      <c r="A336" s="195" t="s">
        <v>461</v>
      </c>
      <c r="B336" s="195" t="s">
        <v>32</v>
      </c>
      <c r="C336" s="199">
        <f ca="1">IFERROR(INDEX(BYEs!$B$2:$B$33,MATCH(D336,BYEs!$A$2:$A$33,0)),"N/A")</f>
        <v>8</v>
      </c>
      <c r="D336" s="195" t="str">
        <f ca="1">INDEX(INDIRECT(""&amp;B336&amp;"!E2:E700"),MATCH(A336,INDIRECT(""&amp;B336&amp;"!B2:B700"),0))</f>
        <v>ARI</v>
      </c>
      <c r="E336" s="194" t="str">
        <f ca="1">INDEX(INDIRECT(""&amp;$B336&amp;"!Z2:Z709"),MATCH($A336,INDIRECT(""&amp;$B336&amp;"!B2:B709"),0))</f>
        <v>RB11</v>
      </c>
      <c r="F336" s="196">
        <f ca="1">IF(LeagueInfo!$H$7="Starter/Bench",INDEX(INDIRECT(""&amp;B336&amp;"!S2:S709"),MATCH(A336,INDIRECT(""&amp;B336&amp;"!B2:B709"),0)),INDEX(INDIRECT(""&amp;B336&amp;"!AA2:AA709"),MATCH(A336,INDIRECT(""&amp;B336&amp;"!B2:B709"),0)))</f>
        <v>-9.6540776789062228</v>
      </c>
      <c r="G336" s="200">
        <f>IF(H336&gt;0,F336-H336,0)</f>
        <v>0</v>
      </c>
      <c r="H336" s="198"/>
      <c r="I336" s="200">
        <f ca="1">F336*$A$2</f>
        <v>-9.6540776789062228</v>
      </c>
      <c r="J336" s="197" t="s">
        <v>80</v>
      </c>
      <c r="K336" s="197">
        <f>IF(LeagueInfo!$F$7="Yahoo",IFERROR(INDEX(DefaultAuctionValues!$B$2:$B$359,MATCH(A336,DefaultAuctionValues!$A$2:$A$359,0)),0),IF(LeagueInfo!$F$7="ESPN",IFERROR(INDEX(DefaultAuctionValues!$C$2:$C$359,MATCH(A336,DefaultAuctionValues!$A$2:$A$359,0)),0),IF(LeagueInfo!$F$7="FantasyPros",IFERROR(INDEX(DefaultAuctionValues!$D$2:$D$359,MATCH(A336,DefaultAuctionValues!$A$2:$A$359,0)),0))))</f>
        <v>0</v>
      </c>
      <c r="L336" s="201">
        <f ca="1">I336-K336</f>
        <v>-9.6540776789062228</v>
      </c>
      <c r="M336" s="213"/>
      <c r="N336" s="208">
        <f ca="1">INDEX(INDIRECT(""&amp;$B336&amp;"!y2:y709"),MATCH($A336,INDIRECT(""&amp;$B336&amp;"!B2:B709"),0))</f>
        <v>-20.155000000000001</v>
      </c>
      <c r="O336" s="217" t="str">
        <f ca="1">IF(INDEX(INDIRECT(""&amp;$B336&amp;"!V2:V700"),MATCH($A336,INDIRECT(""&amp;$B336&amp;"!B2:B700"),0))=0,"",INDEX(INDIRECT(""&amp;$B336&amp;"!V2:V700"),MATCH($A336,INDIRECT(""&amp;$B336&amp;"!B2:B700"),0)))</f>
        <v/>
      </c>
    </row>
    <row r="337" spans="1:15" x14ac:dyDescent="0.25">
      <c r="A337" s="195" t="s">
        <v>323</v>
      </c>
      <c r="B337" s="195" t="s">
        <v>39</v>
      </c>
      <c r="C337" s="199">
        <f ca="1">IFERROR(INDEX(BYEs!$B$2:$B$33,MATCH(D337,BYEs!$A$2:$A$33,0)),"N/A")</f>
        <v>9</v>
      </c>
      <c r="D337" s="195" t="str">
        <f ca="1">INDEX(INDIRECT(""&amp;B337&amp;"!E2:E700"),MATCH(A337,INDIRECT(""&amp;B337&amp;"!B2:B700"),0))</f>
        <v>NE</v>
      </c>
      <c r="E337" s="194" t="str">
        <f ca="1">INDEX(INDIRECT(""&amp;$B337&amp;"!Z2:Z709"),MATCH($A337,INDIRECT(""&amp;$B337&amp;"!B2:B709"),0))</f>
        <v>WR9</v>
      </c>
      <c r="F337" s="196">
        <f ca="1">IF(LeagueInfo!$H$7="Starter/Bench",INDEX(INDIRECT(""&amp;B337&amp;"!S2:S709"),MATCH(A337,INDIRECT(""&amp;B337&amp;"!B2:B709"),0)),INDEX(INDIRECT(""&amp;B337&amp;"!AA2:AA709"),MATCH(A337,INDIRECT(""&amp;B337&amp;"!B2:B709"),0)))</f>
        <v>-9.673237346837567</v>
      </c>
      <c r="G337" s="200">
        <f>IF(H337&gt;0,F337-H337,0)</f>
        <v>0</v>
      </c>
      <c r="H337" s="198"/>
      <c r="I337" s="200">
        <f ca="1">F337*$A$2</f>
        <v>-9.673237346837567</v>
      </c>
      <c r="J337" s="197" t="s">
        <v>80</v>
      </c>
      <c r="K337" s="197">
        <f>IF(LeagueInfo!$F$7="Yahoo",IFERROR(INDEX(DefaultAuctionValues!$B$2:$B$359,MATCH(A337,DefaultAuctionValues!$A$2:$A$359,0)),0),IF(LeagueInfo!$F$7="ESPN",IFERROR(INDEX(DefaultAuctionValues!$C$2:$C$359,MATCH(A337,DefaultAuctionValues!$A$2:$A$359,0)),0),IF(LeagueInfo!$F$7="FantasyPros",IFERROR(INDEX(DefaultAuctionValues!$D$2:$D$359,MATCH(A337,DefaultAuctionValues!$A$2:$A$359,0)),0))))</f>
        <v>0</v>
      </c>
      <c r="L337" s="201">
        <f ca="1">I337-K337</f>
        <v>-9.673237346837567</v>
      </c>
      <c r="M337" s="213"/>
      <c r="N337" s="208">
        <f ca="1">INDEX(INDIRECT(""&amp;$B337&amp;"!y2:y709"),MATCH($A337,INDIRECT(""&amp;$B337&amp;"!B2:B709"),0))</f>
        <v>-20.195</v>
      </c>
      <c r="O337" s="217" t="str">
        <f ca="1">IF(INDEX(INDIRECT(""&amp;$B337&amp;"!V2:V700"),MATCH($A337,INDIRECT(""&amp;$B337&amp;"!B2:B700"),0))=0,"",INDEX(INDIRECT(""&amp;$B337&amp;"!V2:V700"),MATCH($A337,INDIRECT(""&amp;$B337&amp;"!B2:B700"),0)))</f>
        <v/>
      </c>
    </row>
    <row r="338" spans="1:15" x14ac:dyDescent="0.25">
      <c r="A338" s="195" t="s">
        <v>737</v>
      </c>
      <c r="B338" s="195" t="s">
        <v>47</v>
      </c>
      <c r="C338" s="199">
        <f ca="1">IFERROR(INDEX(BYEs!$B$2:$B$33,MATCH(D338,BYEs!$A$2:$A$33,0)),"N/A")</f>
        <v>9</v>
      </c>
      <c r="D338" s="195" t="str">
        <f ca="1">INDEX(INDIRECT(""&amp;B338&amp;"!E2:E700"),MATCH(A338,INDIRECT(""&amp;B338&amp;"!B2:B700"),0))</f>
        <v>CHI</v>
      </c>
      <c r="E338" s="194" t="str">
        <f ca="1">INDEX(INDIRECT(""&amp;$B338&amp;"!Z2:Z709"),MATCH($A338,INDIRECT(""&amp;$B338&amp;"!B2:B709"),0))</f>
        <v>TE11</v>
      </c>
      <c r="F338" s="196">
        <f ca="1">IF(LeagueInfo!$H$7="Starter/Bench",INDEX(INDIRECT(""&amp;B338&amp;"!S2:S709"),MATCH(A338,INDIRECT(""&amp;B338&amp;"!B2:B709"),0)),INDEX(INDIRECT(""&amp;B338&amp;"!AA2:AA709"),MATCH(A338,INDIRECT(""&amp;B338&amp;"!B2:B709"),0)))</f>
        <v>-9.7642457695114526</v>
      </c>
      <c r="G338" s="200">
        <f>IF(H338&gt;0,F338-H338,0)</f>
        <v>0</v>
      </c>
      <c r="H338" s="198"/>
      <c r="I338" s="200">
        <f ca="1">F338*$A$2</f>
        <v>-9.7642457695114526</v>
      </c>
      <c r="J338" s="197" t="s">
        <v>80</v>
      </c>
      <c r="K338" s="197">
        <f>IF(LeagueInfo!$F$7="Yahoo",IFERROR(INDEX(DefaultAuctionValues!$B$2:$B$359,MATCH(A338,DefaultAuctionValues!$A$2:$A$359,0)),0),IF(LeagueInfo!$F$7="ESPN",IFERROR(INDEX(DefaultAuctionValues!$C$2:$C$359,MATCH(A338,DefaultAuctionValues!$A$2:$A$359,0)),0),IF(LeagueInfo!$F$7="FantasyPros",IFERROR(INDEX(DefaultAuctionValues!$D$2:$D$359,MATCH(A338,DefaultAuctionValues!$A$2:$A$359,0)),0))))</f>
        <v>0</v>
      </c>
      <c r="L338" s="201">
        <f ca="1">I338-K338</f>
        <v>-9.7642457695114526</v>
      </c>
      <c r="M338" s="213"/>
      <c r="N338" s="208">
        <f ca="1">INDEX(INDIRECT(""&amp;$B338&amp;"!y2:y709"),MATCH($A338,INDIRECT(""&amp;$B338&amp;"!B2:B709"),0))</f>
        <v>-20.384999999999998</v>
      </c>
      <c r="O338" s="217" t="str">
        <f ca="1">IF(INDEX(INDIRECT(""&amp;$B338&amp;"!V2:V700"),MATCH($A338,INDIRECT(""&amp;$B338&amp;"!B2:B700"),0))=0,"",INDEX(INDIRECT(""&amp;$B338&amp;"!V2:V700"),MATCH($A338,INDIRECT(""&amp;$B338&amp;"!B2:B700"),0)))</f>
        <v/>
      </c>
    </row>
    <row r="339" spans="1:15" x14ac:dyDescent="0.25">
      <c r="A339" s="195" t="s">
        <v>610</v>
      </c>
      <c r="B339" s="195" t="s">
        <v>39</v>
      </c>
      <c r="C339" s="199">
        <f ca="1">IFERROR(INDEX(BYEs!$B$2:$B$33,MATCH(D339,BYEs!$A$2:$A$33,0)),"N/A")</f>
        <v>11</v>
      </c>
      <c r="D339" s="195" t="str">
        <f ca="1">INDEX(INDIRECT(""&amp;B339&amp;"!E2:E700"),MATCH(A339,INDIRECT(""&amp;B339&amp;"!B2:B700"),0))</f>
        <v>NYJ</v>
      </c>
      <c r="E339" s="194" t="str">
        <f ca="1">INDEX(INDIRECT(""&amp;$B339&amp;"!Z2:Z709"),MATCH($A339,INDIRECT(""&amp;$B339&amp;"!B2:B709"),0))</f>
        <v>WR9</v>
      </c>
      <c r="F339" s="196">
        <f ca="1">IF(LeagueInfo!$H$7="Starter/Bench",INDEX(INDIRECT(""&amp;B339&amp;"!S2:S709"),MATCH(A339,INDIRECT(""&amp;B339&amp;"!B2:B709"),0)),INDEX(INDIRECT(""&amp;B339&amp;"!AA2:AA709"),MATCH(A339,INDIRECT(""&amp;B339&amp;"!B2:B709"),0)))</f>
        <v>-9.7786155204599634</v>
      </c>
      <c r="G339" s="200">
        <f>IF(H339&gt;0,F339-H339,0)</f>
        <v>0</v>
      </c>
      <c r="H339" s="198"/>
      <c r="I339" s="200">
        <f ca="1">F339*$A$2</f>
        <v>-9.7786155204599634</v>
      </c>
      <c r="J339" s="197" t="s">
        <v>80</v>
      </c>
      <c r="K339" s="197">
        <f>IF(LeagueInfo!$F$7="Yahoo",IFERROR(INDEX(DefaultAuctionValues!$B$2:$B$359,MATCH(A339,DefaultAuctionValues!$A$2:$A$359,0)),0),IF(LeagueInfo!$F$7="ESPN",IFERROR(INDEX(DefaultAuctionValues!$C$2:$C$359,MATCH(A339,DefaultAuctionValues!$A$2:$A$359,0)),0),IF(LeagueInfo!$F$7="FantasyPros",IFERROR(INDEX(DefaultAuctionValues!$D$2:$D$359,MATCH(A339,DefaultAuctionValues!$A$2:$A$359,0)),0))))</f>
        <v>0</v>
      </c>
      <c r="L339" s="201">
        <f ca="1">I339-K339</f>
        <v>-9.7786155204599634</v>
      </c>
      <c r="M339" s="213"/>
      <c r="N339" s="208">
        <f ca="1">INDEX(INDIRECT(""&amp;$B339&amp;"!y2:y709"),MATCH($A339,INDIRECT(""&amp;$B339&amp;"!B2:B709"),0))</f>
        <v>-20.415000000000003</v>
      </c>
      <c r="O339" s="217" t="str">
        <f ca="1">IF(INDEX(INDIRECT(""&amp;$B339&amp;"!V2:V700"),MATCH($A339,INDIRECT(""&amp;$B339&amp;"!B2:B700"),0))=0,"",INDEX(INDIRECT(""&amp;$B339&amp;"!V2:V700"),MATCH($A339,INDIRECT(""&amp;$B339&amp;"!B2:B700"),0)))</f>
        <v/>
      </c>
    </row>
    <row r="340" spans="1:15" x14ac:dyDescent="0.25">
      <c r="A340" s="195" t="s">
        <v>377</v>
      </c>
      <c r="B340" s="195" t="s">
        <v>33</v>
      </c>
      <c r="C340" s="199">
        <f ca="1">IFERROR(INDEX(BYEs!$B$2:$B$33,MATCH(D340,BYEs!$A$2:$A$33,0)),"N/A")</f>
        <v>11</v>
      </c>
      <c r="D340" s="195" t="str">
        <f ca="1">INDEX(INDIRECT(""&amp;B340&amp;"!E2:E700"),MATCH(A340,INDIRECT(""&amp;B340&amp;"!B2:B700"),0))</f>
        <v>SF</v>
      </c>
      <c r="E340" s="194" t="str">
        <f ca="1">INDEX(INDIRECT(""&amp;$B340&amp;"!Z2:Z709"),MATCH($A340,INDIRECT(""&amp;$B340&amp;"!B2:B709"),0))</f>
        <v>QB5</v>
      </c>
      <c r="F340" s="196">
        <f ca="1">IF(LeagueInfo!$H$7="Starter/Bench",INDEX(INDIRECT(""&amp;B340&amp;"!S2:S709"),MATCH(A340,INDIRECT(""&amp;B340&amp;"!B2:B709"),0)),INDEX(INDIRECT(""&amp;B340&amp;"!AA2:AA709"),MATCH(A340,INDIRECT(""&amp;B340&amp;"!B2:B709"),0)))</f>
        <v>-10.071758439809528</v>
      </c>
      <c r="G340" s="200">
        <f>IF(H340&gt;0,F340-H340,0)</f>
        <v>0</v>
      </c>
      <c r="H340" s="198"/>
      <c r="I340" s="200">
        <f ca="1">F340*$A$2</f>
        <v>-10.071758439809528</v>
      </c>
      <c r="J340" s="197" t="s">
        <v>80</v>
      </c>
      <c r="K340" s="197">
        <f>IF(LeagueInfo!$F$7="Yahoo",IFERROR(INDEX(DefaultAuctionValues!$B$2:$B$359,MATCH(A340,DefaultAuctionValues!$A$2:$A$359,0)),0),IF(LeagueInfo!$F$7="ESPN",IFERROR(INDEX(DefaultAuctionValues!$C$2:$C$359,MATCH(A340,DefaultAuctionValues!$A$2:$A$359,0)),0),IF(LeagueInfo!$F$7="FantasyPros",IFERROR(INDEX(DefaultAuctionValues!$D$2:$D$359,MATCH(A340,DefaultAuctionValues!$A$2:$A$359,0)),0))))</f>
        <v>0</v>
      </c>
      <c r="L340" s="201">
        <f ca="1">I340-K340</f>
        <v>-10.071758439809528</v>
      </c>
      <c r="M340" s="213"/>
      <c r="N340" s="208">
        <f ca="1">INDEX(INDIRECT(""&amp;$B340&amp;"!y2:y709"),MATCH($A340,INDIRECT(""&amp;$B340&amp;"!B2:B709"),0))</f>
        <v>-21.026999999999987</v>
      </c>
      <c r="O340" s="217" t="str">
        <f ca="1">IF(INDEX(INDIRECT(""&amp;$B340&amp;"!V2:V700"),MATCH($A340,INDIRECT(""&amp;$B340&amp;"!B2:B700"),0))=0,"",INDEX(INDIRECT(""&amp;$B340&amp;"!V2:V700"),MATCH($A340,INDIRECT(""&amp;$B340&amp;"!B2:B700"),0)))</f>
        <v/>
      </c>
    </row>
    <row r="341" spans="1:15" x14ac:dyDescent="0.25">
      <c r="A341" s="195" t="s">
        <v>578</v>
      </c>
      <c r="B341" s="195" t="s">
        <v>39</v>
      </c>
      <c r="C341" s="199">
        <f ca="1">IFERROR(INDEX(BYEs!$B$2:$B$33,MATCH(D341,BYEs!$A$2:$A$33,0)),"N/A")</f>
        <v>10</v>
      </c>
      <c r="D341" s="195" t="str">
        <f ca="1">INDEX(INDIRECT(""&amp;B341&amp;"!E2:E700"),MATCH(A341,INDIRECT(""&amp;B341&amp;"!B2:B700"),0))</f>
        <v>KC</v>
      </c>
      <c r="E341" s="194" t="str">
        <f ca="1">INDEX(INDIRECT(""&amp;$B341&amp;"!Z2:Z709"),MATCH($A341,INDIRECT(""&amp;$B341&amp;"!B2:B709"),0))</f>
        <v>WR9</v>
      </c>
      <c r="F341" s="196">
        <f ca="1">IF(LeagueInfo!$H$7="Starter/Bench",INDEX(INDIRECT(""&amp;B341&amp;"!S2:S709"),MATCH(A341,INDIRECT(""&amp;B341&amp;"!B2:B709"),0)),INDEX(INDIRECT(""&amp;B341&amp;"!AA2:AA709"),MATCH(A341,INDIRECT(""&amp;B341&amp;"!B2:B709"),0)))</f>
        <v>-10.077985331887222</v>
      </c>
      <c r="G341" s="200">
        <f>IF(H341&gt;0,F341-H341,0)</f>
        <v>0</v>
      </c>
      <c r="H341" s="198"/>
      <c r="I341" s="200">
        <f ca="1">F341*$A$2</f>
        <v>-10.077985331887222</v>
      </c>
      <c r="J341" s="197" t="s">
        <v>80</v>
      </c>
      <c r="K341" s="197">
        <f>IF(LeagueInfo!$F$7="Yahoo",IFERROR(INDEX(DefaultAuctionValues!$B$2:$B$359,MATCH(A341,DefaultAuctionValues!$A$2:$A$359,0)),0),IF(LeagueInfo!$F$7="ESPN",IFERROR(INDEX(DefaultAuctionValues!$C$2:$C$359,MATCH(A341,DefaultAuctionValues!$A$2:$A$359,0)),0),IF(LeagueInfo!$F$7="FantasyPros",IFERROR(INDEX(DefaultAuctionValues!$D$2:$D$359,MATCH(A341,DefaultAuctionValues!$A$2:$A$359,0)),0))))</f>
        <v>0</v>
      </c>
      <c r="L341" s="201">
        <f ca="1">I341-K341</f>
        <v>-10.077985331887222</v>
      </c>
      <c r="M341" s="213"/>
      <c r="N341" s="208">
        <f ca="1">INDEX(INDIRECT(""&amp;$B341&amp;"!y2:y709"),MATCH($A341,INDIRECT(""&amp;$B341&amp;"!B2:B709"),0))</f>
        <v>-21.040000000000003</v>
      </c>
      <c r="O341" s="217" t="str">
        <f ca="1">IF(INDEX(INDIRECT(""&amp;$B341&amp;"!V2:V700"),MATCH($A341,INDIRECT(""&amp;$B341&amp;"!B2:B700"),0))=0,"",INDEX(INDIRECT(""&amp;$B341&amp;"!V2:V700"),MATCH($A341,INDIRECT(""&amp;$B341&amp;"!B2:B700"),0)))</f>
        <v/>
      </c>
    </row>
    <row r="342" spans="1:15" x14ac:dyDescent="0.25">
      <c r="A342" s="195" t="s">
        <v>468</v>
      </c>
      <c r="B342" s="195" t="s">
        <v>32</v>
      </c>
      <c r="C342" s="199">
        <f ca="1">IFERROR(INDEX(BYEs!$B$2:$B$33,MATCH(D342,BYEs!$A$2:$A$33,0)),"N/A")</f>
        <v>7</v>
      </c>
      <c r="D342" s="195" t="str">
        <f ca="1">INDEX(INDIRECT(""&amp;B342&amp;"!E2:E700"),MATCH(A342,INDIRECT(""&amp;B342&amp;"!B2:B700"),0))</f>
        <v>HOU</v>
      </c>
      <c r="E342" s="194" t="str">
        <f ca="1">INDEX(INDIRECT(""&amp;$B342&amp;"!Z2:Z709"),MATCH($A342,INDIRECT(""&amp;$B342&amp;"!B2:B709"),0))</f>
        <v>RB11</v>
      </c>
      <c r="F342" s="196">
        <f ca="1">IF(LeagueInfo!$H$7="Starter/Bench",INDEX(INDIRECT(""&amp;B342&amp;"!S2:S709"),MATCH(A342,INDIRECT(""&amp;B342&amp;"!B2:B709"),0)),INDEX(INDIRECT(""&amp;B342&amp;"!AA2:AA709"),MATCH(A342,INDIRECT(""&amp;B342&amp;"!B2:B709"),0)))</f>
        <v>-10.097144999818568</v>
      </c>
      <c r="G342" s="200">
        <f>IF(H342&gt;0,F342-H342,0)</f>
        <v>0</v>
      </c>
      <c r="H342" s="198"/>
      <c r="I342" s="200">
        <f ca="1">F342*$A$2</f>
        <v>-10.097144999818568</v>
      </c>
      <c r="J342" s="197" t="s">
        <v>80</v>
      </c>
      <c r="K342" s="197">
        <f>IF(LeagueInfo!$F$7="Yahoo",IFERROR(INDEX(DefaultAuctionValues!$B$2:$B$359,MATCH(A342,DefaultAuctionValues!$A$2:$A$359,0)),0),IF(LeagueInfo!$F$7="ESPN",IFERROR(INDEX(DefaultAuctionValues!$C$2:$C$359,MATCH(A342,DefaultAuctionValues!$A$2:$A$359,0)),0),IF(LeagueInfo!$F$7="FantasyPros",IFERROR(INDEX(DefaultAuctionValues!$D$2:$D$359,MATCH(A342,DefaultAuctionValues!$A$2:$A$359,0)),0))))</f>
        <v>0</v>
      </c>
      <c r="L342" s="201">
        <f ca="1">I342-K342</f>
        <v>-10.097144999818568</v>
      </c>
      <c r="M342" s="213"/>
      <c r="N342" s="208">
        <f ca="1">INDEX(INDIRECT(""&amp;$B342&amp;"!y2:y709"),MATCH($A342,INDIRECT(""&amp;$B342&amp;"!B2:B709"),0))</f>
        <v>-21.080000000000005</v>
      </c>
      <c r="O342" s="217" t="str">
        <f ca="1">IF(INDEX(INDIRECT(""&amp;$B342&amp;"!V2:V700"),MATCH($A342,INDIRECT(""&amp;$B342&amp;"!B2:B700"),0))=0,"",INDEX(INDIRECT(""&amp;$B342&amp;"!V2:V700"),MATCH($A342,INDIRECT(""&amp;$B342&amp;"!B2:B700"),0)))</f>
        <v/>
      </c>
    </row>
    <row r="343" spans="1:15" x14ac:dyDescent="0.25">
      <c r="A343" s="195" t="s">
        <v>464</v>
      </c>
      <c r="B343" s="195" t="s">
        <v>32</v>
      </c>
      <c r="C343" s="199">
        <f ca="1">IFERROR(INDEX(BYEs!$B$2:$B$33,MATCH(D343,BYEs!$A$2:$A$33,0)),"N/A")</f>
        <v>6</v>
      </c>
      <c r="D343" s="195" t="str">
        <f ca="1">INDEX(INDIRECT(""&amp;B343&amp;"!E2:E700"),MATCH(A343,INDIRECT(""&amp;B343&amp;"!B2:B700"),0))</f>
        <v>BUF</v>
      </c>
      <c r="E343" s="194" t="str">
        <f ca="1">INDEX(INDIRECT(""&amp;$B343&amp;"!Z2:Z709"),MATCH($A343,INDIRECT(""&amp;$B343&amp;"!B2:B709"),0))</f>
        <v>RB11</v>
      </c>
      <c r="F343" s="196">
        <f ca="1">IF(LeagueInfo!$H$7="Starter/Bench",INDEX(INDIRECT(""&amp;B343&amp;"!S2:S709"),MATCH(A343,INDIRECT(""&amp;B343&amp;"!B2:B709"),0)),INDEX(INDIRECT(""&amp;B343&amp;"!AA2:AA709"),MATCH(A343,INDIRECT(""&amp;B343&amp;"!B2:B709"),0)))</f>
        <v>-10.202523173440962</v>
      </c>
      <c r="G343" s="200">
        <f>IF(H343&gt;0,F343-H343,0)</f>
        <v>0</v>
      </c>
      <c r="H343" s="198"/>
      <c r="I343" s="200">
        <f ca="1">F343*$A$2</f>
        <v>-10.202523173440962</v>
      </c>
      <c r="J343" s="197" t="s">
        <v>80</v>
      </c>
      <c r="K343" s="197">
        <f>IF(LeagueInfo!$F$7="Yahoo",IFERROR(INDEX(DefaultAuctionValues!$B$2:$B$359,MATCH(A343,DefaultAuctionValues!$A$2:$A$359,0)),0),IF(LeagueInfo!$F$7="ESPN",IFERROR(INDEX(DefaultAuctionValues!$C$2:$C$359,MATCH(A343,DefaultAuctionValues!$A$2:$A$359,0)),0),IF(LeagueInfo!$F$7="FantasyPros",IFERROR(INDEX(DefaultAuctionValues!$D$2:$D$359,MATCH(A343,DefaultAuctionValues!$A$2:$A$359,0)),0))))</f>
        <v>0</v>
      </c>
      <c r="L343" s="201">
        <f ca="1">I343-K343</f>
        <v>-10.202523173440962</v>
      </c>
      <c r="M343" s="213"/>
      <c r="N343" s="208">
        <f ca="1">INDEX(INDIRECT(""&amp;$B343&amp;"!y2:y709"),MATCH($A343,INDIRECT(""&amp;$B343&amp;"!B2:B709"),0))</f>
        <v>-21.300000000000004</v>
      </c>
      <c r="O343" s="217" t="str">
        <f ca="1">IF(INDEX(INDIRECT(""&amp;$B343&amp;"!V2:V700"),MATCH($A343,INDIRECT(""&amp;$B343&amp;"!B2:B700"),0))=0,"",INDEX(INDIRECT(""&amp;$B343&amp;"!V2:V700"),MATCH($A343,INDIRECT(""&amp;$B343&amp;"!B2:B700"),0)))</f>
        <v/>
      </c>
    </row>
    <row r="344" spans="1:15" x14ac:dyDescent="0.25">
      <c r="A344" s="195" t="s">
        <v>741</v>
      </c>
      <c r="B344" s="195" t="s">
        <v>47</v>
      </c>
      <c r="C344" s="199">
        <f ca="1">IFERROR(INDEX(BYEs!$B$2:$B$33,MATCH(D344,BYEs!$A$2:$A$33,0)),"N/A")</f>
        <v>10</v>
      </c>
      <c r="D344" s="195" t="str">
        <f ca="1">INDEX(INDIRECT(""&amp;B344&amp;"!E2:E700"),MATCH(A344,INDIRECT(""&amp;B344&amp;"!B2:B700"),0))</f>
        <v>BAL</v>
      </c>
      <c r="E344" s="194" t="str">
        <f ca="1">INDEX(INDIRECT(""&amp;$B344&amp;"!Z2:Z709"),MATCH($A344,INDIRECT(""&amp;$B344&amp;"!B2:B709"),0))</f>
        <v>TE11</v>
      </c>
      <c r="F344" s="196">
        <f ca="1">IF(LeagueInfo!$H$7="Starter/Bench",INDEX(INDIRECT(""&amp;B344&amp;"!S2:S709"),MATCH(A344,INDIRECT(""&amp;B344&amp;"!B2:B709"),0)),INDEX(INDIRECT(""&amp;B344&amp;"!AA2:AA709"),MATCH(A344,INDIRECT(""&amp;B344&amp;"!B2:B709"),0)))</f>
        <v>-10.216892924389468</v>
      </c>
      <c r="G344" s="200">
        <f>IF(H344&gt;0,F344-H344,0)</f>
        <v>0</v>
      </c>
      <c r="H344" s="198"/>
      <c r="I344" s="200">
        <f ca="1">F344*$A$2</f>
        <v>-10.216892924389468</v>
      </c>
      <c r="J344" s="197" t="s">
        <v>80</v>
      </c>
      <c r="K344" s="197">
        <f>IF(LeagueInfo!$F$7="Yahoo",IFERROR(INDEX(DefaultAuctionValues!$B$2:$B$359,MATCH(A344,DefaultAuctionValues!$A$2:$A$359,0)),0),IF(LeagueInfo!$F$7="ESPN",IFERROR(INDEX(DefaultAuctionValues!$C$2:$C$359,MATCH(A344,DefaultAuctionValues!$A$2:$A$359,0)),0),IF(LeagueInfo!$F$7="FantasyPros",IFERROR(INDEX(DefaultAuctionValues!$D$2:$D$359,MATCH(A344,DefaultAuctionValues!$A$2:$A$359,0)),0))))</f>
        <v>0</v>
      </c>
      <c r="L344" s="201">
        <f ca="1">I344-K344</f>
        <v>-10.216892924389468</v>
      </c>
      <c r="M344" s="213"/>
      <c r="N344" s="208">
        <f ca="1">INDEX(INDIRECT(""&amp;$B344&amp;"!y2:y709"),MATCH($A344,INDIRECT(""&amp;$B344&amp;"!B2:B709"),0))</f>
        <v>-21.33</v>
      </c>
      <c r="O344" s="217" t="str">
        <f ca="1">IF(INDEX(INDIRECT(""&amp;$B344&amp;"!V2:V700"),MATCH($A344,INDIRECT(""&amp;$B344&amp;"!B2:B700"),0))=0,"",INDEX(INDIRECT(""&amp;$B344&amp;"!V2:V700"),MATCH($A344,INDIRECT(""&amp;$B344&amp;"!B2:B700"),0)))</f>
        <v/>
      </c>
    </row>
    <row r="345" spans="1:15" x14ac:dyDescent="0.25">
      <c r="A345" s="195" t="s">
        <v>572</v>
      </c>
      <c r="B345" s="195" t="s">
        <v>39</v>
      </c>
      <c r="C345" s="199">
        <f ca="1">IFERROR(INDEX(BYEs!$B$2:$B$33,MATCH(D345,BYEs!$A$2:$A$33,0)),"N/A")</f>
        <v>6</v>
      </c>
      <c r="D345" s="195" t="str">
        <f ca="1">INDEX(INDIRECT(""&amp;B345&amp;"!E2:E700"),MATCH(A345,INDIRECT(""&amp;B345&amp;"!B2:B700"),0))</f>
        <v>SEA</v>
      </c>
      <c r="E345" s="194" t="str">
        <f ca="1">INDEX(INDIRECT(""&amp;$B345&amp;"!Z2:Z709"),MATCH($A345,INDIRECT(""&amp;$B345&amp;"!B2:B709"),0))</f>
        <v>WR9</v>
      </c>
      <c r="F345" s="196">
        <f ca="1">IF(LeagueInfo!$H$7="Starter/Bench",INDEX(INDIRECT(""&amp;B345&amp;"!S2:S709"),MATCH(A345,INDIRECT(""&amp;B345&amp;"!B2:B709"),0)),INDEX(INDIRECT(""&amp;B345&amp;"!AA2:AA709"),MATCH(A345,INDIRECT(""&amp;B345&amp;"!B2:B709"),0)))</f>
        <v>-10.216892924389469</v>
      </c>
      <c r="G345" s="200">
        <f>IF(H345&gt;0,F345-H345,0)</f>
        <v>0</v>
      </c>
      <c r="H345" s="198"/>
      <c r="I345" s="200">
        <f ca="1">F345*$A$2</f>
        <v>-10.216892924389469</v>
      </c>
      <c r="J345" s="197" t="s">
        <v>80</v>
      </c>
      <c r="K345" s="197">
        <f>IF(LeagueInfo!$F$7="Yahoo",IFERROR(INDEX(DefaultAuctionValues!$B$2:$B$359,MATCH(A345,DefaultAuctionValues!$A$2:$A$359,0)),0),IF(LeagueInfo!$F$7="ESPN",IFERROR(INDEX(DefaultAuctionValues!$C$2:$C$359,MATCH(A345,DefaultAuctionValues!$A$2:$A$359,0)),0),IF(LeagueInfo!$F$7="FantasyPros",IFERROR(INDEX(DefaultAuctionValues!$D$2:$D$359,MATCH(A345,DefaultAuctionValues!$A$2:$A$359,0)),0))))</f>
        <v>0</v>
      </c>
      <c r="L345" s="201">
        <f ca="1">I345-K345</f>
        <v>-10.216892924389469</v>
      </c>
      <c r="M345" s="213"/>
      <c r="N345" s="208">
        <f ca="1">INDEX(INDIRECT(""&amp;$B345&amp;"!y2:y709"),MATCH($A345,INDIRECT(""&amp;$B345&amp;"!B2:B709"),0))</f>
        <v>-21.330000000000002</v>
      </c>
      <c r="O345" s="217" t="str">
        <f ca="1">IF(INDEX(INDIRECT(""&amp;$B345&amp;"!V2:V700"),MATCH($A345,INDIRECT(""&amp;$B345&amp;"!B2:B700"),0))=0,"",INDEX(INDIRECT(""&amp;$B345&amp;"!V2:V700"),MATCH($A345,INDIRECT(""&amp;$B345&amp;"!B2:B700"),0)))</f>
        <v/>
      </c>
    </row>
    <row r="346" spans="1:15" x14ac:dyDescent="0.25">
      <c r="A346" s="195" t="s">
        <v>581</v>
      </c>
      <c r="B346" s="195" t="s">
        <v>39</v>
      </c>
      <c r="C346" s="199">
        <f ca="1">IFERROR(INDEX(BYEs!$B$2:$B$33,MATCH(D346,BYEs!$A$2:$A$33,0)),"N/A")</f>
        <v>7</v>
      </c>
      <c r="D346" s="195" t="str">
        <f ca="1">INDEX(INDIRECT(""&amp;B346&amp;"!E2:E700"),MATCH(A346,INDIRECT(""&amp;B346&amp;"!B2:B700"),0))</f>
        <v>HOU</v>
      </c>
      <c r="E346" s="194" t="str">
        <f ca="1">INDEX(INDIRECT(""&amp;$B346&amp;"!Z2:Z709"),MATCH($A346,INDIRECT(""&amp;$B346&amp;"!B2:B709"),0))</f>
        <v>WR9</v>
      </c>
      <c r="F346" s="196">
        <f ca="1">IF(LeagueInfo!$H$7="Starter/Bench",INDEX(INDIRECT(""&amp;B346&amp;"!S2:S709"),MATCH(A346,INDIRECT(""&amp;B346&amp;"!B2:B709"),0)),INDEX(INDIRECT(""&amp;B346&amp;"!AA2:AA709"),MATCH(A346,INDIRECT(""&amp;B346&amp;"!B2:B709"),0)))</f>
        <v>-10.216892924389469</v>
      </c>
      <c r="G346" s="200">
        <f>IF(H346&gt;0,F346-H346,0)</f>
        <v>0</v>
      </c>
      <c r="H346" s="198"/>
      <c r="I346" s="200">
        <f ca="1">F346*$A$2</f>
        <v>-10.216892924389469</v>
      </c>
      <c r="J346" s="197" t="s">
        <v>80</v>
      </c>
      <c r="K346" s="197">
        <f>IF(LeagueInfo!$F$7="Yahoo",IFERROR(INDEX(DefaultAuctionValues!$B$2:$B$359,MATCH(A346,DefaultAuctionValues!$A$2:$A$359,0)),0),IF(LeagueInfo!$F$7="ESPN",IFERROR(INDEX(DefaultAuctionValues!$C$2:$C$359,MATCH(A346,DefaultAuctionValues!$A$2:$A$359,0)),0),IF(LeagueInfo!$F$7="FantasyPros",IFERROR(INDEX(DefaultAuctionValues!$D$2:$D$359,MATCH(A346,DefaultAuctionValues!$A$2:$A$359,0)),0))))</f>
        <v>0</v>
      </c>
      <c r="L346" s="201">
        <f ca="1">I346-K346</f>
        <v>-10.216892924389469</v>
      </c>
      <c r="M346" s="213"/>
      <c r="N346" s="208">
        <f ca="1">INDEX(INDIRECT(""&amp;$B346&amp;"!y2:y709"),MATCH($A346,INDIRECT(""&amp;$B346&amp;"!B2:B709"),0))</f>
        <v>-21.330000000000002</v>
      </c>
      <c r="O346" s="217" t="str">
        <f ca="1">IF(INDEX(INDIRECT(""&amp;$B346&amp;"!V2:V700"),MATCH($A346,INDIRECT(""&amp;$B346&amp;"!B2:B700"),0))=0,"",INDEX(INDIRECT(""&amp;$B346&amp;"!V2:V700"),MATCH($A346,INDIRECT(""&amp;$B346&amp;"!B2:B700"),0)))</f>
        <v/>
      </c>
    </row>
    <row r="347" spans="1:15" x14ac:dyDescent="0.25">
      <c r="A347" s="195" t="s">
        <v>584</v>
      </c>
      <c r="B347" s="195" t="s">
        <v>39</v>
      </c>
      <c r="C347" s="199">
        <f ca="1">IFERROR(INDEX(BYEs!$B$2:$B$33,MATCH(D347,BYEs!$A$2:$A$33,0)),"N/A")</f>
        <v>7</v>
      </c>
      <c r="D347" s="195" t="str">
        <f ca="1">INDEX(INDIRECT(""&amp;B347&amp;"!E2:E700"),MATCH(A347,INDIRECT(""&amp;B347&amp;"!B2:B700"),0))</f>
        <v>HOU</v>
      </c>
      <c r="E347" s="194" t="str">
        <f ca="1">INDEX(INDIRECT(""&amp;$B347&amp;"!Z2:Z709"),MATCH($A347,INDIRECT(""&amp;$B347&amp;"!B2:B709"),0))</f>
        <v>WR9</v>
      </c>
      <c r="F347" s="196">
        <f ca="1">IF(LeagueInfo!$H$7="Starter/Bench",INDEX(INDIRECT(""&amp;B347&amp;"!S2:S709"),MATCH(A347,INDIRECT(""&amp;B347&amp;"!B2:B709"),0)),INDEX(INDIRECT(""&amp;B347&amp;"!AA2:AA709"),MATCH(A347,INDIRECT(""&amp;B347&amp;"!B2:B709"),0)))</f>
        <v>-10.262397135726411</v>
      </c>
      <c r="G347" s="200">
        <f>IF(H347&gt;0,F347-H347,0)</f>
        <v>0</v>
      </c>
      <c r="H347" s="198"/>
      <c r="I347" s="200">
        <f ca="1">F347*$A$2</f>
        <v>-10.262397135726411</v>
      </c>
      <c r="J347" s="197" t="s">
        <v>80</v>
      </c>
      <c r="K347" s="197">
        <f>IF(LeagueInfo!$F$7="Yahoo",IFERROR(INDEX(DefaultAuctionValues!$B$2:$B$359,MATCH(A347,DefaultAuctionValues!$A$2:$A$359,0)),0),IF(LeagueInfo!$F$7="ESPN",IFERROR(INDEX(DefaultAuctionValues!$C$2:$C$359,MATCH(A347,DefaultAuctionValues!$A$2:$A$359,0)),0),IF(LeagueInfo!$F$7="FantasyPros",IFERROR(INDEX(DefaultAuctionValues!$D$2:$D$359,MATCH(A347,DefaultAuctionValues!$A$2:$A$359,0)),0))))</f>
        <v>0</v>
      </c>
      <c r="L347" s="201">
        <f ca="1">I347-K347</f>
        <v>-10.262397135726411</v>
      </c>
      <c r="M347" s="213"/>
      <c r="N347" s="208">
        <f ca="1">INDEX(INDIRECT(""&amp;$B347&amp;"!y2:y709"),MATCH($A347,INDIRECT(""&amp;$B347&amp;"!B2:B709"),0))</f>
        <v>-21.425000000000001</v>
      </c>
      <c r="O347" s="217" t="str">
        <f ca="1">IF(INDEX(INDIRECT(""&amp;$B347&amp;"!V2:V700"),MATCH($A347,INDIRECT(""&amp;$B347&amp;"!B2:B700"),0))=0,"",INDEX(INDIRECT(""&amp;$B347&amp;"!V2:V700"),MATCH($A347,INDIRECT(""&amp;$B347&amp;"!B2:B700"),0)))</f>
        <v/>
      </c>
    </row>
    <row r="348" spans="1:15" x14ac:dyDescent="0.25">
      <c r="A348" s="195" t="s">
        <v>731</v>
      </c>
      <c r="B348" s="195" t="s">
        <v>47</v>
      </c>
      <c r="C348" s="199">
        <f ca="1">IFERROR(INDEX(BYEs!$B$2:$B$33,MATCH(D348,BYEs!$A$2:$A$33,0)),"N/A")</f>
        <v>9</v>
      </c>
      <c r="D348" s="195" t="str">
        <f ca="1">INDEX(INDIRECT(""&amp;B348&amp;"!E2:E700"),MATCH(A348,INDIRECT(""&amp;B348&amp;"!B2:B700"),0))</f>
        <v>PIT</v>
      </c>
      <c r="E348" s="194" t="str">
        <f ca="1">INDEX(INDIRECT(""&amp;$B348&amp;"!Z2:Z709"),MATCH($A348,INDIRECT(""&amp;$B348&amp;"!B2:B709"),0))</f>
        <v>TE11</v>
      </c>
      <c r="F348" s="196">
        <f ca="1">IF(LeagueInfo!$H$7="Starter/Bench",INDEX(INDIRECT(""&amp;B348&amp;"!S2:S709"),MATCH(A348,INDIRECT(""&amp;B348&amp;"!B2:B709"),0)),INDEX(INDIRECT(""&amp;B348&amp;"!AA2:AA709"),MATCH(A348,INDIRECT(""&amp;B348&amp;"!B2:B709"),0)))</f>
        <v>-10.346220682926043</v>
      </c>
      <c r="G348" s="200">
        <f>IF(H348&gt;0,F348-H348,0)</f>
        <v>0</v>
      </c>
      <c r="H348" s="198"/>
      <c r="I348" s="200">
        <f ca="1">F348*$A$2</f>
        <v>-10.346220682926043</v>
      </c>
      <c r="J348" s="197" t="s">
        <v>80</v>
      </c>
      <c r="K348" s="197">
        <f>IF(LeagueInfo!$F$7="Yahoo",IFERROR(INDEX(DefaultAuctionValues!$B$2:$B$359,MATCH(A348,DefaultAuctionValues!$A$2:$A$359,0)),0),IF(LeagueInfo!$F$7="ESPN",IFERROR(INDEX(DefaultAuctionValues!$C$2:$C$359,MATCH(A348,DefaultAuctionValues!$A$2:$A$359,0)),0),IF(LeagueInfo!$F$7="FantasyPros",IFERROR(INDEX(DefaultAuctionValues!$D$2:$D$359,MATCH(A348,DefaultAuctionValues!$A$2:$A$359,0)),0))))</f>
        <v>0</v>
      </c>
      <c r="L348" s="201">
        <f ca="1">I348-K348</f>
        <v>-10.346220682926043</v>
      </c>
      <c r="M348" s="213"/>
      <c r="N348" s="208">
        <f ca="1">INDEX(INDIRECT(""&amp;$B348&amp;"!y2:y709"),MATCH($A348,INDIRECT(""&amp;$B348&amp;"!B2:B709"),0))</f>
        <v>-21.599999999999998</v>
      </c>
      <c r="O348" s="217" t="str">
        <f ca="1">IF(INDEX(INDIRECT(""&amp;$B348&amp;"!V2:V700"),MATCH($A348,INDIRECT(""&amp;$B348&amp;"!B2:B700"),0))=0,"",INDEX(INDIRECT(""&amp;$B348&amp;"!V2:V700"),MATCH($A348,INDIRECT(""&amp;$B348&amp;"!B2:B700"),0)))</f>
        <v/>
      </c>
    </row>
    <row r="349" spans="1:15" x14ac:dyDescent="0.25">
      <c r="A349" s="195" t="s">
        <v>574</v>
      </c>
      <c r="B349" s="195" t="s">
        <v>39</v>
      </c>
      <c r="C349" s="199">
        <f ca="1">IFERROR(INDEX(BYEs!$B$2:$B$33,MATCH(D349,BYEs!$A$2:$A$33,0)),"N/A")</f>
        <v>11</v>
      </c>
      <c r="D349" s="195" t="str">
        <f ca="1">INDEX(INDIRECT(""&amp;B349&amp;"!E2:E700"),MATCH(A349,INDIRECT(""&amp;B349&amp;"!B2:B700"),0))</f>
        <v>IND</v>
      </c>
      <c r="E349" s="194" t="str">
        <f ca="1">INDEX(INDIRECT(""&amp;$B349&amp;"!Z2:Z709"),MATCH($A349,INDIRECT(""&amp;$B349&amp;"!B2:B709"),0))</f>
        <v>WR9</v>
      </c>
      <c r="F349" s="196">
        <f ca="1">IF(LeagueInfo!$H$7="Starter/Bench",INDEX(INDIRECT(""&amp;B349&amp;"!S2:S709"),MATCH(A349,INDIRECT(""&amp;B349&amp;"!B2:B709"),0)),INDEX(INDIRECT(""&amp;B349&amp;"!AA2:AA709"),MATCH(A349,INDIRECT(""&amp;B349&amp;"!B2:B709"),0)))</f>
        <v>-10.37735514331448</v>
      </c>
      <c r="G349" s="200">
        <f>IF(H349&gt;0,F349-H349,0)</f>
        <v>0</v>
      </c>
      <c r="H349" s="198"/>
      <c r="I349" s="200">
        <f ca="1">F349*$A$2</f>
        <v>-10.37735514331448</v>
      </c>
      <c r="J349" s="197" t="s">
        <v>80</v>
      </c>
      <c r="K349" s="197">
        <f>IF(LeagueInfo!$F$7="Yahoo",IFERROR(INDEX(DefaultAuctionValues!$B$2:$B$359,MATCH(A349,DefaultAuctionValues!$A$2:$A$359,0)),0),IF(LeagueInfo!$F$7="ESPN",IFERROR(INDEX(DefaultAuctionValues!$C$2:$C$359,MATCH(A349,DefaultAuctionValues!$A$2:$A$359,0)),0),IF(LeagueInfo!$F$7="FantasyPros",IFERROR(INDEX(DefaultAuctionValues!$D$2:$D$359,MATCH(A349,DefaultAuctionValues!$A$2:$A$359,0)),0))))</f>
        <v>0</v>
      </c>
      <c r="L349" s="201">
        <f ca="1">I349-K349</f>
        <v>-10.37735514331448</v>
      </c>
      <c r="M349" s="213"/>
      <c r="N349" s="208">
        <f ca="1">INDEX(INDIRECT(""&amp;$B349&amp;"!y2:y709"),MATCH($A349,INDIRECT(""&amp;$B349&amp;"!B2:B709"),0))</f>
        <v>-21.665000000000003</v>
      </c>
      <c r="O349" s="217" t="str">
        <f ca="1">IF(INDEX(INDIRECT(""&amp;$B349&amp;"!V2:V700"),MATCH($A349,INDIRECT(""&amp;$B349&amp;"!B2:B700"),0))=0,"",INDEX(INDIRECT(""&amp;$B349&amp;"!V2:V700"),MATCH($A349,INDIRECT(""&amp;$B349&amp;"!B2:B700"),0)))</f>
        <v/>
      </c>
    </row>
    <row r="350" spans="1:15" x14ac:dyDescent="0.25">
      <c r="A350" s="195" t="s">
        <v>244</v>
      </c>
      <c r="B350" s="195" t="s">
        <v>39</v>
      </c>
      <c r="C350" s="199">
        <f ca="1">IFERROR(INDEX(BYEs!$B$2:$B$33,MATCH(D350,BYEs!$A$2:$A$33,0)),"N/A")</f>
        <v>9</v>
      </c>
      <c r="D350" s="195" t="str">
        <f ca="1">INDEX(INDIRECT(""&amp;B350&amp;"!E2:E700"),MATCH(A350,INDIRECT(""&amp;B350&amp;"!B2:B700"),0))</f>
        <v>NE</v>
      </c>
      <c r="E350" s="194" t="str">
        <f ca="1">INDEX(INDIRECT(""&amp;$B350&amp;"!Z2:Z709"),MATCH($A350,INDIRECT(""&amp;$B350&amp;"!B2:B709"),0))</f>
        <v>WR9</v>
      </c>
      <c r="F350" s="196">
        <f ca="1">IF(LeagueInfo!$H$7="Starter/Bench",INDEX(INDIRECT(""&amp;B350&amp;"!S2:S709"),MATCH(A350,INDIRECT(""&amp;B350&amp;"!B2:B709"),0)),INDEX(INDIRECT(""&amp;B350&amp;"!AA2:AA709"),MATCH(A350,INDIRECT(""&amp;B350&amp;"!B2:B709"),0)))</f>
        <v>-10.497103067885382</v>
      </c>
      <c r="G350" s="200">
        <f>IF(H350&gt;0,F350-H350,0)</f>
        <v>0</v>
      </c>
      <c r="H350" s="198"/>
      <c r="I350" s="200">
        <f ca="1">F350*$A$2</f>
        <v>-10.497103067885382</v>
      </c>
      <c r="J350" s="197" t="s">
        <v>80</v>
      </c>
      <c r="K350" s="197">
        <f>IF(LeagueInfo!$F$7="Yahoo",IFERROR(INDEX(DefaultAuctionValues!$B$2:$B$359,MATCH(A350,DefaultAuctionValues!$A$2:$A$359,0)),0),IF(LeagueInfo!$F$7="ESPN",IFERROR(INDEX(DefaultAuctionValues!$C$2:$C$359,MATCH(A350,DefaultAuctionValues!$A$2:$A$359,0)),0),IF(LeagueInfo!$F$7="FantasyPros",IFERROR(INDEX(DefaultAuctionValues!$D$2:$D$359,MATCH(A350,DefaultAuctionValues!$A$2:$A$359,0)),0))))</f>
        <v>0</v>
      </c>
      <c r="L350" s="201">
        <f ca="1">I350-K350</f>
        <v>-10.497103067885382</v>
      </c>
      <c r="M350" s="213"/>
      <c r="N350" s="208">
        <f ca="1">INDEX(INDIRECT(""&amp;$B350&amp;"!y2:y709"),MATCH($A350,INDIRECT(""&amp;$B350&amp;"!B2:B709"),0))</f>
        <v>-21.914999999999999</v>
      </c>
      <c r="O350" s="217" t="str">
        <f ca="1">IF(INDEX(INDIRECT(""&amp;$B350&amp;"!V2:V700"),MATCH($A350,INDIRECT(""&amp;$B350&amp;"!B2:B700"),0))=0,"",INDEX(INDIRECT(""&amp;$B350&amp;"!V2:V700"),MATCH($A350,INDIRECT(""&amp;$B350&amp;"!B2:B700"),0)))</f>
        <v/>
      </c>
    </row>
    <row r="351" spans="1:15" x14ac:dyDescent="0.25">
      <c r="A351" s="195" t="s">
        <v>589</v>
      </c>
      <c r="B351" s="195" t="s">
        <v>39</v>
      </c>
      <c r="C351" s="199">
        <f ca="1">IFERROR(INDEX(BYEs!$B$2:$B$33,MATCH(D351,BYEs!$A$2:$A$33,0)),"N/A")</f>
        <v>6</v>
      </c>
      <c r="D351" s="195" t="str">
        <f ca="1">INDEX(INDIRECT(""&amp;B351&amp;"!E2:E700"),MATCH(A351,INDIRECT(""&amp;B351&amp;"!B2:B700"),0))</f>
        <v>SEA</v>
      </c>
      <c r="E351" s="194" t="str">
        <f ca="1">INDEX(INDIRECT(""&amp;$B351&amp;"!Z2:Z709"),MATCH($A351,INDIRECT(""&amp;$B351&amp;"!B2:B709"),0))</f>
        <v>WR9</v>
      </c>
      <c r="F351" s="196">
        <f ca="1">IF(LeagueInfo!$H$7="Starter/Bench",INDEX(INDIRECT(""&amp;B351&amp;"!S2:S709"),MATCH(A351,INDIRECT(""&amp;B351&amp;"!B2:B709"),0)),INDEX(INDIRECT(""&amp;B351&amp;"!AA2:AA709"),MATCH(A351,INDIRECT(""&amp;B351&amp;"!B2:B709"),0)))</f>
        <v>-10.497103067885385</v>
      </c>
      <c r="G351" s="200">
        <f>IF(H351&gt;0,F351-H351,0)</f>
        <v>0</v>
      </c>
      <c r="H351" s="198"/>
      <c r="I351" s="200">
        <f ca="1">F351*$A$2</f>
        <v>-10.497103067885385</v>
      </c>
      <c r="J351" s="197" t="s">
        <v>80</v>
      </c>
      <c r="K351" s="197">
        <f>IF(LeagueInfo!$F$7="Yahoo",IFERROR(INDEX(DefaultAuctionValues!$B$2:$B$359,MATCH(A351,DefaultAuctionValues!$A$2:$A$359,0)),0),IF(LeagueInfo!$F$7="ESPN",IFERROR(INDEX(DefaultAuctionValues!$C$2:$C$359,MATCH(A351,DefaultAuctionValues!$A$2:$A$359,0)),0),IF(LeagueInfo!$F$7="FantasyPros",IFERROR(INDEX(DefaultAuctionValues!$D$2:$D$359,MATCH(A351,DefaultAuctionValues!$A$2:$A$359,0)),0))))</f>
        <v>0</v>
      </c>
      <c r="L351" s="201">
        <f ca="1">I351-K351</f>
        <v>-10.497103067885385</v>
      </c>
      <c r="M351" s="213"/>
      <c r="N351" s="208">
        <f ca="1">INDEX(INDIRECT(""&amp;$B351&amp;"!y2:y709"),MATCH($A351,INDIRECT(""&amp;$B351&amp;"!B2:B709"),0))</f>
        <v>-21.915000000000006</v>
      </c>
      <c r="O351" s="217" t="str">
        <f ca="1">IF(INDEX(INDIRECT(""&amp;$B351&amp;"!V2:V700"),MATCH($A351,INDIRECT(""&amp;$B351&amp;"!B2:B700"),0))=0,"",INDEX(INDIRECT(""&amp;$B351&amp;"!V2:V700"),MATCH($A351,INDIRECT(""&amp;$B351&amp;"!B2:B700"),0)))</f>
        <v/>
      </c>
    </row>
    <row r="352" spans="1:15" x14ac:dyDescent="0.25">
      <c r="A352" s="195" t="s">
        <v>744</v>
      </c>
      <c r="B352" s="195" t="s">
        <v>47</v>
      </c>
      <c r="C352" s="199">
        <f ca="1">IFERROR(INDEX(BYEs!$B$2:$B$33,MATCH(D352,BYEs!$A$2:$A$33,0)),"N/A")</f>
        <v>10</v>
      </c>
      <c r="D352" s="195" t="str">
        <f ca="1">INDEX(INDIRECT(""&amp;B352&amp;"!E2:E700"),MATCH(A352,INDIRECT(""&amp;B352&amp;"!B2:B700"),0))</f>
        <v>KC</v>
      </c>
      <c r="E352" s="194" t="str">
        <f ca="1">INDEX(INDIRECT(""&amp;$B352&amp;"!Z2:Z709"),MATCH($A352,INDIRECT(""&amp;$B352&amp;"!B2:B709"),0))</f>
        <v>TE11</v>
      </c>
      <c r="F352" s="196">
        <f ca="1">IF(LeagueInfo!$H$7="Starter/Bench",INDEX(INDIRECT(""&amp;B352&amp;"!S2:S709"),MATCH(A352,INDIRECT(""&amp;B352&amp;"!B2:B709"),0)),INDEX(INDIRECT(""&amp;B352&amp;"!AA2:AA709"),MATCH(A352,INDIRECT(""&amp;B352&amp;"!B2:B709"),0)))</f>
        <v>-10.554582071679414</v>
      </c>
      <c r="G352" s="200">
        <f>IF(H352&gt;0,F352-H352,0)</f>
        <v>0</v>
      </c>
      <c r="H352" s="198"/>
      <c r="I352" s="200">
        <f ca="1">F352*$A$2</f>
        <v>-10.554582071679414</v>
      </c>
      <c r="J352" s="197" t="s">
        <v>80</v>
      </c>
      <c r="K352" s="197">
        <f>IF(LeagueInfo!$F$7="Yahoo",IFERROR(INDEX(DefaultAuctionValues!$B$2:$B$359,MATCH(A352,DefaultAuctionValues!$A$2:$A$359,0)),0),IF(LeagueInfo!$F$7="ESPN",IFERROR(INDEX(DefaultAuctionValues!$C$2:$C$359,MATCH(A352,DefaultAuctionValues!$A$2:$A$359,0)),0),IF(LeagueInfo!$F$7="FantasyPros",IFERROR(INDEX(DefaultAuctionValues!$D$2:$D$359,MATCH(A352,DefaultAuctionValues!$A$2:$A$359,0)),0))))</f>
        <v>0</v>
      </c>
      <c r="L352" s="201">
        <f ca="1">I352-K352</f>
        <v>-10.554582071679414</v>
      </c>
      <c r="M352" s="213"/>
      <c r="N352" s="208">
        <f ca="1">INDEX(INDIRECT(""&amp;$B352&amp;"!y2:y709"),MATCH($A352,INDIRECT(""&amp;$B352&amp;"!B2:B709"),0))</f>
        <v>-22.034999999999997</v>
      </c>
      <c r="O352" s="217" t="str">
        <f ca="1">IF(INDEX(INDIRECT(""&amp;$B352&amp;"!V2:V700"),MATCH($A352,INDIRECT(""&amp;$B352&amp;"!B2:B700"),0))=0,"",INDEX(INDIRECT(""&amp;$B352&amp;"!V2:V700"),MATCH($A352,INDIRECT(""&amp;$B352&amp;"!B2:B700"),0)))</f>
        <v/>
      </c>
    </row>
    <row r="353" spans="1:15" x14ac:dyDescent="0.25">
      <c r="A353" s="195" t="s">
        <v>743</v>
      </c>
      <c r="B353" s="195" t="s">
        <v>47</v>
      </c>
      <c r="C353" s="199">
        <f ca="1">IFERROR(INDEX(BYEs!$B$2:$B$33,MATCH(D353,BYEs!$A$2:$A$33,0)),"N/A")</f>
        <v>8</v>
      </c>
      <c r="D353" s="195" t="str">
        <f ca="1">INDEX(INDIRECT(""&amp;B353&amp;"!E2:E700"),MATCH(A353,INDIRECT(""&amp;B353&amp;"!B2:B700"),0))</f>
        <v>TEN</v>
      </c>
      <c r="E353" s="194" t="str">
        <f ca="1">INDEX(INDIRECT(""&amp;$B353&amp;"!Z2:Z709"),MATCH($A353,INDIRECT(""&amp;$B353&amp;"!B2:B709"),0))</f>
        <v>TE11</v>
      </c>
      <c r="F353" s="196">
        <f ca="1">IF(LeagueInfo!$H$7="Starter/Bench",INDEX(INDIRECT(""&amp;B353&amp;"!S2:S709"),MATCH(A353,INDIRECT(""&amp;B353&amp;"!B2:B709"),0)),INDEX(INDIRECT(""&amp;B353&amp;"!AA2:AA709"),MATCH(A353,INDIRECT(""&amp;B353&amp;"!B2:B709"),0)))</f>
        <v>-10.573741739610758</v>
      </c>
      <c r="G353" s="200">
        <f>IF(H353&gt;0,F353-H353,0)</f>
        <v>0</v>
      </c>
      <c r="H353" s="198"/>
      <c r="I353" s="200">
        <f ca="1">F353*$A$2</f>
        <v>-10.573741739610758</v>
      </c>
      <c r="J353" s="197" t="s">
        <v>80</v>
      </c>
      <c r="K353" s="197">
        <f>IF(LeagueInfo!$F$7="Yahoo",IFERROR(INDEX(DefaultAuctionValues!$B$2:$B$359,MATCH(A353,DefaultAuctionValues!$A$2:$A$359,0)),0),IF(LeagueInfo!$F$7="ESPN",IFERROR(INDEX(DefaultAuctionValues!$C$2:$C$359,MATCH(A353,DefaultAuctionValues!$A$2:$A$359,0)),0),IF(LeagueInfo!$F$7="FantasyPros",IFERROR(INDEX(DefaultAuctionValues!$D$2:$D$359,MATCH(A353,DefaultAuctionValues!$A$2:$A$359,0)),0))))</f>
        <v>0</v>
      </c>
      <c r="L353" s="201">
        <f ca="1">I353-K353</f>
        <v>-10.573741739610758</v>
      </c>
      <c r="M353" s="213"/>
      <c r="N353" s="208">
        <f ca="1">INDEX(INDIRECT(""&amp;$B353&amp;"!y2:y709"),MATCH($A353,INDIRECT(""&amp;$B353&amp;"!B2:B709"),0))</f>
        <v>-22.074999999999996</v>
      </c>
      <c r="O353" s="217" t="str">
        <f ca="1">IF(INDEX(INDIRECT(""&amp;$B353&amp;"!V2:V700"),MATCH($A353,INDIRECT(""&amp;$B353&amp;"!B2:B700"),0))=0,"",INDEX(INDIRECT(""&amp;$B353&amp;"!V2:V700"),MATCH($A353,INDIRECT(""&amp;$B353&amp;"!B2:B700"),0)))</f>
        <v/>
      </c>
    </row>
    <row r="354" spans="1:15" x14ac:dyDescent="0.25">
      <c r="A354" s="195" t="s">
        <v>472</v>
      </c>
      <c r="B354" s="195" t="s">
        <v>32</v>
      </c>
      <c r="C354" s="199">
        <f ca="1">IFERROR(INDEX(BYEs!$B$2:$B$33,MATCH(D354,BYEs!$A$2:$A$33,0)),"N/A")</f>
        <v>8</v>
      </c>
      <c r="D354" s="195" t="str">
        <f ca="1">INDEX(INDIRECT(""&amp;B354&amp;"!E2:E700"),MATCH(A354,INDIRECT(""&amp;B354&amp;"!B2:B700"),0))</f>
        <v>GB</v>
      </c>
      <c r="E354" s="194" t="str">
        <f ca="1">INDEX(INDIRECT(""&amp;$B354&amp;"!Z2:Z709"),MATCH($A354,INDIRECT(""&amp;$B354&amp;"!B2:B709"),0))</f>
        <v>RB11</v>
      </c>
      <c r="F354" s="196">
        <f ca="1">IF(LeagueInfo!$H$7="Starter/Bench",INDEX(INDIRECT(""&amp;B354&amp;"!S2:S709"),MATCH(A354,INDIRECT(""&amp;B354&amp;"!B2:B709"),0)),INDEX(INDIRECT(""&amp;B354&amp;"!AA2:AA709"),MATCH(A354,INDIRECT(""&amp;B354&amp;"!B2:B709"),0)))</f>
        <v>-10.626430826421959</v>
      </c>
      <c r="G354" s="200">
        <f>IF(H354&gt;0,F354-H354,0)</f>
        <v>0</v>
      </c>
      <c r="H354" s="198"/>
      <c r="I354" s="200">
        <f ca="1">F354*$A$2</f>
        <v>-10.626430826421959</v>
      </c>
      <c r="J354" s="197" t="s">
        <v>80</v>
      </c>
      <c r="K354" s="197">
        <f>IF(LeagueInfo!$F$7="Yahoo",IFERROR(INDEX(DefaultAuctionValues!$B$2:$B$359,MATCH(A354,DefaultAuctionValues!$A$2:$A$359,0)),0),IF(LeagueInfo!$F$7="ESPN",IFERROR(INDEX(DefaultAuctionValues!$C$2:$C$359,MATCH(A354,DefaultAuctionValues!$A$2:$A$359,0)),0),IF(LeagueInfo!$F$7="FantasyPros",IFERROR(INDEX(DefaultAuctionValues!$D$2:$D$359,MATCH(A354,DefaultAuctionValues!$A$2:$A$359,0)),0))))</f>
        <v>0</v>
      </c>
      <c r="L354" s="201">
        <f ca="1">I354-K354</f>
        <v>-10.626430826421959</v>
      </c>
      <c r="M354" s="213"/>
      <c r="N354" s="208">
        <f ca="1">INDEX(INDIRECT(""&amp;$B354&amp;"!y2:y709"),MATCH($A354,INDIRECT(""&amp;$B354&amp;"!B2:B709"),0))</f>
        <v>-22.185000000000002</v>
      </c>
      <c r="O354" s="217" t="str">
        <f ca="1">IF(INDEX(INDIRECT(""&amp;$B354&amp;"!V2:V700"),MATCH($A354,INDIRECT(""&amp;$B354&amp;"!B2:B700"),0))=0,"",INDEX(INDIRECT(""&amp;$B354&amp;"!V2:V700"),MATCH($A354,INDIRECT(""&amp;$B354&amp;"!B2:B700"),0)))</f>
        <v/>
      </c>
    </row>
    <row r="355" spans="1:15" x14ac:dyDescent="0.25">
      <c r="A355" s="195" t="s">
        <v>739</v>
      </c>
      <c r="B355" s="195" t="s">
        <v>47</v>
      </c>
      <c r="C355" s="199">
        <f ca="1">IFERROR(INDEX(BYEs!$B$2:$B$33,MATCH(D355,BYEs!$A$2:$A$33,0)),"N/A")</f>
        <v>5</v>
      </c>
      <c r="D355" s="195" t="str">
        <f ca="1">INDEX(INDIRECT(""&amp;B355&amp;"!E2:E700"),MATCH(A355,INDIRECT(""&amp;B355&amp;"!B2:B700"),0))</f>
        <v>ATL</v>
      </c>
      <c r="E355" s="194" t="str">
        <f ca="1">INDEX(INDIRECT(""&amp;$B355&amp;"!Z2:Z709"),MATCH($A355,INDIRECT(""&amp;$B355&amp;"!B2:B709"),0))</f>
        <v>TE11</v>
      </c>
      <c r="F355" s="196">
        <f ca="1">IF(LeagueInfo!$H$7="Starter/Bench",INDEX(INDIRECT(""&amp;B355&amp;"!S2:S709"),MATCH(A355,INDIRECT(""&amp;B355&amp;"!B2:B709"),0)),INDEX(INDIRECT(""&amp;B355&amp;"!AA2:AA709"),MATCH(A355,INDIRECT(""&amp;B355&amp;"!B2:B709"),0)))</f>
        <v>-10.633615701896209</v>
      </c>
      <c r="G355" s="200">
        <f>IF(H355&gt;0,F355-H355,0)</f>
        <v>0</v>
      </c>
      <c r="H355" s="198"/>
      <c r="I355" s="200">
        <f ca="1">F355*$A$2</f>
        <v>-10.633615701896209</v>
      </c>
      <c r="J355" s="197" t="s">
        <v>80</v>
      </c>
      <c r="K355" s="197">
        <f>IF(LeagueInfo!$F$7="Yahoo",IFERROR(INDEX(DefaultAuctionValues!$B$2:$B$359,MATCH(A355,DefaultAuctionValues!$A$2:$A$359,0)),0),IF(LeagueInfo!$F$7="ESPN",IFERROR(INDEX(DefaultAuctionValues!$C$2:$C$359,MATCH(A355,DefaultAuctionValues!$A$2:$A$359,0)),0),IF(LeagueInfo!$F$7="FantasyPros",IFERROR(INDEX(DefaultAuctionValues!$D$2:$D$359,MATCH(A355,DefaultAuctionValues!$A$2:$A$359,0)),0))))</f>
        <v>0</v>
      </c>
      <c r="L355" s="201">
        <f ca="1">I355-K355</f>
        <v>-10.633615701896209</v>
      </c>
      <c r="M355" s="213"/>
      <c r="N355" s="208">
        <f ca="1">INDEX(INDIRECT(""&amp;$B355&amp;"!y2:y709"),MATCH($A355,INDIRECT(""&amp;$B355&amp;"!B2:B709"),0))</f>
        <v>-22.199999999999996</v>
      </c>
      <c r="O355" s="217" t="str">
        <f ca="1">IF(INDEX(INDIRECT(""&amp;$B355&amp;"!V2:V700"),MATCH($A355,INDIRECT(""&amp;$B355&amp;"!B2:B700"),0))=0,"",INDEX(INDIRECT(""&amp;$B355&amp;"!V2:V700"),MATCH($A355,INDIRECT(""&amp;$B355&amp;"!B2:B700"),0)))</f>
        <v/>
      </c>
    </row>
    <row r="356" spans="1:15" x14ac:dyDescent="0.25">
      <c r="A356" s="195" t="s">
        <v>481</v>
      </c>
      <c r="B356" s="195" t="s">
        <v>32</v>
      </c>
      <c r="C356" s="199">
        <f ca="1">IFERROR(INDEX(BYEs!$B$2:$B$33,MATCH(D356,BYEs!$A$2:$A$33,0)),"N/A")</f>
        <v>10</v>
      </c>
      <c r="D356" s="195" t="str">
        <f ca="1">INDEX(INDIRECT(""&amp;B356&amp;"!E2:E700"),MATCH(A356,INDIRECT(""&amp;B356&amp;"!B2:B700"),0))</f>
        <v>OAK</v>
      </c>
      <c r="E356" s="194" t="str">
        <f ca="1">INDEX(INDIRECT(""&amp;$B356&amp;"!Z2:Z709"),MATCH($A356,INDIRECT(""&amp;$B356&amp;"!B2:B709"),0))</f>
        <v>RB11</v>
      </c>
      <c r="F356" s="196">
        <f ca="1">IF(LeagueInfo!$H$7="Starter/Bench",INDEX(INDIRECT(""&amp;B356&amp;"!S2:S709"),MATCH(A356,INDIRECT(""&amp;B356&amp;"!B2:B709"),0)),INDEX(INDIRECT(""&amp;B356&amp;"!AA2:AA709"),MATCH(A356,INDIRECT(""&amp;B356&amp;"!B2:B709"),0)))</f>
        <v>-10.715044290604428</v>
      </c>
      <c r="G356" s="200">
        <f>IF(H356&gt;0,F356-H356,0)</f>
        <v>0</v>
      </c>
      <c r="H356" s="198"/>
      <c r="I356" s="200">
        <f ca="1">F356*$A$2</f>
        <v>-10.715044290604428</v>
      </c>
      <c r="J356" s="197" t="s">
        <v>80</v>
      </c>
      <c r="K356" s="197">
        <f>IF(LeagueInfo!$F$7="Yahoo",IFERROR(INDEX(DefaultAuctionValues!$B$2:$B$359,MATCH(A356,DefaultAuctionValues!$A$2:$A$359,0)),0),IF(LeagueInfo!$F$7="ESPN",IFERROR(INDEX(DefaultAuctionValues!$C$2:$C$359,MATCH(A356,DefaultAuctionValues!$A$2:$A$359,0)),0),IF(LeagueInfo!$F$7="FantasyPros",IFERROR(INDEX(DefaultAuctionValues!$D$2:$D$359,MATCH(A356,DefaultAuctionValues!$A$2:$A$359,0)),0))))</f>
        <v>0</v>
      </c>
      <c r="L356" s="201">
        <f ca="1">I356-K356</f>
        <v>-10.715044290604428</v>
      </c>
      <c r="M356" s="213"/>
      <c r="N356" s="208">
        <f ca="1">INDEX(INDIRECT(""&amp;$B356&amp;"!y2:y709"),MATCH($A356,INDIRECT(""&amp;$B356&amp;"!B2:B709"),0))</f>
        <v>-22.370000000000005</v>
      </c>
      <c r="O356" s="217" t="str">
        <f ca="1">IF(INDEX(INDIRECT(""&amp;$B356&amp;"!V2:V700"),MATCH($A356,INDIRECT(""&amp;$B356&amp;"!B2:B700"),0))=0,"",INDEX(INDIRECT(""&amp;$B356&amp;"!V2:V700"),MATCH($A356,INDIRECT(""&amp;$B356&amp;"!B2:B700"),0)))</f>
        <v/>
      </c>
    </row>
    <row r="357" spans="1:15" x14ac:dyDescent="0.25">
      <c r="A357" s="195" t="s">
        <v>585</v>
      </c>
      <c r="B357" s="195" t="s">
        <v>39</v>
      </c>
      <c r="C357" s="199">
        <f ca="1">IFERROR(INDEX(BYEs!$B$2:$B$33,MATCH(D357,BYEs!$A$2:$A$33,0)),"N/A")</f>
        <v>5</v>
      </c>
      <c r="D357" s="195" t="str">
        <f ca="1">INDEX(INDIRECT(""&amp;B357&amp;"!E2:E700"),MATCH(A357,INDIRECT(""&amp;B357&amp;"!B2:B700"),0))</f>
        <v>NO</v>
      </c>
      <c r="E357" s="194" t="str">
        <f ca="1">INDEX(INDIRECT(""&amp;$B357&amp;"!Z2:Z709"),MATCH($A357,INDIRECT(""&amp;$B357&amp;"!B2:B709"),0))</f>
        <v>WR9</v>
      </c>
      <c r="F357" s="196">
        <f ca="1">IF(LeagueInfo!$H$7="Starter/Bench",INDEX(INDIRECT(""&amp;B357&amp;"!S2:S709"),MATCH(A357,INDIRECT(""&amp;B357&amp;"!B2:B709"),0)),INDEX(INDIRECT(""&amp;B357&amp;"!AA2:AA709"),MATCH(A357,INDIRECT(""&amp;B357&amp;"!B2:B709"),0)))</f>
        <v>-10.741388834010026</v>
      </c>
      <c r="G357" s="200">
        <f>IF(H357&gt;0,F357-H357,0)</f>
        <v>0</v>
      </c>
      <c r="H357" s="198"/>
      <c r="I357" s="200">
        <f ca="1">F357*$A$2</f>
        <v>-10.741388834010026</v>
      </c>
      <c r="J357" s="197" t="s">
        <v>80</v>
      </c>
      <c r="K357" s="197">
        <f>IF(LeagueInfo!$F$7="Yahoo",IFERROR(INDEX(DefaultAuctionValues!$B$2:$B$359,MATCH(A357,DefaultAuctionValues!$A$2:$A$359,0)),0),IF(LeagueInfo!$F$7="ESPN",IFERROR(INDEX(DefaultAuctionValues!$C$2:$C$359,MATCH(A357,DefaultAuctionValues!$A$2:$A$359,0)),0),IF(LeagueInfo!$F$7="FantasyPros",IFERROR(INDEX(DefaultAuctionValues!$D$2:$D$359,MATCH(A357,DefaultAuctionValues!$A$2:$A$359,0)),0))))</f>
        <v>0</v>
      </c>
      <c r="L357" s="201">
        <f ca="1">I357-K357</f>
        <v>-10.741388834010026</v>
      </c>
      <c r="M357" s="213"/>
      <c r="N357" s="208">
        <f ca="1">INDEX(INDIRECT(""&amp;$B357&amp;"!y2:y709"),MATCH($A357,INDIRECT(""&amp;$B357&amp;"!B2:B709"),0))</f>
        <v>-22.425000000000001</v>
      </c>
      <c r="O357" s="217" t="str">
        <f ca="1">IF(INDEX(INDIRECT(""&amp;$B357&amp;"!V2:V700"),MATCH($A357,INDIRECT(""&amp;$B357&amp;"!B2:B700"),0))=0,"",INDEX(INDIRECT(""&amp;$B357&amp;"!V2:V700"),MATCH($A357,INDIRECT(""&amp;$B357&amp;"!B2:B700"),0)))</f>
        <v/>
      </c>
    </row>
    <row r="358" spans="1:15" x14ac:dyDescent="0.25">
      <c r="A358" s="195" t="s">
        <v>588</v>
      </c>
      <c r="B358" s="195" t="s">
        <v>39</v>
      </c>
      <c r="C358" s="199">
        <f ca="1">IFERROR(INDEX(BYEs!$B$2:$B$33,MATCH(D358,BYEs!$A$2:$A$33,0)),"N/A")</f>
        <v>5</v>
      </c>
      <c r="D358" s="195" t="str">
        <f ca="1">INDEX(INDIRECT(""&amp;B358&amp;"!E2:E700"),MATCH(A358,INDIRECT(""&amp;B358&amp;"!B2:B700"),0))</f>
        <v>DEN</v>
      </c>
      <c r="E358" s="194" t="str">
        <f ca="1">INDEX(INDIRECT(""&amp;$B358&amp;"!Z2:Z709"),MATCH($A358,INDIRECT(""&amp;$B358&amp;"!B2:B709"),0))</f>
        <v>WR9</v>
      </c>
      <c r="F358" s="196">
        <f ca="1">IF(LeagueInfo!$H$7="Starter/Bench",INDEX(INDIRECT(""&amp;B358&amp;"!S2:S709"),MATCH(A358,INDIRECT(""&amp;B358&amp;"!B2:B709"),0)),INDEX(INDIRECT(""&amp;B358&amp;"!AA2:AA709"),MATCH(A358,INDIRECT(""&amp;B358&amp;"!B2:B709"),0)))</f>
        <v>-10.786893045346966</v>
      </c>
      <c r="G358" s="200">
        <f>IF(H358&gt;0,F358-H358,0)</f>
        <v>0</v>
      </c>
      <c r="H358" s="198"/>
      <c r="I358" s="200">
        <f ca="1">F358*$A$2</f>
        <v>-10.786893045346966</v>
      </c>
      <c r="J358" s="197" t="s">
        <v>80</v>
      </c>
      <c r="K358" s="197">
        <f>IF(LeagueInfo!$F$7="Yahoo",IFERROR(INDEX(DefaultAuctionValues!$B$2:$B$359,MATCH(A358,DefaultAuctionValues!$A$2:$A$359,0)),0),IF(LeagueInfo!$F$7="ESPN",IFERROR(INDEX(DefaultAuctionValues!$C$2:$C$359,MATCH(A358,DefaultAuctionValues!$A$2:$A$359,0)),0),IF(LeagueInfo!$F$7="FantasyPros",IFERROR(INDEX(DefaultAuctionValues!$D$2:$D$359,MATCH(A358,DefaultAuctionValues!$A$2:$A$359,0)),0))))</f>
        <v>0</v>
      </c>
      <c r="L358" s="201">
        <f ca="1">I358-K358</f>
        <v>-10.786893045346966</v>
      </c>
      <c r="M358" s="213"/>
      <c r="N358" s="208">
        <f ca="1">INDEX(INDIRECT(""&amp;$B358&amp;"!y2:y709"),MATCH($A358,INDIRECT(""&amp;$B358&amp;"!B2:B709"),0))</f>
        <v>-22.519999999999996</v>
      </c>
      <c r="O358" s="217" t="str">
        <f ca="1">IF(INDEX(INDIRECT(""&amp;$B358&amp;"!V2:V700"),MATCH($A358,INDIRECT(""&amp;$B358&amp;"!B2:B700"),0))=0,"",INDEX(INDIRECT(""&amp;$B358&amp;"!V2:V700"),MATCH($A358,INDIRECT(""&amp;$B358&amp;"!B2:B700"),0)))</f>
        <v/>
      </c>
    </row>
    <row r="359" spans="1:15" x14ac:dyDescent="0.25">
      <c r="A359" s="195" t="s">
        <v>221</v>
      </c>
      <c r="B359" s="195" t="s">
        <v>39</v>
      </c>
      <c r="C359" s="199">
        <f ca="1">IFERROR(INDEX(BYEs!$B$2:$B$33,MATCH(D359,BYEs!$A$2:$A$33,0)),"N/A")</f>
        <v>9</v>
      </c>
      <c r="D359" s="195" t="str">
        <f ca="1">INDEX(INDIRECT(""&amp;B359&amp;"!E2:E700"),MATCH(A359,INDIRECT(""&amp;B359&amp;"!B2:B700"),0))</f>
        <v>LAC</v>
      </c>
      <c r="E359" s="194" t="str">
        <f ca="1">INDEX(INDIRECT(""&amp;$B359&amp;"!Z2:Z709"),MATCH($A359,INDIRECT(""&amp;$B359&amp;"!B2:B709"),0))</f>
        <v>WR9</v>
      </c>
      <c r="F359" s="196">
        <f ca="1">IF(LeagueInfo!$H$7="Starter/Bench",INDEX(INDIRECT(""&amp;B359&amp;"!S2:S709"),MATCH(A359,INDIRECT(""&amp;B359&amp;"!B2:B709"),0)),INDEX(INDIRECT(""&amp;B359&amp;"!AA2:AA709"),MATCH(A359,INDIRECT(""&amp;B359&amp;"!B2:B709"),0)))</f>
        <v>-10.791682962329805</v>
      </c>
      <c r="G359" s="200">
        <f>IF(H359&gt;0,F359-H359,0)</f>
        <v>0</v>
      </c>
      <c r="H359" s="198"/>
      <c r="I359" s="200">
        <f ca="1">F359*$A$2</f>
        <v>-10.791682962329805</v>
      </c>
      <c r="J359" s="197" t="s">
        <v>80</v>
      </c>
      <c r="K359" s="197">
        <f>IF(LeagueInfo!$F$7="Yahoo",IFERROR(INDEX(DefaultAuctionValues!$B$2:$B$359,MATCH(A359,DefaultAuctionValues!$A$2:$A$359,0)),0),IF(LeagueInfo!$F$7="ESPN",IFERROR(INDEX(DefaultAuctionValues!$C$2:$C$359,MATCH(A359,DefaultAuctionValues!$A$2:$A$359,0)),0),IF(LeagueInfo!$F$7="FantasyPros",IFERROR(INDEX(DefaultAuctionValues!$D$2:$D$359,MATCH(A359,DefaultAuctionValues!$A$2:$A$359,0)),0))))</f>
        <v>1</v>
      </c>
      <c r="L359" s="201">
        <f ca="1">I359-K359</f>
        <v>-11.791682962329805</v>
      </c>
      <c r="M359" s="213"/>
      <c r="N359" s="208">
        <f ca="1">INDEX(INDIRECT(""&amp;$B359&amp;"!y2:y709"),MATCH($A359,INDIRECT(""&amp;$B359&amp;"!B2:B709"),0))</f>
        <v>-22.53</v>
      </c>
      <c r="O359" s="217" t="str">
        <f ca="1">IF(INDEX(INDIRECT(""&amp;$B359&amp;"!V2:V700"),MATCH($A359,INDIRECT(""&amp;$B359&amp;"!B2:B700"),0))=0,"",INDEX(INDIRECT(""&amp;$B359&amp;"!V2:V700"),MATCH($A359,INDIRECT(""&amp;$B359&amp;"!B2:B700"),0)))</f>
        <v/>
      </c>
    </row>
    <row r="360" spans="1:15" x14ac:dyDescent="0.25">
      <c r="A360" s="195" t="s">
        <v>466</v>
      </c>
      <c r="B360" s="195" t="s">
        <v>32</v>
      </c>
      <c r="C360" s="199">
        <f ca="1">IFERROR(INDEX(BYEs!$B$2:$B$33,MATCH(D360,BYEs!$A$2:$A$33,0)),"N/A")</f>
        <v>8</v>
      </c>
      <c r="D360" s="195" t="str">
        <f ca="1">INDEX(INDIRECT(""&amp;B360&amp;"!E2:E700"),MATCH(A360,INDIRECT(""&amp;B360&amp;"!B2:B700"),0))</f>
        <v>LAR</v>
      </c>
      <c r="E360" s="194" t="str">
        <f ca="1">INDEX(INDIRECT(""&amp;$B360&amp;"!Z2:Z709"),MATCH($A360,INDIRECT(""&amp;$B360&amp;"!B2:B709"),0))</f>
        <v>RB11</v>
      </c>
      <c r="F360" s="196">
        <f ca="1">IF(LeagueInfo!$H$7="Starter/Bench",INDEX(INDIRECT(""&amp;B360&amp;"!S2:S709"),MATCH(A360,INDIRECT(""&amp;B360&amp;"!B2:B709"),0)),INDEX(INDIRECT(""&amp;B360&amp;"!AA2:AA709"),MATCH(A360,INDIRECT(""&amp;B360&amp;"!B2:B709"),0)))</f>
        <v>-10.846767007632421</v>
      </c>
      <c r="G360" s="200">
        <f>IF(H360&gt;0,F360-H360,0)</f>
        <v>0</v>
      </c>
      <c r="H360" s="198"/>
      <c r="I360" s="200">
        <f ca="1">F360*$A$2</f>
        <v>-10.846767007632421</v>
      </c>
      <c r="J360" s="197" t="s">
        <v>80</v>
      </c>
      <c r="K360" s="197">
        <f>IF(LeagueInfo!$F$7="Yahoo",IFERROR(INDEX(DefaultAuctionValues!$B$2:$B$359,MATCH(A360,DefaultAuctionValues!$A$2:$A$359,0)),0),IF(LeagueInfo!$F$7="ESPN",IFERROR(INDEX(DefaultAuctionValues!$C$2:$C$359,MATCH(A360,DefaultAuctionValues!$A$2:$A$359,0)),0),IF(LeagueInfo!$F$7="FantasyPros",IFERROR(INDEX(DefaultAuctionValues!$D$2:$D$359,MATCH(A360,DefaultAuctionValues!$A$2:$A$359,0)),0))))</f>
        <v>0</v>
      </c>
      <c r="L360" s="201">
        <f ca="1">I360-K360</f>
        <v>-10.846767007632421</v>
      </c>
      <c r="M360" s="213"/>
      <c r="N360" s="208">
        <f ca="1">INDEX(INDIRECT(""&amp;$B360&amp;"!y2:y709"),MATCH($A360,INDIRECT(""&amp;$B360&amp;"!B2:B709"),0))</f>
        <v>-22.645000000000003</v>
      </c>
      <c r="O360" s="217" t="str">
        <f ca="1">IF(INDEX(INDIRECT(""&amp;$B360&amp;"!V2:V700"),MATCH($A360,INDIRECT(""&amp;$B360&amp;"!B2:B700"),0))=0,"",INDEX(INDIRECT(""&amp;$B360&amp;"!V2:V700"),MATCH($A360,INDIRECT(""&amp;$B360&amp;"!B2:B700"),0)))</f>
        <v/>
      </c>
    </row>
    <row r="361" spans="1:15" x14ac:dyDescent="0.25">
      <c r="A361" s="195" t="s">
        <v>742</v>
      </c>
      <c r="B361" s="195" t="s">
        <v>47</v>
      </c>
      <c r="C361" s="199">
        <f ca="1">IFERROR(INDEX(BYEs!$B$2:$B$33,MATCH(D361,BYEs!$A$2:$A$33,0)),"N/A")</f>
        <v>6</v>
      </c>
      <c r="D361" s="195" t="str">
        <f ca="1">INDEX(INDIRECT(""&amp;B361&amp;"!E2:E700"),MATCH(A361,INDIRECT(""&amp;B361&amp;"!B2:B700"),0))</f>
        <v>SEA</v>
      </c>
      <c r="E361" s="194" t="str">
        <f ca="1">INDEX(INDIRECT(""&amp;$B361&amp;"!Z2:Z709"),MATCH($A361,INDIRECT(""&amp;$B361&amp;"!B2:B709"),0))</f>
        <v>TE11</v>
      </c>
      <c r="F361" s="196">
        <f ca="1">IF(LeagueInfo!$H$7="Starter/Bench",INDEX(INDIRECT(""&amp;B361&amp;"!S2:S709"),MATCH(A361,INDIRECT(""&amp;B361&amp;"!B2:B709"),0)),INDEX(INDIRECT(""&amp;B361&amp;"!AA2:AA709"),MATCH(A361,INDIRECT(""&amp;B361&amp;"!B2:B709"),0)))</f>
        <v>-11.021598977505938</v>
      </c>
      <c r="G361" s="200">
        <f>IF(H361&gt;0,F361-H361,0)</f>
        <v>0</v>
      </c>
      <c r="H361" s="198"/>
      <c r="I361" s="200">
        <f ca="1">F361*$A$2</f>
        <v>-11.021598977505938</v>
      </c>
      <c r="J361" s="197" t="s">
        <v>80</v>
      </c>
      <c r="K361" s="197">
        <f>IF(LeagueInfo!$F$7="Yahoo",IFERROR(INDEX(DefaultAuctionValues!$B$2:$B$359,MATCH(A361,DefaultAuctionValues!$A$2:$A$359,0)),0),IF(LeagueInfo!$F$7="ESPN",IFERROR(INDEX(DefaultAuctionValues!$C$2:$C$359,MATCH(A361,DefaultAuctionValues!$A$2:$A$359,0)),0),IF(LeagueInfo!$F$7="FantasyPros",IFERROR(INDEX(DefaultAuctionValues!$D$2:$D$359,MATCH(A361,DefaultAuctionValues!$A$2:$A$359,0)),0))))</f>
        <v>0</v>
      </c>
      <c r="L361" s="201">
        <f ca="1">I361-K361</f>
        <v>-11.021598977505938</v>
      </c>
      <c r="M361" s="213"/>
      <c r="N361" s="208">
        <f ca="1">INDEX(INDIRECT(""&amp;$B361&amp;"!y2:y709"),MATCH($A361,INDIRECT(""&amp;$B361&amp;"!B2:B709"),0))</f>
        <v>-23.009999999999998</v>
      </c>
      <c r="O361" s="217" t="str">
        <f ca="1">IF(INDEX(INDIRECT(""&amp;$B361&amp;"!V2:V700"),MATCH($A361,INDIRECT(""&amp;$B361&amp;"!B2:B700"),0))=0,"",INDEX(INDIRECT(""&amp;$B361&amp;"!V2:V700"),MATCH($A361,INDIRECT(""&amp;$B361&amp;"!B2:B700"),0)))</f>
        <v/>
      </c>
    </row>
    <row r="362" spans="1:15" x14ac:dyDescent="0.25">
      <c r="A362" s="195" t="s">
        <v>470</v>
      </c>
      <c r="B362" s="195" t="s">
        <v>32</v>
      </c>
      <c r="C362" s="199">
        <f ca="1">IFERROR(INDEX(BYEs!$B$2:$B$33,MATCH(D362,BYEs!$A$2:$A$33,0)),"N/A")</f>
        <v>8</v>
      </c>
      <c r="D362" s="195" t="str">
        <f ca="1">INDEX(INDIRECT(""&amp;B362&amp;"!E2:E700"),MATCH(A362,INDIRECT(""&amp;B362&amp;"!B2:B700"),0))</f>
        <v>GB</v>
      </c>
      <c r="E362" s="194" t="str">
        <f ca="1">INDEX(INDIRECT(""&amp;$B362&amp;"!Z2:Z709"),MATCH($A362,INDIRECT(""&amp;$B362&amp;"!B2:B709"),0))</f>
        <v>RB11</v>
      </c>
      <c r="F362" s="196">
        <f ca="1">IF(LeagueInfo!$H$7="Starter/Bench",INDEX(INDIRECT(""&amp;B362&amp;"!S2:S709"),MATCH(A362,INDIRECT(""&amp;B362&amp;"!B2:B709"),0)),INDEX(INDIRECT(""&amp;B362&amp;"!AA2:AA709"),MATCH(A362,INDIRECT(""&amp;B362&amp;"!B2:B709"),0)))</f>
        <v>-11.050338479402956</v>
      </c>
      <c r="G362" s="200">
        <f>IF(H362&gt;0,F362-H362,0)</f>
        <v>0</v>
      </c>
      <c r="H362" s="198"/>
      <c r="I362" s="200">
        <f ca="1">F362*$A$2</f>
        <v>-11.050338479402956</v>
      </c>
      <c r="J362" s="197" t="s">
        <v>80</v>
      </c>
      <c r="K362" s="197">
        <f>IF(LeagueInfo!$F$7="Yahoo",IFERROR(INDEX(DefaultAuctionValues!$B$2:$B$359,MATCH(A362,DefaultAuctionValues!$A$2:$A$359,0)),0),IF(LeagueInfo!$F$7="ESPN",IFERROR(INDEX(DefaultAuctionValues!$C$2:$C$359,MATCH(A362,DefaultAuctionValues!$A$2:$A$359,0)),0),IF(LeagueInfo!$F$7="FantasyPros",IFERROR(INDEX(DefaultAuctionValues!$D$2:$D$359,MATCH(A362,DefaultAuctionValues!$A$2:$A$359,0)),0))))</f>
        <v>0</v>
      </c>
      <c r="L362" s="201">
        <f ca="1">I362-K362</f>
        <v>-11.050338479402956</v>
      </c>
      <c r="M362" s="213"/>
      <c r="N362" s="208">
        <f ca="1">INDEX(INDIRECT(""&amp;$B362&amp;"!y2:y709"),MATCH($A362,INDIRECT(""&amp;$B362&amp;"!B2:B709"),0))</f>
        <v>-23.07</v>
      </c>
      <c r="O362" s="217" t="str">
        <f ca="1">IF(INDEX(INDIRECT(""&amp;$B362&amp;"!V2:V700"),MATCH($A362,INDIRECT(""&amp;$B362&amp;"!B2:B700"),0))=0,"",INDEX(INDIRECT(""&amp;$B362&amp;"!V2:V700"),MATCH($A362,INDIRECT(""&amp;$B362&amp;"!B2:B700"),0)))</f>
        <v/>
      </c>
    </row>
    <row r="363" spans="1:15" x14ac:dyDescent="0.25">
      <c r="A363" s="195" t="s">
        <v>583</v>
      </c>
      <c r="B363" s="195" t="s">
        <v>39</v>
      </c>
      <c r="C363" s="199">
        <f ca="1">IFERROR(INDEX(BYEs!$B$2:$B$33,MATCH(D363,BYEs!$A$2:$A$33,0)),"N/A")</f>
        <v>11</v>
      </c>
      <c r="D363" s="195" t="str">
        <f ca="1">INDEX(INDIRECT(""&amp;B363&amp;"!E2:E700"),MATCH(A363,INDIRECT(""&amp;B363&amp;"!B2:B700"),0))</f>
        <v>TB</v>
      </c>
      <c r="E363" s="194" t="str">
        <f ca="1">INDEX(INDIRECT(""&amp;$B363&amp;"!Z2:Z709"),MATCH($A363,INDIRECT(""&amp;$B363&amp;"!B2:B709"),0))</f>
        <v>WR9</v>
      </c>
      <c r="F363" s="196">
        <f ca="1">IF(LeagueInfo!$H$7="Starter/Bench",INDEX(INDIRECT(""&amp;B363&amp;"!S2:S709"),MATCH(A363,INDIRECT(""&amp;B363&amp;"!B2:B709"),0)),INDEX(INDIRECT(""&amp;B363&amp;"!AA2:AA709"),MATCH(A363,INDIRECT(""&amp;B363&amp;"!B2:B709"),0)))</f>
        <v>-11.055128396385793</v>
      </c>
      <c r="G363" s="200">
        <f>IF(H363&gt;0,F363-H363,0)</f>
        <v>0</v>
      </c>
      <c r="H363" s="198"/>
      <c r="I363" s="200">
        <f ca="1">F363*$A$2</f>
        <v>-11.055128396385793</v>
      </c>
      <c r="J363" s="197" t="s">
        <v>80</v>
      </c>
      <c r="K363" s="197">
        <f>IF(LeagueInfo!$F$7="Yahoo",IFERROR(INDEX(DefaultAuctionValues!$B$2:$B$359,MATCH(A363,DefaultAuctionValues!$A$2:$A$359,0)),0),IF(LeagueInfo!$F$7="ESPN",IFERROR(INDEX(DefaultAuctionValues!$C$2:$C$359,MATCH(A363,DefaultAuctionValues!$A$2:$A$359,0)),0),IF(LeagueInfo!$F$7="FantasyPros",IFERROR(INDEX(DefaultAuctionValues!$D$2:$D$359,MATCH(A363,DefaultAuctionValues!$A$2:$A$359,0)),0))))</f>
        <v>0</v>
      </c>
      <c r="L363" s="201">
        <f ca="1">I363-K363</f>
        <v>-11.055128396385793</v>
      </c>
      <c r="M363" s="213"/>
      <c r="N363" s="208">
        <f ca="1">INDEX(INDIRECT(""&amp;$B363&amp;"!y2:y709"),MATCH($A363,INDIRECT(""&amp;$B363&amp;"!B2:B709"),0))</f>
        <v>-23.080000000000002</v>
      </c>
      <c r="O363" s="217" t="str">
        <f ca="1">IF(INDEX(INDIRECT(""&amp;$B363&amp;"!V2:V700"),MATCH($A363,INDIRECT(""&amp;$B363&amp;"!B2:B700"),0))=0,"",INDEX(INDIRECT(""&amp;$B363&amp;"!V2:V700"),MATCH($A363,INDIRECT(""&amp;$B363&amp;"!B2:B700"),0)))</f>
        <v/>
      </c>
    </row>
    <row r="364" spans="1:15" x14ac:dyDescent="0.25">
      <c r="A364" s="195" t="s">
        <v>728</v>
      </c>
      <c r="B364" s="195" t="s">
        <v>47</v>
      </c>
      <c r="C364" s="199">
        <f ca="1">IFERROR(INDEX(BYEs!$B$2:$B$33,MATCH(D364,BYEs!$A$2:$A$33,0)),"N/A")</f>
        <v>8</v>
      </c>
      <c r="D364" s="195" t="str">
        <f ca="1">INDEX(INDIRECT(""&amp;B364&amp;"!E2:E700"),MATCH(A364,INDIRECT(""&amp;B364&amp;"!B2:B700"),0))</f>
        <v>NYG</v>
      </c>
      <c r="E364" s="194" t="str">
        <f ca="1">INDEX(INDIRECT(""&amp;$B364&amp;"!Z2:Z709"),MATCH($A364,INDIRECT(""&amp;$B364&amp;"!B2:B709"),0))</f>
        <v>TE11</v>
      </c>
      <c r="F364" s="196">
        <f ca="1">IF(LeagueInfo!$H$7="Starter/Bench",INDEX(INDIRECT(""&amp;B364&amp;"!S2:S709"),MATCH(A364,INDIRECT(""&amp;B364&amp;"!B2:B709"),0)),INDEX(INDIRECT(""&amp;B364&amp;"!AA2:AA709"),MATCH(A364,INDIRECT(""&amp;B364&amp;"!B2:B709"),0)))</f>
        <v>-11.119792275654078</v>
      </c>
      <c r="G364" s="200">
        <f>IF(H364&gt;0,F364-H364,0)</f>
        <v>0</v>
      </c>
      <c r="H364" s="198"/>
      <c r="I364" s="200">
        <f ca="1">F364*$A$2</f>
        <v>-11.119792275654078</v>
      </c>
      <c r="J364" s="197" t="s">
        <v>80</v>
      </c>
      <c r="K364" s="197">
        <f>IF(LeagueInfo!$F$7="Yahoo",IFERROR(INDEX(DefaultAuctionValues!$B$2:$B$359,MATCH(A364,DefaultAuctionValues!$A$2:$A$359,0)),0),IF(LeagueInfo!$F$7="ESPN",IFERROR(INDEX(DefaultAuctionValues!$C$2:$C$359,MATCH(A364,DefaultAuctionValues!$A$2:$A$359,0)),0),IF(LeagueInfo!$F$7="FantasyPros",IFERROR(INDEX(DefaultAuctionValues!$D$2:$D$359,MATCH(A364,DefaultAuctionValues!$A$2:$A$359,0)),0))))</f>
        <v>0</v>
      </c>
      <c r="L364" s="201">
        <f ca="1">I364-K364</f>
        <v>-11.119792275654078</v>
      </c>
      <c r="M364" s="213"/>
      <c r="N364" s="208">
        <f ca="1">INDEX(INDIRECT(""&amp;$B364&amp;"!y2:y709"),MATCH($A364,INDIRECT(""&amp;$B364&amp;"!B2:B709"),0))</f>
        <v>-23.214999999999996</v>
      </c>
      <c r="O364" s="217" t="str">
        <f ca="1">IF(INDEX(INDIRECT(""&amp;$B364&amp;"!V2:V700"),MATCH($A364,INDIRECT(""&amp;$B364&amp;"!B2:B700"),0))=0,"",INDEX(INDIRECT(""&amp;$B364&amp;"!V2:V700"),MATCH($A364,INDIRECT(""&amp;$B364&amp;"!B2:B700"),0)))</f>
        <v/>
      </c>
    </row>
    <row r="365" spans="1:15" x14ac:dyDescent="0.25">
      <c r="A365" s="195" t="s">
        <v>476</v>
      </c>
      <c r="B365" s="195" t="s">
        <v>32</v>
      </c>
      <c r="C365" s="199">
        <f ca="1">IFERROR(INDEX(BYEs!$B$2:$B$33,MATCH(D365,BYEs!$A$2:$A$33,0)),"N/A")</f>
        <v>5</v>
      </c>
      <c r="D365" s="195" t="str">
        <f ca="1">INDEX(INDIRECT(""&amp;B365&amp;"!E2:E700"),MATCH(A365,INDIRECT(""&amp;B365&amp;"!B2:B700"),0))</f>
        <v>NO</v>
      </c>
      <c r="E365" s="194" t="str">
        <f ca="1">INDEX(INDIRECT(""&amp;$B365&amp;"!Z2:Z709"),MATCH($A365,INDIRECT(""&amp;$B365&amp;"!B2:B709"),0))</f>
        <v>RB11</v>
      </c>
      <c r="F365" s="196">
        <f ca="1">IF(LeagueInfo!$H$7="Starter/Bench",INDEX(INDIRECT(""&amp;B365&amp;"!S2:S709"),MATCH(A365,INDIRECT(""&amp;B365&amp;"!B2:B709"),0)),INDEX(INDIRECT(""&amp;B365&amp;"!AA2:AA709"),MATCH(A365,INDIRECT(""&amp;B365&amp;"!B2:B709"),0)))</f>
        <v>-11.198825905870876</v>
      </c>
      <c r="G365" s="200">
        <f>IF(H365&gt;0,F365-H365,0)</f>
        <v>0</v>
      </c>
      <c r="H365" s="198"/>
      <c r="I365" s="200">
        <f ca="1">F365*$A$2</f>
        <v>-11.198825905870876</v>
      </c>
      <c r="J365" s="197" t="s">
        <v>80</v>
      </c>
      <c r="K365" s="197">
        <f>IF(LeagueInfo!$F$7="Yahoo",IFERROR(INDEX(DefaultAuctionValues!$B$2:$B$359,MATCH(A365,DefaultAuctionValues!$A$2:$A$359,0)),0),IF(LeagueInfo!$F$7="ESPN",IFERROR(INDEX(DefaultAuctionValues!$C$2:$C$359,MATCH(A365,DefaultAuctionValues!$A$2:$A$359,0)),0),IF(LeagueInfo!$F$7="FantasyPros",IFERROR(INDEX(DefaultAuctionValues!$D$2:$D$359,MATCH(A365,DefaultAuctionValues!$A$2:$A$359,0)),0))))</f>
        <v>0</v>
      </c>
      <c r="L365" s="201">
        <f ca="1">I365-K365</f>
        <v>-11.198825905870876</v>
      </c>
      <c r="M365" s="213"/>
      <c r="N365" s="208">
        <f ca="1">INDEX(INDIRECT(""&amp;$B365&amp;"!y2:y709"),MATCH($A365,INDIRECT(""&amp;$B365&amp;"!B2:B709"),0))</f>
        <v>-23.380000000000003</v>
      </c>
      <c r="O365" s="217" t="str">
        <f ca="1">IF(INDEX(INDIRECT(""&amp;$B365&amp;"!V2:V700"),MATCH($A365,INDIRECT(""&amp;$B365&amp;"!B2:B700"),0))=0,"",INDEX(INDIRECT(""&amp;$B365&amp;"!V2:V700"),MATCH($A365,INDIRECT(""&amp;$B365&amp;"!B2:B700"),0)))</f>
        <v/>
      </c>
    </row>
    <row r="366" spans="1:15" x14ac:dyDescent="0.25">
      <c r="A366" s="195" t="s">
        <v>748</v>
      </c>
      <c r="B366" s="195" t="s">
        <v>47</v>
      </c>
      <c r="C366" s="199">
        <f ca="1">IFERROR(INDEX(BYEs!$B$2:$B$33,MATCH(D366,BYEs!$A$2:$A$33,0)),"N/A")</f>
        <v>11</v>
      </c>
      <c r="D366" s="195" t="str">
        <f ca="1">INDEX(INDIRECT(""&amp;B366&amp;"!E2:E700"),MATCH(A366,INDIRECT(""&amp;B366&amp;"!B2:B700"),0))</f>
        <v>MIA</v>
      </c>
      <c r="E366" s="194" t="str">
        <f ca="1">INDEX(INDIRECT(""&amp;$B366&amp;"!Z2:Z709"),MATCH($A366,INDIRECT(""&amp;$B366&amp;"!B2:B709"),0))</f>
        <v>TE11</v>
      </c>
      <c r="F366" s="196">
        <f ca="1">IF(LeagueInfo!$H$7="Starter/Bench",INDEX(INDIRECT(""&amp;B366&amp;"!S2:S709"),MATCH(A366,INDIRECT(""&amp;B366&amp;"!B2:B709"),0)),INDEX(INDIRECT(""&amp;B366&amp;"!AA2:AA709"),MATCH(A366,INDIRECT(""&amp;B366&amp;"!B2:B709"),0)))</f>
        <v>-11.210800698327965</v>
      </c>
      <c r="G366" s="200">
        <f>IF(H366&gt;0,F366-H366,0)</f>
        <v>0</v>
      </c>
      <c r="H366" s="198"/>
      <c r="I366" s="200">
        <f ca="1">F366*$A$2</f>
        <v>-11.210800698327965</v>
      </c>
      <c r="J366" s="197" t="s">
        <v>80</v>
      </c>
      <c r="K366" s="197">
        <f>IF(LeagueInfo!$F$7="Yahoo",IFERROR(INDEX(DefaultAuctionValues!$B$2:$B$359,MATCH(A366,DefaultAuctionValues!$A$2:$A$359,0)),0),IF(LeagueInfo!$F$7="ESPN",IFERROR(INDEX(DefaultAuctionValues!$C$2:$C$359,MATCH(A366,DefaultAuctionValues!$A$2:$A$359,0)),0),IF(LeagueInfo!$F$7="FantasyPros",IFERROR(INDEX(DefaultAuctionValues!$D$2:$D$359,MATCH(A366,DefaultAuctionValues!$A$2:$A$359,0)),0))))</f>
        <v>0</v>
      </c>
      <c r="L366" s="201">
        <f ca="1">I366-K366</f>
        <v>-11.210800698327965</v>
      </c>
      <c r="M366" s="213"/>
      <c r="N366" s="208">
        <f ca="1">INDEX(INDIRECT(""&amp;$B366&amp;"!y2:y709"),MATCH($A366,INDIRECT(""&amp;$B366&amp;"!B2:B709"),0))</f>
        <v>-23.404999999999998</v>
      </c>
      <c r="O366" s="217" t="str">
        <f ca="1">IF(INDEX(INDIRECT(""&amp;$B366&amp;"!V2:V700"),MATCH($A366,INDIRECT(""&amp;$B366&amp;"!B2:B700"),0))=0,"",INDEX(INDIRECT(""&amp;$B366&amp;"!V2:V700"),MATCH($A366,INDIRECT(""&amp;$B366&amp;"!B2:B700"),0)))</f>
        <v/>
      </c>
    </row>
    <row r="367" spans="1:15" x14ac:dyDescent="0.25">
      <c r="A367" s="195" t="s">
        <v>485</v>
      </c>
      <c r="B367" s="195" t="s">
        <v>32</v>
      </c>
      <c r="C367" s="199">
        <f ca="1">IFERROR(INDEX(BYEs!$B$2:$B$33,MATCH(D367,BYEs!$A$2:$A$33,0)),"N/A")</f>
        <v>8</v>
      </c>
      <c r="D367" s="195" t="str">
        <f ca="1">INDEX(INDIRECT(""&amp;B367&amp;"!E2:E700"),MATCH(A367,INDIRECT(""&amp;B367&amp;"!B2:B700"),0))</f>
        <v>LAR</v>
      </c>
      <c r="E367" s="194" t="str">
        <f ca="1">INDEX(INDIRECT(""&amp;$B367&amp;"!Z2:Z709"),MATCH($A367,INDIRECT(""&amp;$B367&amp;"!B2:B709"),0))</f>
        <v>RB11</v>
      </c>
      <c r="F367" s="196">
        <f ca="1">IF(LeagueInfo!$H$7="Starter/Bench",INDEX(INDIRECT(""&amp;B367&amp;"!S2:S709"),MATCH(A367,INDIRECT(""&amp;B367&amp;"!B2:B709"),0)),INDEX(INDIRECT(""&amp;B367&amp;"!AA2:AA709"),MATCH(A367,INDIRECT(""&amp;B367&amp;"!B2:B709"),0)))</f>
        <v>-11.258699868156329</v>
      </c>
      <c r="G367" s="200">
        <f>IF(H367&gt;0,F367-H367,0)</f>
        <v>0</v>
      </c>
      <c r="H367" s="198"/>
      <c r="I367" s="200">
        <f ca="1">F367*$A$2</f>
        <v>-11.258699868156329</v>
      </c>
      <c r="J367" s="197" t="s">
        <v>80</v>
      </c>
      <c r="K367" s="197">
        <f>IF(LeagueInfo!$F$7="Yahoo",IFERROR(INDEX(DefaultAuctionValues!$B$2:$B$359,MATCH(A367,DefaultAuctionValues!$A$2:$A$359,0)),0),IF(LeagueInfo!$F$7="ESPN",IFERROR(INDEX(DefaultAuctionValues!$C$2:$C$359,MATCH(A367,DefaultAuctionValues!$A$2:$A$359,0)),0),IF(LeagueInfo!$F$7="FantasyPros",IFERROR(INDEX(DefaultAuctionValues!$D$2:$D$359,MATCH(A367,DefaultAuctionValues!$A$2:$A$359,0)),0))))</f>
        <v>0</v>
      </c>
      <c r="L367" s="201">
        <f ca="1">I367-K367</f>
        <v>-11.258699868156329</v>
      </c>
      <c r="M367" s="213"/>
      <c r="N367" s="208">
        <f ca="1">INDEX(INDIRECT(""&amp;$B367&amp;"!y2:y709"),MATCH($A367,INDIRECT(""&amp;$B367&amp;"!B2:B709"),0))</f>
        <v>-23.505000000000003</v>
      </c>
      <c r="O367" s="217" t="str">
        <f ca="1">IF(INDEX(INDIRECT(""&amp;$B367&amp;"!V2:V700"),MATCH($A367,INDIRECT(""&amp;$B367&amp;"!B2:B700"),0))=0,"",INDEX(INDIRECT(""&amp;$B367&amp;"!V2:V700"),MATCH($A367,INDIRECT(""&amp;$B367&amp;"!B2:B700"),0)))</f>
        <v/>
      </c>
    </row>
    <row r="368" spans="1:15" x14ac:dyDescent="0.25">
      <c r="A368" s="195" t="s">
        <v>597</v>
      </c>
      <c r="B368" s="195" t="s">
        <v>39</v>
      </c>
      <c r="C368" s="199">
        <f ca="1">IFERROR(INDEX(BYEs!$B$2:$B$33,MATCH(D368,BYEs!$A$2:$A$33,0)),"N/A")</f>
        <v>8</v>
      </c>
      <c r="D368" s="195" t="str">
        <f ca="1">INDEX(INDIRECT(""&amp;B368&amp;"!E2:E700"),MATCH(A368,INDIRECT(""&amp;B368&amp;"!B2:B700"),0))</f>
        <v>ARI</v>
      </c>
      <c r="E368" s="194" t="str">
        <f ca="1">INDEX(INDIRECT(""&amp;$B368&amp;"!Z2:Z709"),MATCH($A368,INDIRECT(""&amp;$B368&amp;"!B2:B709"),0))</f>
        <v>WR9</v>
      </c>
      <c r="F368" s="196">
        <f ca="1">IF(LeagueInfo!$H$7="Starter/Bench",INDEX(INDIRECT(""&amp;B368&amp;"!S2:S709"),MATCH(A368,INDIRECT(""&amp;B368&amp;"!B2:B709"),0)),INDEX(INDIRECT(""&amp;B368&amp;"!AA2:AA709"),MATCH(A368,INDIRECT(""&amp;B368&amp;"!B2:B709"),0)))</f>
        <v>-11.378447792727229</v>
      </c>
      <c r="G368" s="200">
        <f>IF(H368&gt;0,F368-H368,0)</f>
        <v>0</v>
      </c>
      <c r="H368" s="198"/>
      <c r="I368" s="200">
        <f ca="1">F368*$A$2</f>
        <v>-11.378447792727229</v>
      </c>
      <c r="J368" s="197" t="s">
        <v>80</v>
      </c>
      <c r="K368" s="197">
        <f>IF(LeagueInfo!$F$7="Yahoo",IFERROR(INDEX(DefaultAuctionValues!$B$2:$B$359,MATCH(A368,DefaultAuctionValues!$A$2:$A$359,0)),0),IF(LeagueInfo!$F$7="ESPN",IFERROR(INDEX(DefaultAuctionValues!$C$2:$C$359,MATCH(A368,DefaultAuctionValues!$A$2:$A$359,0)),0),IF(LeagueInfo!$F$7="FantasyPros",IFERROR(INDEX(DefaultAuctionValues!$D$2:$D$359,MATCH(A368,DefaultAuctionValues!$A$2:$A$359,0)),0))))</f>
        <v>0</v>
      </c>
      <c r="L368" s="201">
        <f ca="1">I368-K368</f>
        <v>-11.378447792727229</v>
      </c>
      <c r="M368" s="213"/>
      <c r="N368" s="208">
        <f ca="1">INDEX(INDIRECT(""&amp;$B368&amp;"!y2:y709"),MATCH($A368,INDIRECT(""&amp;$B368&amp;"!B2:B709"),0))</f>
        <v>-23.754999999999999</v>
      </c>
      <c r="O368" s="217" t="str">
        <f ca="1">IF(INDEX(INDIRECT(""&amp;$B368&amp;"!V2:V700"),MATCH($A368,INDIRECT(""&amp;$B368&amp;"!B2:B700"),0))=0,"",INDEX(INDIRECT(""&amp;$B368&amp;"!V2:V700"),MATCH($A368,INDIRECT(""&amp;$B368&amp;"!B2:B700"),0)))</f>
        <v/>
      </c>
    </row>
    <row r="369" spans="1:15" x14ac:dyDescent="0.25">
      <c r="A369" s="195" t="s">
        <v>746</v>
      </c>
      <c r="B369" s="195" t="s">
        <v>47</v>
      </c>
      <c r="C369" s="199">
        <f ca="1">IFERROR(INDEX(BYEs!$B$2:$B$33,MATCH(D369,BYEs!$A$2:$A$33,0)),"N/A")</f>
        <v>11</v>
      </c>
      <c r="D369" s="195" t="str">
        <f ca="1">INDEX(INDIRECT(""&amp;B369&amp;"!E2:E700"),MATCH(A369,INDIRECT(""&amp;B369&amp;"!B2:B700"),0))</f>
        <v>CAR</v>
      </c>
      <c r="E369" s="194" t="str">
        <f ca="1">INDEX(INDIRECT(""&amp;$B369&amp;"!Z2:Z709"),MATCH($A369,INDIRECT(""&amp;$B369&amp;"!B2:B709"),0))</f>
        <v>TE11</v>
      </c>
      <c r="F369" s="196">
        <f ca="1">IF(LeagueInfo!$H$7="Starter/Bench",INDEX(INDIRECT(""&amp;B369&amp;"!S2:S709"),MATCH(A369,INDIRECT(""&amp;B369&amp;"!B2:B709"),0)),INDEX(INDIRECT(""&amp;B369&amp;"!AA2:AA709"),MATCH(A369,INDIRECT(""&amp;B369&amp;"!B2:B709"),0)))</f>
        <v>-11.462271339926861</v>
      </c>
      <c r="G369" s="200">
        <f>IF(H369&gt;0,F369-H369,0)</f>
        <v>0</v>
      </c>
      <c r="H369" s="198"/>
      <c r="I369" s="200">
        <f ca="1">F369*$A$2</f>
        <v>-11.462271339926861</v>
      </c>
      <c r="J369" s="197" t="s">
        <v>80</v>
      </c>
      <c r="K369" s="197">
        <f>IF(LeagueInfo!$F$7="Yahoo",IFERROR(INDEX(DefaultAuctionValues!$B$2:$B$359,MATCH(A369,DefaultAuctionValues!$A$2:$A$359,0)),0),IF(LeagueInfo!$F$7="ESPN",IFERROR(INDEX(DefaultAuctionValues!$C$2:$C$359,MATCH(A369,DefaultAuctionValues!$A$2:$A$359,0)),0),IF(LeagueInfo!$F$7="FantasyPros",IFERROR(INDEX(DefaultAuctionValues!$D$2:$D$359,MATCH(A369,DefaultAuctionValues!$A$2:$A$359,0)),0))))</f>
        <v>0</v>
      </c>
      <c r="L369" s="201">
        <f ca="1">I369-K369</f>
        <v>-11.462271339926861</v>
      </c>
      <c r="M369" s="213"/>
      <c r="N369" s="208">
        <f ca="1">INDEX(INDIRECT(""&amp;$B369&amp;"!y2:y709"),MATCH($A369,INDIRECT(""&amp;$B369&amp;"!B2:B709"),0))</f>
        <v>-23.929999999999996</v>
      </c>
      <c r="O369" s="217" t="str">
        <f ca="1">IF(INDEX(INDIRECT(""&amp;$B369&amp;"!V2:V700"),MATCH($A369,INDIRECT(""&amp;$B369&amp;"!B2:B700"),0))=0,"",INDEX(INDIRECT(""&amp;$B369&amp;"!V2:V700"),MATCH($A369,INDIRECT(""&amp;$B369&amp;"!B2:B700"),0)))</f>
        <v/>
      </c>
    </row>
    <row r="370" spans="1:15" x14ac:dyDescent="0.25">
      <c r="A370" s="195" t="s">
        <v>465</v>
      </c>
      <c r="B370" s="195" t="s">
        <v>32</v>
      </c>
      <c r="C370" s="199">
        <f ca="1">IFERROR(INDEX(BYEs!$B$2:$B$33,MATCH(D370,BYEs!$A$2:$A$33,0)),"N/A")</f>
        <v>8</v>
      </c>
      <c r="D370" s="195" t="str">
        <f ca="1">INDEX(INDIRECT(""&amp;B370&amp;"!E2:E700"),MATCH(A370,INDIRECT(""&amp;B370&amp;"!B2:B700"),0))</f>
        <v>ARI</v>
      </c>
      <c r="E370" s="194" t="str">
        <f ca="1">INDEX(INDIRECT(""&amp;$B370&amp;"!Z2:Z709"),MATCH($A370,INDIRECT(""&amp;$B370&amp;"!B2:B709"),0))</f>
        <v>RB11</v>
      </c>
      <c r="F370" s="196">
        <f ca="1">IF(LeagueInfo!$H$7="Starter/Bench",INDEX(INDIRECT(""&amp;B370&amp;"!S2:S709"),MATCH(A370,INDIRECT(""&amp;B370&amp;"!B2:B709"),0)),INDEX(INDIRECT(""&amp;B370&amp;"!AA2:AA709"),MATCH(A370,INDIRECT(""&amp;B370&amp;"!B2:B709"),0)))</f>
        <v>-11.510170509755227</v>
      </c>
      <c r="G370" s="200">
        <f>IF(H370&gt;0,F370-H370,0)</f>
        <v>0</v>
      </c>
      <c r="H370" s="198"/>
      <c r="I370" s="200">
        <f ca="1">F370*$A$2</f>
        <v>-11.510170509755227</v>
      </c>
      <c r="J370" s="197" t="s">
        <v>80</v>
      </c>
      <c r="K370" s="197">
        <f>IF(LeagueInfo!$F$7="Yahoo",IFERROR(INDEX(DefaultAuctionValues!$B$2:$B$359,MATCH(A370,DefaultAuctionValues!$A$2:$A$359,0)),0),IF(LeagueInfo!$F$7="ESPN",IFERROR(INDEX(DefaultAuctionValues!$C$2:$C$359,MATCH(A370,DefaultAuctionValues!$A$2:$A$359,0)),0),IF(LeagueInfo!$F$7="FantasyPros",IFERROR(INDEX(DefaultAuctionValues!$D$2:$D$359,MATCH(A370,DefaultAuctionValues!$A$2:$A$359,0)),0))))</f>
        <v>0</v>
      </c>
      <c r="L370" s="201">
        <f ca="1">I370-K370</f>
        <v>-11.510170509755227</v>
      </c>
      <c r="M370" s="213"/>
      <c r="N370" s="208">
        <f ca="1">INDEX(INDIRECT(""&amp;$B370&amp;"!y2:y709"),MATCH($A370,INDIRECT(""&amp;$B370&amp;"!B2:B709"),0))</f>
        <v>-24.030000000000005</v>
      </c>
      <c r="O370" s="217" t="str">
        <f ca="1">IF(INDEX(INDIRECT(""&amp;$B370&amp;"!V2:V700"),MATCH($A370,INDIRECT(""&amp;$B370&amp;"!B2:B700"),0))=0,"",INDEX(INDIRECT(""&amp;$B370&amp;"!V2:V700"),MATCH($A370,INDIRECT(""&amp;$B370&amp;"!B2:B700"),0)))</f>
        <v/>
      </c>
    </row>
    <row r="371" spans="1:15" x14ac:dyDescent="0.25">
      <c r="A371" s="195" t="s">
        <v>745</v>
      </c>
      <c r="B371" s="195" t="s">
        <v>47</v>
      </c>
      <c r="C371" s="199">
        <f ca="1">IFERROR(INDEX(BYEs!$B$2:$B$33,MATCH(D371,BYEs!$A$2:$A$33,0)),"N/A")</f>
        <v>8</v>
      </c>
      <c r="D371" s="195" t="str">
        <f ca="1">INDEX(INDIRECT(""&amp;B371&amp;"!E2:E700"),MATCH(A371,INDIRECT(""&amp;B371&amp;"!B2:B700"),0))</f>
        <v>GB</v>
      </c>
      <c r="E371" s="194" t="str">
        <f ca="1">INDEX(INDIRECT(""&amp;$B371&amp;"!Z2:Z709"),MATCH($A371,INDIRECT(""&amp;$B371&amp;"!B2:B709"),0))</f>
        <v>TE11</v>
      </c>
      <c r="F371" s="196">
        <f ca="1">IF(LeagueInfo!$H$7="Starter/Bench",INDEX(INDIRECT(""&amp;B371&amp;"!S2:S709"),MATCH(A371,INDIRECT(""&amp;B371&amp;"!B2:B709"),0)),INDEX(INDIRECT(""&amp;B371&amp;"!AA2:AA709"),MATCH(A371,INDIRECT(""&amp;B371&amp;"!B2:B709"),0)))</f>
        <v>-11.617943641869035</v>
      </c>
      <c r="G371" s="200">
        <f>IF(H371&gt;0,F371-H371,0)</f>
        <v>0</v>
      </c>
      <c r="H371" s="198"/>
      <c r="I371" s="200">
        <f ca="1">F371*$A$2</f>
        <v>-11.617943641869035</v>
      </c>
      <c r="J371" s="197" t="s">
        <v>80</v>
      </c>
      <c r="K371" s="197">
        <f>IF(LeagueInfo!$F$7="Yahoo",IFERROR(INDEX(DefaultAuctionValues!$B$2:$B$359,MATCH(A371,DefaultAuctionValues!$A$2:$A$359,0)),0),IF(LeagueInfo!$F$7="ESPN",IFERROR(INDEX(DefaultAuctionValues!$C$2:$C$359,MATCH(A371,DefaultAuctionValues!$A$2:$A$359,0)),0),IF(LeagueInfo!$F$7="FantasyPros",IFERROR(INDEX(DefaultAuctionValues!$D$2:$D$359,MATCH(A371,DefaultAuctionValues!$A$2:$A$359,0)),0))))</f>
        <v>0</v>
      </c>
      <c r="L371" s="201">
        <f ca="1">I371-K371</f>
        <v>-11.617943641869035</v>
      </c>
      <c r="M371" s="213"/>
      <c r="N371" s="208">
        <f ca="1">INDEX(INDIRECT(""&amp;$B371&amp;"!y2:y709"),MATCH($A371,INDIRECT(""&amp;$B371&amp;"!B2:B709"),0))</f>
        <v>-24.254999999999995</v>
      </c>
      <c r="O371" s="217" t="str">
        <f ca="1">IF(INDEX(INDIRECT(""&amp;$B371&amp;"!V2:V700"),MATCH($A371,INDIRECT(""&amp;$B371&amp;"!B2:B700"),0))=0,"",INDEX(INDIRECT(""&amp;$B371&amp;"!V2:V700"),MATCH($A371,INDIRECT(""&amp;$B371&amp;"!B2:B700"),0)))</f>
        <v/>
      </c>
    </row>
    <row r="372" spans="1:15" x14ac:dyDescent="0.25">
      <c r="A372" s="195" t="s">
        <v>756</v>
      </c>
      <c r="B372" s="195" t="s">
        <v>47</v>
      </c>
      <c r="C372" s="199">
        <f ca="1">IFERROR(INDEX(BYEs!$B$2:$B$33,MATCH(D372,BYEs!$A$2:$A$33,0)),"N/A")</f>
        <v>7</v>
      </c>
      <c r="D372" s="195" t="str">
        <f ca="1">INDEX(INDIRECT(""&amp;B372&amp;"!E2:E700"),MATCH(A372,INDIRECT(""&amp;B372&amp;"!B2:B700"),0))</f>
        <v>HOU</v>
      </c>
      <c r="E372" s="194" t="str">
        <f ca="1">INDEX(INDIRECT(""&amp;$B372&amp;"!Z2:Z709"),MATCH($A372,INDIRECT(""&amp;$B372&amp;"!B2:B709"),0))</f>
        <v>TE11</v>
      </c>
      <c r="F372" s="196">
        <f ca="1">IF(LeagueInfo!$H$7="Starter/Bench",INDEX(INDIRECT(""&amp;B372&amp;"!S2:S709"),MATCH(A372,INDIRECT(""&amp;B372&amp;"!B2:B709"),0)),INDEX(INDIRECT(""&amp;B372&amp;"!AA2:AA709"),MATCH(A372,INDIRECT(""&amp;B372&amp;"!B2:B709"),0)))</f>
        <v>-11.785590736268301</v>
      </c>
      <c r="G372" s="200">
        <f>IF(H372&gt;0,F372-H372,0)</f>
        <v>0</v>
      </c>
      <c r="H372" s="198"/>
      <c r="I372" s="200">
        <f ca="1">F372*$A$2</f>
        <v>-11.785590736268301</v>
      </c>
      <c r="J372" s="197" t="s">
        <v>80</v>
      </c>
      <c r="K372" s="197">
        <f>IF(LeagueInfo!$F$7="Yahoo",IFERROR(INDEX(DefaultAuctionValues!$B$2:$B$359,MATCH(A372,DefaultAuctionValues!$A$2:$A$359,0)),0),IF(LeagueInfo!$F$7="ESPN",IFERROR(INDEX(DefaultAuctionValues!$C$2:$C$359,MATCH(A372,DefaultAuctionValues!$A$2:$A$359,0)),0),IF(LeagueInfo!$F$7="FantasyPros",IFERROR(INDEX(DefaultAuctionValues!$D$2:$D$359,MATCH(A372,DefaultAuctionValues!$A$2:$A$359,0)),0))))</f>
        <v>0</v>
      </c>
      <c r="L372" s="201">
        <f ca="1">I372-K372</f>
        <v>-11.785590736268301</v>
      </c>
      <c r="M372" s="213"/>
      <c r="N372" s="208">
        <f ca="1">INDEX(INDIRECT(""&amp;$B372&amp;"!y2:y709"),MATCH($A372,INDIRECT(""&amp;$B372&amp;"!B2:B709"),0))</f>
        <v>-24.604999999999997</v>
      </c>
      <c r="O372" s="217" t="str">
        <f ca="1">IF(INDEX(INDIRECT(""&amp;$B372&amp;"!V2:V700"),MATCH($A372,INDIRECT(""&amp;$B372&amp;"!B2:B700"),0))=0,"",INDEX(INDIRECT(""&amp;$B372&amp;"!V2:V700"),MATCH($A372,INDIRECT(""&amp;$B372&amp;"!B2:B700"),0)))</f>
        <v/>
      </c>
    </row>
    <row r="373" spans="1:15" x14ac:dyDescent="0.25">
      <c r="A373" s="195" t="s">
        <v>733</v>
      </c>
      <c r="B373" s="195" t="s">
        <v>47</v>
      </c>
      <c r="C373" s="199">
        <f ca="1">IFERROR(INDEX(BYEs!$B$2:$B$33,MATCH(D373,BYEs!$A$2:$A$33,0)),"N/A")</f>
        <v>8</v>
      </c>
      <c r="D373" s="195" t="str">
        <f ca="1">INDEX(INDIRECT(""&amp;B373&amp;"!E2:E700"),MATCH(A373,INDIRECT(""&amp;B373&amp;"!B2:B700"),0))</f>
        <v>GB</v>
      </c>
      <c r="E373" s="194" t="str">
        <f ca="1">INDEX(INDIRECT(""&amp;$B373&amp;"!Z2:Z709"),MATCH($A373,INDIRECT(""&amp;$B373&amp;"!B2:B709"),0))</f>
        <v>TE11</v>
      </c>
      <c r="F373" s="196">
        <f ca="1">IF(LeagueInfo!$H$7="Starter/Bench",INDEX(INDIRECT(""&amp;B373&amp;"!S2:S709"),MATCH(A373,INDIRECT(""&amp;B373&amp;"!B2:B709"),0)),INDEX(INDIRECT(""&amp;B373&amp;"!AA2:AA709"),MATCH(A373,INDIRECT(""&amp;B373&amp;"!B2:B709"),0)))</f>
        <v>-12.130464759032501</v>
      </c>
      <c r="G373" s="200">
        <f>IF(H373&gt;0,F373-H373,0)</f>
        <v>0</v>
      </c>
      <c r="H373" s="198"/>
      <c r="I373" s="200">
        <f ca="1">F373*$A$2</f>
        <v>-12.130464759032501</v>
      </c>
      <c r="J373" s="197" t="s">
        <v>80</v>
      </c>
      <c r="K373" s="197">
        <f>IF(LeagueInfo!$F$7="Yahoo",IFERROR(INDEX(DefaultAuctionValues!$B$2:$B$359,MATCH(A373,DefaultAuctionValues!$A$2:$A$359,0)),0),IF(LeagueInfo!$F$7="ESPN",IFERROR(INDEX(DefaultAuctionValues!$C$2:$C$359,MATCH(A373,DefaultAuctionValues!$A$2:$A$359,0)),0),IF(LeagueInfo!$F$7="FantasyPros",IFERROR(INDEX(DefaultAuctionValues!$D$2:$D$359,MATCH(A373,DefaultAuctionValues!$A$2:$A$359,0)),0))))</f>
        <v>0</v>
      </c>
      <c r="L373" s="201">
        <f ca="1">I373-K373</f>
        <v>-12.130464759032501</v>
      </c>
      <c r="M373" s="213"/>
      <c r="N373" s="208">
        <f ca="1">INDEX(INDIRECT(""&amp;$B373&amp;"!y2:y709"),MATCH($A373,INDIRECT(""&amp;$B373&amp;"!B2:B709"),0))</f>
        <v>-25.324999999999996</v>
      </c>
      <c r="O373" s="217" t="str">
        <f ca="1">IF(INDEX(INDIRECT(""&amp;$B373&amp;"!V2:V700"),MATCH($A373,INDIRECT(""&amp;$B373&amp;"!B2:B700"),0))=0,"",INDEX(INDIRECT(""&amp;$B373&amp;"!V2:V700"),MATCH($A373,INDIRECT(""&amp;$B373&amp;"!B2:B700"),0)))</f>
        <v/>
      </c>
    </row>
    <row r="374" spans="1:15" x14ac:dyDescent="0.25">
      <c r="A374" s="195" t="s">
        <v>751</v>
      </c>
      <c r="B374" s="195" t="s">
        <v>47</v>
      </c>
      <c r="C374" s="199">
        <f ca="1">IFERROR(INDEX(BYEs!$B$2:$B$33,MATCH(D374,BYEs!$A$2:$A$33,0)),"N/A")</f>
        <v>8</v>
      </c>
      <c r="D374" s="195" t="str">
        <f ca="1">INDEX(INDIRECT(""&amp;B374&amp;"!E2:E700"),MATCH(A374,INDIRECT(""&amp;B374&amp;"!B2:B700"),0))</f>
        <v>ARI</v>
      </c>
      <c r="E374" s="194" t="str">
        <f ca="1">INDEX(INDIRECT(""&amp;$B374&amp;"!Z2:Z709"),MATCH($A374,INDIRECT(""&amp;$B374&amp;"!B2:B709"),0))</f>
        <v>TE11</v>
      </c>
      <c r="F374" s="196">
        <f ca="1">IF(LeagueInfo!$H$7="Starter/Bench",INDEX(INDIRECT(""&amp;B374&amp;"!S2:S709"),MATCH(A374,INDIRECT(""&amp;B374&amp;"!B2:B709"),0)),INDEX(INDIRECT(""&amp;B374&amp;"!AA2:AA709"),MATCH(A374,INDIRECT(""&amp;B374&amp;"!B2:B709"),0)))</f>
        <v>-12.135254676015339</v>
      </c>
      <c r="G374" s="200">
        <f>IF(H374&gt;0,F374-H374,0)</f>
        <v>0</v>
      </c>
      <c r="H374" s="198"/>
      <c r="I374" s="200">
        <f ca="1">F374*$A$2</f>
        <v>-12.135254676015339</v>
      </c>
      <c r="J374" s="197" t="s">
        <v>80</v>
      </c>
      <c r="K374" s="197">
        <f>IF(LeagueInfo!$F$7="Yahoo",IFERROR(INDEX(DefaultAuctionValues!$B$2:$B$359,MATCH(A374,DefaultAuctionValues!$A$2:$A$359,0)),0),IF(LeagueInfo!$F$7="ESPN",IFERROR(INDEX(DefaultAuctionValues!$C$2:$C$359,MATCH(A374,DefaultAuctionValues!$A$2:$A$359,0)),0),IF(LeagueInfo!$F$7="FantasyPros",IFERROR(INDEX(DefaultAuctionValues!$D$2:$D$359,MATCH(A374,DefaultAuctionValues!$A$2:$A$359,0)),0))))</f>
        <v>0</v>
      </c>
      <c r="L374" s="201">
        <f ca="1">I374-K374</f>
        <v>-12.135254676015339</v>
      </c>
      <c r="M374" s="213"/>
      <c r="N374" s="208">
        <f ca="1">INDEX(INDIRECT(""&amp;$B374&amp;"!y2:y709"),MATCH($A374,INDIRECT(""&amp;$B374&amp;"!B2:B709"),0))</f>
        <v>-25.335000000000001</v>
      </c>
      <c r="O374" s="217" t="str">
        <f ca="1">IF(INDEX(INDIRECT(""&amp;$B374&amp;"!V2:V700"),MATCH($A374,INDIRECT(""&amp;$B374&amp;"!B2:B700"),0))=0,"",INDEX(INDIRECT(""&amp;$B374&amp;"!V2:V700"),MATCH($A374,INDIRECT(""&amp;$B374&amp;"!B2:B700"),0)))</f>
        <v/>
      </c>
    </row>
    <row r="375" spans="1:15" x14ac:dyDescent="0.25">
      <c r="A375" s="195" t="s">
        <v>586</v>
      </c>
      <c r="B375" s="195" t="s">
        <v>39</v>
      </c>
      <c r="C375" s="199">
        <f ca="1">IFERROR(INDEX(BYEs!$B$2:$B$33,MATCH(D375,BYEs!$A$2:$A$33,0)),"N/A")</f>
        <v>6</v>
      </c>
      <c r="D375" s="195" t="str">
        <f ca="1">INDEX(INDIRECT(""&amp;B375&amp;"!E2:E700"),MATCH(A375,INDIRECT(""&amp;B375&amp;"!B2:B700"),0))</f>
        <v>BUF</v>
      </c>
      <c r="E375" s="194" t="str">
        <f ca="1">INDEX(INDIRECT(""&amp;$B375&amp;"!Z2:Z709"),MATCH($A375,INDIRECT(""&amp;$B375&amp;"!B2:B709"),0))</f>
        <v>WR9</v>
      </c>
      <c r="F375" s="196">
        <f ca="1">IF(LeagueInfo!$H$7="Starter/Bench",INDEX(INDIRECT(""&amp;B375&amp;"!S2:S709"),MATCH(A375,INDIRECT(""&amp;B375&amp;"!B2:B709"),0)),INDEX(INDIRECT(""&amp;B375&amp;"!AA2:AA709"),MATCH(A375,INDIRECT(""&amp;B375&amp;"!B2:B709"),0)))</f>
        <v>-12.137649634506758</v>
      </c>
      <c r="G375" s="200">
        <f>IF(H375&gt;0,F375-H375,0)</f>
        <v>0</v>
      </c>
      <c r="H375" s="198"/>
      <c r="I375" s="200">
        <f ca="1">F375*$A$2</f>
        <v>-12.137649634506758</v>
      </c>
      <c r="J375" s="197" t="s">
        <v>80</v>
      </c>
      <c r="K375" s="197">
        <f>IF(LeagueInfo!$F$7="Yahoo",IFERROR(INDEX(DefaultAuctionValues!$B$2:$B$359,MATCH(A375,DefaultAuctionValues!$A$2:$A$359,0)),0),IF(LeagueInfo!$F$7="ESPN",IFERROR(INDEX(DefaultAuctionValues!$C$2:$C$359,MATCH(A375,DefaultAuctionValues!$A$2:$A$359,0)),0),IF(LeagueInfo!$F$7="FantasyPros",IFERROR(INDEX(DefaultAuctionValues!$D$2:$D$359,MATCH(A375,DefaultAuctionValues!$A$2:$A$359,0)),0))))</f>
        <v>0</v>
      </c>
      <c r="L375" s="201">
        <f ca="1">I375-K375</f>
        <v>-12.137649634506758</v>
      </c>
      <c r="M375" s="213"/>
      <c r="N375" s="208">
        <f ca="1">INDEX(INDIRECT(""&amp;$B375&amp;"!y2:y709"),MATCH($A375,INDIRECT(""&amp;$B375&amp;"!B2:B709"),0))</f>
        <v>-25.34</v>
      </c>
      <c r="O375" s="217" t="str">
        <f ca="1">IF(INDEX(INDIRECT(""&amp;$B375&amp;"!V2:V700"),MATCH($A375,INDIRECT(""&amp;$B375&amp;"!B2:B700"),0))=0,"",INDEX(INDIRECT(""&amp;$B375&amp;"!V2:V700"),MATCH($A375,INDIRECT(""&amp;$B375&amp;"!B2:B700"),0)))</f>
        <v/>
      </c>
    </row>
    <row r="376" spans="1:15" x14ac:dyDescent="0.25">
      <c r="A376" s="195" t="s">
        <v>582</v>
      </c>
      <c r="B376" s="195" t="s">
        <v>39</v>
      </c>
      <c r="C376" s="199">
        <f ca="1">IFERROR(INDEX(BYEs!$B$2:$B$33,MATCH(D376,BYEs!$A$2:$A$33,0)),"N/A")</f>
        <v>7</v>
      </c>
      <c r="D376" s="195" t="str">
        <f ca="1">INDEX(INDIRECT(""&amp;B376&amp;"!E2:E700"),MATCH(A376,INDIRECT(""&amp;B376&amp;"!B2:B700"),0))</f>
        <v>HOU</v>
      </c>
      <c r="E376" s="194" t="str">
        <f ca="1">INDEX(INDIRECT(""&amp;$B376&amp;"!Z2:Z709"),MATCH($A376,INDIRECT(""&amp;$B376&amp;"!B2:B709"),0))</f>
        <v>WR9</v>
      </c>
      <c r="F376" s="196">
        <f ca="1">IF(LeagueInfo!$H$7="Starter/Bench",INDEX(INDIRECT(""&amp;B376&amp;"!S2:S709"),MATCH(A376,INDIRECT(""&amp;B376&amp;"!B2:B709"),0)),INDEX(INDIRECT(""&amp;B376&amp;"!AA2:AA709"),MATCH(A376,INDIRECT(""&amp;B376&amp;"!B2:B709"),0)))</f>
        <v>-12.159204260929521</v>
      </c>
      <c r="G376" s="200">
        <f>IF(H376&gt;0,F376-H376,0)</f>
        <v>0</v>
      </c>
      <c r="H376" s="198"/>
      <c r="I376" s="200">
        <f ca="1">F376*$A$2</f>
        <v>-12.159204260929521</v>
      </c>
      <c r="J376" s="197" t="s">
        <v>80</v>
      </c>
      <c r="K376" s="197">
        <f>IF(LeagueInfo!$F$7="Yahoo",IFERROR(INDEX(DefaultAuctionValues!$B$2:$B$359,MATCH(A376,DefaultAuctionValues!$A$2:$A$359,0)),0),IF(LeagueInfo!$F$7="ESPN",IFERROR(INDEX(DefaultAuctionValues!$C$2:$C$359,MATCH(A376,DefaultAuctionValues!$A$2:$A$359,0)),0),IF(LeagueInfo!$F$7="FantasyPros",IFERROR(INDEX(DefaultAuctionValues!$D$2:$D$359,MATCH(A376,DefaultAuctionValues!$A$2:$A$359,0)),0))))</f>
        <v>0</v>
      </c>
      <c r="L376" s="201">
        <f ca="1">I376-K376</f>
        <v>-12.159204260929521</v>
      </c>
      <c r="M376" s="213"/>
      <c r="N376" s="208">
        <f ca="1">INDEX(INDIRECT(""&amp;$B376&amp;"!y2:y709"),MATCH($A376,INDIRECT(""&amp;$B376&amp;"!B2:B709"),0))</f>
        <v>-25.385000000000002</v>
      </c>
      <c r="O376" s="217" t="str">
        <f ca="1">IF(INDEX(INDIRECT(""&amp;$B376&amp;"!V2:V700"),MATCH($A376,INDIRECT(""&amp;$B376&amp;"!B2:B700"),0))=0,"",INDEX(INDIRECT(""&amp;$B376&amp;"!V2:V700"),MATCH($A376,INDIRECT(""&amp;$B376&amp;"!B2:B700"),0)))</f>
        <v/>
      </c>
    </row>
    <row r="377" spans="1:15" x14ac:dyDescent="0.25">
      <c r="A377" s="195" t="s">
        <v>591</v>
      </c>
      <c r="B377" s="195" t="s">
        <v>39</v>
      </c>
      <c r="C377" s="199">
        <f ca="1">IFERROR(INDEX(BYEs!$B$2:$B$33,MATCH(D377,BYEs!$A$2:$A$33,0)),"N/A")</f>
        <v>11</v>
      </c>
      <c r="D377" s="195" t="str">
        <f ca="1">INDEX(INDIRECT(""&amp;B377&amp;"!E2:E700"),MATCH(A377,INDIRECT(""&amp;B377&amp;"!B2:B700"),0))</f>
        <v>IND</v>
      </c>
      <c r="E377" s="194" t="str">
        <f ca="1">INDEX(INDIRECT(""&amp;$B377&amp;"!Z2:Z709"),MATCH($A377,INDIRECT(""&amp;$B377&amp;"!B2:B709"),0))</f>
        <v>WR9</v>
      </c>
      <c r="F377" s="196">
        <f ca="1">IF(LeagueInfo!$H$7="Starter/Bench",INDEX(INDIRECT(""&amp;B377&amp;"!S2:S709"),MATCH(A377,INDIRECT(""&amp;B377&amp;"!B2:B709"),0)),INDEX(INDIRECT(""&amp;B377&amp;"!AA2:AA709"),MATCH(A377,INDIRECT(""&amp;B377&amp;"!B2:B709"),0)))</f>
        <v>-12.269372351534752</v>
      </c>
      <c r="G377" s="200">
        <f>IF(H377&gt;0,F377-H377,0)</f>
        <v>0</v>
      </c>
      <c r="H377" s="198"/>
      <c r="I377" s="200">
        <f ca="1">F377*$A$2</f>
        <v>-12.269372351534752</v>
      </c>
      <c r="J377" s="197" t="s">
        <v>80</v>
      </c>
      <c r="K377" s="197">
        <f>IF(LeagueInfo!$F$7="Yahoo",IFERROR(INDEX(DefaultAuctionValues!$B$2:$B$359,MATCH(A377,DefaultAuctionValues!$A$2:$A$359,0)),0),IF(LeagueInfo!$F$7="ESPN",IFERROR(INDEX(DefaultAuctionValues!$C$2:$C$359,MATCH(A377,DefaultAuctionValues!$A$2:$A$359,0)),0),IF(LeagueInfo!$F$7="FantasyPros",IFERROR(INDEX(DefaultAuctionValues!$D$2:$D$359,MATCH(A377,DefaultAuctionValues!$A$2:$A$359,0)),0))))</f>
        <v>0</v>
      </c>
      <c r="L377" s="201">
        <f ca="1">I377-K377</f>
        <v>-12.269372351534752</v>
      </c>
      <c r="M377" s="213"/>
      <c r="N377" s="208">
        <f ca="1">INDEX(INDIRECT(""&amp;$B377&amp;"!y2:y709"),MATCH($A377,INDIRECT(""&amp;$B377&amp;"!B2:B709"),0))</f>
        <v>-25.615000000000002</v>
      </c>
      <c r="O377" s="217" t="str">
        <f ca="1">IF(INDEX(INDIRECT(""&amp;$B377&amp;"!V2:V700"),MATCH($A377,INDIRECT(""&amp;$B377&amp;"!B2:B700"),0))=0,"",INDEX(INDIRECT(""&amp;$B377&amp;"!V2:V700"),MATCH($A377,INDIRECT(""&amp;$B377&amp;"!B2:B700"),0)))</f>
        <v/>
      </c>
    </row>
    <row r="378" spans="1:15" x14ac:dyDescent="0.25">
      <c r="A378" s="195" t="s">
        <v>752</v>
      </c>
      <c r="B378" s="195" t="s">
        <v>47</v>
      </c>
      <c r="C378" s="199">
        <f ca="1">IFERROR(INDEX(BYEs!$B$2:$B$33,MATCH(D378,BYEs!$A$2:$A$33,0)),"N/A")</f>
        <v>11</v>
      </c>
      <c r="D378" s="195" t="str">
        <f ca="1">INDEX(INDIRECT(""&amp;B378&amp;"!E2:E700"),MATCH(A378,INDIRECT(""&amp;B378&amp;"!B2:B700"),0))</f>
        <v>MIA</v>
      </c>
      <c r="E378" s="194" t="str">
        <f ca="1">INDEX(INDIRECT(""&amp;$B378&amp;"!Z2:Z709"),MATCH($A378,INDIRECT(""&amp;$B378&amp;"!B2:B709"),0))</f>
        <v>TE11</v>
      </c>
      <c r="F378" s="196">
        <f ca="1">IF(LeagueInfo!$H$7="Starter/Bench",INDEX(INDIRECT(""&amp;B378&amp;"!S2:S709"),MATCH(A378,INDIRECT(""&amp;B378&amp;"!B2:B709"),0)),INDEX(INDIRECT(""&amp;B378&amp;"!AA2:AA709"),MATCH(A378,INDIRECT(""&amp;B378&amp;"!B2:B709"),0)))</f>
        <v>-12.398700110071326</v>
      </c>
      <c r="G378" s="200">
        <f>IF(H378&gt;0,F378-H378,0)</f>
        <v>0</v>
      </c>
      <c r="H378" s="198"/>
      <c r="I378" s="200">
        <f ca="1">F378*$A$2</f>
        <v>-12.398700110071326</v>
      </c>
      <c r="J378" s="197" t="s">
        <v>80</v>
      </c>
      <c r="K378" s="197">
        <f>IF(LeagueInfo!$F$7="Yahoo",IFERROR(INDEX(DefaultAuctionValues!$B$2:$B$359,MATCH(A378,DefaultAuctionValues!$A$2:$A$359,0)),0),IF(LeagueInfo!$F$7="ESPN",IFERROR(INDEX(DefaultAuctionValues!$C$2:$C$359,MATCH(A378,DefaultAuctionValues!$A$2:$A$359,0)),0),IF(LeagueInfo!$F$7="FantasyPros",IFERROR(INDEX(DefaultAuctionValues!$D$2:$D$359,MATCH(A378,DefaultAuctionValues!$A$2:$A$359,0)),0))))</f>
        <v>0</v>
      </c>
      <c r="L378" s="201">
        <f ca="1">I378-K378</f>
        <v>-12.398700110071326</v>
      </c>
      <c r="M378" s="213"/>
      <c r="N378" s="208">
        <f ca="1">INDEX(INDIRECT(""&amp;$B378&amp;"!y2:y709"),MATCH($A378,INDIRECT(""&amp;$B378&amp;"!B2:B709"),0))</f>
        <v>-25.884999999999998</v>
      </c>
      <c r="O378" s="217" t="str">
        <f ca="1">IF(INDEX(INDIRECT(""&amp;$B378&amp;"!V2:V700"),MATCH($A378,INDIRECT(""&amp;$B378&amp;"!B2:B700"),0))=0,"",INDEX(INDIRECT(""&amp;$B378&amp;"!V2:V700"),MATCH($A378,INDIRECT(""&amp;$B378&amp;"!B2:B700"),0)))</f>
        <v/>
      </c>
    </row>
    <row r="379" spans="1:15" x14ac:dyDescent="0.25">
      <c r="A379" s="195" t="s">
        <v>760</v>
      </c>
      <c r="B379" s="195" t="s">
        <v>47</v>
      </c>
      <c r="C379" s="199">
        <f ca="1">IFERROR(INDEX(BYEs!$B$2:$B$33,MATCH(D379,BYEs!$A$2:$A$33,0)),"N/A")</f>
        <v>6</v>
      </c>
      <c r="D379" s="195" t="str">
        <f ca="1">INDEX(INDIRECT(""&amp;B379&amp;"!E2:E700"),MATCH(A379,INDIRECT(""&amp;B379&amp;"!B2:B700"),0))</f>
        <v>DAL</v>
      </c>
      <c r="E379" s="194" t="str">
        <f ca="1">INDEX(INDIRECT(""&amp;$B379&amp;"!Z2:Z709"),MATCH($A379,INDIRECT(""&amp;$B379&amp;"!B2:B709"),0))</f>
        <v>TE11</v>
      </c>
      <c r="F379" s="196">
        <f ca="1">IF(LeagueInfo!$H$7="Starter/Bench",INDEX(INDIRECT(""&amp;B379&amp;"!S2:S709"),MATCH(A379,INDIRECT(""&amp;B379&amp;"!B2:B709"),0)),INDEX(INDIRECT(""&amp;B379&amp;"!AA2:AA709"),MATCH(A379,INDIRECT(""&amp;B379&amp;"!B2:B709"),0)))</f>
        <v>-12.401095068562743</v>
      </c>
      <c r="G379" s="200">
        <f>IF(H379&gt;0,F379-H379,0)</f>
        <v>0</v>
      </c>
      <c r="H379" s="198"/>
      <c r="I379" s="200">
        <f ca="1">F379*$A$2</f>
        <v>-12.401095068562743</v>
      </c>
      <c r="J379" s="197" t="s">
        <v>80</v>
      </c>
      <c r="K379" s="197">
        <f>IF(LeagueInfo!$F$7="Yahoo",IFERROR(INDEX(DefaultAuctionValues!$B$2:$B$359,MATCH(A379,DefaultAuctionValues!$A$2:$A$359,0)),0),IF(LeagueInfo!$F$7="ESPN",IFERROR(INDEX(DefaultAuctionValues!$C$2:$C$359,MATCH(A379,DefaultAuctionValues!$A$2:$A$359,0)),0),IF(LeagueInfo!$F$7="FantasyPros",IFERROR(INDEX(DefaultAuctionValues!$D$2:$D$359,MATCH(A379,DefaultAuctionValues!$A$2:$A$359,0)),0))))</f>
        <v>0</v>
      </c>
      <c r="L379" s="201">
        <f ca="1">I379-K379</f>
        <v>-12.401095068562743</v>
      </c>
      <c r="M379" s="213"/>
      <c r="N379" s="208">
        <f ca="1">INDEX(INDIRECT(""&amp;$B379&amp;"!y2:y709"),MATCH($A379,INDIRECT(""&amp;$B379&amp;"!B2:B709"),0))</f>
        <v>-25.889999999999997</v>
      </c>
      <c r="O379" s="217" t="str">
        <f ca="1">IF(INDEX(INDIRECT(""&amp;$B379&amp;"!V2:V700"),MATCH($A379,INDIRECT(""&amp;$B379&amp;"!B2:B700"),0))=0,"",INDEX(INDIRECT(""&amp;$B379&amp;"!V2:V700"),MATCH($A379,INDIRECT(""&amp;$B379&amp;"!B2:B700"),0)))</f>
        <v/>
      </c>
    </row>
    <row r="380" spans="1:15" x14ac:dyDescent="0.25">
      <c r="A380" s="195" t="s">
        <v>755</v>
      </c>
      <c r="B380" s="195" t="s">
        <v>47</v>
      </c>
      <c r="C380" s="199">
        <f ca="1">IFERROR(INDEX(BYEs!$B$2:$B$33,MATCH(D380,BYEs!$A$2:$A$33,0)),"N/A")</f>
        <v>11</v>
      </c>
      <c r="D380" s="195" t="str">
        <f ca="1">INDEX(INDIRECT(""&amp;B380&amp;"!E2:E700"),MATCH(A380,INDIRECT(""&amp;B380&amp;"!B2:B700"),0))</f>
        <v>NYJ</v>
      </c>
      <c r="E380" s="194" t="str">
        <f ca="1">INDEX(INDIRECT(""&amp;$B380&amp;"!Z2:Z709"),MATCH($A380,INDIRECT(""&amp;$B380&amp;"!B2:B709"),0))</f>
        <v>TE11</v>
      </c>
      <c r="F380" s="196">
        <f ca="1">IF(LeagueInfo!$H$7="Starter/Bench",INDEX(INDIRECT(""&amp;B380&amp;"!S2:S709"),MATCH(A380,INDIRECT(""&amp;B380&amp;"!B2:B709"),0)),INDEX(INDIRECT(""&amp;B380&amp;"!AA2:AA709"),MATCH(A380,INDIRECT(""&amp;B380&amp;"!B2:B709"),0)))</f>
        <v>-12.518448034642228</v>
      </c>
      <c r="G380" s="200">
        <f>IF(H380&gt;0,F380-H380,0)</f>
        <v>0</v>
      </c>
      <c r="H380" s="198"/>
      <c r="I380" s="200">
        <f ca="1">F380*$A$2</f>
        <v>-12.518448034642228</v>
      </c>
      <c r="J380" s="197" t="s">
        <v>80</v>
      </c>
      <c r="K380" s="197">
        <f>IF(LeagueInfo!$F$7="Yahoo",IFERROR(INDEX(DefaultAuctionValues!$B$2:$B$359,MATCH(A380,DefaultAuctionValues!$A$2:$A$359,0)),0),IF(LeagueInfo!$F$7="ESPN",IFERROR(INDEX(DefaultAuctionValues!$C$2:$C$359,MATCH(A380,DefaultAuctionValues!$A$2:$A$359,0)),0),IF(LeagueInfo!$F$7="FantasyPros",IFERROR(INDEX(DefaultAuctionValues!$D$2:$D$359,MATCH(A380,DefaultAuctionValues!$A$2:$A$359,0)),0))))</f>
        <v>0</v>
      </c>
      <c r="L380" s="201">
        <f ca="1">I380-K380</f>
        <v>-12.518448034642228</v>
      </c>
      <c r="M380" s="213"/>
      <c r="N380" s="208">
        <f ca="1">INDEX(INDIRECT(""&amp;$B380&amp;"!y2:y709"),MATCH($A380,INDIRECT(""&amp;$B380&amp;"!B2:B709"),0))</f>
        <v>-26.134999999999998</v>
      </c>
      <c r="O380" s="217" t="str">
        <f ca="1">IF(INDEX(INDIRECT(""&amp;$B380&amp;"!V2:V700"),MATCH($A380,INDIRECT(""&amp;$B380&amp;"!B2:B700"),0))=0,"",INDEX(INDIRECT(""&amp;$B380&amp;"!V2:V700"),MATCH($A380,INDIRECT(""&amp;$B380&amp;"!B2:B700"),0)))</f>
        <v/>
      </c>
    </row>
    <row r="381" spans="1:15" x14ac:dyDescent="0.25">
      <c r="A381" s="195" t="s">
        <v>519</v>
      </c>
      <c r="B381" s="195" t="s">
        <v>32</v>
      </c>
      <c r="C381" s="199">
        <f ca="1">IFERROR(INDEX(BYEs!$B$2:$B$33,MATCH(D381,BYEs!$A$2:$A$33,0)),"N/A")</f>
        <v>11</v>
      </c>
      <c r="D381" s="195" t="str">
        <f ca="1">INDEX(INDIRECT(""&amp;B381&amp;"!E2:E700"),MATCH(A381,INDIRECT(""&amp;B381&amp;"!B2:B700"),0))</f>
        <v>SF</v>
      </c>
      <c r="E381" s="194" t="str">
        <f ca="1">INDEX(INDIRECT(""&amp;$B381&amp;"!Z2:Z709"),MATCH($A381,INDIRECT(""&amp;$B381&amp;"!B2:B709"),0))</f>
        <v>RB12</v>
      </c>
      <c r="F381" s="196">
        <f ca="1">IF(LeagueInfo!$H$7="Starter/Bench",INDEX(INDIRECT(""&amp;B381&amp;"!S2:S709"),MATCH(A381,INDIRECT(""&amp;B381&amp;"!B2:B709"),0)),INDEX(INDIRECT(""&amp;B381&amp;"!AA2:AA709"),MATCH(A381,INDIRECT(""&amp;B381&amp;"!B2:B709"),0)))</f>
        <v>-12.563952245979175</v>
      </c>
      <c r="G381" s="200">
        <f>IF(H381&gt;0,F381-H381,0)</f>
        <v>0</v>
      </c>
      <c r="H381" s="198"/>
      <c r="I381" s="200">
        <f ca="1">F381*$A$2</f>
        <v>-12.563952245979175</v>
      </c>
      <c r="J381" s="197" t="s">
        <v>80</v>
      </c>
      <c r="K381" s="197">
        <f>IF(LeagueInfo!$F$7="Yahoo",IFERROR(INDEX(DefaultAuctionValues!$B$2:$B$359,MATCH(A381,DefaultAuctionValues!$A$2:$A$359,0)),0),IF(LeagueInfo!$F$7="ESPN",IFERROR(INDEX(DefaultAuctionValues!$C$2:$C$359,MATCH(A381,DefaultAuctionValues!$A$2:$A$359,0)),0),IF(LeagueInfo!$F$7="FantasyPros",IFERROR(INDEX(DefaultAuctionValues!$D$2:$D$359,MATCH(A381,DefaultAuctionValues!$A$2:$A$359,0)),0))))</f>
        <v>0</v>
      </c>
      <c r="L381" s="201">
        <f ca="1">I381-K381</f>
        <v>-12.563952245979175</v>
      </c>
      <c r="M381" s="213"/>
      <c r="N381" s="208">
        <f ca="1">INDEX(INDIRECT(""&amp;$B381&amp;"!y2:y709"),MATCH($A381,INDIRECT(""&amp;$B381&amp;"!B2:B709"),0))</f>
        <v>-26.230000000000004</v>
      </c>
      <c r="O381" s="217" t="str">
        <f ca="1">IF(INDEX(INDIRECT(""&amp;$B381&amp;"!V2:V700"),MATCH($A381,INDIRECT(""&amp;$B381&amp;"!B2:B700"),0))=0,"",INDEX(INDIRECT(""&amp;$B381&amp;"!V2:V700"),MATCH($A381,INDIRECT(""&amp;$B381&amp;"!B2:B700"),0)))</f>
        <v/>
      </c>
    </row>
    <row r="382" spans="1:15" x14ac:dyDescent="0.25">
      <c r="A382" s="195" t="s">
        <v>477</v>
      </c>
      <c r="B382" s="195" t="s">
        <v>32</v>
      </c>
      <c r="C382" s="199">
        <f ca="1">IFERROR(INDEX(BYEs!$B$2:$B$33,MATCH(D382,BYEs!$A$2:$A$33,0)),"N/A")</f>
        <v>9</v>
      </c>
      <c r="D382" s="195" t="str">
        <f ca="1">INDEX(INDIRECT(""&amp;B382&amp;"!E2:E700"),MATCH(A382,INDIRECT(""&amp;B382&amp;"!B2:B700"),0))</f>
        <v>LAC</v>
      </c>
      <c r="E382" s="194" t="str">
        <f ca="1">INDEX(INDIRECT(""&amp;$B382&amp;"!Z2:Z709"),MATCH($A382,INDIRECT(""&amp;$B382&amp;"!B2:B709"),0))</f>
        <v>RB12</v>
      </c>
      <c r="F382" s="196">
        <f ca="1">IF(LeagueInfo!$H$7="Starter/Bench",INDEX(INDIRECT(""&amp;B382&amp;"!S2:S709"),MATCH(A382,INDIRECT(""&amp;B382&amp;"!B2:B709"),0)),INDEX(INDIRECT(""&amp;B382&amp;"!AA2:AA709"),MATCH(A382,INDIRECT(""&amp;B382&amp;"!B2:B709"),0)))</f>
        <v>-12.666935461110151</v>
      </c>
      <c r="G382" s="200">
        <f>IF(H382&gt;0,F382-H382,0)</f>
        <v>0</v>
      </c>
      <c r="H382" s="198"/>
      <c r="I382" s="200">
        <f ca="1">F382*$A$2</f>
        <v>-12.666935461110151</v>
      </c>
      <c r="J382" s="197" t="s">
        <v>80</v>
      </c>
      <c r="K382" s="197">
        <f>IF(LeagueInfo!$F$7="Yahoo",IFERROR(INDEX(DefaultAuctionValues!$B$2:$B$359,MATCH(A382,DefaultAuctionValues!$A$2:$A$359,0)),0),IF(LeagueInfo!$F$7="ESPN",IFERROR(INDEX(DefaultAuctionValues!$C$2:$C$359,MATCH(A382,DefaultAuctionValues!$A$2:$A$359,0)),0),IF(LeagueInfo!$F$7="FantasyPros",IFERROR(INDEX(DefaultAuctionValues!$D$2:$D$359,MATCH(A382,DefaultAuctionValues!$A$2:$A$359,0)),0))))</f>
        <v>0</v>
      </c>
      <c r="L382" s="201">
        <f ca="1">I382-K382</f>
        <v>-12.666935461110151</v>
      </c>
      <c r="M382" s="213"/>
      <c r="N382" s="208">
        <f ca="1">INDEX(INDIRECT(""&amp;$B382&amp;"!y2:y709"),MATCH($A382,INDIRECT(""&amp;$B382&amp;"!B2:B709"),0))</f>
        <v>-26.445000000000004</v>
      </c>
      <c r="O382" s="217" t="str">
        <f ca="1">IF(INDEX(INDIRECT(""&amp;$B382&amp;"!V2:V700"),MATCH($A382,INDIRECT(""&amp;$B382&amp;"!B2:B700"),0))=0,"",INDEX(INDIRECT(""&amp;$B382&amp;"!V2:V700"),MATCH($A382,INDIRECT(""&amp;$B382&amp;"!B2:B700"),0)))</f>
        <v/>
      </c>
    </row>
    <row r="383" spans="1:15" x14ac:dyDescent="0.25">
      <c r="A383" s="195" t="s">
        <v>598</v>
      </c>
      <c r="B383" s="195" t="s">
        <v>39</v>
      </c>
      <c r="C383" s="199">
        <f ca="1">IFERROR(INDEX(BYEs!$B$2:$B$33,MATCH(D383,BYEs!$A$2:$A$33,0)),"N/A")</f>
        <v>9</v>
      </c>
      <c r="D383" s="195" t="str">
        <f ca="1">INDEX(INDIRECT(""&amp;B383&amp;"!E2:E700"),MATCH(A383,INDIRECT(""&amp;B383&amp;"!B2:B700"),0))</f>
        <v>CHI</v>
      </c>
      <c r="E383" s="194" t="str">
        <f ca="1">INDEX(INDIRECT(""&amp;$B383&amp;"!Z2:Z709"),MATCH($A383,INDIRECT(""&amp;$B383&amp;"!B2:B709"),0))</f>
        <v>WR9</v>
      </c>
      <c r="F383" s="196">
        <f ca="1">IF(LeagueInfo!$H$7="Starter/Bench",INDEX(INDIRECT(""&amp;B383&amp;"!S2:S709"),MATCH(A383,INDIRECT(""&amp;B383&amp;"!B2:B709"),0)),INDEX(INDIRECT(""&amp;B383&amp;"!AA2:AA709"),MATCH(A383,INDIRECT(""&amp;B383&amp;"!B2:B709"),0)))</f>
        <v>-12.698069921498586</v>
      </c>
      <c r="G383" s="200">
        <f>IF(H383&gt;0,F383-H383,0)</f>
        <v>0</v>
      </c>
      <c r="H383" s="198"/>
      <c r="I383" s="200">
        <f ca="1">F383*$A$2</f>
        <v>-12.698069921498586</v>
      </c>
      <c r="J383" s="197" t="s">
        <v>80</v>
      </c>
      <c r="K383" s="197">
        <f>IF(LeagueInfo!$F$7="Yahoo",IFERROR(INDEX(DefaultAuctionValues!$B$2:$B$359,MATCH(A383,DefaultAuctionValues!$A$2:$A$359,0)),0),IF(LeagueInfo!$F$7="ESPN",IFERROR(INDEX(DefaultAuctionValues!$C$2:$C$359,MATCH(A383,DefaultAuctionValues!$A$2:$A$359,0)),0),IF(LeagueInfo!$F$7="FantasyPros",IFERROR(INDEX(DefaultAuctionValues!$D$2:$D$359,MATCH(A383,DefaultAuctionValues!$A$2:$A$359,0)),0))))</f>
        <v>0</v>
      </c>
      <c r="L383" s="201">
        <f ca="1">I383-K383</f>
        <v>-12.698069921498586</v>
      </c>
      <c r="M383" s="213"/>
      <c r="N383" s="208">
        <f ca="1">INDEX(INDIRECT(""&amp;$B383&amp;"!y2:y709"),MATCH($A383,INDIRECT(""&amp;$B383&amp;"!B2:B709"),0))</f>
        <v>-26.51</v>
      </c>
      <c r="O383" s="217" t="str">
        <f ca="1">IF(INDEX(INDIRECT(""&amp;$B383&amp;"!V2:V700"),MATCH($A383,INDIRECT(""&amp;$B383&amp;"!B2:B700"),0))=0,"",INDEX(INDIRECT(""&amp;$B383&amp;"!V2:V700"),MATCH($A383,INDIRECT(""&amp;$B383&amp;"!B2:B700"),0)))</f>
        <v/>
      </c>
    </row>
    <row r="384" spans="1:15" x14ac:dyDescent="0.25">
      <c r="A384" s="195" t="s">
        <v>781</v>
      </c>
      <c r="B384" s="195" t="s">
        <v>47</v>
      </c>
      <c r="C384" s="199">
        <f ca="1">IFERROR(INDEX(BYEs!$B$2:$B$33,MATCH(D384,BYEs!$A$2:$A$33,0)),"N/A")</f>
        <v>8</v>
      </c>
      <c r="D384" s="195" t="str">
        <f ca="1">INDEX(INDIRECT(""&amp;B384&amp;"!E2:E700"),MATCH(A384,INDIRECT(""&amp;B384&amp;"!B2:B700"),0))</f>
        <v>NYG</v>
      </c>
      <c r="E384" s="194" t="str">
        <f ca="1">INDEX(INDIRECT(""&amp;$B384&amp;"!Z2:Z709"),MATCH($A384,INDIRECT(""&amp;$B384&amp;"!B2:B709"),0))</f>
        <v>TE11</v>
      </c>
      <c r="F384" s="196">
        <f ca="1">IF(LeagueInfo!$H$7="Starter/Bench",INDEX(INDIRECT(""&amp;B384&amp;"!S2:S709"),MATCH(A384,INDIRECT(""&amp;B384&amp;"!B2:B709"),0)),INDEX(INDIRECT(""&amp;B384&amp;"!AA2:AA709"),MATCH(A384,INDIRECT(""&amp;B384&amp;"!B2:B709"),0)))</f>
        <v>-12.705254796972838</v>
      </c>
      <c r="G384" s="200">
        <f>IF(H384&gt;0,F384-H384,0)</f>
        <v>0</v>
      </c>
      <c r="H384" s="198"/>
      <c r="I384" s="200">
        <f ca="1">F384*$A$2</f>
        <v>-12.705254796972838</v>
      </c>
      <c r="J384" s="197" t="s">
        <v>80</v>
      </c>
      <c r="K384" s="197">
        <f>IF(LeagueInfo!$F$7="Yahoo",IFERROR(INDEX(DefaultAuctionValues!$B$2:$B$359,MATCH(A384,DefaultAuctionValues!$A$2:$A$359,0)),0),IF(LeagueInfo!$F$7="ESPN",IFERROR(INDEX(DefaultAuctionValues!$C$2:$C$359,MATCH(A384,DefaultAuctionValues!$A$2:$A$359,0)),0),IF(LeagueInfo!$F$7="FantasyPros",IFERROR(INDEX(DefaultAuctionValues!$D$2:$D$359,MATCH(A384,DefaultAuctionValues!$A$2:$A$359,0)),0))))</f>
        <v>0</v>
      </c>
      <c r="L384" s="201">
        <f ca="1">I384-K384</f>
        <v>-12.705254796972838</v>
      </c>
      <c r="M384" s="213"/>
      <c r="N384" s="208">
        <f ca="1">INDEX(INDIRECT(""&amp;$B384&amp;"!y2:y709"),MATCH($A384,INDIRECT(""&amp;$B384&amp;"!B2:B709"),0))</f>
        <v>-26.524999999999999</v>
      </c>
      <c r="O384" s="217" t="str">
        <f ca="1">IF(INDEX(INDIRECT(""&amp;$B384&amp;"!V2:V700"),MATCH($A384,INDIRECT(""&amp;$B384&amp;"!B2:B700"),0))=0,"",INDEX(INDIRECT(""&amp;$B384&amp;"!V2:V700"),MATCH($A384,INDIRECT(""&amp;$B384&amp;"!B2:B700"),0)))</f>
        <v/>
      </c>
    </row>
    <row r="385" spans="1:15" x14ac:dyDescent="0.25">
      <c r="A385" s="195" t="s">
        <v>479</v>
      </c>
      <c r="B385" s="195" t="s">
        <v>32</v>
      </c>
      <c r="C385" s="199">
        <f ca="1">IFERROR(INDEX(BYEs!$B$2:$B$33,MATCH(D385,BYEs!$A$2:$A$33,0)),"N/A")</f>
        <v>11</v>
      </c>
      <c r="D385" s="195" t="str">
        <f ca="1">INDEX(INDIRECT(""&amp;B385&amp;"!E2:E700"),MATCH(A385,INDIRECT(""&amp;B385&amp;"!B2:B700"),0))</f>
        <v>TB</v>
      </c>
      <c r="E385" s="194" t="str">
        <f ca="1">INDEX(INDIRECT(""&amp;$B385&amp;"!Z2:Z709"),MATCH($A385,INDIRECT(""&amp;$B385&amp;"!B2:B709"),0))</f>
        <v>RB12</v>
      </c>
      <c r="F385" s="196">
        <f ca="1">IF(LeagueInfo!$H$7="Starter/Bench",INDEX(INDIRECT(""&amp;B385&amp;"!S2:S709"),MATCH(A385,INDIRECT(""&amp;B385&amp;"!B2:B709"),0)),INDEX(INDIRECT(""&amp;B385&amp;"!AA2:AA709"),MATCH(A385,INDIRECT(""&amp;B385&amp;"!B2:B709"),0)))</f>
        <v>-12.710044713955677</v>
      </c>
      <c r="G385" s="200">
        <f>IF(H385&gt;0,F385-H385,0)</f>
        <v>0</v>
      </c>
      <c r="H385" s="198"/>
      <c r="I385" s="200">
        <f ca="1">F385*$A$2</f>
        <v>-12.710044713955677</v>
      </c>
      <c r="J385" s="197" t="s">
        <v>80</v>
      </c>
      <c r="K385" s="197">
        <f>IF(LeagueInfo!$F$7="Yahoo",IFERROR(INDEX(DefaultAuctionValues!$B$2:$B$359,MATCH(A385,DefaultAuctionValues!$A$2:$A$359,0)),0),IF(LeagueInfo!$F$7="ESPN",IFERROR(INDEX(DefaultAuctionValues!$C$2:$C$359,MATCH(A385,DefaultAuctionValues!$A$2:$A$359,0)),0),IF(LeagueInfo!$F$7="FantasyPros",IFERROR(INDEX(DefaultAuctionValues!$D$2:$D$359,MATCH(A385,DefaultAuctionValues!$A$2:$A$359,0)),0))))</f>
        <v>0</v>
      </c>
      <c r="L385" s="201">
        <f ca="1">I385-K385</f>
        <v>-12.710044713955677</v>
      </c>
      <c r="M385" s="213"/>
      <c r="N385" s="208">
        <f ca="1">INDEX(INDIRECT(""&amp;$B385&amp;"!y2:y709"),MATCH($A385,INDIRECT(""&amp;$B385&amp;"!B2:B709"),0))</f>
        <v>-26.535000000000004</v>
      </c>
      <c r="O385" s="217" t="str">
        <f ca="1">IF(INDEX(INDIRECT(""&amp;$B385&amp;"!V2:V700"),MATCH($A385,INDIRECT(""&amp;$B385&amp;"!B2:B700"),0))=0,"",INDEX(INDIRECT(""&amp;$B385&amp;"!V2:V700"),MATCH($A385,INDIRECT(""&amp;$B385&amp;"!B2:B700"),0)))</f>
        <v/>
      </c>
    </row>
    <row r="386" spans="1:15" x14ac:dyDescent="0.25">
      <c r="A386" s="195" t="s">
        <v>747</v>
      </c>
      <c r="B386" s="195" t="s">
        <v>47</v>
      </c>
      <c r="C386" s="199">
        <f ca="1">IFERROR(INDEX(BYEs!$B$2:$B$33,MATCH(D386,BYEs!$A$2:$A$33,0)),"N/A")</f>
        <v>8</v>
      </c>
      <c r="D386" s="195" t="str">
        <f ca="1">INDEX(INDIRECT(""&amp;B386&amp;"!E2:E700"),MATCH(A386,INDIRECT(""&amp;B386&amp;"!B2:B700"),0))</f>
        <v>TEN</v>
      </c>
      <c r="E386" s="194" t="str">
        <f ca="1">INDEX(INDIRECT(""&amp;$B386&amp;"!Z2:Z709"),MATCH($A386,INDIRECT(""&amp;$B386&amp;"!B2:B709"),0))</f>
        <v>TE11</v>
      </c>
      <c r="F386" s="196">
        <f ca="1">IF(LeagueInfo!$H$7="Starter/Bench",INDEX(INDIRECT(""&amp;B386&amp;"!S2:S709"),MATCH(A386,INDIRECT(""&amp;B386&amp;"!B2:B709"),0)),INDEX(INDIRECT(""&amp;B386&amp;"!AA2:AA709"),MATCH(A386,INDIRECT(""&amp;B386&amp;"!B2:B709"),0)))</f>
        <v>-12.784288427189635</v>
      </c>
      <c r="G386" s="200">
        <f>IF(H386&gt;0,F386-H386,0)</f>
        <v>0</v>
      </c>
      <c r="H386" s="198"/>
      <c r="I386" s="200">
        <f ca="1">F386*$A$2</f>
        <v>-12.784288427189635</v>
      </c>
      <c r="J386" s="197" t="s">
        <v>80</v>
      </c>
      <c r="K386" s="197">
        <f>IF(LeagueInfo!$F$7="Yahoo",IFERROR(INDEX(DefaultAuctionValues!$B$2:$B$359,MATCH(A386,DefaultAuctionValues!$A$2:$A$359,0)),0),IF(LeagueInfo!$F$7="ESPN",IFERROR(INDEX(DefaultAuctionValues!$C$2:$C$359,MATCH(A386,DefaultAuctionValues!$A$2:$A$359,0)),0),IF(LeagueInfo!$F$7="FantasyPros",IFERROR(INDEX(DefaultAuctionValues!$D$2:$D$359,MATCH(A386,DefaultAuctionValues!$A$2:$A$359,0)),0))))</f>
        <v>0</v>
      </c>
      <c r="L386" s="201">
        <f ca="1">I386-K386</f>
        <v>-12.784288427189635</v>
      </c>
      <c r="M386" s="213"/>
      <c r="N386" s="208">
        <f ca="1">INDEX(INDIRECT(""&amp;$B386&amp;"!y2:y709"),MATCH($A386,INDIRECT(""&amp;$B386&amp;"!B2:B709"),0))</f>
        <v>-26.689999999999998</v>
      </c>
      <c r="O386" s="217" t="str">
        <f ca="1">IF(INDEX(INDIRECT(""&amp;$B386&amp;"!V2:V700"),MATCH($A386,INDIRECT(""&amp;$B386&amp;"!B2:B700"),0))=0,"",INDEX(INDIRECT(""&amp;$B386&amp;"!V2:V700"),MATCH($A386,INDIRECT(""&amp;$B386&amp;"!B2:B700"),0)))</f>
        <v/>
      </c>
    </row>
    <row r="387" spans="1:15" x14ac:dyDescent="0.25">
      <c r="A387" s="195" t="s">
        <v>754</v>
      </c>
      <c r="B387" s="195" t="s">
        <v>47</v>
      </c>
      <c r="C387" s="199">
        <f ca="1">IFERROR(INDEX(BYEs!$B$2:$B$33,MATCH(D387,BYEs!$A$2:$A$33,0)),"N/A")</f>
        <v>6</v>
      </c>
      <c r="D387" s="195" t="str">
        <f ca="1">INDEX(INDIRECT(""&amp;B387&amp;"!E2:E700"),MATCH(A387,INDIRECT(""&amp;B387&amp;"!B2:B700"),0))</f>
        <v>BUF</v>
      </c>
      <c r="E387" s="194" t="str">
        <f ca="1">INDEX(INDIRECT(""&amp;$B387&amp;"!Z2:Z709"),MATCH($A387,INDIRECT(""&amp;$B387&amp;"!B2:B709"),0))</f>
        <v>TE11</v>
      </c>
      <c r="F387" s="196">
        <f ca="1">IF(LeagueInfo!$H$7="Starter/Bench",INDEX(INDIRECT(""&amp;B387&amp;"!S2:S709"),MATCH(A387,INDIRECT(""&amp;B387&amp;"!B2:B709"),0)),INDEX(INDIRECT(""&amp;B387&amp;"!AA2:AA709"),MATCH(A387,INDIRECT(""&amp;B387&amp;"!B2:B709"),0)))</f>
        <v>-12.810632970595233</v>
      </c>
      <c r="G387" s="200">
        <f>IF(H387&gt;0,F387-H387,0)</f>
        <v>0</v>
      </c>
      <c r="H387" s="198"/>
      <c r="I387" s="200">
        <f ca="1">F387*$A$2</f>
        <v>-12.810632970595233</v>
      </c>
      <c r="J387" s="197" t="s">
        <v>80</v>
      </c>
      <c r="K387" s="197">
        <f>IF(LeagueInfo!$F$7="Yahoo",IFERROR(INDEX(DefaultAuctionValues!$B$2:$B$359,MATCH(A387,DefaultAuctionValues!$A$2:$A$359,0)),0),IF(LeagueInfo!$F$7="ESPN",IFERROR(INDEX(DefaultAuctionValues!$C$2:$C$359,MATCH(A387,DefaultAuctionValues!$A$2:$A$359,0)),0),IF(LeagueInfo!$F$7="FantasyPros",IFERROR(INDEX(DefaultAuctionValues!$D$2:$D$359,MATCH(A387,DefaultAuctionValues!$A$2:$A$359,0)),0))))</f>
        <v>0</v>
      </c>
      <c r="L387" s="201">
        <f ca="1">I387-K387</f>
        <v>-12.810632970595233</v>
      </c>
      <c r="M387" s="213"/>
      <c r="N387" s="208">
        <f ca="1">INDEX(INDIRECT(""&amp;$B387&amp;"!y2:y709"),MATCH($A387,INDIRECT(""&amp;$B387&amp;"!B2:B709"),0))</f>
        <v>-26.744999999999997</v>
      </c>
      <c r="O387" s="217" t="str">
        <f ca="1">IF(INDEX(INDIRECT(""&amp;$B387&amp;"!V2:V700"),MATCH($A387,INDIRECT(""&amp;$B387&amp;"!B2:B700"),0))=0,"",INDEX(INDIRECT(""&amp;$B387&amp;"!V2:V700"),MATCH($A387,INDIRECT(""&amp;$B387&amp;"!B2:B700"),0)))</f>
        <v/>
      </c>
    </row>
    <row r="388" spans="1:15" x14ac:dyDescent="0.25">
      <c r="A388" s="195" t="s">
        <v>500</v>
      </c>
      <c r="B388" s="195" t="s">
        <v>32</v>
      </c>
      <c r="C388" s="199">
        <f ca="1">IFERROR(INDEX(BYEs!$B$2:$B$33,MATCH(D388,BYEs!$A$2:$A$33,0)),"N/A")</f>
        <v>5</v>
      </c>
      <c r="D388" s="195" t="str">
        <f ca="1">INDEX(INDIRECT(""&amp;B388&amp;"!E2:E700"),MATCH(A388,INDIRECT(""&amp;B388&amp;"!B2:B700"),0))</f>
        <v>DEN</v>
      </c>
      <c r="E388" s="194" t="str">
        <f ca="1">INDEX(INDIRECT(""&amp;$B388&amp;"!Z2:Z709"),MATCH($A388,INDIRECT(""&amp;$B388&amp;"!B2:B709"),0))</f>
        <v>RB12</v>
      </c>
      <c r="F388" s="196">
        <f ca="1">IF(LeagueInfo!$H$7="Starter/Bench",INDEX(INDIRECT(""&amp;B388&amp;"!S2:S709"),MATCH(A388,INDIRECT(""&amp;B388&amp;"!B2:B709"),0)),INDEX(INDIRECT(""&amp;B388&amp;"!AA2:AA709"),MATCH(A388,INDIRECT(""&amp;B388&amp;"!B2:B709"),0)))</f>
        <v>-12.875296849863522</v>
      </c>
      <c r="G388" s="200">
        <f>IF(H388&gt;0,F388-H388,0)</f>
        <v>0</v>
      </c>
      <c r="H388" s="198"/>
      <c r="I388" s="200">
        <f ca="1">F388*$A$2</f>
        <v>-12.875296849863522</v>
      </c>
      <c r="J388" s="197" t="s">
        <v>80</v>
      </c>
      <c r="K388" s="197">
        <f>IF(LeagueInfo!$F$7="Yahoo",IFERROR(INDEX(DefaultAuctionValues!$B$2:$B$359,MATCH(A388,DefaultAuctionValues!$A$2:$A$359,0)),0),IF(LeagueInfo!$F$7="ESPN",IFERROR(INDEX(DefaultAuctionValues!$C$2:$C$359,MATCH(A388,DefaultAuctionValues!$A$2:$A$359,0)),0),IF(LeagueInfo!$F$7="FantasyPros",IFERROR(INDEX(DefaultAuctionValues!$D$2:$D$359,MATCH(A388,DefaultAuctionValues!$A$2:$A$359,0)),0))))</f>
        <v>0</v>
      </c>
      <c r="L388" s="201">
        <f ca="1">I388-K388</f>
        <v>-12.875296849863522</v>
      </c>
      <c r="M388" s="213"/>
      <c r="N388" s="208">
        <f ca="1">INDEX(INDIRECT(""&amp;$B388&amp;"!y2:y709"),MATCH($A388,INDIRECT(""&amp;$B388&amp;"!B2:B709"),0))</f>
        <v>-26.880000000000003</v>
      </c>
      <c r="O388" s="217" t="str">
        <f ca="1">IF(INDEX(INDIRECT(""&amp;$B388&amp;"!V2:V700"),MATCH($A388,INDIRECT(""&amp;$B388&amp;"!B2:B700"),0))=0,"",INDEX(INDIRECT(""&amp;$B388&amp;"!V2:V700"),MATCH($A388,INDIRECT(""&amp;$B388&amp;"!B2:B700"),0)))</f>
        <v/>
      </c>
    </row>
    <row r="389" spans="1:15" x14ac:dyDescent="0.25">
      <c r="A389" s="195" t="s">
        <v>375</v>
      </c>
      <c r="B389" s="195" t="s">
        <v>33</v>
      </c>
      <c r="C389" s="199">
        <f ca="1">IFERROR(INDEX(BYEs!$B$2:$B$33,MATCH(D389,BYEs!$A$2:$A$33,0)),"N/A")</f>
        <v>9</v>
      </c>
      <c r="D389" s="195" t="str">
        <f ca="1">INDEX(INDIRECT(""&amp;B389&amp;"!E2:E700"),MATCH(A389,INDIRECT(""&amp;B389&amp;"!B2:B700"),0))</f>
        <v>CHI</v>
      </c>
      <c r="E389" s="194" t="str">
        <f ca="1">INDEX(INDIRECT(""&amp;$B389&amp;"!Z2:Z709"),MATCH($A389,INDIRECT(""&amp;$B389&amp;"!B2:B709"),0))</f>
        <v>QB5</v>
      </c>
      <c r="F389" s="196">
        <f ca="1">IF(LeagueInfo!$H$7="Starter/Bench",INDEX(INDIRECT(""&amp;B389&amp;"!S2:S709"),MATCH(A389,INDIRECT(""&amp;B389&amp;"!B2:B709"),0)),INDEX(INDIRECT(""&amp;B389&amp;"!AA2:AA709"),MATCH(A389,INDIRECT(""&amp;B389&amp;"!B2:B709"),0)))</f>
        <v>-12.894456517794859</v>
      </c>
      <c r="G389" s="200">
        <f>IF(H389&gt;0,F389-H389,0)</f>
        <v>0</v>
      </c>
      <c r="H389" s="198"/>
      <c r="I389" s="200">
        <f ca="1">F389*$A$2</f>
        <v>-12.894456517794859</v>
      </c>
      <c r="J389" s="197" t="s">
        <v>80</v>
      </c>
      <c r="K389" s="197">
        <f>IF(LeagueInfo!$F$7="Yahoo",IFERROR(INDEX(DefaultAuctionValues!$B$2:$B$359,MATCH(A389,DefaultAuctionValues!$A$2:$A$359,0)),0),IF(LeagueInfo!$F$7="ESPN",IFERROR(INDEX(DefaultAuctionValues!$C$2:$C$359,MATCH(A389,DefaultAuctionValues!$A$2:$A$359,0)),0),IF(LeagueInfo!$F$7="FantasyPros",IFERROR(INDEX(DefaultAuctionValues!$D$2:$D$359,MATCH(A389,DefaultAuctionValues!$A$2:$A$359,0)),0))))</f>
        <v>0</v>
      </c>
      <c r="L389" s="201">
        <f ca="1">I389-K389</f>
        <v>-12.894456517794859</v>
      </c>
      <c r="M389" s="213"/>
      <c r="N389" s="208">
        <f ca="1">INDEX(INDIRECT(""&amp;$B389&amp;"!y2:y709"),MATCH($A389,INDIRECT(""&amp;$B389&amp;"!B2:B709"),0))</f>
        <v>-26.919999999999987</v>
      </c>
      <c r="O389" s="217" t="str">
        <f ca="1">IF(INDEX(INDIRECT(""&amp;$B389&amp;"!V2:V700"),MATCH($A389,INDIRECT(""&amp;$B389&amp;"!B2:B700"),0))=0,"",INDEX(INDIRECT(""&amp;$B389&amp;"!V2:V700"),MATCH($A389,INDIRECT(""&amp;$B389&amp;"!B2:B700"),0)))</f>
        <v/>
      </c>
    </row>
    <row r="390" spans="1:15" x14ac:dyDescent="0.25">
      <c r="A390" s="195" t="s">
        <v>322</v>
      </c>
      <c r="B390" s="195" t="s">
        <v>47</v>
      </c>
      <c r="C390" s="199">
        <f ca="1">IFERROR(INDEX(BYEs!$B$2:$B$33,MATCH(D390,BYEs!$A$2:$A$33,0)),"N/A")</f>
        <v>7</v>
      </c>
      <c r="D390" s="195" t="str">
        <f ca="1">INDEX(INDIRECT(""&amp;B390&amp;"!E2:E700"),MATCH(A390,INDIRECT(""&amp;B390&amp;"!B2:B700"),0))</f>
        <v>DET</v>
      </c>
      <c r="E390" s="194" t="str">
        <f ca="1">INDEX(INDIRECT(""&amp;$B390&amp;"!Z2:Z709"),MATCH($A390,INDIRECT(""&amp;$B390&amp;"!B2:B709"),0))</f>
        <v>TE11</v>
      </c>
      <c r="F390" s="196">
        <f ca="1">IF(LeagueInfo!$H$7="Starter/Bench",INDEX(INDIRECT(""&amp;B390&amp;"!S2:S709"),MATCH(A390,INDIRECT(""&amp;B390&amp;"!B2:B709"),0)),INDEX(INDIRECT(""&amp;B390&amp;"!AA2:AA709"),MATCH(A390,INDIRECT(""&amp;B390&amp;"!B2:B709"),0)))</f>
        <v>-12.966305272537408</v>
      </c>
      <c r="G390" s="200">
        <f>IF(H390&gt;0,F390-H390,0)</f>
        <v>0</v>
      </c>
      <c r="H390" s="198"/>
      <c r="I390" s="200">
        <f ca="1">F390*$A$2</f>
        <v>-12.966305272537408</v>
      </c>
      <c r="J390" s="197" t="s">
        <v>80</v>
      </c>
      <c r="K390" s="197">
        <f>IF(LeagueInfo!$F$7="Yahoo",IFERROR(INDEX(DefaultAuctionValues!$B$2:$B$359,MATCH(A390,DefaultAuctionValues!$A$2:$A$359,0)),0),IF(LeagueInfo!$F$7="ESPN",IFERROR(INDEX(DefaultAuctionValues!$C$2:$C$359,MATCH(A390,DefaultAuctionValues!$A$2:$A$359,0)),0),IF(LeagueInfo!$F$7="FantasyPros",IFERROR(INDEX(DefaultAuctionValues!$D$2:$D$359,MATCH(A390,DefaultAuctionValues!$A$2:$A$359,0)),0))))</f>
        <v>1</v>
      </c>
      <c r="L390" s="201">
        <f ca="1">I390-K390</f>
        <v>-13.966305272537408</v>
      </c>
      <c r="M390" s="213"/>
      <c r="N390" s="208">
        <f ca="1">INDEX(INDIRECT(""&amp;$B390&amp;"!y2:y709"),MATCH($A390,INDIRECT(""&amp;$B390&amp;"!B2:B709"),0))</f>
        <v>-27.07</v>
      </c>
      <c r="O390" s="217" t="str">
        <f ca="1">IF(INDEX(INDIRECT(""&amp;$B390&amp;"!V2:V700"),MATCH($A390,INDIRECT(""&amp;$B390&amp;"!B2:B700"),0))=0,"",INDEX(INDIRECT(""&amp;$B390&amp;"!V2:V700"),MATCH($A390,INDIRECT(""&amp;$B390&amp;"!B2:B700"),0)))</f>
        <v/>
      </c>
    </row>
    <row r="391" spans="1:15" x14ac:dyDescent="0.25">
      <c r="A391" s="195" t="s">
        <v>602</v>
      </c>
      <c r="B391" s="195" t="s">
        <v>39</v>
      </c>
      <c r="C391" s="199">
        <f ca="1">IFERROR(INDEX(BYEs!$B$2:$B$33,MATCH(D391,BYEs!$A$2:$A$33,0)),"N/A")</f>
        <v>8</v>
      </c>
      <c r="D391" s="195" t="str">
        <f ca="1">INDEX(INDIRECT(""&amp;B391&amp;"!E2:E700"),MATCH(A391,INDIRECT(""&amp;B391&amp;"!B2:B700"),0))</f>
        <v>TEN</v>
      </c>
      <c r="E391" s="194" t="str">
        <f ca="1">INDEX(INDIRECT(""&amp;$B391&amp;"!Z2:Z709"),MATCH($A391,INDIRECT(""&amp;$B391&amp;"!B2:B709"),0))</f>
        <v>WR9</v>
      </c>
      <c r="F391" s="196">
        <f ca="1">IF(LeagueInfo!$H$7="Starter/Bench",INDEX(INDIRECT(""&amp;B391&amp;"!S2:S709"),MATCH(A391,INDIRECT(""&amp;B391&amp;"!B2:B709"),0)),INDEX(INDIRECT(""&amp;B391&amp;"!AA2:AA709"),MATCH(A391,INDIRECT(""&amp;B391&amp;"!B2:B709"),0)))</f>
        <v>-12.96630527253741</v>
      </c>
      <c r="G391" s="200">
        <f>IF(H391&gt;0,F391-H391,0)</f>
        <v>0</v>
      </c>
      <c r="H391" s="198"/>
      <c r="I391" s="200">
        <f ca="1">F391*$A$2</f>
        <v>-12.96630527253741</v>
      </c>
      <c r="J391" s="197" t="s">
        <v>80</v>
      </c>
      <c r="K391" s="197">
        <f>IF(LeagueInfo!$F$7="Yahoo",IFERROR(INDEX(DefaultAuctionValues!$B$2:$B$359,MATCH(A391,DefaultAuctionValues!$A$2:$A$359,0)),0),IF(LeagueInfo!$F$7="ESPN",IFERROR(INDEX(DefaultAuctionValues!$C$2:$C$359,MATCH(A391,DefaultAuctionValues!$A$2:$A$359,0)),0),IF(LeagueInfo!$F$7="FantasyPros",IFERROR(INDEX(DefaultAuctionValues!$D$2:$D$359,MATCH(A391,DefaultAuctionValues!$A$2:$A$359,0)),0))))</f>
        <v>0</v>
      </c>
      <c r="L391" s="201">
        <f ca="1">I391-K391</f>
        <v>-12.96630527253741</v>
      </c>
      <c r="M391" s="213"/>
      <c r="N391" s="208">
        <f ca="1">INDEX(INDIRECT(""&amp;$B391&amp;"!y2:y709"),MATCH($A391,INDIRECT(""&amp;$B391&amp;"!B2:B709"),0))</f>
        <v>-27.070000000000004</v>
      </c>
      <c r="O391" s="217" t="str">
        <f ca="1">IF(INDEX(INDIRECT(""&amp;$B391&amp;"!V2:V700"),MATCH($A391,INDIRECT(""&amp;$B391&amp;"!B2:B700"),0))=0,"",INDEX(INDIRECT(""&amp;$B391&amp;"!V2:V700"),MATCH($A391,INDIRECT(""&amp;$B391&amp;"!B2:B700"),0)))</f>
        <v/>
      </c>
    </row>
    <row r="392" spans="1:15" x14ac:dyDescent="0.25">
      <c r="A392" s="195" t="s">
        <v>484</v>
      </c>
      <c r="B392" s="195" t="s">
        <v>32</v>
      </c>
      <c r="C392" s="199">
        <f ca="1">IFERROR(INDEX(BYEs!$B$2:$B$33,MATCH(D392,BYEs!$A$2:$A$33,0)),"N/A")</f>
        <v>7</v>
      </c>
      <c r="D392" s="195" t="str">
        <f ca="1">INDEX(INDIRECT(""&amp;B392&amp;"!E2:E700"),MATCH(A392,INDIRECT(""&amp;B392&amp;"!B2:B700"),0))</f>
        <v>DET</v>
      </c>
      <c r="E392" s="194" t="str">
        <f ca="1">INDEX(INDIRECT(""&amp;$B392&amp;"!Z2:Z709"),MATCH($A392,INDIRECT(""&amp;$B392&amp;"!B2:B709"),0))</f>
        <v>RB12</v>
      </c>
      <c r="F392" s="196">
        <f ca="1">IF(LeagueInfo!$H$7="Starter/Bench",INDEX(INDIRECT(""&amp;B392&amp;"!S2:S709"),MATCH(A392,INDIRECT(""&amp;B392&amp;"!B2:B709"),0)),INDEX(INDIRECT(""&amp;B392&amp;"!AA2:AA709"),MATCH(A392,INDIRECT(""&amp;B392&amp;"!B2:B709"),0)))</f>
        <v>-12.995044774434426</v>
      </c>
      <c r="G392" s="200">
        <f>IF(H392&gt;0,F392-H392,0)</f>
        <v>0</v>
      </c>
      <c r="H392" s="198"/>
      <c r="I392" s="200">
        <f ca="1">F392*$A$2</f>
        <v>-12.995044774434426</v>
      </c>
      <c r="J392" s="197" t="s">
        <v>80</v>
      </c>
      <c r="K392" s="197">
        <f>IF(LeagueInfo!$F$7="Yahoo",IFERROR(INDEX(DefaultAuctionValues!$B$2:$B$359,MATCH(A392,DefaultAuctionValues!$A$2:$A$359,0)),0),IF(LeagueInfo!$F$7="ESPN",IFERROR(INDEX(DefaultAuctionValues!$C$2:$C$359,MATCH(A392,DefaultAuctionValues!$A$2:$A$359,0)),0),IF(LeagueInfo!$F$7="FantasyPros",IFERROR(INDEX(DefaultAuctionValues!$D$2:$D$359,MATCH(A392,DefaultAuctionValues!$A$2:$A$359,0)),0))))</f>
        <v>0</v>
      </c>
      <c r="L392" s="201">
        <f ca="1">I392-K392</f>
        <v>-12.995044774434426</v>
      </c>
      <c r="M392" s="213"/>
      <c r="N392" s="208">
        <f ca="1">INDEX(INDIRECT(""&amp;$B392&amp;"!y2:y709"),MATCH($A392,INDIRECT(""&amp;$B392&amp;"!B2:B709"),0))</f>
        <v>-27.130000000000003</v>
      </c>
      <c r="O392" s="217" t="str">
        <f ca="1">IF(INDEX(INDIRECT(""&amp;$B392&amp;"!V2:V700"),MATCH($A392,INDIRECT(""&amp;$B392&amp;"!B2:B700"),0))=0,"",INDEX(INDIRECT(""&amp;$B392&amp;"!V2:V700"),MATCH($A392,INDIRECT(""&amp;$B392&amp;"!B2:B700"),0)))</f>
        <v/>
      </c>
    </row>
    <row r="393" spans="1:15" x14ac:dyDescent="0.25">
      <c r="A393" s="195" t="s">
        <v>478</v>
      </c>
      <c r="B393" s="195" t="s">
        <v>32</v>
      </c>
      <c r="C393" s="199">
        <f ca="1">IFERROR(INDEX(BYEs!$B$2:$B$33,MATCH(D393,BYEs!$A$2:$A$33,0)),"N/A")</f>
        <v>9</v>
      </c>
      <c r="D393" s="195" t="str">
        <f ca="1">INDEX(INDIRECT(""&amp;B393&amp;"!E2:E700"),MATCH(A393,INDIRECT(""&amp;B393&amp;"!B2:B700"),0))</f>
        <v>CHI</v>
      </c>
      <c r="E393" s="194" t="str">
        <f ca="1">INDEX(INDIRECT(""&amp;$B393&amp;"!Z2:Z709"),MATCH($A393,INDIRECT(""&amp;$B393&amp;"!B2:B709"),0))</f>
        <v>RB12</v>
      </c>
      <c r="F393" s="196">
        <f ca="1">IF(LeagueInfo!$H$7="Starter/Bench",INDEX(INDIRECT(""&amp;B393&amp;"!S2:S709"),MATCH(A393,INDIRECT(""&amp;B393&amp;"!B2:B709"),0)),INDEX(INDIRECT(""&amp;B393&amp;"!AA2:AA709"),MATCH(A393,INDIRECT(""&amp;B393&amp;"!B2:B709"),0)))</f>
        <v>-13.030969151805698</v>
      </c>
      <c r="G393" s="200">
        <f>IF(H393&gt;0,F393-H393,0)</f>
        <v>0</v>
      </c>
      <c r="H393" s="198"/>
      <c r="I393" s="200">
        <f ca="1">F393*$A$2</f>
        <v>-13.030969151805698</v>
      </c>
      <c r="J393" s="197" t="s">
        <v>80</v>
      </c>
      <c r="K393" s="197">
        <f>IF(LeagueInfo!$F$7="Yahoo",IFERROR(INDEX(DefaultAuctionValues!$B$2:$B$359,MATCH(A393,DefaultAuctionValues!$A$2:$A$359,0)),0),IF(LeagueInfo!$F$7="ESPN",IFERROR(INDEX(DefaultAuctionValues!$C$2:$C$359,MATCH(A393,DefaultAuctionValues!$A$2:$A$359,0)),0),IF(LeagueInfo!$F$7="FantasyPros",IFERROR(INDEX(DefaultAuctionValues!$D$2:$D$359,MATCH(A393,DefaultAuctionValues!$A$2:$A$359,0)),0))))</f>
        <v>0</v>
      </c>
      <c r="L393" s="201">
        <f ca="1">I393-K393</f>
        <v>-13.030969151805698</v>
      </c>
      <c r="M393" s="213"/>
      <c r="N393" s="208">
        <f ca="1">INDEX(INDIRECT(""&amp;$B393&amp;"!y2:y709"),MATCH($A393,INDIRECT(""&amp;$B393&amp;"!B2:B709"),0))</f>
        <v>-27.205000000000005</v>
      </c>
      <c r="O393" s="217" t="str">
        <f ca="1">IF(INDEX(INDIRECT(""&amp;$B393&amp;"!V2:V700"),MATCH($A393,INDIRECT(""&amp;$B393&amp;"!B2:B700"),0))=0,"",INDEX(INDIRECT(""&amp;$B393&amp;"!V2:V700"),MATCH($A393,INDIRECT(""&amp;$B393&amp;"!B2:B700"),0)))</f>
        <v/>
      </c>
    </row>
    <row r="394" spans="1:15" x14ac:dyDescent="0.25">
      <c r="A394" s="195" t="s">
        <v>759</v>
      </c>
      <c r="B394" s="195" t="s">
        <v>47</v>
      </c>
      <c r="C394" s="199">
        <f ca="1">IFERROR(INDEX(BYEs!$B$2:$B$33,MATCH(D394,BYEs!$A$2:$A$33,0)),"N/A")</f>
        <v>10</v>
      </c>
      <c r="D394" s="195" t="str">
        <f ca="1">INDEX(INDIRECT(""&amp;B394&amp;"!E2:E700"),MATCH(A394,INDIRECT(""&amp;B394&amp;"!B2:B700"),0))</f>
        <v>PHI</v>
      </c>
      <c r="E394" s="194" t="str">
        <f ca="1">INDEX(INDIRECT(""&amp;$B394&amp;"!Z2:Z709"),MATCH($A394,INDIRECT(""&amp;$B394&amp;"!B2:B709"),0))</f>
        <v>TE11</v>
      </c>
      <c r="F394" s="196">
        <f ca="1">IF(LeagueInfo!$H$7="Starter/Bench",INDEX(INDIRECT(""&amp;B394&amp;"!S2:S709"),MATCH(A394,INDIRECT(""&amp;B394&amp;"!B2:B709"),0)),INDEX(INDIRECT(""&amp;B394&amp;"!AA2:AA709"),MATCH(A394,INDIRECT(""&amp;B394&amp;"!B2:B709"),0)))</f>
        <v>-13.052523778228458</v>
      </c>
      <c r="G394" s="200">
        <f>IF(H394&gt;0,F394-H394,0)</f>
        <v>0</v>
      </c>
      <c r="H394" s="198"/>
      <c r="I394" s="200">
        <f ca="1">F394*$A$2</f>
        <v>-13.052523778228458</v>
      </c>
      <c r="J394" s="197" t="s">
        <v>80</v>
      </c>
      <c r="K394" s="197">
        <f>IF(LeagueInfo!$F$7="Yahoo",IFERROR(INDEX(DefaultAuctionValues!$B$2:$B$359,MATCH(A394,DefaultAuctionValues!$A$2:$A$359,0)),0),IF(LeagueInfo!$F$7="ESPN",IFERROR(INDEX(DefaultAuctionValues!$C$2:$C$359,MATCH(A394,DefaultAuctionValues!$A$2:$A$359,0)),0),IF(LeagueInfo!$F$7="FantasyPros",IFERROR(INDEX(DefaultAuctionValues!$D$2:$D$359,MATCH(A394,DefaultAuctionValues!$A$2:$A$359,0)),0))))</f>
        <v>0</v>
      </c>
      <c r="L394" s="201">
        <f ca="1">I394-K394</f>
        <v>-13.052523778228458</v>
      </c>
      <c r="M394" s="213"/>
      <c r="N394" s="208">
        <f ca="1">INDEX(INDIRECT(""&amp;$B394&amp;"!y2:y709"),MATCH($A394,INDIRECT(""&amp;$B394&amp;"!B2:B709"),0))</f>
        <v>-27.25</v>
      </c>
      <c r="O394" s="217" t="str">
        <f ca="1">IF(INDEX(INDIRECT(""&amp;$B394&amp;"!V2:V700"),MATCH($A394,INDIRECT(""&amp;$B394&amp;"!B2:B700"),0))=0,"",INDEX(INDIRECT(""&amp;$B394&amp;"!V2:V700"),MATCH($A394,INDIRECT(""&amp;$B394&amp;"!B2:B700"),0)))</f>
        <v/>
      </c>
    </row>
    <row r="395" spans="1:15" x14ac:dyDescent="0.25">
      <c r="A395" s="195" t="s">
        <v>592</v>
      </c>
      <c r="B395" s="195" t="s">
        <v>39</v>
      </c>
      <c r="C395" s="199">
        <f ca="1">IFERROR(INDEX(BYEs!$B$2:$B$33,MATCH(D395,BYEs!$A$2:$A$33,0)),"N/A")</f>
        <v>9</v>
      </c>
      <c r="D395" s="195" t="str">
        <f ca="1">INDEX(INDIRECT(""&amp;B395&amp;"!E2:E700"),MATCH(A395,INDIRECT(""&amp;B395&amp;"!B2:B700"),0))</f>
        <v>PIT</v>
      </c>
      <c r="E395" s="194" t="str">
        <f ca="1">INDEX(INDIRECT(""&amp;$B395&amp;"!Z2:Z709"),MATCH($A395,INDIRECT(""&amp;$B395&amp;"!B2:B709"),0))</f>
        <v>WR9</v>
      </c>
      <c r="F395" s="196">
        <f ca="1">IF(LeagueInfo!$H$7="Starter/Bench",INDEX(INDIRECT(""&amp;B395&amp;"!S2:S709"),MATCH(A395,INDIRECT(""&amp;B395&amp;"!B2:B709"),0)),INDEX(INDIRECT(""&amp;B395&amp;"!AA2:AA709"),MATCH(A395,INDIRECT(""&amp;B395&amp;"!B2:B709"),0)))</f>
        <v>-13.069288487668384</v>
      </c>
      <c r="G395" s="200">
        <f>IF(H395&gt;0,F395-H395,0)</f>
        <v>0</v>
      </c>
      <c r="H395" s="198"/>
      <c r="I395" s="200">
        <f ca="1">F395*$A$2</f>
        <v>-13.069288487668384</v>
      </c>
      <c r="J395" s="197" t="s">
        <v>80</v>
      </c>
      <c r="K395" s="197">
        <f>IF(LeagueInfo!$F$7="Yahoo",IFERROR(INDEX(DefaultAuctionValues!$B$2:$B$359,MATCH(A395,DefaultAuctionValues!$A$2:$A$359,0)),0),IF(LeagueInfo!$F$7="ESPN",IFERROR(INDEX(DefaultAuctionValues!$C$2:$C$359,MATCH(A395,DefaultAuctionValues!$A$2:$A$359,0)),0),IF(LeagueInfo!$F$7="FantasyPros",IFERROR(INDEX(DefaultAuctionValues!$D$2:$D$359,MATCH(A395,DefaultAuctionValues!$A$2:$A$359,0)),0))))</f>
        <v>0</v>
      </c>
      <c r="L395" s="201">
        <f ca="1">I395-K395</f>
        <v>-13.069288487668384</v>
      </c>
      <c r="M395" s="213"/>
      <c r="N395" s="208">
        <f ca="1">INDEX(INDIRECT(""&amp;$B395&amp;"!y2:y709"),MATCH($A395,INDIRECT(""&amp;$B395&amp;"!B2:B709"),0))</f>
        <v>-27.285</v>
      </c>
      <c r="O395" s="217" t="str">
        <f ca="1">IF(INDEX(INDIRECT(""&amp;$B395&amp;"!V2:V700"),MATCH($A395,INDIRECT(""&amp;$B395&amp;"!B2:B700"),0))=0,"",INDEX(INDIRECT(""&amp;$B395&amp;"!V2:V700"),MATCH($A395,INDIRECT(""&amp;$B395&amp;"!B2:B700"),0)))</f>
        <v/>
      </c>
    </row>
    <row r="396" spans="1:15" x14ac:dyDescent="0.25">
      <c r="A396" s="195" t="s">
        <v>769</v>
      </c>
      <c r="B396" s="195" t="s">
        <v>47</v>
      </c>
      <c r="C396" s="199">
        <f ca="1">IFERROR(INDEX(BYEs!$B$2:$B$33,MATCH(D396,BYEs!$A$2:$A$33,0)),"N/A")</f>
        <v>8</v>
      </c>
      <c r="D396" s="195" t="str">
        <f ca="1">INDEX(INDIRECT(""&amp;B396&amp;"!E2:E700"),MATCH(A396,INDIRECT(""&amp;B396&amp;"!B2:B700"),0))</f>
        <v>JAC</v>
      </c>
      <c r="E396" s="194" t="str">
        <f ca="1">INDEX(INDIRECT(""&amp;$B396&amp;"!Z2:Z709"),MATCH($A396,INDIRECT(""&amp;$B396&amp;"!B2:B709"),0))</f>
        <v>TE11</v>
      </c>
      <c r="F396" s="196">
        <f ca="1">IF(LeagueInfo!$H$7="Starter/Bench",INDEX(INDIRECT(""&amp;B396&amp;"!S2:S709"),MATCH(A396,INDIRECT(""&amp;B396&amp;"!B2:B709"),0)),INDEX(INDIRECT(""&amp;B396&amp;"!AA2:AA709"),MATCH(A396,INDIRECT(""&amp;B396&amp;"!B2:B709"),0)))</f>
        <v>-13.086053197108312</v>
      </c>
      <c r="G396" s="200">
        <f>IF(H396&gt;0,F396-H396,0)</f>
        <v>0</v>
      </c>
      <c r="H396" s="198"/>
      <c r="I396" s="200">
        <f ca="1">F396*$A$2</f>
        <v>-13.086053197108312</v>
      </c>
      <c r="J396" s="197" t="s">
        <v>80</v>
      </c>
      <c r="K396" s="197">
        <f>IF(LeagueInfo!$F$7="Yahoo",IFERROR(INDEX(DefaultAuctionValues!$B$2:$B$359,MATCH(A396,DefaultAuctionValues!$A$2:$A$359,0)),0),IF(LeagueInfo!$F$7="ESPN",IFERROR(INDEX(DefaultAuctionValues!$C$2:$C$359,MATCH(A396,DefaultAuctionValues!$A$2:$A$359,0)),0),IF(LeagueInfo!$F$7="FantasyPros",IFERROR(INDEX(DefaultAuctionValues!$D$2:$D$359,MATCH(A396,DefaultAuctionValues!$A$2:$A$359,0)),0))))</f>
        <v>0</v>
      </c>
      <c r="L396" s="201">
        <f ca="1">I396-K396</f>
        <v>-13.086053197108312</v>
      </c>
      <c r="M396" s="213"/>
      <c r="N396" s="208">
        <f ca="1">INDEX(INDIRECT(""&amp;$B396&amp;"!y2:y709"),MATCH($A396,INDIRECT(""&amp;$B396&amp;"!B2:B709"),0))</f>
        <v>-27.32</v>
      </c>
      <c r="O396" s="217" t="str">
        <f ca="1">IF(INDEX(INDIRECT(""&amp;$B396&amp;"!V2:V700"),MATCH($A396,INDIRECT(""&amp;$B396&amp;"!B2:B700"),0))=0,"",INDEX(INDIRECT(""&amp;$B396&amp;"!V2:V700"),MATCH($A396,INDIRECT(""&amp;$B396&amp;"!B2:B700"),0)))</f>
        <v/>
      </c>
    </row>
    <row r="397" spans="1:15" x14ac:dyDescent="0.25">
      <c r="A397" s="195" t="s">
        <v>599</v>
      </c>
      <c r="B397" s="195" t="s">
        <v>39</v>
      </c>
      <c r="C397" s="199">
        <f ca="1">IFERROR(INDEX(BYEs!$B$2:$B$33,MATCH(D397,BYEs!$A$2:$A$33,0)),"N/A")</f>
        <v>8</v>
      </c>
      <c r="D397" s="195" t="str">
        <f ca="1">INDEX(INDIRECT(""&amp;B397&amp;"!E2:E700"),MATCH(A397,INDIRECT(""&amp;B397&amp;"!B2:B700"),0))</f>
        <v>JAC</v>
      </c>
      <c r="E397" s="194" t="str">
        <f ca="1">INDEX(INDIRECT(""&amp;$B397&amp;"!Z2:Z709"),MATCH($A397,INDIRECT(""&amp;$B397&amp;"!B2:B709"),0))</f>
        <v>WR9</v>
      </c>
      <c r="F397" s="196">
        <f ca="1">IF(LeagueInfo!$H$7="Starter/Bench",INDEX(INDIRECT(""&amp;B397&amp;"!S2:S709"),MATCH(A397,INDIRECT(""&amp;B397&amp;"!B2:B709"),0)),INDEX(INDIRECT(""&amp;B397&amp;"!AA2:AA709"),MATCH(A397,INDIRECT(""&amp;B397&amp;"!B2:B709"),0)))</f>
        <v>-13.133952366936674</v>
      </c>
      <c r="G397" s="200">
        <f>IF(H397&gt;0,F397-H397,0)</f>
        <v>0</v>
      </c>
      <c r="H397" s="198"/>
      <c r="I397" s="200">
        <f ca="1">F397*$A$2</f>
        <v>-13.133952366936674</v>
      </c>
      <c r="J397" s="197" t="s">
        <v>80</v>
      </c>
      <c r="K397" s="197">
        <f>IF(LeagueInfo!$F$7="Yahoo",IFERROR(INDEX(DefaultAuctionValues!$B$2:$B$359,MATCH(A397,DefaultAuctionValues!$A$2:$A$359,0)),0),IF(LeagueInfo!$F$7="ESPN",IFERROR(INDEX(DefaultAuctionValues!$C$2:$C$359,MATCH(A397,DefaultAuctionValues!$A$2:$A$359,0)),0),IF(LeagueInfo!$F$7="FantasyPros",IFERROR(INDEX(DefaultAuctionValues!$D$2:$D$359,MATCH(A397,DefaultAuctionValues!$A$2:$A$359,0)),0))))</f>
        <v>0</v>
      </c>
      <c r="L397" s="201">
        <f ca="1">I397-K397</f>
        <v>-13.133952366936674</v>
      </c>
      <c r="M397" s="213"/>
      <c r="N397" s="208">
        <f ca="1">INDEX(INDIRECT(""&amp;$B397&amp;"!y2:y709"),MATCH($A397,INDIRECT(""&amp;$B397&amp;"!B2:B709"),0))</f>
        <v>-27.42</v>
      </c>
      <c r="O397" s="217" t="str">
        <f ca="1">IF(INDEX(INDIRECT(""&amp;$B397&amp;"!V2:V700"),MATCH($A397,INDIRECT(""&amp;$B397&amp;"!B2:B700"),0))=0,"",INDEX(INDIRECT(""&amp;$B397&amp;"!V2:V700"),MATCH($A397,INDIRECT(""&amp;$B397&amp;"!B2:B700"),0)))</f>
        <v/>
      </c>
    </row>
    <row r="398" spans="1:15" x14ac:dyDescent="0.25">
      <c r="A398" s="195" t="s">
        <v>480</v>
      </c>
      <c r="B398" s="195" t="s">
        <v>32</v>
      </c>
      <c r="C398" s="199">
        <f ca="1">IFERROR(INDEX(BYEs!$B$2:$B$33,MATCH(D398,BYEs!$A$2:$A$33,0)),"N/A")</f>
        <v>5</v>
      </c>
      <c r="D398" s="195" t="str">
        <f ca="1">INDEX(INDIRECT(""&amp;B398&amp;"!E2:E700"),MATCH(A398,INDIRECT(""&amp;B398&amp;"!B2:B700"),0))</f>
        <v>ATL</v>
      </c>
      <c r="E398" s="194" t="str">
        <f ca="1">INDEX(INDIRECT(""&amp;$B398&amp;"!Z2:Z709"),MATCH($A398,INDIRECT(""&amp;$B398&amp;"!B2:B709"),0))</f>
        <v>RB12</v>
      </c>
      <c r="F398" s="196">
        <f ca="1">IF(LeagueInfo!$H$7="Starter/Bench",INDEX(INDIRECT(""&amp;B398&amp;"!S2:S709"),MATCH(A398,INDIRECT(""&amp;B398&amp;"!B2:B709"),0)),INDEX(INDIRECT(""&amp;B398&amp;"!AA2:AA709"),MATCH(A398,INDIRECT(""&amp;B398&amp;"!B2:B709"),0)))</f>
        <v>-13.172271702799364</v>
      </c>
      <c r="G398" s="200">
        <f>IF(H398&gt;0,F398-H398,0)</f>
        <v>0</v>
      </c>
      <c r="H398" s="198"/>
      <c r="I398" s="200">
        <f ca="1">F398*$A$2</f>
        <v>-13.172271702799364</v>
      </c>
      <c r="J398" s="197" t="s">
        <v>80</v>
      </c>
      <c r="K398" s="197">
        <f>IF(LeagueInfo!$F$7="Yahoo",IFERROR(INDEX(DefaultAuctionValues!$B$2:$B$359,MATCH(A398,DefaultAuctionValues!$A$2:$A$359,0)),0),IF(LeagueInfo!$F$7="ESPN",IFERROR(INDEX(DefaultAuctionValues!$C$2:$C$359,MATCH(A398,DefaultAuctionValues!$A$2:$A$359,0)),0),IF(LeagueInfo!$F$7="FantasyPros",IFERROR(INDEX(DefaultAuctionValues!$D$2:$D$359,MATCH(A398,DefaultAuctionValues!$A$2:$A$359,0)),0))))</f>
        <v>0</v>
      </c>
      <c r="L398" s="201">
        <f ca="1">I398-K398</f>
        <v>-13.172271702799364</v>
      </c>
      <c r="M398" s="213"/>
      <c r="N398" s="208">
        <f ca="1">INDEX(INDIRECT(""&amp;$B398&amp;"!y2:y709"),MATCH($A398,INDIRECT(""&amp;$B398&amp;"!B2:B709"),0))</f>
        <v>-27.500000000000004</v>
      </c>
      <c r="O398" s="217" t="str">
        <f ca="1">IF(INDEX(INDIRECT(""&amp;$B398&amp;"!V2:V700"),MATCH($A398,INDIRECT(""&amp;$B398&amp;"!B2:B700"),0))=0,"",INDEX(INDIRECT(""&amp;$B398&amp;"!V2:V700"),MATCH($A398,INDIRECT(""&amp;$B398&amp;"!B2:B700"),0)))</f>
        <v/>
      </c>
    </row>
    <row r="399" spans="1:15" x14ac:dyDescent="0.25">
      <c r="A399" s="195" t="s">
        <v>587</v>
      </c>
      <c r="B399" s="195" t="s">
        <v>39</v>
      </c>
      <c r="C399" s="199">
        <f ca="1">IFERROR(INDEX(BYEs!$B$2:$B$33,MATCH(D399,BYEs!$A$2:$A$33,0)),"N/A")</f>
        <v>6</v>
      </c>
      <c r="D399" s="195" t="str">
        <f ca="1">INDEX(INDIRECT(""&amp;B399&amp;"!E2:E700"),MATCH(A399,INDIRECT(""&amp;B399&amp;"!B2:B700"),0))</f>
        <v>DAL</v>
      </c>
      <c r="E399" s="194" t="str">
        <f ca="1">INDEX(INDIRECT(""&amp;$B399&amp;"!Z2:Z709"),MATCH($A399,INDIRECT(""&amp;$B399&amp;"!B2:B709"),0))</f>
        <v>WR9</v>
      </c>
      <c r="F399" s="196">
        <f ca="1">IF(LeagueInfo!$H$7="Starter/Bench",INDEX(INDIRECT(""&amp;B399&amp;"!S2:S709"),MATCH(A399,INDIRECT(""&amp;B399&amp;"!B2:B709"),0)),INDEX(INDIRECT(""&amp;B399&amp;"!AA2:AA709"),MATCH(A399,INDIRECT(""&amp;B399&amp;"!B2:B709"),0)))</f>
        <v>-13.189036412239288</v>
      </c>
      <c r="G399" s="200">
        <f>IF(H399&gt;0,F399-H399,0)</f>
        <v>0</v>
      </c>
      <c r="H399" s="198"/>
      <c r="I399" s="200">
        <f ca="1">F399*$A$2</f>
        <v>-13.189036412239288</v>
      </c>
      <c r="J399" s="197" t="s">
        <v>80</v>
      </c>
      <c r="K399" s="197">
        <f>IF(LeagueInfo!$F$7="Yahoo",IFERROR(INDEX(DefaultAuctionValues!$B$2:$B$359,MATCH(A399,DefaultAuctionValues!$A$2:$A$359,0)),0),IF(LeagueInfo!$F$7="ESPN",IFERROR(INDEX(DefaultAuctionValues!$C$2:$C$359,MATCH(A399,DefaultAuctionValues!$A$2:$A$359,0)),0),IF(LeagueInfo!$F$7="FantasyPros",IFERROR(INDEX(DefaultAuctionValues!$D$2:$D$359,MATCH(A399,DefaultAuctionValues!$A$2:$A$359,0)),0))))</f>
        <v>0</v>
      </c>
      <c r="L399" s="201">
        <f ca="1">I399-K399</f>
        <v>-13.189036412239288</v>
      </c>
      <c r="M399" s="213"/>
      <c r="N399" s="208">
        <f ca="1">INDEX(INDIRECT(""&amp;$B399&amp;"!y2:y709"),MATCH($A399,INDIRECT(""&amp;$B399&amp;"!B2:B709"),0))</f>
        <v>-27.535</v>
      </c>
      <c r="O399" s="217" t="str">
        <f ca="1">IF(INDEX(INDIRECT(""&amp;$B399&amp;"!V2:V700"),MATCH($A399,INDIRECT(""&amp;$B399&amp;"!B2:B700"),0))=0,"",INDEX(INDIRECT(""&amp;$B399&amp;"!V2:V700"),MATCH($A399,INDIRECT(""&amp;$B399&amp;"!B2:B700"),0)))</f>
        <v/>
      </c>
    </row>
    <row r="400" spans="1:15" x14ac:dyDescent="0.25">
      <c r="A400" s="195" t="s">
        <v>758</v>
      </c>
      <c r="B400" s="195" t="s">
        <v>47</v>
      </c>
      <c r="C400" s="199">
        <f ca="1">IFERROR(INDEX(BYEs!$B$2:$B$33,MATCH(D400,BYEs!$A$2:$A$33,0)),"N/A")</f>
        <v>5</v>
      </c>
      <c r="D400" s="195" t="str">
        <f ca="1">INDEX(INDIRECT(""&amp;B400&amp;"!E2:E700"),MATCH(A400,INDIRECT(""&amp;B400&amp;"!B2:B700"),0))</f>
        <v>DEN</v>
      </c>
      <c r="E400" s="194" t="str">
        <f ca="1">INDEX(INDIRECT(""&amp;$B400&amp;"!Z2:Z709"),MATCH($A400,INDIRECT(""&amp;$B400&amp;"!B2:B709"),0))</f>
        <v>TE11</v>
      </c>
      <c r="F400" s="196">
        <f ca="1">IF(LeagueInfo!$H$7="Starter/Bench",INDEX(INDIRECT(""&amp;B400&amp;"!S2:S709"),MATCH(A400,INDIRECT(""&amp;B400&amp;"!B2:B709"),0)),INDEX(INDIRECT(""&amp;B400&amp;"!AA2:AA709"),MATCH(A400,INDIRECT(""&amp;B400&amp;"!B2:B709"),0)))</f>
        <v>-13.229750706593395</v>
      </c>
      <c r="G400" s="200">
        <f>IF(H400&gt;0,F400-H400,0)</f>
        <v>0</v>
      </c>
      <c r="H400" s="198"/>
      <c r="I400" s="200">
        <f ca="1">F400*$A$2</f>
        <v>-13.229750706593395</v>
      </c>
      <c r="J400" s="197" t="s">
        <v>80</v>
      </c>
      <c r="K400" s="197">
        <f>IF(LeagueInfo!$F$7="Yahoo",IFERROR(INDEX(DefaultAuctionValues!$B$2:$B$359,MATCH(A400,DefaultAuctionValues!$A$2:$A$359,0)),0),IF(LeagueInfo!$F$7="ESPN",IFERROR(INDEX(DefaultAuctionValues!$C$2:$C$359,MATCH(A400,DefaultAuctionValues!$A$2:$A$359,0)),0),IF(LeagueInfo!$F$7="FantasyPros",IFERROR(INDEX(DefaultAuctionValues!$D$2:$D$359,MATCH(A400,DefaultAuctionValues!$A$2:$A$359,0)),0))))</f>
        <v>0</v>
      </c>
      <c r="L400" s="201">
        <f ca="1">I400-K400</f>
        <v>-13.229750706593395</v>
      </c>
      <c r="M400" s="213"/>
      <c r="N400" s="208">
        <f ca="1">INDEX(INDIRECT(""&amp;$B400&amp;"!y2:y709"),MATCH($A400,INDIRECT(""&amp;$B400&amp;"!B2:B709"),0))</f>
        <v>-27.619999999999997</v>
      </c>
      <c r="O400" s="217" t="str">
        <f ca="1">IF(INDEX(INDIRECT(""&amp;$B400&amp;"!V2:V700"),MATCH($A400,INDIRECT(""&amp;$B400&amp;"!B2:B700"),0))=0,"",INDEX(INDIRECT(""&amp;$B400&amp;"!V2:V700"),MATCH($A400,INDIRECT(""&amp;$B400&amp;"!B2:B700"),0)))</f>
        <v/>
      </c>
    </row>
    <row r="401" spans="1:15" x14ac:dyDescent="0.25">
      <c r="A401" s="195" t="s">
        <v>490</v>
      </c>
      <c r="B401" s="195" t="s">
        <v>32</v>
      </c>
      <c r="C401" s="199">
        <f ca="1">IFERROR(INDEX(BYEs!$B$2:$B$33,MATCH(D401,BYEs!$A$2:$A$33,0)),"N/A")</f>
        <v>9</v>
      </c>
      <c r="D401" s="195" t="str">
        <f ca="1">INDEX(INDIRECT(""&amp;B401&amp;"!E2:E700"),MATCH(A401,INDIRECT(""&amp;B401&amp;"!B2:B700"),0))</f>
        <v>LAC</v>
      </c>
      <c r="E401" s="194" t="str">
        <f ca="1">INDEX(INDIRECT(""&amp;$B401&amp;"!Z2:Z709"),MATCH($A401,INDIRECT(""&amp;$B401&amp;"!B2:B709"),0))</f>
        <v>RB12</v>
      </c>
      <c r="F401" s="196">
        <f ca="1">IF(LeagueInfo!$H$7="Starter/Bench",INDEX(INDIRECT(""&amp;B401&amp;"!S2:S709"),MATCH(A401,INDIRECT(""&amp;B401&amp;"!B2:B709"),0)),INDEX(INDIRECT(""&amp;B401&amp;"!AA2:AA709"),MATCH(A401,INDIRECT(""&amp;B401&amp;"!B2:B709"),0)))</f>
        <v>-13.284834751896014</v>
      </c>
      <c r="G401" s="200">
        <f>IF(H401&gt;0,F401-H401,0)</f>
        <v>0</v>
      </c>
      <c r="H401" s="198"/>
      <c r="I401" s="200">
        <f ca="1">F401*$A$2</f>
        <v>-13.284834751896014</v>
      </c>
      <c r="J401" s="197" t="s">
        <v>80</v>
      </c>
      <c r="K401" s="197">
        <f>IF(LeagueInfo!$F$7="Yahoo",IFERROR(INDEX(DefaultAuctionValues!$B$2:$B$359,MATCH(A401,DefaultAuctionValues!$A$2:$A$359,0)),0),IF(LeagueInfo!$F$7="ESPN",IFERROR(INDEX(DefaultAuctionValues!$C$2:$C$359,MATCH(A401,DefaultAuctionValues!$A$2:$A$359,0)),0),IF(LeagueInfo!$F$7="FantasyPros",IFERROR(INDEX(DefaultAuctionValues!$D$2:$D$359,MATCH(A401,DefaultAuctionValues!$A$2:$A$359,0)),0))))</f>
        <v>0</v>
      </c>
      <c r="L401" s="201">
        <f ca="1">I401-K401</f>
        <v>-13.284834751896014</v>
      </c>
      <c r="M401" s="213"/>
      <c r="N401" s="208">
        <f ca="1">INDEX(INDIRECT(""&amp;$B401&amp;"!y2:y709"),MATCH($A401,INDIRECT(""&amp;$B401&amp;"!B2:B709"),0))</f>
        <v>-27.735000000000007</v>
      </c>
      <c r="O401" s="217" t="str">
        <f ca="1">IF(INDEX(INDIRECT(""&amp;$B401&amp;"!V2:V700"),MATCH($A401,INDIRECT(""&amp;$B401&amp;"!B2:B700"),0))=0,"",INDEX(INDIRECT(""&amp;$B401&amp;"!V2:V700"),MATCH($A401,INDIRECT(""&amp;$B401&amp;"!B2:B700"),0)))</f>
        <v/>
      </c>
    </row>
    <row r="402" spans="1:15" x14ac:dyDescent="0.25">
      <c r="A402" s="195" t="s">
        <v>590</v>
      </c>
      <c r="B402" s="195" t="s">
        <v>39</v>
      </c>
      <c r="C402" s="199">
        <f ca="1">IFERROR(INDEX(BYEs!$B$2:$B$33,MATCH(D402,BYEs!$A$2:$A$33,0)),"N/A")</f>
        <v>8</v>
      </c>
      <c r="D402" s="195" t="str">
        <f ca="1">INDEX(INDIRECT(""&amp;B402&amp;"!E2:E700"),MATCH(A402,INDIRECT(""&amp;B402&amp;"!B2:B700"),0))</f>
        <v>GB</v>
      </c>
      <c r="E402" s="194" t="str">
        <f ca="1">INDEX(INDIRECT(""&amp;$B402&amp;"!Z2:Z709"),MATCH($A402,INDIRECT(""&amp;$B402&amp;"!B2:B709"),0))</f>
        <v>WR10</v>
      </c>
      <c r="F402" s="196">
        <f ca="1">IF(LeagueInfo!$H$7="Starter/Bench",INDEX(INDIRECT(""&amp;B402&amp;"!S2:S709"),MATCH(A402,INDIRECT(""&amp;B402&amp;"!B2:B709"),0)),INDEX(INDIRECT(""&amp;B402&amp;"!AA2:AA709"),MATCH(A402,INDIRECT(""&amp;B402&amp;"!B2:B709"),0)))</f>
        <v>-13.320759129267284</v>
      </c>
      <c r="G402" s="200">
        <f>IF(H402&gt;0,F402-H402,0)</f>
        <v>0</v>
      </c>
      <c r="H402" s="198"/>
      <c r="I402" s="200">
        <f ca="1">F402*$A$2</f>
        <v>-13.320759129267284</v>
      </c>
      <c r="J402" s="197" t="s">
        <v>80</v>
      </c>
      <c r="K402" s="197">
        <f>IF(LeagueInfo!$F$7="Yahoo",IFERROR(INDEX(DefaultAuctionValues!$B$2:$B$359,MATCH(A402,DefaultAuctionValues!$A$2:$A$359,0)),0),IF(LeagueInfo!$F$7="ESPN",IFERROR(INDEX(DefaultAuctionValues!$C$2:$C$359,MATCH(A402,DefaultAuctionValues!$A$2:$A$359,0)),0),IF(LeagueInfo!$F$7="FantasyPros",IFERROR(INDEX(DefaultAuctionValues!$D$2:$D$359,MATCH(A402,DefaultAuctionValues!$A$2:$A$359,0)),0))))</f>
        <v>0</v>
      </c>
      <c r="L402" s="201">
        <f ca="1">I402-K402</f>
        <v>-13.320759129267284</v>
      </c>
      <c r="M402" s="213"/>
      <c r="N402" s="208">
        <f ca="1">INDEX(INDIRECT(""&amp;$B402&amp;"!y2:y709"),MATCH($A402,INDIRECT(""&amp;$B402&amp;"!B2:B709"),0))</f>
        <v>-27.810000000000002</v>
      </c>
      <c r="O402" s="217" t="str">
        <f ca="1">IF(INDEX(INDIRECT(""&amp;$B402&amp;"!V2:V700"),MATCH($A402,INDIRECT(""&amp;$B402&amp;"!B2:B700"),0))=0,"",INDEX(INDIRECT(""&amp;$B402&amp;"!V2:V700"),MATCH($A402,INDIRECT(""&amp;$B402&amp;"!B2:B700"),0)))</f>
        <v/>
      </c>
    </row>
    <row r="403" spans="1:15" x14ac:dyDescent="0.25">
      <c r="A403" s="195" t="s">
        <v>771</v>
      </c>
      <c r="B403" s="195" t="s">
        <v>47</v>
      </c>
      <c r="C403" s="199">
        <f ca="1">IFERROR(INDEX(BYEs!$B$2:$B$33,MATCH(D403,BYEs!$A$2:$A$33,0)),"N/A")</f>
        <v>5</v>
      </c>
      <c r="D403" s="195" t="str">
        <f ca="1">INDEX(INDIRECT(""&amp;B403&amp;"!E2:E700"),MATCH(A403,INDIRECT(""&amp;B403&amp;"!B2:B700"),0))</f>
        <v>ATL</v>
      </c>
      <c r="E403" s="194" t="str">
        <f ca="1">INDEX(INDIRECT(""&amp;$B403&amp;"!Z2:Z709"),MATCH($A403,INDIRECT(""&amp;$B403&amp;"!B2:B709"),0))</f>
        <v>TE11</v>
      </c>
      <c r="F403" s="196">
        <f ca="1">IF(LeagueInfo!$H$7="Starter/Bench",INDEX(INDIRECT(""&amp;B403&amp;"!S2:S709"),MATCH(A403,INDIRECT(""&amp;B403&amp;"!B2:B709"),0)),INDEX(INDIRECT(""&amp;B403&amp;"!AA2:AA709"),MATCH(A403,INDIRECT(""&amp;B403&amp;"!B2:B709"),0)))</f>
        <v>-13.335128880215789</v>
      </c>
      <c r="G403" s="200">
        <f>IF(H403&gt;0,F403-H403,0)</f>
        <v>0</v>
      </c>
      <c r="H403" s="198"/>
      <c r="I403" s="200">
        <f ca="1">F403*$A$2</f>
        <v>-13.335128880215789</v>
      </c>
      <c r="J403" s="197" t="s">
        <v>80</v>
      </c>
      <c r="K403" s="197">
        <f>IF(LeagueInfo!$F$7="Yahoo",IFERROR(INDEX(DefaultAuctionValues!$B$2:$B$359,MATCH(A403,DefaultAuctionValues!$A$2:$A$359,0)),0),IF(LeagueInfo!$F$7="ESPN",IFERROR(INDEX(DefaultAuctionValues!$C$2:$C$359,MATCH(A403,DefaultAuctionValues!$A$2:$A$359,0)),0),IF(LeagueInfo!$F$7="FantasyPros",IFERROR(INDEX(DefaultAuctionValues!$D$2:$D$359,MATCH(A403,DefaultAuctionValues!$A$2:$A$359,0)),0))))</f>
        <v>0</v>
      </c>
      <c r="L403" s="201">
        <f ca="1">I403-K403</f>
        <v>-13.335128880215789</v>
      </c>
      <c r="M403" s="213"/>
      <c r="N403" s="208">
        <f ca="1">INDEX(INDIRECT(""&amp;$B403&amp;"!y2:y709"),MATCH($A403,INDIRECT(""&amp;$B403&amp;"!B2:B709"),0))</f>
        <v>-27.839999999999996</v>
      </c>
      <c r="O403" s="217" t="str">
        <f ca="1">IF(INDEX(INDIRECT(""&amp;$B403&amp;"!V2:V700"),MATCH($A403,INDIRECT(""&amp;$B403&amp;"!B2:B700"),0))=0,"",INDEX(INDIRECT(""&amp;$B403&amp;"!V2:V700"),MATCH($A403,INDIRECT(""&amp;$B403&amp;"!B2:B700"),0)))</f>
        <v/>
      </c>
    </row>
    <row r="404" spans="1:15" x14ac:dyDescent="0.25">
      <c r="A404" s="195" t="s">
        <v>768</v>
      </c>
      <c r="B404" s="195" t="s">
        <v>47</v>
      </c>
      <c r="C404" s="199">
        <f ca="1">IFERROR(INDEX(BYEs!$B$2:$B$33,MATCH(D404,BYEs!$A$2:$A$33,0)),"N/A")</f>
        <v>6</v>
      </c>
      <c r="D404" s="195" t="str">
        <f ca="1">INDEX(INDIRECT(""&amp;B404&amp;"!E2:E700"),MATCH(A404,INDIRECT(""&amp;B404&amp;"!B2:B700"),0))</f>
        <v>CIN</v>
      </c>
      <c r="E404" s="194" t="str">
        <f ca="1">INDEX(INDIRECT(""&amp;$B404&amp;"!Z2:Z709"),MATCH($A404,INDIRECT(""&amp;$B404&amp;"!B2:B709"),0))</f>
        <v>TE11</v>
      </c>
      <c r="F404" s="196">
        <f ca="1">IF(LeagueInfo!$H$7="Starter/Bench",INDEX(INDIRECT(""&amp;B404&amp;"!S2:S709"),MATCH(A404,INDIRECT(""&amp;B404&amp;"!B2:B709"),0)),INDEX(INDIRECT(""&amp;B404&amp;"!AA2:AA709"),MATCH(A404,INDIRECT(""&amp;B404&amp;"!B2:B709"),0)))</f>
        <v>-13.378238133061314</v>
      </c>
      <c r="G404" s="200">
        <f>IF(H404&gt;0,F404-H404,0)</f>
        <v>0</v>
      </c>
      <c r="H404" s="198"/>
      <c r="I404" s="200">
        <f ca="1">F404*$A$2</f>
        <v>-13.378238133061314</v>
      </c>
      <c r="J404" s="197" t="s">
        <v>80</v>
      </c>
      <c r="K404" s="197">
        <f>IF(LeagueInfo!$F$7="Yahoo",IFERROR(INDEX(DefaultAuctionValues!$B$2:$B$359,MATCH(A404,DefaultAuctionValues!$A$2:$A$359,0)),0),IF(LeagueInfo!$F$7="ESPN",IFERROR(INDEX(DefaultAuctionValues!$C$2:$C$359,MATCH(A404,DefaultAuctionValues!$A$2:$A$359,0)),0),IF(LeagueInfo!$F$7="FantasyPros",IFERROR(INDEX(DefaultAuctionValues!$D$2:$D$359,MATCH(A404,DefaultAuctionValues!$A$2:$A$359,0)),0))))</f>
        <v>0</v>
      </c>
      <c r="L404" s="201">
        <f ca="1">I404-K404</f>
        <v>-13.378238133061314</v>
      </c>
      <c r="M404" s="213"/>
      <c r="N404" s="208">
        <f ca="1">INDEX(INDIRECT(""&amp;$B404&amp;"!y2:y709"),MATCH($A404,INDIRECT(""&amp;$B404&amp;"!B2:B709"),0))</f>
        <v>-27.93</v>
      </c>
      <c r="O404" s="217" t="str">
        <f ca="1">IF(INDEX(INDIRECT(""&amp;$B404&amp;"!V2:V700"),MATCH($A404,INDIRECT(""&amp;$B404&amp;"!B2:B700"),0))=0,"",INDEX(INDIRECT(""&amp;$B404&amp;"!V2:V700"),MATCH($A404,INDIRECT(""&amp;$B404&amp;"!B2:B700"),0)))</f>
        <v/>
      </c>
    </row>
    <row r="405" spans="1:15" x14ac:dyDescent="0.25">
      <c r="A405" s="195" t="s">
        <v>775</v>
      </c>
      <c r="B405" s="195" t="s">
        <v>47</v>
      </c>
      <c r="C405" s="199">
        <f ca="1">IFERROR(INDEX(BYEs!$B$2:$B$33,MATCH(D405,BYEs!$A$2:$A$33,0)),"N/A")</f>
        <v>11</v>
      </c>
      <c r="D405" s="195" t="str">
        <f ca="1">INDEX(INDIRECT(""&amp;B405&amp;"!E2:E700"),MATCH(A405,INDIRECT(""&amp;B405&amp;"!B2:B700"),0))</f>
        <v>CAR</v>
      </c>
      <c r="E405" s="194" t="str">
        <f ca="1">INDEX(INDIRECT(""&amp;$B405&amp;"!Z2:Z709"),MATCH($A405,INDIRECT(""&amp;$B405&amp;"!B2:B709"),0))</f>
        <v>TE11</v>
      </c>
      <c r="F405" s="196">
        <f ca="1">IF(LeagueInfo!$H$7="Starter/Bench",INDEX(INDIRECT(""&amp;B405&amp;"!S2:S709"),MATCH(A405,INDIRECT(""&amp;B405&amp;"!B2:B709"),0)),INDEX(INDIRECT(""&amp;B405&amp;"!AA2:AA709"),MATCH(A405,INDIRECT(""&amp;B405&amp;"!B2:B709"),0)))</f>
        <v>-13.414162510432586</v>
      </c>
      <c r="G405" s="200">
        <f>IF(H405&gt;0,F405-H405,0)</f>
        <v>0</v>
      </c>
      <c r="H405" s="198"/>
      <c r="I405" s="200">
        <f ca="1">F405*$A$2</f>
        <v>-13.414162510432586</v>
      </c>
      <c r="J405" s="197" t="s">
        <v>80</v>
      </c>
      <c r="K405" s="197">
        <f>IF(LeagueInfo!$F$7="Yahoo",IFERROR(INDEX(DefaultAuctionValues!$B$2:$B$359,MATCH(A405,DefaultAuctionValues!$A$2:$A$359,0)),0),IF(LeagueInfo!$F$7="ESPN",IFERROR(INDEX(DefaultAuctionValues!$C$2:$C$359,MATCH(A405,DefaultAuctionValues!$A$2:$A$359,0)),0),IF(LeagueInfo!$F$7="FantasyPros",IFERROR(INDEX(DefaultAuctionValues!$D$2:$D$359,MATCH(A405,DefaultAuctionValues!$A$2:$A$359,0)),0))))</f>
        <v>0</v>
      </c>
      <c r="L405" s="201">
        <f ca="1">I405-K405</f>
        <v>-13.414162510432586</v>
      </c>
      <c r="M405" s="213"/>
      <c r="N405" s="208">
        <f ca="1">INDEX(INDIRECT(""&amp;$B405&amp;"!y2:y709"),MATCH($A405,INDIRECT(""&amp;$B405&amp;"!B2:B709"),0))</f>
        <v>-28.004999999999999</v>
      </c>
      <c r="O405" s="217" t="str">
        <f ca="1">IF(INDEX(INDIRECT(""&amp;$B405&amp;"!V2:V700"),MATCH($A405,INDIRECT(""&amp;$B405&amp;"!B2:B700"),0))=0,"",INDEX(INDIRECT(""&amp;$B405&amp;"!V2:V700"),MATCH($A405,INDIRECT(""&amp;$B405&amp;"!B2:B700"),0)))</f>
        <v/>
      </c>
    </row>
    <row r="406" spans="1:15" x14ac:dyDescent="0.25">
      <c r="A406" s="195" t="s">
        <v>763</v>
      </c>
      <c r="B406" s="195" t="s">
        <v>47</v>
      </c>
      <c r="C406" s="199">
        <f ca="1">IFERROR(INDEX(BYEs!$B$2:$B$33,MATCH(D406,BYEs!$A$2:$A$33,0)),"N/A")</f>
        <v>10</v>
      </c>
      <c r="D406" s="195" t="str">
        <f ca="1">INDEX(INDIRECT(""&amp;B406&amp;"!E2:E700"),MATCH(A406,INDIRECT(""&amp;B406&amp;"!B2:B700"),0))</f>
        <v>KC</v>
      </c>
      <c r="E406" s="194" t="str">
        <f ca="1">INDEX(INDIRECT(""&amp;$B406&amp;"!Z2:Z709"),MATCH($A406,INDIRECT(""&amp;$B406&amp;"!B2:B709"),0))</f>
        <v>TE11</v>
      </c>
      <c r="F406" s="196">
        <f ca="1">IF(LeagueInfo!$H$7="Starter/Bench",INDEX(INDIRECT(""&amp;B406&amp;"!S2:S709"),MATCH(A406,INDIRECT(""&amp;B406&amp;"!B2:B709"),0)),INDEX(INDIRECT(""&amp;B406&amp;"!AA2:AA709"),MATCH(A406,INDIRECT(""&amp;B406&amp;"!B2:B709"),0)))</f>
        <v>-13.416557468924003</v>
      </c>
      <c r="G406" s="200">
        <f>IF(H406&gt;0,F406-H406,0)</f>
        <v>0</v>
      </c>
      <c r="H406" s="198"/>
      <c r="I406" s="200">
        <f ca="1">F406*$A$2</f>
        <v>-13.416557468924003</v>
      </c>
      <c r="J406" s="197" t="s">
        <v>80</v>
      </c>
      <c r="K406" s="197">
        <f>IF(LeagueInfo!$F$7="Yahoo",IFERROR(INDEX(DefaultAuctionValues!$B$2:$B$359,MATCH(A406,DefaultAuctionValues!$A$2:$A$359,0)),0),IF(LeagueInfo!$F$7="ESPN",IFERROR(INDEX(DefaultAuctionValues!$C$2:$C$359,MATCH(A406,DefaultAuctionValues!$A$2:$A$359,0)),0),IF(LeagueInfo!$F$7="FantasyPros",IFERROR(INDEX(DefaultAuctionValues!$D$2:$D$359,MATCH(A406,DefaultAuctionValues!$A$2:$A$359,0)),0))))</f>
        <v>0</v>
      </c>
      <c r="L406" s="201">
        <f ca="1">I406-K406</f>
        <v>-13.416557468924003</v>
      </c>
      <c r="M406" s="213"/>
      <c r="N406" s="208">
        <f ca="1">INDEX(INDIRECT(""&amp;$B406&amp;"!y2:y709"),MATCH($A406,INDIRECT(""&amp;$B406&amp;"!B2:B709"),0))</f>
        <v>-28.009999999999998</v>
      </c>
      <c r="O406" s="217" t="str">
        <f ca="1">IF(INDEX(INDIRECT(""&amp;$B406&amp;"!V2:V700"),MATCH($A406,INDIRECT(""&amp;$B406&amp;"!B2:B700"),0))=0,"",INDEX(INDIRECT(""&amp;$B406&amp;"!V2:V700"),MATCH($A406,INDIRECT(""&amp;$B406&amp;"!B2:B700"),0)))</f>
        <v/>
      </c>
    </row>
    <row r="407" spans="1:15" x14ac:dyDescent="0.25">
      <c r="A407" s="195" t="s">
        <v>766</v>
      </c>
      <c r="B407" s="195" t="s">
        <v>47</v>
      </c>
      <c r="C407" s="199">
        <f ca="1">IFERROR(INDEX(BYEs!$B$2:$B$33,MATCH(D407,BYEs!$A$2:$A$33,0)),"N/A")</f>
        <v>7</v>
      </c>
      <c r="D407" s="195" t="str">
        <f ca="1">INDEX(INDIRECT(""&amp;B407&amp;"!E2:E700"),MATCH(A407,INDIRECT(""&amp;B407&amp;"!B2:B700"),0))</f>
        <v>DET</v>
      </c>
      <c r="E407" s="194" t="str">
        <f ca="1">INDEX(INDIRECT(""&amp;$B407&amp;"!Z2:Z709"),MATCH($A407,INDIRECT(""&amp;$B407&amp;"!B2:B709"),0))</f>
        <v>TE11</v>
      </c>
      <c r="F407" s="196">
        <f ca="1">IF(LeagueInfo!$H$7="Starter/Bench",INDEX(INDIRECT(""&amp;B407&amp;"!S2:S709"),MATCH(A407,INDIRECT(""&amp;B407&amp;"!B2:B709"),0)),INDEX(INDIRECT(""&amp;B407&amp;"!AA2:AA709"),MATCH(A407,INDIRECT(""&amp;B407&amp;"!B2:B709"),0)))</f>
        <v>-13.47164151422662</v>
      </c>
      <c r="G407" s="200">
        <f>IF(H407&gt;0,F407-H407,0)</f>
        <v>0</v>
      </c>
      <c r="H407" s="198"/>
      <c r="I407" s="200">
        <f ca="1">F407*$A$2</f>
        <v>-13.47164151422662</v>
      </c>
      <c r="J407" s="197" t="s">
        <v>80</v>
      </c>
      <c r="K407" s="197">
        <f>IF(LeagueInfo!$F$7="Yahoo",IFERROR(INDEX(DefaultAuctionValues!$B$2:$B$359,MATCH(A407,DefaultAuctionValues!$A$2:$A$359,0)),0),IF(LeagueInfo!$F$7="ESPN",IFERROR(INDEX(DefaultAuctionValues!$C$2:$C$359,MATCH(A407,DefaultAuctionValues!$A$2:$A$359,0)),0),IF(LeagueInfo!$F$7="FantasyPros",IFERROR(INDEX(DefaultAuctionValues!$D$2:$D$359,MATCH(A407,DefaultAuctionValues!$A$2:$A$359,0)),0))))</f>
        <v>0</v>
      </c>
      <c r="L407" s="201">
        <f ca="1">I407-K407</f>
        <v>-13.47164151422662</v>
      </c>
      <c r="M407" s="213"/>
      <c r="N407" s="208">
        <f ca="1">INDEX(INDIRECT(""&amp;$B407&amp;"!y2:y709"),MATCH($A407,INDIRECT(""&amp;$B407&amp;"!B2:B709"),0))</f>
        <v>-28.125</v>
      </c>
      <c r="O407" s="217" t="str">
        <f ca="1">IF(INDEX(INDIRECT(""&amp;$B407&amp;"!V2:V700"),MATCH($A407,INDIRECT(""&amp;$B407&amp;"!B2:B700"),0))=0,"",INDEX(INDIRECT(""&amp;$B407&amp;"!V2:V700"),MATCH($A407,INDIRECT(""&amp;$B407&amp;"!B2:B700"),0)))</f>
        <v/>
      </c>
    </row>
    <row r="408" spans="1:15" x14ac:dyDescent="0.25">
      <c r="A408" s="195" t="s">
        <v>488</v>
      </c>
      <c r="B408" s="195" t="s">
        <v>32</v>
      </c>
      <c r="C408" s="199">
        <f ca="1">IFERROR(INDEX(BYEs!$B$2:$B$33,MATCH(D408,BYEs!$A$2:$A$33,0)),"N/A")</f>
        <v>10</v>
      </c>
      <c r="D408" s="195" t="str">
        <f ca="1">INDEX(INDIRECT(""&amp;B408&amp;"!E2:E700"),MATCH(A408,INDIRECT(""&amp;B408&amp;"!B2:B700"),0))</f>
        <v>OAK</v>
      </c>
      <c r="E408" s="194" t="str">
        <f ca="1">INDEX(INDIRECT(""&amp;$B408&amp;"!Z2:Z709"),MATCH($A408,INDIRECT(""&amp;$B408&amp;"!B2:B709"),0))</f>
        <v>RB12</v>
      </c>
      <c r="F408" s="196">
        <f ca="1">IF(LeagueInfo!$H$7="Starter/Bench",INDEX(INDIRECT(""&amp;B408&amp;"!S2:S709"),MATCH(A408,INDIRECT(""&amp;B408&amp;"!B2:B709"),0)),INDEX(INDIRECT(""&amp;B408&amp;"!AA2:AA709"),MATCH(A408,INDIRECT(""&amp;B408&amp;"!B2:B709"),0)))</f>
        <v>-13.541095310477745</v>
      </c>
      <c r="G408" s="200">
        <f>IF(H408&gt;0,F408-H408,0)</f>
        <v>0</v>
      </c>
      <c r="H408" s="198"/>
      <c r="I408" s="200">
        <f ca="1">F408*$A$2</f>
        <v>-13.541095310477745</v>
      </c>
      <c r="J408" s="197" t="s">
        <v>80</v>
      </c>
      <c r="K408" s="197">
        <f>IF(LeagueInfo!$F$7="Yahoo",IFERROR(INDEX(DefaultAuctionValues!$B$2:$B$359,MATCH(A408,DefaultAuctionValues!$A$2:$A$359,0)),0),IF(LeagueInfo!$F$7="ESPN",IFERROR(INDEX(DefaultAuctionValues!$C$2:$C$359,MATCH(A408,DefaultAuctionValues!$A$2:$A$359,0)),0),IF(LeagueInfo!$F$7="FantasyPros",IFERROR(INDEX(DefaultAuctionValues!$D$2:$D$359,MATCH(A408,DefaultAuctionValues!$A$2:$A$359,0)),0))))</f>
        <v>0</v>
      </c>
      <c r="L408" s="201">
        <f ca="1">I408-K408</f>
        <v>-13.541095310477745</v>
      </c>
      <c r="M408" s="213"/>
      <c r="N408" s="208">
        <f ca="1">INDEX(INDIRECT(""&amp;$B408&amp;"!y2:y709"),MATCH($A408,INDIRECT(""&amp;$B408&amp;"!B2:B709"),0))</f>
        <v>-28.270000000000003</v>
      </c>
      <c r="O408" s="217" t="str">
        <f ca="1">IF(INDEX(INDIRECT(""&amp;$B408&amp;"!V2:V700"),MATCH($A408,INDIRECT(""&amp;$B408&amp;"!B2:B700"),0))=0,"",INDEX(INDIRECT(""&amp;$B408&amp;"!V2:V700"),MATCH($A408,INDIRECT(""&amp;$B408&amp;"!B2:B700"),0)))</f>
        <v/>
      </c>
    </row>
    <row r="409" spans="1:15" x14ac:dyDescent="0.25">
      <c r="A409" s="195" t="s">
        <v>473</v>
      </c>
      <c r="B409" s="195" t="s">
        <v>32</v>
      </c>
      <c r="C409" s="199">
        <f ca="1">IFERROR(INDEX(BYEs!$B$2:$B$33,MATCH(D409,BYEs!$A$2:$A$33,0)),"N/A")</f>
        <v>9</v>
      </c>
      <c r="D409" s="195" t="str">
        <f ca="1">INDEX(INDIRECT(""&amp;B409&amp;"!E2:E700"),MATCH(A409,INDIRECT(""&amp;B409&amp;"!B2:B700"),0))</f>
        <v>LAC</v>
      </c>
      <c r="E409" s="194" t="str">
        <f ca="1">INDEX(INDIRECT(""&amp;$B409&amp;"!Z2:Z709"),MATCH($A409,INDIRECT(""&amp;$B409&amp;"!B2:B709"),0))</f>
        <v>RB12</v>
      </c>
      <c r="F409" s="196">
        <f ca="1">IF(LeagueInfo!$H$7="Starter/Bench",INDEX(INDIRECT(""&amp;B409&amp;"!S2:S709"),MATCH(A409,INDIRECT(""&amp;B409&amp;"!B2:B709"),0)),INDEX(INDIRECT(""&amp;B409&amp;"!AA2:AA709"),MATCH(A409,INDIRECT(""&amp;B409&amp;"!B2:B709"),0)))</f>
        <v>-13.548280185952001</v>
      </c>
      <c r="G409" s="200">
        <f>IF(H409&gt;0,F409-H409,0)</f>
        <v>0</v>
      </c>
      <c r="H409" s="198"/>
      <c r="I409" s="200">
        <f ca="1">F409*$A$2</f>
        <v>-13.548280185952001</v>
      </c>
      <c r="J409" s="197" t="s">
        <v>80</v>
      </c>
      <c r="K409" s="197">
        <f>IF(LeagueInfo!$F$7="Yahoo",IFERROR(INDEX(DefaultAuctionValues!$B$2:$B$359,MATCH(A409,DefaultAuctionValues!$A$2:$A$359,0)),0),IF(LeagueInfo!$F$7="ESPN",IFERROR(INDEX(DefaultAuctionValues!$C$2:$C$359,MATCH(A409,DefaultAuctionValues!$A$2:$A$359,0)),0),IF(LeagueInfo!$F$7="FantasyPros",IFERROR(INDEX(DefaultAuctionValues!$D$2:$D$359,MATCH(A409,DefaultAuctionValues!$A$2:$A$359,0)),0))))</f>
        <v>0</v>
      </c>
      <c r="L409" s="201">
        <f ca="1">I409-K409</f>
        <v>-13.548280185952001</v>
      </c>
      <c r="M409" s="213"/>
      <c r="N409" s="208">
        <f ca="1">INDEX(INDIRECT(""&amp;$B409&amp;"!y2:y709"),MATCH($A409,INDIRECT(""&amp;$B409&amp;"!B2:B709"),0))</f>
        <v>-28.285000000000004</v>
      </c>
      <c r="O409" s="217" t="str">
        <f ca="1">IF(INDEX(INDIRECT(""&amp;$B409&amp;"!V2:V700"),MATCH($A409,INDIRECT(""&amp;$B409&amp;"!B2:B700"),0))=0,"",INDEX(INDIRECT(""&amp;$B409&amp;"!V2:V700"),MATCH($A409,INDIRECT(""&amp;$B409&amp;"!B2:B700"),0)))</f>
        <v/>
      </c>
    </row>
    <row r="410" spans="1:15" x14ac:dyDescent="0.25">
      <c r="A410" s="195" t="s">
        <v>548</v>
      </c>
      <c r="B410" s="195" t="s">
        <v>32</v>
      </c>
      <c r="C410" s="199">
        <f ca="1">IFERROR(INDEX(BYEs!$B$2:$B$33,MATCH(D410,BYEs!$A$2:$A$33,0)),"N/A")</f>
        <v>6</v>
      </c>
      <c r="D410" s="195" t="str">
        <f ca="1">INDEX(INDIRECT(""&amp;B410&amp;"!E2:E700"),MATCH(A410,INDIRECT(""&amp;B410&amp;"!B2:B700"),0))</f>
        <v>DAL</v>
      </c>
      <c r="E410" s="194" t="str">
        <f ca="1">INDEX(INDIRECT(""&amp;$B410&amp;"!Z2:Z709"),MATCH($A410,INDIRECT(""&amp;$B410&amp;"!B2:B709"),0))</f>
        <v>RB12</v>
      </c>
      <c r="F410" s="196">
        <f ca="1">IF(LeagueInfo!$H$7="Starter/Bench",INDEX(INDIRECT(""&amp;B410&amp;"!S2:S709"),MATCH(A410,INDIRECT(""&amp;B410&amp;"!B2:B709"),0)),INDEX(INDIRECT(""&amp;B410&amp;"!AA2:AA709"),MATCH(A410,INDIRECT(""&amp;B410&amp;"!B2:B709"),0)))</f>
        <v>-13.560254978409089</v>
      </c>
      <c r="G410" s="200">
        <f>IF(H410&gt;0,F410-H410,0)</f>
        <v>0</v>
      </c>
      <c r="H410" s="198"/>
      <c r="I410" s="200">
        <f ca="1">F410*$A$2</f>
        <v>-13.560254978409089</v>
      </c>
      <c r="J410" s="197" t="s">
        <v>80</v>
      </c>
      <c r="K410" s="197">
        <f>IF(LeagueInfo!$F$7="Yahoo",IFERROR(INDEX(DefaultAuctionValues!$B$2:$B$359,MATCH(A410,DefaultAuctionValues!$A$2:$A$359,0)),0),IF(LeagueInfo!$F$7="ESPN",IFERROR(INDEX(DefaultAuctionValues!$C$2:$C$359,MATCH(A410,DefaultAuctionValues!$A$2:$A$359,0)),0),IF(LeagueInfo!$F$7="FantasyPros",IFERROR(INDEX(DefaultAuctionValues!$D$2:$D$359,MATCH(A410,DefaultAuctionValues!$A$2:$A$359,0)),0))))</f>
        <v>0</v>
      </c>
      <c r="L410" s="201">
        <f ca="1">I410-K410</f>
        <v>-13.560254978409089</v>
      </c>
      <c r="M410" s="213"/>
      <c r="N410" s="208">
        <f ca="1">INDEX(INDIRECT(""&amp;$B410&amp;"!y2:y709"),MATCH($A410,INDIRECT(""&amp;$B410&amp;"!B2:B709"),0))</f>
        <v>-28.310000000000002</v>
      </c>
      <c r="O410" s="217" t="str">
        <f ca="1">IF(INDEX(INDIRECT(""&amp;$B410&amp;"!V2:V700"),MATCH($A410,INDIRECT(""&amp;$B410&amp;"!B2:B700"),0))=0,"",INDEX(INDIRECT(""&amp;$B410&amp;"!V2:V700"),MATCH($A410,INDIRECT(""&amp;$B410&amp;"!B2:B700"),0)))</f>
        <v/>
      </c>
    </row>
    <row r="411" spans="1:15" x14ac:dyDescent="0.25">
      <c r="A411" s="195" t="s">
        <v>776</v>
      </c>
      <c r="B411" s="195" t="s">
        <v>47</v>
      </c>
      <c r="C411" s="199">
        <f ca="1">IFERROR(INDEX(BYEs!$B$2:$B$33,MATCH(D411,BYEs!$A$2:$A$33,0)),"N/A")</f>
        <v>10</v>
      </c>
      <c r="D411" s="195" t="str">
        <f ca="1">INDEX(INDIRECT(""&amp;B411&amp;"!E2:E700"),MATCH(A411,INDIRECT(""&amp;B411&amp;"!B2:B700"),0))</f>
        <v>KC</v>
      </c>
      <c r="E411" s="194" t="str">
        <f ca="1">INDEX(INDIRECT(""&amp;$B411&amp;"!Z2:Z709"),MATCH($A411,INDIRECT(""&amp;$B411&amp;"!B2:B709"),0))</f>
        <v>TE12</v>
      </c>
      <c r="F411" s="196">
        <f ca="1">IF(LeagueInfo!$H$7="Starter/Bench",INDEX(INDIRECT(""&amp;B411&amp;"!S2:S709"),MATCH(A411,INDIRECT(""&amp;B411&amp;"!B2:B709"),0)),INDEX(INDIRECT(""&amp;B411&amp;"!AA2:AA709"),MATCH(A411,INDIRECT(""&amp;B411&amp;"!B2:B709"),0)))</f>
        <v>-13.56983481237476</v>
      </c>
      <c r="G411" s="200">
        <f>IF(H411&gt;0,F411-H411,0)</f>
        <v>0</v>
      </c>
      <c r="H411" s="198"/>
      <c r="I411" s="200">
        <f ca="1">F411*$A$2</f>
        <v>-13.56983481237476</v>
      </c>
      <c r="J411" s="197" t="s">
        <v>80</v>
      </c>
      <c r="K411" s="197">
        <f>IF(LeagueInfo!$F$7="Yahoo",IFERROR(INDEX(DefaultAuctionValues!$B$2:$B$359,MATCH(A411,DefaultAuctionValues!$A$2:$A$359,0)),0),IF(LeagueInfo!$F$7="ESPN",IFERROR(INDEX(DefaultAuctionValues!$C$2:$C$359,MATCH(A411,DefaultAuctionValues!$A$2:$A$359,0)),0),IF(LeagueInfo!$F$7="FantasyPros",IFERROR(INDEX(DefaultAuctionValues!$D$2:$D$359,MATCH(A411,DefaultAuctionValues!$A$2:$A$359,0)),0))))</f>
        <v>0</v>
      </c>
      <c r="L411" s="201">
        <f ca="1">I411-K411</f>
        <v>-13.56983481237476</v>
      </c>
      <c r="M411" s="213"/>
      <c r="N411" s="208">
        <f ca="1">INDEX(INDIRECT(""&amp;$B411&amp;"!y2:y709"),MATCH($A411,INDIRECT(""&amp;$B411&amp;"!B2:B709"),0))</f>
        <v>-28.33</v>
      </c>
      <c r="O411" s="217" t="str">
        <f ca="1">IF(INDEX(INDIRECT(""&amp;$B411&amp;"!V2:V700"),MATCH($A411,INDIRECT(""&amp;$B411&amp;"!B2:B700"),0))=0,"",INDEX(INDIRECT(""&amp;$B411&amp;"!V2:V700"),MATCH($A411,INDIRECT(""&amp;$B411&amp;"!B2:B700"),0)))</f>
        <v/>
      </c>
    </row>
    <row r="412" spans="1:15" x14ac:dyDescent="0.25">
      <c r="A412" s="195" t="s">
        <v>762</v>
      </c>
      <c r="B412" s="195" t="s">
        <v>47</v>
      </c>
      <c r="C412" s="199">
        <f ca="1">IFERROR(INDEX(BYEs!$B$2:$B$33,MATCH(D412,BYEs!$A$2:$A$33,0)),"N/A")</f>
        <v>11</v>
      </c>
      <c r="D412" s="195" t="str">
        <f ca="1">INDEX(INDIRECT(""&amp;B412&amp;"!E2:E700"),MATCH(A412,INDIRECT(""&amp;B412&amp;"!B2:B700"),0))</f>
        <v>SF</v>
      </c>
      <c r="E412" s="194" t="str">
        <f ca="1">INDEX(INDIRECT(""&amp;$B412&amp;"!Z2:Z709"),MATCH($A412,INDIRECT(""&amp;$B412&amp;"!B2:B709"),0))</f>
        <v>TE12</v>
      </c>
      <c r="F412" s="196">
        <f ca="1">IF(LeagueInfo!$H$7="Starter/Bench",INDEX(INDIRECT(""&amp;B412&amp;"!S2:S709"),MATCH(A412,INDIRECT(""&amp;B412&amp;"!B2:B709"),0)),INDEX(INDIRECT(""&amp;B412&amp;"!AA2:AA709"),MATCH(A412,INDIRECT(""&amp;B412&amp;"!B2:B709"),0)))</f>
        <v>-13.603364231254613</v>
      </c>
      <c r="G412" s="200">
        <f>IF(H412&gt;0,F412-H412,0)</f>
        <v>0</v>
      </c>
      <c r="H412" s="198"/>
      <c r="I412" s="200">
        <f ca="1">F412*$A$2</f>
        <v>-13.603364231254613</v>
      </c>
      <c r="J412" s="197" t="s">
        <v>80</v>
      </c>
      <c r="K412" s="197">
        <f>IF(LeagueInfo!$F$7="Yahoo",IFERROR(INDEX(DefaultAuctionValues!$B$2:$B$359,MATCH(A412,DefaultAuctionValues!$A$2:$A$359,0)),0),IF(LeagueInfo!$F$7="ESPN",IFERROR(INDEX(DefaultAuctionValues!$C$2:$C$359,MATCH(A412,DefaultAuctionValues!$A$2:$A$359,0)),0),IF(LeagueInfo!$F$7="FantasyPros",IFERROR(INDEX(DefaultAuctionValues!$D$2:$D$359,MATCH(A412,DefaultAuctionValues!$A$2:$A$359,0)),0))))</f>
        <v>0</v>
      </c>
      <c r="L412" s="201">
        <f ca="1">I412-K412</f>
        <v>-13.603364231254613</v>
      </c>
      <c r="M412" s="213"/>
      <c r="N412" s="208">
        <f ca="1">INDEX(INDIRECT(""&amp;$B412&amp;"!y2:y709"),MATCH($A412,INDIRECT(""&amp;$B412&amp;"!B2:B709"),0))</f>
        <v>-28.4</v>
      </c>
      <c r="O412" s="217" t="str">
        <f ca="1">IF(INDEX(INDIRECT(""&amp;$B412&amp;"!V2:V700"),MATCH($A412,INDIRECT(""&amp;$B412&amp;"!B2:B700"),0))=0,"",INDEX(INDIRECT(""&amp;$B412&amp;"!V2:V700"),MATCH($A412,INDIRECT(""&amp;$B412&amp;"!B2:B700"),0)))</f>
        <v/>
      </c>
    </row>
    <row r="413" spans="1:15" x14ac:dyDescent="0.25">
      <c r="A413" s="195" t="s">
        <v>593</v>
      </c>
      <c r="B413" s="195" t="s">
        <v>39</v>
      </c>
      <c r="C413" s="199">
        <f ca="1">IFERROR(INDEX(BYEs!$B$2:$B$33,MATCH(D413,BYEs!$A$2:$A$33,0)),"N/A")</f>
        <v>6</v>
      </c>
      <c r="D413" s="195" t="str">
        <f ca="1">INDEX(INDIRECT(""&amp;B413&amp;"!E2:E700"),MATCH(A413,INDIRECT(""&amp;B413&amp;"!B2:B700"),0))</f>
        <v>BUF</v>
      </c>
      <c r="E413" s="194" t="str">
        <f ca="1">INDEX(INDIRECT(""&amp;$B413&amp;"!Z2:Z709"),MATCH($A413,INDIRECT(""&amp;$B413&amp;"!B2:B709"),0))</f>
        <v>WR10</v>
      </c>
      <c r="F413" s="196">
        <f ca="1">IF(LeagueInfo!$H$7="Starter/Bench",INDEX(INDIRECT(""&amp;B413&amp;"!S2:S709"),MATCH(A413,INDIRECT(""&amp;B413&amp;"!B2:B709"),0)),INDEX(INDIRECT(""&amp;B413&amp;"!AA2:AA709"),MATCH(A413,INDIRECT(""&amp;B413&amp;"!B2:B709"),0)))</f>
        <v>-13.632103733151631</v>
      </c>
      <c r="G413" s="200">
        <f>IF(H413&gt;0,F413-H413,0)</f>
        <v>0</v>
      </c>
      <c r="H413" s="198"/>
      <c r="I413" s="200">
        <f ca="1">F413*$A$2</f>
        <v>-13.632103733151631</v>
      </c>
      <c r="J413" s="197" t="s">
        <v>80</v>
      </c>
      <c r="K413" s="197">
        <f>IF(LeagueInfo!$F$7="Yahoo",IFERROR(INDEX(DefaultAuctionValues!$B$2:$B$359,MATCH(A413,DefaultAuctionValues!$A$2:$A$359,0)),0),IF(LeagueInfo!$F$7="ESPN",IFERROR(INDEX(DefaultAuctionValues!$C$2:$C$359,MATCH(A413,DefaultAuctionValues!$A$2:$A$359,0)),0),IF(LeagueInfo!$F$7="FantasyPros",IFERROR(INDEX(DefaultAuctionValues!$D$2:$D$359,MATCH(A413,DefaultAuctionValues!$A$2:$A$359,0)),0))))</f>
        <v>0</v>
      </c>
      <c r="L413" s="201">
        <f ca="1">I413-K413</f>
        <v>-13.632103733151631</v>
      </c>
      <c r="M413" s="213"/>
      <c r="N413" s="208">
        <f ca="1">INDEX(INDIRECT(""&amp;$B413&amp;"!y2:y709"),MATCH($A413,INDIRECT(""&amp;$B413&amp;"!B2:B709"),0))</f>
        <v>-28.46</v>
      </c>
      <c r="O413" s="217" t="str">
        <f ca="1">IF(INDEX(INDIRECT(""&amp;$B413&amp;"!V2:V700"),MATCH($A413,INDIRECT(""&amp;$B413&amp;"!B2:B700"),0))=0,"",INDEX(INDIRECT(""&amp;$B413&amp;"!V2:V700"),MATCH($A413,INDIRECT(""&amp;$B413&amp;"!B2:B700"),0)))</f>
        <v/>
      </c>
    </row>
    <row r="414" spans="1:15" x14ac:dyDescent="0.25">
      <c r="A414" s="195" t="s">
        <v>483</v>
      </c>
      <c r="B414" s="195" t="s">
        <v>32</v>
      </c>
      <c r="C414" s="199">
        <f ca="1">IFERROR(INDEX(BYEs!$B$2:$B$33,MATCH(D414,BYEs!$A$2:$A$33,0)),"N/A")</f>
        <v>8</v>
      </c>
      <c r="D414" s="195" t="str">
        <f ca="1">INDEX(INDIRECT(""&amp;B414&amp;"!E2:E700"),MATCH(A414,INDIRECT(""&amp;B414&amp;"!B2:B700"),0))</f>
        <v>NYG</v>
      </c>
      <c r="E414" s="194" t="str">
        <f ca="1">INDEX(INDIRECT(""&amp;$B414&amp;"!Z2:Z709"),MATCH($A414,INDIRECT(""&amp;$B414&amp;"!B2:B709"),0))</f>
        <v>RB12</v>
      </c>
      <c r="F414" s="196">
        <f ca="1">IF(LeagueInfo!$H$7="Starter/Bench",INDEX(INDIRECT(""&amp;B414&amp;"!S2:S709"),MATCH(A414,INDIRECT(""&amp;B414&amp;"!B2:B709"),0)),INDEX(INDIRECT(""&amp;B414&amp;"!AA2:AA709"),MATCH(A414,INDIRECT(""&amp;B414&amp;"!B2:B709"),0)))</f>
        <v>-13.63689365013447</v>
      </c>
      <c r="G414" s="200">
        <f>IF(H414&gt;0,F414-H414,0)</f>
        <v>0</v>
      </c>
      <c r="H414" s="198"/>
      <c r="I414" s="200">
        <f ca="1">F414*$A$2</f>
        <v>-13.63689365013447</v>
      </c>
      <c r="J414" s="197" t="s">
        <v>80</v>
      </c>
      <c r="K414" s="197">
        <f>IF(LeagueInfo!$F$7="Yahoo",IFERROR(INDEX(DefaultAuctionValues!$B$2:$B$359,MATCH(A414,DefaultAuctionValues!$A$2:$A$359,0)),0),IF(LeagueInfo!$F$7="ESPN",IFERROR(INDEX(DefaultAuctionValues!$C$2:$C$359,MATCH(A414,DefaultAuctionValues!$A$2:$A$359,0)),0),IF(LeagueInfo!$F$7="FantasyPros",IFERROR(INDEX(DefaultAuctionValues!$D$2:$D$359,MATCH(A414,DefaultAuctionValues!$A$2:$A$359,0)),0))))</f>
        <v>0</v>
      </c>
      <c r="L414" s="201">
        <f ca="1">I414-K414</f>
        <v>-13.63689365013447</v>
      </c>
      <c r="M414" s="213"/>
      <c r="N414" s="208">
        <f ca="1">INDEX(INDIRECT(""&amp;$B414&amp;"!y2:y709"),MATCH($A414,INDIRECT(""&amp;$B414&amp;"!B2:B709"),0))</f>
        <v>-28.470000000000006</v>
      </c>
      <c r="O414" s="217" t="str">
        <f ca="1">IF(INDEX(INDIRECT(""&amp;$B414&amp;"!V2:V700"),MATCH($A414,INDIRECT(""&amp;$B414&amp;"!B2:B700"),0))=0,"",INDEX(INDIRECT(""&amp;$B414&amp;"!V2:V700"),MATCH($A414,INDIRECT(""&amp;$B414&amp;"!B2:B700"),0)))</f>
        <v/>
      </c>
    </row>
    <row r="415" spans="1:15" x14ac:dyDescent="0.25">
      <c r="A415" s="195" t="s">
        <v>489</v>
      </c>
      <c r="B415" s="195" t="s">
        <v>32</v>
      </c>
      <c r="C415" s="199">
        <f ca="1">IFERROR(INDEX(BYEs!$B$2:$B$33,MATCH(D415,BYEs!$A$2:$A$33,0)),"N/A")</f>
        <v>5</v>
      </c>
      <c r="D415" s="195" t="str">
        <f ca="1">INDEX(INDIRECT(""&amp;B415&amp;"!E2:E700"),MATCH(A415,INDIRECT(""&amp;B415&amp;"!B2:B700"),0))</f>
        <v>DEN</v>
      </c>
      <c r="E415" s="194" t="str">
        <f ca="1">INDEX(INDIRECT(""&amp;$B415&amp;"!Z2:Z709"),MATCH($A415,INDIRECT(""&amp;$B415&amp;"!B2:B709"),0))</f>
        <v>RB12</v>
      </c>
      <c r="F415" s="196">
        <f ca="1">IF(LeagueInfo!$H$7="Starter/Bench",INDEX(INDIRECT(""&amp;B415&amp;"!S2:S709"),MATCH(A415,INDIRECT(""&amp;B415&amp;"!B2:B709"),0)),INDEX(INDIRECT(""&amp;B415&amp;"!AA2:AA709"),MATCH(A415,INDIRECT(""&amp;B415&amp;"!B2:B709"),0)))</f>
        <v>-13.639288608625886</v>
      </c>
      <c r="G415" s="200">
        <f>IF(H415&gt;0,F415-H415,0)</f>
        <v>0</v>
      </c>
      <c r="H415" s="198"/>
      <c r="I415" s="200">
        <f ca="1">F415*$A$2</f>
        <v>-13.639288608625886</v>
      </c>
      <c r="J415" s="197" t="s">
        <v>80</v>
      </c>
      <c r="K415" s="197">
        <f>IF(LeagueInfo!$F$7="Yahoo",IFERROR(INDEX(DefaultAuctionValues!$B$2:$B$359,MATCH(A415,DefaultAuctionValues!$A$2:$A$359,0)),0),IF(LeagueInfo!$F$7="ESPN",IFERROR(INDEX(DefaultAuctionValues!$C$2:$C$359,MATCH(A415,DefaultAuctionValues!$A$2:$A$359,0)),0),IF(LeagueInfo!$F$7="FantasyPros",IFERROR(INDEX(DefaultAuctionValues!$D$2:$D$359,MATCH(A415,DefaultAuctionValues!$A$2:$A$359,0)),0))))</f>
        <v>0</v>
      </c>
      <c r="L415" s="201">
        <f ca="1">I415-K415</f>
        <v>-13.639288608625886</v>
      </c>
      <c r="M415" s="213"/>
      <c r="N415" s="208">
        <f ca="1">INDEX(INDIRECT(""&amp;$B415&amp;"!y2:y709"),MATCH($A415,INDIRECT(""&amp;$B415&amp;"!B2:B709"),0))</f>
        <v>-28.475000000000005</v>
      </c>
      <c r="O415" s="217" t="str">
        <f ca="1">IF(INDEX(INDIRECT(""&amp;$B415&amp;"!V2:V700"),MATCH($A415,INDIRECT(""&amp;$B415&amp;"!B2:B700"),0))=0,"",INDEX(INDIRECT(""&amp;$B415&amp;"!V2:V700"),MATCH($A415,INDIRECT(""&amp;$B415&amp;"!B2:B700"),0)))</f>
        <v/>
      </c>
    </row>
    <row r="416" spans="1:15" x14ac:dyDescent="0.25">
      <c r="A416" s="195" t="s">
        <v>764</v>
      </c>
      <c r="B416" s="195" t="s">
        <v>47</v>
      </c>
      <c r="C416" s="199">
        <f ca="1">IFERROR(INDEX(BYEs!$B$2:$B$33,MATCH(D416,BYEs!$A$2:$A$33,0)),"N/A")</f>
        <v>5</v>
      </c>
      <c r="D416" s="195" t="str">
        <f ca="1">INDEX(INDIRECT(""&amp;B416&amp;"!E2:E700"),MATCH(A416,INDIRECT(""&amp;B416&amp;"!B2:B700"),0))</f>
        <v>DEN</v>
      </c>
      <c r="E416" s="194" t="str">
        <f ca="1">INDEX(INDIRECT(""&amp;$B416&amp;"!Z2:Z709"),MATCH($A416,INDIRECT(""&amp;$B416&amp;"!B2:B709"),0))</f>
        <v>TE12</v>
      </c>
      <c r="F416" s="196">
        <f ca="1">IF(LeagueInfo!$H$7="Starter/Bench",INDEX(INDIRECT(""&amp;B416&amp;"!S2:S709"),MATCH(A416,INDIRECT(""&amp;B416&amp;"!B2:B709"),0)),INDEX(INDIRECT(""&amp;B416&amp;"!AA2:AA709"),MATCH(A416,INDIRECT(""&amp;B416&amp;"!B2:B709"),0)))</f>
        <v>-13.715927280351261</v>
      </c>
      <c r="G416" s="200">
        <f>IF(H416&gt;0,F416-H416,0)</f>
        <v>0</v>
      </c>
      <c r="H416" s="198"/>
      <c r="I416" s="200">
        <f ca="1">F416*$A$2</f>
        <v>-13.715927280351261</v>
      </c>
      <c r="J416" s="197" t="s">
        <v>80</v>
      </c>
      <c r="K416" s="197">
        <f>IF(LeagueInfo!$F$7="Yahoo",IFERROR(INDEX(DefaultAuctionValues!$B$2:$B$359,MATCH(A416,DefaultAuctionValues!$A$2:$A$359,0)),0),IF(LeagueInfo!$F$7="ESPN",IFERROR(INDEX(DefaultAuctionValues!$C$2:$C$359,MATCH(A416,DefaultAuctionValues!$A$2:$A$359,0)),0),IF(LeagueInfo!$F$7="FantasyPros",IFERROR(INDEX(DefaultAuctionValues!$D$2:$D$359,MATCH(A416,DefaultAuctionValues!$A$2:$A$359,0)),0))))</f>
        <v>0</v>
      </c>
      <c r="L416" s="201">
        <f ca="1">I416-K416</f>
        <v>-13.715927280351261</v>
      </c>
      <c r="M416" s="213"/>
      <c r="N416" s="208">
        <f ca="1">INDEX(INDIRECT(""&amp;$B416&amp;"!y2:y709"),MATCH($A416,INDIRECT(""&amp;$B416&amp;"!B2:B709"),0))</f>
        <v>-28.634999999999998</v>
      </c>
      <c r="O416" s="217" t="str">
        <f ca="1">IF(INDEX(INDIRECT(""&amp;$B416&amp;"!V2:V700"),MATCH($A416,INDIRECT(""&amp;$B416&amp;"!B2:B700"),0))=0,"",INDEX(INDIRECT(""&amp;$B416&amp;"!V2:V700"),MATCH($A416,INDIRECT(""&amp;$B416&amp;"!B2:B700"),0)))</f>
        <v/>
      </c>
    </row>
    <row r="417" spans="1:15" x14ac:dyDescent="0.25">
      <c r="A417" s="195" t="s">
        <v>753</v>
      </c>
      <c r="B417" s="195" t="s">
        <v>47</v>
      </c>
      <c r="C417" s="199">
        <f ca="1">IFERROR(INDEX(BYEs!$B$2:$B$33,MATCH(D417,BYEs!$A$2:$A$33,0)),"N/A")</f>
        <v>6</v>
      </c>
      <c r="D417" s="195" t="str">
        <f ca="1">INDEX(INDIRECT(""&amp;B417&amp;"!E2:E700"),MATCH(A417,INDIRECT(""&amp;B417&amp;"!B2:B700"),0))</f>
        <v>DAL</v>
      </c>
      <c r="E417" s="194" t="str">
        <f ca="1">INDEX(INDIRECT(""&amp;$B417&amp;"!Z2:Z709"),MATCH($A417,INDIRECT(""&amp;$B417&amp;"!B2:B709"),0))</f>
        <v>TE12</v>
      </c>
      <c r="F417" s="196">
        <f ca="1">IF(LeagueInfo!$H$7="Starter/Bench",INDEX(INDIRECT(""&amp;B417&amp;"!S2:S709"),MATCH(A417,INDIRECT(""&amp;B417&amp;"!B2:B709"),0)),INDEX(INDIRECT(""&amp;B417&amp;"!AA2:AA709"),MATCH(A417,INDIRECT(""&amp;B417&amp;"!B2:B709"),0)))</f>
        <v>-13.723112155825516</v>
      </c>
      <c r="G417" s="200">
        <f>IF(H417&gt;0,F417-H417,0)</f>
        <v>0</v>
      </c>
      <c r="H417" s="198"/>
      <c r="I417" s="200">
        <f ca="1">F417*$A$2</f>
        <v>-13.723112155825516</v>
      </c>
      <c r="J417" s="197" t="s">
        <v>80</v>
      </c>
      <c r="K417" s="197">
        <f>IF(LeagueInfo!$F$7="Yahoo",IFERROR(INDEX(DefaultAuctionValues!$B$2:$B$359,MATCH(A417,DefaultAuctionValues!$A$2:$A$359,0)),0),IF(LeagueInfo!$F$7="ESPN",IFERROR(INDEX(DefaultAuctionValues!$C$2:$C$359,MATCH(A417,DefaultAuctionValues!$A$2:$A$359,0)),0),IF(LeagueInfo!$F$7="FantasyPros",IFERROR(INDEX(DefaultAuctionValues!$D$2:$D$359,MATCH(A417,DefaultAuctionValues!$A$2:$A$359,0)),0))))</f>
        <v>0</v>
      </c>
      <c r="L417" s="201">
        <f ca="1">I417-K417</f>
        <v>-13.723112155825516</v>
      </c>
      <c r="M417" s="213"/>
      <c r="N417" s="208">
        <f ca="1">INDEX(INDIRECT(""&amp;$B417&amp;"!y2:y709"),MATCH($A417,INDIRECT(""&amp;$B417&amp;"!B2:B709"),0))</f>
        <v>-28.65</v>
      </c>
      <c r="O417" s="217" t="str">
        <f ca="1">IF(INDEX(INDIRECT(""&amp;$B417&amp;"!V2:V700"),MATCH($A417,INDIRECT(""&amp;$B417&amp;"!B2:B700"),0))=0,"",INDEX(INDIRECT(""&amp;$B417&amp;"!V2:V700"),MATCH($A417,INDIRECT(""&amp;$B417&amp;"!B2:B700"),0)))</f>
        <v/>
      </c>
    </row>
    <row r="418" spans="1:15" x14ac:dyDescent="0.25">
      <c r="A418" s="195" t="s">
        <v>461</v>
      </c>
      <c r="B418" s="195" t="s">
        <v>39</v>
      </c>
      <c r="C418" s="199">
        <f ca="1">IFERROR(INDEX(BYEs!$B$2:$B$33,MATCH(D418,BYEs!$A$2:$A$33,0)),"N/A")</f>
        <v>8</v>
      </c>
      <c r="D418" s="195" t="str">
        <f ca="1">INDEX(INDIRECT(""&amp;B418&amp;"!E2:E700"),MATCH(A418,INDIRECT(""&amp;B418&amp;"!B2:B700"),0))</f>
        <v>ARI</v>
      </c>
      <c r="E418" s="194" t="str">
        <f ca="1">INDEX(INDIRECT(""&amp;$B418&amp;"!Z2:Z709"),MATCH($A418,INDIRECT(""&amp;$B418&amp;"!B2:B709"),0))</f>
        <v>WR10</v>
      </c>
      <c r="F418" s="196">
        <f ca="1">IF(LeagueInfo!$H$7="Starter/Bench",INDEX(INDIRECT(""&amp;B418&amp;"!S2:S709"),MATCH(A418,INDIRECT(""&amp;B418&amp;"!B2:B709"),0)),INDEX(INDIRECT(""&amp;B418&amp;"!AA2:AA709"),MATCH(A418,INDIRECT(""&amp;B418&amp;"!B2:B709"),0)))</f>
        <v>-13.739876865265444</v>
      </c>
      <c r="G418" s="200">
        <f>IF(H418&gt;0,F418-H418,0)</f>
        <v>0</v>
      </c>
      <c r="H418" s="198"/>
      <c r="I418" s="200">
        <f ca="1">F418*$A$2</f>
        <v>-13.739876865265444</v>
      </c>
      <c r="J418" s="197" t="s">
        <v>80</v>
      </c>
      <c r="K418" s="197">
        <f>IF(LeagueInfo!$F$7="Yahoo",IFERROR(INDEX(DefaultAuctionValues!$B$2:$B$359,MATCH(A418,DefaultAuctionValues!$A$2:$A$359,0)),0),IF(LeagueInfo!$F$7="ESPN",IFERROR(INDEX(DefaultAuctionValues!$C$2:$C$359,MATCH(A418,DefaultAuctionValues!$A$2:$A$359,0)),0),IF(LeagueInfo!$F$7="FantasyPros",IFERROR(INDEX(DefaultAuctionValues!$D$2:$D$359,MATCH(A418,DefaultAuctionValues!$A$2:$A$359,0)),0))))</f>
        <v>0</v>
      </c>
      <c r="L418" s="201">
        <f ca="1">I418-K418</f>
        <v>-13.739876865265444</v>
      </c>
      <c r="M418" s="213"/>
      <c r="N418" s="208">
        <f ca="1">INDEX(INDIRECT(""&amp;$B418&amp;"!y2:y709"),MATCH($A418,INDIRECT(""&amp;$B418&amp;"!B2:B709"),0))</f>
        <v>-28.685000000000002</v>
      </c>
      <c r="O418" s="217" t="str">
        <f ca="1">IF(INDEX(INDIRECT(""&amp;$B418&amp;"!V2:V700"),MATCH($A418,INDIRECT(""&amp;$B418&amp;"!B2:B700"),0))=0,"",INDEX(INDIRECT(""&amp;$B418&amp;"!V2:V700"),MATCH($A418,INDIRECT(""&amp;$B418&amp;"!B2:B700"),0)))</f>
        <v/>
      </c>
    </row>
    <row r="419" spans="1:15" x14ac:dyDescent="0.25">
      <c r="A419" s="195" t="s">
        <v>547</v>
      </c>
      <c r="B419" s="195" t="s">
        <v>32</v>
      </c>
      <c r="C419" s="199">
        <f ca="1">IFERROR(INDEX(BYEs!$B$2:$B$33,MATCH(D419,BYEs!$A$2:$A$33,0)),"N/A")</f>
        <v>6</v>
      </c>
      <c r="D419" s="195" t="str">
        <f ca="1">INDEX(INDIRECT(""&amp;B419&amp;"!E2:E700"),MATCH(A419,INDIRECT(""&amp;B419&amp;"!B2:B700"),0))</f>
        <v>CIN</v>
      </c>
      <c r="E419" s="194" t="str">
        <f ca="1">INDEX(INDIRECT(""&amp;$B419&amp;"!Z2:Z709"),MATCH($A419,INDIRECT(""&amp;$B419&amp;"!B2:B709"),0))</f>
        <v>RB12</v>
      </c>
      <c r="F419" s="196">
        <f ca="1">IF(LeagueInfo!$H$7="Starter/Bench",INDEX(INDIRECT(""&amp;B419&amp;"!S2:S709"),MATCH(A419,INDIRECT(""&amp;B419&amp;"!B2:B709"),0)),INDEX(INDIRECT(""&amp;B419&amp;"!AA2:AA709"),MATCH(A419,INDIRECT(""&amp;B419&amp;"!B2:B709"),0)))</f>
        <v>-13.77101132565388</v>
      </c>
      <c r="G419" s="200">
        <f>IF(H419&gt;0,F419-H419,0)</f>
        <v>0</v>
      </c>
      <c r="H419" s="198"/>
      <c r="I419" s="200">
        <f ca="1">F419*$A$2</f>
        <v>-13.77101132565388</v>
      </c>
      <c r="J419" s="197" t="s">
        <v>80</v>
      </c>
      <c r="K419" s="197">
        <f>IF(LeagueInfo!$F$7="Yahoo",IFERROR(INDEX(DefaultAuctionValues!$B$2:$B$359,MATCH(A419,DefaultAuctionValues!$A$2:$A$359,0)),0),IF(LeagueInfo!$F$7="ESPN",IFERROR(INDEX(DefaultAuctionValues!$C$2:$C$359,MATCH(A419,DefaultAuctionValues!$A$2:$A$359,0)),0),IF(LeagueInfo!$F$7="FantasyPros",IFERROR(INDEX(DefaultAuctionValues!$D$2:$D$359,MATCH(A419,DefaultAuctionValues!$A$2:$A$359,0)),0))))</f>
        <v>0</v>
      </c>
      <c r="L419" s="201">
        <f ca="1">I419-K419</f>
        <v>-13.77101132565388</v>
      </c>
      <c r="M419" s="213"/>
      <c r="N419" s="208">
        <f ca="1">INDEX(INDIRECT(""&amp;$B419&amp;"!y2:y709"),MATCH($A419,INDIRECT(""&amp;$B419&amp;"!B2:B709"),0))</f>
        <v>-28.750000000000004</v>
      </c>
      <c r="O419" s="217" t="str">
        <f ca="1">IF(INDEX(INDIRECT(""&amp;$B419&amp;"!V2:V700"),MATCH($A419,INDIRECT(""&amp;$B419&amp;"!B2:B700"),0))=0,"",INDEX(INDIRECT(""&amp;$B419&amp;"!V2:V700"),MATCH($A419,INDIRECT(""&amp;$B419&amp;"!B2:B700"),0)))</f>
        <v/>
      </c>
    </row>
    <row r="420" spans="1:15" x14ac:dyDescent="0.25">
      <c r="A420" s="195" t="s">
        <v>757</v>
      </c>
      <c r="B420" s="195" t="s">
        <v>47</v>
      </c>
      <c r="C420" s="199">
        <f ca="1">IFERROR(INDEX(BYEs!$B$2:$B$33,MATCH(D420,BYEs!$A$2:$A$33,0)),"N/A")</f>
        <v>8</v>
      </c>
      <c r="D420" s="195" t="str">
        <f ca="1">INDEX(INDIRECT(""&amp;B420&amp;"!E2:E700"),MATCH(A420,INDIRECT(""&amp;B420&amp;"!B2:B700"),0))</f>
        <v>NYG</v>
      </c>
      <c r="E420" s="194" t="str">
        <f ca="1">INDEX(INDIRECT(""&amp;$B420&amp;"!Z2:Z709"),MATCH($A420,INDIRECT(""&amp;$B420&amp;"!B2:B709"),0))</f>
        <v>TE12</v>
      </c>
      <c r="F420" s="196">
        <f ca="1">IF(LeagueInfo!$H$7="Starter/Bench",INDEX(INDIRECT(""&amp;B420&amp;"!S2:S709"),MATCH(A420,INDIRECT(""&amp;B420&amp;"!B2:B709"),0)),INDEX(INDIRECT(""&amp;B420&amp;"!AA2:AA709"),MATCH(A420,INDIRECT(""&amp;B420&amp;"!B2:B709"),0)))</f>
        <v>-13.773406284145294</v>
      </c>
      <c r="G420" s="200">
        <f>IF(H420&gt;0,F420-H420,0)</f>
        <v>0</v>
      </c>
      <c r="H420" s="198"/>
      <c r="I420" s="200">
        <f ca="1">F420*$A$2</f>
        <v>-13.773406284145294</v>
      </c>
      <c r="J420" s="197" t="s">
        <v>80</v>
      </c>
      <c r="K420" s="197">
        <f>IF(LeagueInfo!$F$7="Yahoo",IFERROR(INDEX(DefaultAuctionValues!$B$2:$B$359,MATCH(A420,DefaultAuctionValues!$A$2:$A$359,0)),0),IF(LeagueInfo!$F$7="ESPN",IFERROR(INDEX(DefaultAuctionValues!$C$2:$C$359,MATCH(A420,DefaultAuctionValues!$A$2:$A$359,0)),0),IF(LeagueInfo!$F$7="FantasyPros",IFERROR(INDEX(DefaultAuctionValues!$D$2:$D$359,MATCH(A420,DefaultAuctionValues!$A$2:$A$359,0)),0))))</f>
        <v>0</v>
      </c>
      <c r="L420" s="201">
        <f ca="1">I420-K420</f>
        <v>-13.773406284145294</v>
      </c>
      <c r="M420" s="213"/>
      <c r="N420" s="208">
        <f ca="1">INDEX(INDIRECT(""&amp;$B420&amp;"!y2:y709"),MATCH($A420,INDIRECT(""&amp;$B420&amp;"!B2:B709"),0))</f>
        <v>-28.754999999999995</v>
      </c>
      <c r="O420" s="217" t="str">
        <f ca="1">IF(INDEX(INDIRECT(""&amp;$B420&amp;"!V2:V700"),MATCH($A420,INDIRECT(""&amp;$B420&amp;"!B2:B700"),0))=0,"",INDEX(INDIRECT(""&amp;$B420&amp;"!V2:V700"),MATCH($A420,INDIRECT(""&amp;$B420&amp;"!B2:B700"),0)))</f>
        <v/>
      </c>
    </row>
    <row r="421" spans="1:15" x14ac:dyDescent="0.25">
      <c r="A421" s="195" t="s">
        <v>749</v>
      </c>
      <c r="B421" s="195" t="s">
        <v>47</v>
      </c>
      <c r="C421" s="199">
        <f ca="1">IFERROR(INDEX(BYEs!$B$2:$B$33,MATCH(D421,BYEs!$A$2:$A$33,0)),"N/A")</f>
        <v>6</v>
      </c>
      <c r="D421" s="195" t="str">
        <f ca="1">INDEX(INDIRECT(""&amp;B421&amp;"!E2:E700"),MATCH(A421,INDIRECT(""&amp;B421&amp;"!B2:B700"),0))</f>
        <v>SEA</v>
      </c>
      <c r="E421" s="194" t="str">
        <f ca="1">INDEX(INDIRECT(""&amp;$B421&amp;"!Z2:Z709"),MATCH($A421,INDIRECT(""&amp;$B421&amp;"!B2:B709"),0))</f>
        <v>TE12</v>
      </c>
      <c r="F421" s="196">
        <f ca="1">IF(LeagueInfo!$H$7="Starter/Bench",INDEX(INDIRECT(""&amp;B421&amp;"!S2:S709"),MATCH(A421,INDIRECT(""&amp;B421&amp;"!B2:B709"),0)),INDEX(INDIRECT(""&amp;B421&amp;"!AA2:AA709"),MATCH(A421,INDIRECT(""&amp;B421&amp;"!B2:B709"),0)))</f>
        <v>-13.780591159619551</v>
      </c>
      <c r="G421" s="200">
        <f>IF(H421&gt;0,F421-H421,0)</f>
        <v>0</v>
      </c>
      <c r="H421" s="198"/>
      <c r="I421" s="200">
        <f ca="1">F421*$A$2</f>
        <v>-13.780591159619551</v>
      </c>
      <c r="J421" s="197" t="s">
        <v>80</v>
      </c>
      <c r="K421" s="197">
        <f>IF(LeagueInfo!$F$7="Yahoo",IFERROR(INDEX(DefaultAuctionValues!$B$2:$B$359,MATCH(A421,DefaultAuctionValues!$A$2:$A$359,0)),0),IF(LeagueInfo!$F$7="ESPN",IFERROR(INDEX(DefaultAuctionValues!$C$2:$C$359,MATCH(A421,DefaultAuctionValues!$A$2:$A$359,0)),0),IF(LeagueInfo!$F$7="FantasyPros",IFERROR(INDEX(DefaultAuctionValues!$D$2:$D$359,MATCH(A421,DefaultAuctionValues!$A$2:$A$359,0)),0))))</f>
        <v>0</v>
      </c>
      <c r="L421" s="201">
        <f ca="1">I421-K421</f>
        <v>-13.780591159619551</v>
      </c>
      <c r="M421" s="213"/>
      <c r="N421" s="208">
        <f ca="1">INDEX(INDIRECT(""&amp;$B421&amp;"!y2:y709"),MATCH($A421,INDIRECT(""&amp;$B421&amp;"!B2:B709"),0))</f>
        <v>-28.77</v>
      </c>
      <c r="O421" s="217" t="str">
        <f ca="1">IF(INDEX(INDIRECT(""&amp;$B421&amp;"!V2:V700"),MATCH($A421,INDIRECT(""&amp;$B421&amp;"!B2:B700"),0))=0,"",INDEX(INDIRECT(""&amp;$B421&amp;"!V2:V700"),MATCH($A421,INDIRECT(""&amp;$B421&amp;"!B2:B700"),0)))</f>
        <v/>
      </c>
    </row>
    <row r="422" spans="1:15" x14ac:dyDescent="0.25">
      <c r="A422" s="195" t="s">
        <v>486</v>
      </c>
      <c r="B422" s="195" t="s">
        <v>32</v>
      </c>
      <c r="C422" s="199">
        <f ca="1">IFERROR(INDEX(BYEs!$B$2:$B$33,MATCH(D422,BYEs!$A$2:$A$33,0)),"N/A")</f>
        <v>11</v>
      </c>
      <c r="D422" s="195" t="str">
        <f ca="1">INDEX(INDIRECT(""&amp;B422&amp;"!E2:E700"),MATCH(A422,INDIRECT(""&amp;B422&amp;"!B2:B700"),0))</f>
        <v>CAR</v>
      </c>
      <c r="E422" s="194" t="str">
        <f ca="1">INDEX(INDIRECT(""&amp;$B422&amp;"!Z2:Z709"),MATCH($A422,INDIRECT(""&amp;$B422&amp;"!B2:B709"),0))</f>
        <v>RB12</v>
      </c>
      <c r="F422" s="196">
        <f ca="1">IF(LeagueInfo!$H$7="Starter/Bench",INDEX(INDIRECT(""&amp;B422&amp;"!S2:S709"),MATCH(A422,INDIRECT(""&amp;B422&amp;"!B2:B709"),0)),INDEX(INDIRECT(""&amp;B422&amp;"!AA2:AA709"),MATCH(A422,INDIRECT(""&amp;B422&amp;"!B2:B709"),0)))</f>
        <v>-13.792565952076641</v>
      </c>
      <c r="G422" s="200">
        <f>IF(H422&gt;0,F422-H422,0)</f>
        <v>0</v>
      </c>
      <c r="H422" s="198"/>
      <c r="I422" s="200">
        <f ca="1">F422*$A$2</f>
        <v>-13.792565952076641</v>
      </c>
      <c r="J422" s="197" t="s">
        <v>80</v>
      </c>
      <c r="K422" s="197">
        <f>IF(LeagueInfo!$F$7="Yahoo",IFERROR(INDEX(DefaultAuctionValues!$B$2:$B$359,MATCH(A422,DefaultAuctionValues!$A$2:$A$359,0)),0),IF(LeagueInfo!$F$7="ESPN",IFERROR(INDEX(DefaultAuctionValues!$C$2:$C$359,MATCH(A422,DefaultAuctionValues!$A$2:$A$359,0)),0),IF(LeagueInfo!$F$7="FantasyPros",IFERROR(INDEX(DefaultAuctionValues!$D$2:$D$359,MATCH(A422,DefaultAuctionValues!$A$2:$A$359,0)),0))))</f>
        <v>0</v>
      </c>
      <c r="L422" s="201">
        <f ca="1">I422-K422</f>
        <v>-13.792565952076641</v>
      </c>
      <c r="M422" s="213"/>
      <c r="N422" s="208">
        <f ca="1">INDEX(INDIRECT(""&amp;$B422&amp;"!y2:y709"),MATCH($A422,INDIRECT(""&amp;$B422&amp;"!B2:B709"),0))</f>
        <v>-28.795000000000002</v>
      </c>
      <c r="O422" s="217" t="str">
        <f ca="1">IF(INDEX(INDIRECT(""&amp;$B422&amp;"!V2:V700"),MATCH($A422,INDIRECT(""&amp;$B422&amp;"!B2:B700"),0))=0,"",INDEX(INDIRECT(""&amp;$B422&amp;"!V2:V700"),MATCH($A422,INDIRECT(""&amp;$B422&amp;"!B2:B700"),0)))</f>
        <v/>
      </c>
    </row>
    <row r="423" spans="1:15" x14ac:dyDescent="0.25">
      <c r="A423" s="195" t="s">
        <v>765</v>
      </c>
      <c r="B423" s="195" t="s">
        <v>47</v>
      </c>
      <c r="C423" s="199">
        <f ca="1">IFERROR(INDEX(BYEs!$B$2:$B$33,MATCH(D423,BYEs!$A$2:$A$33,0)),"N/A")</f>
        <v>10</v>
      </c>
      <c r="D423" s="195" t="str">
        <f ca="1">INDEX(INDIRECT(""&amp;B423&amp;"!E2:E700"),MATCH(A423,INDIRECT(""&amp;B423&amp;"!B2:B700"),0))</f>
        <v>BAL</v>
      </c>
      <c r="E423" s="194" t="str">
        <f ca="1">INDEX(INDIRECT(""&amp;$B423&amp;"!Z2:Z709"),MATCH($A423,INDIRECT(""&amp;$B423&amp;"!B2:B709"),0))</f>
        <v>TE12</v>
      </c>
      <c r="F423" s="196">
        <f ca="1">IF(LeagueInfo!$H$7="Starter/Bench",INDEX(INDIRECT(""&amp;B423&amp;"!S2:S709"),MATCH(A423,INDIRECT(""&amp;B423&amp;"!B2:B709"),0)),INDEX(INDIRECT(""&amp;B423&amp;"!AA2:AA709"),MATCH(A423,INDIRECT(""&amp;B423&amp;"!B2:B709"),0)))</f>
        <v>-13.811725620007985</v>
      </c>
      <c r="G423" s="200">
        <f>IF(H423&gt;0,F423-H423,0)</f>
        <v>0</v>
      </c>
      <c r="H423" s="198"/>
      <c r="I423" s="200">
        <f ca="1">F423*$A$2</f>
        <v>-13.811725620007985</v>
      </c>
      <c r="J423" s="197" t="s">
        <v>80</v>
      </c>
      <c r="K423" s="197">
        <f>IF(LeagueInfo!$F$7="Yahoo",IFERROR(INDEX(DefaultAuctionValues!$B$2:$B$359,MATCH(A423,DefaultAuctionValues!$A$2:$A$359,0)),0),IF(LeagueInfo!$F$7="ESPN",IFERROR(INDEX(DefaultAuctionValues!$C$2:$C$359,MATCH(A423,DefaultAuctionValues!$A$2:$A$359,0)),0),IF(LeagueInfo!$F$7="FantasyPros",IFERROR(INDEX(DefaultAuctionValues!$D$2:$D$359,MATCH(A423,DefaultAuctionValues!$A$2:$A$359,0)),0))))</f>
        <v>0</v>
      </c>
      <c r="L423" s="201">
        <f ca="1">I423-K423</f>
        <v>-13.811725620007985</v>
      </c>
      <c r="M423" s="213"/>
      <c r="N423" s="208">
        <f ca="1">INDEX(INDIRECT(""&amp;$B423&amp;"!y2:y709"),MATCH($A423,INDIRECT(""&amp;$B423&amp;"!B2:B709"),0))</f>
        <v>-28.835000000000001</v>
      </c>
      <c r="O423" s="217" t="str">
        <f ca="1">IF(INDEX(INDIRECT(""&amp;$B423&amp;"!V2:V700"),MATCH($A423,INDIRECT(""&amp;$B423&amp;"!B2:B700"),0))=0,"",INDEX(INDIRECT(""&amp;$B423&amp;"!V2:V700"),MATCH($A423,INDIRECT(""&amp;$B423&amp;"!B2:B700"),0)))</f>
        <v/>
      </c>
    </row>
    <row r="424" spans="1:15" x14ac:dyDescent="0.25">
      <c r="A424" s="195" t="s">
        <v>767</v>
      </c>
      <c r="B424" s="195" t="s">
        <v>47</v>
      </c>
      <c r="C424" s="199">
        <f ca="1">IFERROR(INDEX(BYEs!$B$2:$B$33,MATCH(D424,BYEs!$A$2:$A$33,0)),"N/A")</f>
        <v>5</v>
      </c>
      <c r="D424" s="195" t="str">
        <f ca="1">INDEX(INDIRECT(""&amp;B424&amp;"!E2:E700"),MATCH(A424,INDIRECT(""&amp;B424&amp;"!B2:B700"),0))</f>
        <v>ATL</v>
      </c>
      <c r="E424" s="194" t="str">
        <f ca="1">INDEX(INDIRECT(""&amp;$B424&amp;"!Z2:Z709"),MATCH($A424,INDIRECT(""&amp;$B424&amp;"!B2:B709"),0))</f>
        <v>TE12</v>
      </c>
      <c r="F424" s="196">
        <f ca="1">IF(LeagueInfo!$H$7="Starter/Bench",INDEX(INDIRECT(""&amp;B424&amp;"!S2:S709"),MATCH(A424,INDIRECT(""&amp;B424&amp;"!B2:B709"),0)),INDEX(INDIRECT(""&amp;B424&amp;"!AA2:AA709"),MATCH(A424,INDIRECT(""&amp;B424&amp;"!B2:B709"),0)))</f>
        <v>-13.866809665310601</v>
      </c>
      <c r="G424" s="200">
        <f>IF(H424&gt;0,F424-H424,0)</f>
        <v>0</v>
      </c>
      <c r="H424" s="198"/>
      <c r="I424" s="200">
        <f ca="1">F424*$A$2</f>
        <v>-13.866809665310601</v>
      </c>
      <c r="J424" s="197" t="s">
        <v>80</v>
      </c>
      <c r="K424" s="197">
        <f>IF(LeagueInfo!$F$7="Yahoo",IFERROR(INDEX(DefaultAuctionValues!$B$2:$B$359,MATCH(A424,DefaultAuctionValues!$A$2:$A$359,0)),0),IF(LeagueInfo!$F$7="ESPN",IFERROR(INDEX(DefaultAuctionValues!$C$2:$C$359,MATCH(A424,DefaultAuctionValues!$A$2:$A$359,0)),0),IF(LeagueInfo!$F$7="FantasyPros",IFERROR(INDEX(DefaultAuctionValues!$D$2:$D$359,MATCH(A424,DefaultAuctionValues!$A$2:$A$359,0)),0))))</f>
        <v>0</v>
      </c>
      <c r="L424" s="201">
        <f ca="1">I424-K424</f>
        <v>-13.866809665310601</v>
      </c>
      <c r="M424" s="213"/>
      <c r="N424" s="208">
        <f ca="1">INDEX(INDIRECT(""&amp;$B424&amp;"!y2:y709"),MATCH($A424,INDIRECT(""&amp;$B424&amp;"!B2:B709"),0))</f>
        <v>-28.95</v>
      </c>
      <c r="O424" s="217" t="str">
        <f ca="1">IF(INDEX(INDIRECT(""&amp;$B424&amp;"!V2:V700"),MATCH($A424,INDIRECT(""&amp;$B424&amp;"!B2:B700"),0))=0,"",INDEX(INDIRECT(""&amp;$B424&amp;"!V2:V700"),MATCH($A424,INDIRECT(""&amp;$B424&amp;"!B2:B700"),0)))</f>
        <v/>
      </c>
    </row>
    <row r="425" spans="1:15" x14ac:dyDescent="0.25">
      <c r="A425" s="195" t="s">
        <v>605</v>
      </c>
      <c r="B425" s="195" t="s">
        <v>39</v>
      </c>
      <c r="C425" s="199">
        <f ca="1">IFERROR(INDEX(BYEs!$B$2:$B$33,MATCH(D425,BYEs!$A$2:$A$33,0)),"N/A")</f>
        <v>11</v>
      </c>
      <c r="D425" s="195" t="str">
        <f ca="1">INDEX(INDIRECT(""&amp;B425&amp;"!E2:E700"),MATCH(A425,INDIRECT(""&amp;B425&amp;"!B2:B700"),0))</f>
        <v>CAR</v>
      </c>
      <c r="E425" s="194" t="str">
        <f ca="1">INDEX(INDIRECT(""&amp;$B425&amp;"!Z2:Z709"),MATCH($A425,INDIRECT(""&amp;$B425&amp;"!B2:B709"),0))</f>
        <v>WR10</v>
      </c>
      <c r="F425" s="196">
        <f ca="1">IF(LeagueInfo!$H$7="Starter/Bench",INDEX(INDIRECT(""&amp;B425&amp;"!S2:S709"),MATCH(A425,INDIRECT(""&amp;B425&amp;"!B2:B709"),0)),INDEX(INDIRECT(""&amp;B425&amp;"!AA2:AA709"),MATCH(A425,INDIRECT(""&amp;B425&amp;"!B2:B709"),0)))</f>
        <v>-13.91710379363038</v>
      </c>
      <c r="G425" s="200">
        <f>IF(H425&gt;0,F425-H425,0)</f>
        <v>0</v>
      </c>
      <c r="H425" s="198"/>
      <c r="I425" s="200">
        <f ca="1">F425*$A$2</f>
        <v>-13.91710379363038</v>
      </c>
      <c r="J425" s="197" t="s">
        <v>80</v>
      </c>
      <c r="K425" s="197">
        <f>IF(LeagueInfo!$F$7="Yahoo",IFERROR(INDEX(DefaultAuctionValues!$B$2:$B$359,MATCH(A425,DefaultAuctionValues!$A$2:$A$359,0)),0),IF(LeagueInfo!$F$7="ESPN",IFERROR(INDEX(DefaultAuctionValues!$C$2:$C$359,MATCH(A425,DefaultAuctionValues!$A$2:$A$359,0)),0),IF(LeagueInfo!$F$7="FantasyPros",IFERROR(INDEX(DefaultAuctionValues!$D$2:$D$359,MATCH(A425,DefaultAuctionValues!$A$2:$A$359,0)),0))))</f>
        <v>0</v>
      </c>
      <c r="L425" s="201">
        <f ca="1">I425-K425</f>
        <v>-13.91710379363038</v>
      </c>
      <c r="M425" s="213"/>
      <c r="N425" s="208">
        <f ca="1">INDEX(INDIRECT(""&amp;$B425&amp;"!y2:y709"),MATCH($A425,INDIRECT(""&amp;$B425&amp;"!B2:B709"),0))</f>
        <v>-29.055</v>
      </c>
      <c r="O425" s="217" t="str">
        <f ca="1">IF(INDEX(INDIRECT(""&amp;$B425&amp;"!V2:V700"),MATCH($A425,INDIRECT(""&amp;$B425&amp;"!B2:B700"),0))=0,"",INDEX(INDIRECT(""&amp;$B425&amp;"!V2:V700"),MATCH($A425,INDIRECT(""&amp;$B425&amp;"!B2:B700"),0)))</f>
        <v/>
      </c>
    </row>
    <row r="426" spans="1:15" x14ac:dyDescent="0.25">
      <c r="A426" s="195" t="s">
        <v>799</v>
      </c>
      <c r="B426" s="195" t="s">
        <v>47</v>
      </c>
      <c r="C426" s="199">
        <f ca="1">IFERROR(INDEX(BYEs!$B$2:$B$33,MATCH(D426,BYEs!$A$2:$A$33,0)),"N/A")</f>
        <v>11</v>
      </c>
      <c r="D426" s="195" t="str">
        <f ca="1">INDEX(INDIRECT(""&amp;B426&amp;"!E2:E700"),MATCH(A426,INDIRECT(""&amp;B426&amp;"!B2:B700"),0))</f>
        <v>NYJ</v>
      </c>
      <c r="E426" s="194" t="str">
        <f ca="1">INDEX(INDIRECT(""&amp;$B426&amp;"!Z2:Z709"),MATCH($A426,INDIRECT(""&amp;$B426&amp;"!B2:B709"),0))</f>
        <v>TE12</v>
      </c>
      <c r="F426" s="196">
        <f ca="1">IF(LeagueInfo!$H$7="Starter/Bench",INDEX(INDIRECT(""&amp;B426&amp;"!S2:S709"),MATCH(A426,INDIRECT(""&amp;B426&amp;"!B2:B709"),0)),INDEX(INDIRECT(""&amp;B426&amp;"!AA2:AA709"),MATCH(A426,INDIRECT(""&amp;B426&amp;"!B2:B709"),0)))</f>
        <v>-13.955423129493068</v>
      </c>
      <c r="G426" s="200">
        <f>IF(H426&gt;0,F426-H426,0)</f>
        <v>0</v>
      </c>
      <c r="H426" s="198"/>
      <c r="I426" s="200">
        <f ca="1">F426*$A$2</f>
        <v>-13.955423129493068</v>
      </c>
      <c r="J426" s="197" t="s">
        <v>80</v>
      </c>
      <c r="K426" s="197">
        <f>IF(LeagueInfo!$F$7="Yahoo",IFERROR(INDEX(DefaultAuctionValues!$B$2:$B$359,MATCH(A426,DefaultAuctionValues!$A$2:$A$359,0)),0),IF(LeagueInfo!$F$7="ESPN",IFERROR(INDEX(DefaultAuctionValues!$C$2:$C$359,MATCH(A426,DefaultAuctionValues!$A$2:$A$359,0)),0),IF(LeagueInfo!$F$7="FantasyPros",IFERROR(INDEX(DefaultAuctionValues!$D$2:$D$359,MATCH(A426,DefaultAuctionValues!$A$2:$A$359,0)),0))))</f>
        <v>0</v>
      </c>
      <c r="L426" s="201">
        <f ca="1">I426-K426</f>
        <v>-13.955423129493068</v>
      </c>
      <c r="M426" s="213"/>
      <c r="N426" s="208">
        <f ca="1">INDEX(INDIRECT(""&amp;$B426&amp;"!y2:y709"),MATCH($A426,INDIRECT(""&amp;$B426&amp;"!B2:B709"),0))</f>
        <v>-29.134999999999998</v>
      </c>
      <c r="O426" s="217" t="str">
        <f ca="1">IF(INDEX(INDIRECT(""&amp;$B426&amp;"!V2:V700"),MATCH($A426,INDIRECT(""&amp;$B426&amp;"!B2:B700"),0))=0,"",INDEX(INDIRECT(""&amp;$B426&amp;"!V2:V700"),MATCH($A426,INDIRECT(""&amp;$B426&amp;"!B2:B700"),0)))</f>
        <v/>
      </c>
    </row>
    <row r="427" spans="1:15" x14ac:dyDescent="0.25">
      <c r="A427" s="195" t="s">
        <v>502</v>
      </c>
      <c r="B427" s="195" t="s">
        <v>32</v>
      </c>
      <c r="C427" s="199">
        <f ca="1">IFERROR(INDEX(BYEs!$B$2:$B$33,MATCH(D427,BYEs!$A$2:$A$33,0)),"N/A")</f>
        <v>5</v>
      </c>
      <c r="D427" s="195" t="str">
        <f ca="1">INDEX(INDIRECT(""&amp;B427&amp;"!E2:E700"),MATCH(A427,INDIRECT(""&amp;B427&amp;"!B2:B700"),0))</f>
        <v>ATL</v>
      </c>
      <c r="E427" s="194" t="str">
        <f ca="1">INDEX(INDIRECT(""&amp;$B427&amp;"!Z2:Z709"),MATCH($A427,INDIRECT(""&amp;$B427&amp;"!B2:B709"),0))</f>
        <v>RB12</v>
      </c>
      <c r="F427" s="196">
        <f ca="1">IF(LeagueInfo!$H$7="Starter/Bench",INDEX(INDIRECT(""&amp;B427&amp;"!S2:S709"),MATCH(A427,INDIRECT(""&amp;B427&amp;"!B2:B709"),0)),INDEX(INDIRECT(""&amp;B427&amp;"!AA2:AA709"),MATCH(A427,INDIRECT(""&amp;B427&amp;"!B2:B709"),0)))</f>
        <v>-13.957818087984489</v>
      </c>
      <c r="G427" s="200">
        <f>IF(H427&gt;0,F427-H427,0)</f>
        <v>0</v>
      </c>
      <c r="H427" s="198"/>
      <c r="I427" s="200">
        <f ca="1">F427*$A$2</f>
        <v>-13.957818087984489</v>
      </c>
      <c r="J427" s="197" t="s">
        <v>80</v>
      </c>
      <c r="K427" s="197">
        <f>IF(LeagueInfo!$F$7="Yahoo",IFERROR(INDEX(DefaultAuctionValues!$B$2:$B$359,MATCH(A427,DefaultAuctionValues!$A$2:$A$359,0)),0),IF(LeagueInfo!$F$7="ESPN",IFERROR(INDEX(DefaultAuctionValues!$C$2:$C$359,MATCH(A427,DefaultAuctionValues!$A$2:$A$359,0)),0),IF(LeagueInfo!$F$7="FantasyPros",IFERROR(INDEX(DefaultAuctionValues!$D$2:$D$359,MATCH(A427,DefaultAuctionValues!$A$2:$A$359,0)),0))))</f>
        <v>0</v>
      </c>
      <c r="L427" s="201">
        <f ca="1">I427-K427</f>
        <v>-13.957818087984489</v>
      </c>
      <c r="M427" s="213"/>
      <c r="N427" s="208">
        <f ca="1">INDEX(INDIRECT(""&amp;$B427&amp;"!y2:y709"),MATCH($A427,INDIRECT(""&amp;$B427&amp;"!B2:B709"),0))</f>
        <v>-29.140000000000004</v>
      </c>
      <c r="O427" s="217" t="str">
        <f ca="1">IF(INDEX(INDIRECT(""&amp;$B427&amp;"!V2:V700"),MATCH($A427,INDIRECT(""&amp;$B427&amp;"!B2:B700"),0))=0,"",INDEX(INDIRECT(""&amp;$B427&amp;"!V2:V700"),MATCH($A427,INDIRECT(""&amp;$B427&amp;"!B2:B700"),0)))</f>
        <v/>
      </c>
    </row>
    <row r="428" spans="1:15" x14ac:dyDescent="0.25">
      <c r="A428" s="195" t="s">
        <v>388</v>
      </c>
      <c r="B428" s="195" t="s">
        <v>33</v>
      </c>
      <c r="C428" s="199">
        <f ca="1">IFERROR(INDEX(BYEs!$B$2:$B$33,MATCH(D428,BYEs!$A$2:$A$33,0)),"N/A")</f>
        <v>9</v>
      </c>
      <c r="D428" s="195" t="str">
        <f ca="1">INDEX(INDIRECT(""&amp;B428&amp;"!E2:E700"),MATCH(A428,INDIRECT(""&amp;B428&amp;"!B2:B700"),0))</f>
        <v>CLE</v>
      </c>
      <c r="E428" s="194" t="str">
        <f ca="1">INDEX(INDIRECT(""&amp;$B428&amp;"!Z2:Z709"),MATCH($A428,INDIRECT(""&amp;$B428&amp;"!B2:B709"),0))</f>
        <v>QB5</v>
      </c>
      <c r="F428" s="196">
        <f ca="1">IF(LeagueInfo!$H$7="Starter/Bench",INDEX(INDIRECT(""&amp;B428&amp;"!S2:S709"),MATCH(A428,INDIRECT(""&amp;B428&amp;"!B2:B709"),0)),INDEX(INDIRECT(""&amp;B428&amp;"!AA2:AA709"),MATCH(A428,INDIRECT(""&amp;B428&amp;"!B2:B709"),0)))</f>
        <v>-13.96260800496732</v>
      </c>
      <c r="G428" s="200">
        <f>IF(H428&gt;0,F428-H428,0)</f>
        <v>0</v>
      </c>
      <c r="H428" s="198"/>
      <c r="I428" s="200">
        <f ca="1">F428*$A$2</f>
        <v>-13.96260800496732</v>
      </c>
      <c r="J428" s="197" t="s">
        <v>80</v>
      </c>
      <c r="K428" s="197">
        <f>IF(LeagueInfo!$F$7="Yahoo",IFERROR(INDEX(DefaultAuctionValues!$B$2:$B$359,MATCH(A428,DefaultAuctionValues!$A$2:$A$359,0)),0),IF(LeagueInfo!$F$7="ESPN",IFERROR(INDEX(DefaultAuctionValues!$C$2:$C$359,MATCH(A428,DefaultAuctionValues!$A$2:$A$359,0)),0),IF(LeagueInfo!$F$7="FantasyPros",IFERROR(INDEX(DefaultAuctionValues!$D$2:$D$359,MATCH(A428,DefaultAuctionValues!$A$2:$A$359,0)),0))))</f>
        <v>0</v>
      </c>
      <c r="L428" s="201">
        <f ca="1">I428-K428</f>
        <v>-13.96260800496732</v>
      </c>
      <c r="M428" s="213"/>
      <c r="N428" s="208">
        <f ca="1">INDEX(INDIRECT(""&amp;$B428&amp;"!y2:y709"),MATCH($A428,INDIRECT(""&amp;$B428&amp;"!B2:B709"),0))</f>
        <v>-29.149999999999991</v>
      </c>
      <c r="O428" s="217" t="str">
        <f ca="1">IF(INDEX(INDIRECT(""&amp;$B428&amp;"!V2:V700"),MATCH($A428,INDIRECT(""&amp;$B428&amp;"!B2:B700"),0))=0,"",INDEX(INDIRECT(""&amp;$B428&amp;"!V2:V700"),MATCH($A428,INDIRECT(""&amp;$B428&amp;"!B2:B700"),0)))</f>
        <v/>
      </c>
    </row>
    <row r="429" spans="1:15" x14ac:dyDescent="0.25">
      <c r="A429" s="195" t="s">
        <v>772</v>
      </c>
      <c r="B429" s="195" t="s">
        <v>47</v>
      </c>
      <c r="C429" s="199">
        <f ca="1">IFERROR(INDEX(BYEs!$B$2:$B$33,MATCH(D429,BYEs!$A$2:$A$33,0)),"N/A")</f>
        <v>7</v>
      </c>
      <c r="D429" s="195" t="str">
        <f ca="1">INDEX(INDIRECT(""&amp;B429&amp;"!E2:E700"),MATCH(A429,INDIRECT(""&amp;B429&amp;"!B2:B700"),0))</f>
        <v>DET</v>
      </c>
      <c r="E429" s="194" t="str">
        <f ca="1">INDEX(INDIRECT(""&amp;$B429&amp;"!Z2:Z709"),MATCH($A429,INDIRECT(""&amp;$B429&amp;"!B2:B709"),0))</f>
        <v>TE12</v>
      </c>
      <c r="F429" s="196">
        <f ca="1">IF(LeagueInfo!$H$7="Starter/Bench",INDEX(INDIRECT(""&amp;B429&amp;"!S2:S709"),MATCH(A429,INDIRECT(""&amp;B429&amp;"!B2:B709"),0)),INDEX(INDIRECT(""&amp;B429&amp;"!AA2:AA709"),MATCH(A429,INDIRECT(""&amp;B429&amp;"!B2:B709"),0)))</f>
        <v>-13.962608004967322</v>
      </c>
      <c r="G429" s="200">
        <f>IF(H429&gt;0,F429-H429,0)</f>
        <v>0</v>
      </c>
      <c r="H429" s="198"/>
      <c r="I429" s="200">
        <f ca="1">F429*$A$2</f>
        <v>-13.962608004967322</v>
      </c>
      <c r="J429" s="197" t="s">
        <v>80</v>
      </c>
      <c r="K429" s="197">
        <f>IF(LeagueInfo!$F$7="Yahoo",IFERROR(INDEX(DefaultAuctionValues!$B$2:$B$359,MATCH(A429,DefaultAuctionValues!$A$2:$A$359,0)),0),IF(LeagueInfo!$F$7="ESPN",IFERROR(INDEX(DefaultAuctionValues!$C$2:$C$359,MATCH(A429,DefaultAuctionValues!$A$2:$A$359,0)),0),IF(LeagueInfo!$F$7="FantasyPros",IFERROR(INDEX(DefaultAuctionValues!$D$2:$D$359,MATCH(A429,DefaultAuctionValues!$A$2:$A$359,0)),0))))</f>
        <v>0</v>
      </c>
      <c r="L429" s="201">
        <f ca="1">I429-K429</f>
        <v>-13.962608004967322</v>
      </c>
      <c r="M429" s="213"/>
      <c r="N429" s="208">
        <f ca="1">INDEX(INDIRECT(""&amp;$B429&amp;"!y2:y709"),MATCH($A429,INDIRECT(""&amp;$B429&amp;"!B2:B709"),0))</f>
        <v>-29.15</v>
      </c>
      <c r="O429" s="217" t="str">
        <f ca="1">IF(INDEX(INDIRECT(""&amp;$B429&amp;"!V2:V700"),MATCH($A429,INDIRECT(""&amp;$B429&amp;"!B2:B700"),0))=0,"",INDEX(INDIRECT(""&amp;$B429&amp;"!V2:V700"),MATCH($A429,INDIRECT(""&amp;$B429&amp;"!B2:B700"),0)))</f>
        <v/>
      </c>
    </row>
    <row r="430" spans="1:15" x14ac:dyDescent="0.25">
      <c r="A430" s="195" t="s">
        <v>784</v>
      </c>
      <c r="B430" s="195" t="s">
        <v>47</v>
      </c>
      <c r="C430" s="199">
        <f ca="1">IFERROR(INDEX(BYEs!$B$2:$B$33,MATCH(D430,BYEs!$A$2:$A$33,0)),"N/A")</f>
        <v>6</v>
      </c>
      <c r="D430" s="195" t="str">
        <f ca="1">INDEX(INDIRECT(""&amp;B430&amp;"!E2:E700"),MATCH(A430,INDIRECT(""&amp;B430&amp;"!B2:B700"),0))</f>
        <v>DAL</v>
      </c>
      <c r="E430" s="194" t="str">
        <f ca="1">INDEX(INDIRECT(""&amp;$B430&amp;"!Z2:Z709"),MATCH($A430,INDIRECT(""&amp;$B430&amp;"!B2:B709"),0))</f>
        <v>TE12</v>
      </c>
      <c r="F430" s="196">
        <f ca="1">IF(LeagueInfo!$H$7="Starter/Bench",INDEX(INDIRECT(""&amp;B430&amp;"!S2:S709"),MATCH(A430,INDIRECT(""&amp;B430&amp;"!B2:B709"),0)),INDEX(INDIRECT(""&amp;B430&amp;"!AA2:AA709"),MATCH(A430,INDIRECT(""&amp;B430&amp;"!B2:B709"),0)))</f>
        <v>-14.012902133287103</v>
      </c>
      <c r="G430" s="200">
        <f>IF(H430&gt;0,F430-H430,0)</f>
        <v>0</v>
      </c>
      <c r="H430" s="198"/>
      <c r="I430" s="200">
        <f ca="1">F430*$A$2</f>
        <v>-14.012902133287103</v>
      </c>
      <c r="J430" s="197" t="s">
        <v>80</v>
      </c>
      <c r="K430" s="197">
        <f>IF(LeagueInfo!$F$7="Yahoo",IFERROR(INDEX(DefaultAuctionValues!$B$2:$B$359,MATCH(A430,DefaultAuctionValues!$A$2:$A$359,0)),0),IF(LeagueInfo!$F$7="ESPN",IFERROR(INDEX(DefaultAuctionValues!$C$2:$C$359,MATCH(A430,DefaultAuctionValues!$A$2:$A$359,0)),0),IF(LeagueInfo!$F$7="FantasyPros",IFERROR(INDEX(DefaultAuctionValues!$D$2:$D$359,MATCH(A430,DefaultAuctionValues!$A$2:$A$359,0)),0))))</f>
        <v>0</v>
      </c>
      <c r="L430" s="201">
        <f ca="1">I430-K430</f>
        <v>-14.012902133287103</v>
      </c>
      <c r="M430" s="213"/>
      <c r="N430" s="208">
        <f ca="1">INDEX(INDIRECT(""&amp;$B430&amp;"!y2:y709"),MATCH($A430,INDIRECT(""&amp;$B430&amp;"!B2:B709"),0))</f>
        <v>-29.254999999999999</v>
      </c>
      <c r="O430" s="217" t="str">
        <f ca="1">IF(INDEX(INDIRECT(""&amp;$B430&amp;"!V2:V700"),MATCH($A430,INDIRECT(""&amp;$B430&amp;"!B2:B700"),0))=0,"",INDEX(INDIRECT(""&amp;$B430&amp;"!V2:V700"),MATCH($A430,INDIRECT(""&amp;$B430&amp;"!B2:B700"),0)))</f>
        <v/>
      </c>
    </row>
    <row r="431" spans="1:15" x14ac:dyDescent="0.25">
      <c r="A431" s="195" t="s">
        <v>604</v>
      </c>
      <c r="B431" s="195" t="s">
        <v>39</v>
      </c>
      <c r="C431" s="199">
        <f ca="1">IFERROR(INDEX(BYEs!$B$2:$B$33,MATCH(D431,BYEs!$A$2:$A$33,0)),"N/A")</f>
        <v>10</v>
      </c>
      <c r="D431" s="195" t="str">
        <f ca="1">INDEX(INDIRECT(""&amp;B431&amp;"!E2:E700"),MATCH(A431,INDIRECT(""&amp;B431&amp;"!B2:B700"),0))</f>
        <v>OAK</v>
      </c>
      <c r="E431" s="194" t="str">
        <f ca="1">INDEX(INDIRECT(""&amp;$B431&amp;"!Z2:Z709"),MATCH($A431,INDIRECT(""&amp;$B431&amp;"!B2:B709"),0))</f>
        <v>WR10</v>
      </c>
      <c r="F431" s="196">
        <f ca="1">IF(LeagueInfo!$H$7="Starter/Bench",INDEX(INDIRECT(""&amp;B431&amp;"!S2:S709"),MATCH(A431,INDIRECT(""&amp;B431&amp;"!B2:B709"),0)),INDEX(INDIRECT(""&amp;B431&amp;"!AA2:AA709"),MATCH(A431,INDIRECT(""&amp;B431&amp;"!B2:B709"),0)))</f>
        <v>-14.041641635184121</v>
      </c>
      <c r="G431" s="200">
        <f>IF(H431&gt;0,F431-H431,0)</f>
        <v>0</v>
      </c>
      <c r="H431" s="198"/>
      <c r="I431" s="200">
        <f ca="1">F431*$A$2</f>
        <v>-14.041641635184121</v>
      </c>
      <c r="J431" s="197" t="s">
        <v>80</v>
      </c>
      <c r="K431" s="197">
        <f>IF(LeagueInfo!$F$7="Yahoo",IFERROR(INDEX(DefaultAuctionValues!$B$2:$B$359,MATCH(A431,DefaultAuctionValues!$A$2:$A$359,0)),0),IF(LeagueInfo!$F$7="ESPN",IFERROR(INDEX(DefaultAuctionValues!$C$2:$C$359,MATCH(A431,DefaultAuctionValues!$A$2:$A$359,0)),0),IF(LeagueInfo!$F$7="FantasyPros",IFERROR(INDEX(DefaultAuctionValues!$D$2:$D$359,MATCH(A431,DefaultAuctionValues!$A$2:$A$359,0)),0))))</f>
        <v>0</v>
      </c>
      <c r="L431" s="201">
        <f ca="1">I431-K431</f>
        <v>-14.041641635184121</v>
      </c>
      <c r="M431" s="213"/>
      <c r="N431" s="208">
        <f ca="1">INDEX(INDIRECT(""&amp;$B431&amp;"!y2:y709"),MATCH($A431,INDIRECT(""&amp;$B431&amp;"!B2:B709"),0))</f>
        <v>-29.315000000000001</v>
      </c>
      <c r="O431" s="217" t="str">
        <f ca="1">IF(INDEX(INDIRECT(""&amp;$B431&amp;"!V2:V700"),MATCH($A431,INDIRECT(""&amp;$B431&amp;"!B2:B700"),0))=0,"",INDEX(INDIRECT(""&amp;$B431&amp;"!V2:V700"),MATCH($A431,INDIRECT(""&amp;$B431&amp;"!B2:B700"),0)))</f>
        <v/>
      </c>
    </row>
    <row r="432" spans="1:15" x14ac:dyDescent="0.25">
      <c r="A432" s="195" t="s">
        <v>94</v>
      </c>
      <c r="B432" s="195" t="s">
        <v>47</v>
      </c>
      <c r="C432" s="199">
        <f ca="1">IFERROR(INDEX(BYEs!$B$2:$B$33,MATCH(D432,BYEs!$A$2:$A$33,0)),"N/A")</f>
        <v>9</v>
      </c>
      <c r="D432" s="195" t="str">
        <f ca="1">INDEX(INDIRECT(""&amp;B432&amp;"!E2:E700"),MATCH(A432,INDIRECT(""&amp;B432&amp;"!B2:B700"),0))</f>
        <v>PIT</v>
      </c>
      <c r="E432" s="194" t="str">
        <f ca="1">INDEX(INDIRECT(""&amp;$B432&amp;"!Z2:Z709"),MATCH($A432,INDIRECT(""&amp;$B432&amp;"!B2:B709"),0))</f>
        <v>TE12</v>
      </c>
      <c r="F432" s="196">
        <f ca="1">IF(LeagueInfo!$H$7="Starter/Bench",INDEX(INDIRECT(""&amp;B432&amp;"!S2:S709"),MATCH(A432,INDIRECT(""&amp;B432&amp;"!B2:B709"),0)),INDEX(INDIRECT(""&amp;B432&amp;"!AA2:AA709"),MATCH(A432,INDIRECT(""&amp;B432&amp;"!B2:B709"),0)))</f>
        <v>-14.058406344624045</v>
      </c>
      <c r="G432" s="200">
        <f>IF(H432&gt;0,F432-H432,0)</f>
        <v>0</v>
      </c>
      <c r="H432" s="198"/>
      <c r="I432" s="200">
        <f ca="1">F432*$A$2</f>
        <v>-14.058406344624045</v>
      </c>
      <c r="J432" s="197" t="s">
        <v>80</v>
      </c>
      <c r="K432" s="197">
        <f>IF(LeagueInfo!$F$7="Yahoo",IFERROR(INDEX(DefaultAuctionValues!$B$2:$B$359,MATCH(A432,DefaultAuctionValues!$A$2:$A$359,0)),0),IF(LeagueInfo!$F$7="ESPN",IFERROR(INDEX(DefaultAuctionValues!$C$2:$C$359,MATCH(A432,DefaultAuctionValues!$A$2:$A$359,0)),0),IF(LeagueInfo!$F$7="FantasyPros",IFERROR(INDEX(DefaultAuctionValues!$D$2:$D$359,MATCH(A432,DefaultAuctionValues!$A$2:$A$359,0)),0))))</f>
        <v>68</v>
      </c>
      <c r="L432" s="201">
        <f ca="1">I432-K432</f>
        <v>-82.058406344624046</v>
      </c>
      <c r="M432" s="213"/>
      <c r="N432" s="208">
        <f ca="1">INDEX(INDIRECT(""&amp;$B432&amp;"!y2:y709"),MATCH($A432,INDIRECT(""&amp;$B432&amp;"!B2:B709"),0))</f>
        <v>-29.349999999999998</v>
      </c>
      <c r="O432" s="217" t="str">
        <f ca="1">IF(INDEX(INDIRECT(""&amp;$B432&amp;"!V2:V700"),MATCH($A432,INDIRECT(""&amp;$B432&amp;"!B2:B700"),0))=0,"",INDEX(INDIRECT(""&amp;$B432&amp;"!V2:V700"),MATCH($A432,INDIRECT(""&amp;$B432&amp;"!B2:B700"),0)))</f>
        <v/>
      </c>
    </row>
    <row r="433" spans="1:15" x14ac:dyDescent="0.25">
      <c r="A433" s="195" t="s">
        <v>750</v>
      </c>
      <c r="B433" s="195" t="s">
        <v>47</v>
      </c>
      <c r="C433" s="199">
        <f ca="1">IFERROR(INDEX(BYEs!$B$2:$B$33,MATCH(D433,BYEs!$A$2:$A$33,0)),"N/A")</f>
        <v>9</v>
      </c>
      <c r="D433" s="195" t="str">
        <f ca="1">INDEX(INDIRECT(""&amp;B433&amp;"!E2:E700"),MATCH(A433,INDIRECT(""&amp;B433&amp;"!B2:B700"),0))</f>
        <v>CHI</v>
      </c>
      <c r="E433" s="194" t="str">
        <f ca="1">INDEX(INDIRECT(""&amp;$B433&amp;"!Z2:Z709"),MATCH($A433,INDIRECT(""&amp;$B433&amp;"!B2:B709"),0))</f>
        <v>TE12</v>
      </c>
      <c r="F433" s="196">
        <f ca="1">IF(LeagueInfo!$H$7="Starter/Bench",INDEX(INDIRECT(""&amp;B433&amp;"!S2:S709"),MATCH(A433,INDIRECT(""&amp;B433&amp;"!B2:B709"),0)),INDEX(INDIRECT(""&amp;B433&amp;"!AA2:AA709"),MATCH(A433,INDIRECT(""&amp;B433&amp;"!B2:B709"),0)))</f>
        <v>-14.089540805012481</v>
      </c>
      <c r="G433" s="200">
        <f>IF(H433&gt;0,F433-H433,0)</f>
        <v>0</v>
      </c>
      <c r="H433" s="198"/>
      <c r="I433" s="200">
        <f ca="1">F433*$A$2</f>
        <v>-14.089540805012481</v>
      </c>
      <c r="J433" s="197" t="s">
        <v>80</v>
      </c>
      <c r="K433" s="197">
        <f>IF(LeagueInfo!$F$7="Yahoo",IFERROR(INDEX(DefaultAuctionValues!$B$2:$B$359,MATCH(A433,DefaultAuctionValues!$A$2:$A$359,0)),0),IF(LeagueInfo!$F$7="ESPN",IFERROR(INDEX(DefaultAuctionValues!$C$2:$C$359,MATCH(A433,DefaultAuctionValues!$A$2:$A$359,0)),0),IF(LeagueInfo!$F$7="FantasyPros",IFERROR(INDEX(DefaultAuctionValues!$D$2:$D$359,MATCH(A433,DefaultAuctionValues!$A$2:$A$359,0)),0))))</f>
        <v>0</v>
      </c>
      <c r="L433" s="201">
        <f ca="1">I433-K433</f>
        <v>-14.089540805012481</v>
      </c>
      <c r="M433" s="213"/>
      <c r="N433" s="208">
        <f ca="1">INDEX(INDIRECT(""&amp;$B433&amp;"!y2:y709"),MATCH($A433,INDIRECT(""&amp;$B433&amp;"!B2:B709"),0))</f>
        <v>-29.414999999999999</v>
      </c>
      <c r="O433" s="217" t="str">
        <f ca="1">IF(INDEX(INDIRECT(""&amp;$B433&amp;"!V2:V700"),MATCH($A433,INDIRECT(""&amp;$B433&amp;"!B2:B700"),0))=0,"",INDEX(INDIRECT(""&amp;$B433&amp;"!V2:V700"),MATCH($A433,INDIRECT(""&amp;$B433&amp;"!B2:B700"),0)))</f>
        <v/>
      </c>
    </row>
    <row r="434" spans="1:15" x14ac:dyDescent="0.25">
      <c r="A434" s="195" t="s">
        <v>790</v>
      </c>
      <c r="B434" s="195" t="s">
        <v>47</v>
      </c>
      <c r="C434" s="199">
        <f ca="1">IFERROR(INDEX(BYEs!$B$2:$B$33,MATCH(D434,BYEs!$A$2:$A$33,0)),"N/A")</f>
        <v>9</v>
      </c>
      <c r="D434" s="195" t="str">
        <f ca="1">INDEX(INDIRECT(""&amp;B434&amp;"!E2:E700"),MATCH(A434,INDIRECT(""&amp;B434&amp;"!B2:B700"),0))</f>
        <v>MIN</v>
      </c>
      <c r="E434" s="194" t="str">
        <f ca="1">INDEX(INDIRECT(""&amp;$B434&amp;"!Z2:Z709"),MATCH($A434,INDIRECT(""&amp;$B434&amp;"!B2:B709"),0))</f>
        <v>TE12</v>
      </c>
      <c r="F434" s="196">
        <f ca="1">IF(LeagueInfo!$H$7="Starter/Bench",INDEX(INDIRECT(""&amp;B434&amp;"!S2:S709"),MATCH(A434,INDIRECT(""&amp;B434&amp;"!B2:B709"),0)),INDEX(INDIRECT(""&amp;B434&amp;"!AA2:AA709"),MATCH(A434,INDIRECT(""&amp;B434&amp;"!B2:B709"),0)))</f>
        <v>-14.099120638978153</v>
      </c>
      <c r="G434" s="200">
        <f>IF(H434&gt;0,F434-H434,0)</f>
        <v>0</v>
      </c>
      <c r="H434" s="198"/>
      <c r="I434" s="200">
        <f ca="1">F434*$A$2</f>
        <v>-14.099120638978153</v>
      </c>
      <c r="J434" s="197" t="s">
        <v>80</v>
      </c>
      <c r="K434" s="197">
        <f>IF(LeagueInfo!$F$7="Yahoo",IFERROR(INDEX(DefaultAuctionValues!$B$2:$B$359,MATCH(A434,DefaultAuctionValues!$A$2:$A$359,0)),0),IF(LeagueInfo!$F$7="ESPN",IFERROR(INDEX(DefaultAuctionValues!$C$2:$C$359,MATCH(A434,DefaultAuctionValues!$A$2:$A$359,0)),0),IF(LeagueInfo!$F$7="FantasyPros",IFERROR(INDEX(DefaultAuctionValues!$D$2:$D$359,MATCH(A434,DefaultAuctionValues!$A$2:$A$359,0)),0))))</f>
        <v>0</v>
      </c>
      <c r="L434" s="201">
        <f ca="1">I434-K434</f>
        <v>-14.099120638978153</v>
      </c>
      <c r="M434" s="213"/>
      <c r="N434" s="208">
        <f ca="1">INDEX(INDIRECT(""&amp;$B434&amp;"!y2:y709"),MATCH($A434,INDIRECT(""&amp;$B434&amp;"!B2:B709"),0))</f>
        <v>-29.434999999999999</v>
      </c>
      <c r="O434" s="217" t="str">
        <f ca="1">IF(INDEX(INDIRECT(""&amp;$B434&amp;"!V2:V700"),MATCH($A434,INDIRECT(""&amp;$B434&amp;"!B2:B700"),0))=0,"",INDEX(INDIRECT(""&amp;$B434&amp;"!V2:V700"),MATCH($A434,INDIRECT(""&amp;$B434&amp;"!B2:B700"),0)))</f>
        <v/>
      </c>
    </row>
    <row r="435" spans="1:15" x14ac:dyDescent="0.25">
      <c r="A435" s="195" t="s">
        <v>487</v>
      </c>
      <c r="B435" s="195" t="s">
        <v>32</v>
      </c>
      <c r="C435" s="199">
        <f ca="1">IFERROR(INDEX(BYEs!$B$2:$B$33,MATCH(D435,BYEs!$A$2:$A$33,0)),"N/A")</f>
        <v>9</v>
      </c>
      <c r="D435" s="195" t="str">
        <f ca="1">INDEX(INDIRECT(""&amp;B435&amp;"!E2:E700"),MATCH(A435,INDIRECT(""&amp;B435&amp;"!B2:B700"),0))</f>
        <v>CHI</v>
      </c>
      <c r="E435" s="194" t="str">
        <f ca="1">INDEX(INDIRECT(""&amp;$B435&amp;"!Z2:Z709"),MATCH($A435,INDIRECT(""&amp;$B435&amp;"!B2:B709"),0))</f>
        <v>RB12</v>
      </c>
      <c r="F435" s="196">
        <f ca="1">IF(LeagueInfo!$H$7="Starter/Bench",INDEX(INDIRECT(""&amp;B435&amp;"!S2:S709"),MATCH(A435,INDIRECT(""&amp;B435&amp;"!B2:B709"),0)),INDEX(INDIRECT(""&amp;B435&amp;"!AA2:AA709"),MATCH(A435,INDIRECT(""&amp;B435&amp;"!B2:B709"),0)))</f>
        <v>-14.115885348418082</v>
      </c>
      <c r="G435" s="200">
        <f>IF(H435&gt;0,F435-H435,0)</f>
        <v>0</v>
      </c>
      <c r="H435" s="198"/>
      <c r="I435" s="200">
        <f ca="1">F435*$A$2</f>
        <v>-14.115885348418082</v>
      </c>
      <c r="J435" s="197" t="s">
        <v>80</v>
      </c>
      <c r="K435" s="197">
        <f>IF(LeagueInfo!$F$7="Yahoo",IFERROR(INDEX(DefaultAuctionValues!$B$2:$B$359,MATCH(A435,DefaultAuctionValues!$A$2:$A$359,0)),0),IF(LeagueInfo!$F$7="ESPN",IFERROR(INDEX(DefaultAuctionValues!$C$2:$C$359,MATCH(A435,DefaultAuctionValues!$A$2:$A$359,0)),0),IF(LeagueInfo!$F$7="FantasyPros",IFERROR(INDEX(DefaultAuctionValues!$D$2:$D$359,MATCH(A435,DefaultAuctionValues!$A$2:$A$359,0)),0))))</f>
        <v>0</v>
      </c>
      <c r="L435" s="201">
        <f ca="1">I435-K435</f>
        <v>-14.115885348418082</v>
      </c>
      <c r="M435" s="213"/>
      <c r="N435" s="208">
        <f ca="1">INDEX(INDIRECT(""&amp;$B435&amp;"!y2:y709"),MATCH($A435,INDIRECT(""&amp;$B435&amp;"!B2:B709"),0))</f>
        <v>-29.470000000000006</v>
      </c>
      <c r="O435" s="217" t="str">
        <f ca="1">IF(INDEX(INDIRECT(""&amp;$B435&amp;"!V2:V700"),MATCH($A435,INDIRECT(""&amp;$B435&amp;"!B2:B700"),0))=0,"",INDEX(INDIRECT(""&amp;$B435&amp;"!V2:V700"),MATCH($A435,INDIRECT(""&amp;$B435&amp;"!B2:B700"),0)))</f>
        <v/>
      </c>
    </row>
    <row r="436" spans="1:15" x14ac:dyDescent="0.25">
      <c r="A436" s="195" t="s">
        <v>492</v>
      </c>
      <c r="B436" s="195" t="s">
        <v>32</v>
      </c>
      <c r="C436" s="199">
        <f ca="1">IFERROR(INDEX(BYEs!$B$2:$B$33,MATCH(D436,BYEs!$A$2:$A$33,0)),"N/A")</f>
        <v>7</v>
      </c>
      <c r="D436" s="195" t="str">
        <f ca="1">INDEX(INDIRECT(""&amp;B436&amp;"!E2:E700"),MATCH(A436,INDIRECT(""&amp;B436&amp;"!B2:B700"),0))</f>
        <v>DET</v>
      </c>
      <c r="E436" s="194" t="str">
        <f ca="1">INDEX(INDIRECT(""&amp;$B436&amp;"!Z2:Z709"),MATCH($A436,INDIRECT(""&amp;$B436&amp;"!B2:B709"),0))</f>
        <v>RB12</v>
      </c>
      <c r="F436" s="196">
        <f ca="1">IF(LeagueInfo!$H$7="Starter/Bench",INDEX(INDIRECT(""&amp;B436&amp;"!S2:S709"),MATCH(A436,INDIRECT(""&amp;B436&amp;"!B2:B709"),0)),INDEX(INDIRECT(""&amp;B436&amp;"!AA2:AA709"),MATCH(A436,INDIRECT(""&amp;B436&amp;"!B2:B709"),0)))</f>
        <v>-14.139834933332262</v>
      </c>
      <c r="G436" s="200">
        <f>IF(H436&gt;0,F436-H436,0)</f>
        <v>0</v>
      </c>
      <c r="H436" s="198"/>
      <c r="I436" s="200">
        <f ca="1">F436*$A$2</f>
        <v>-14.139834933332262</v>
      </c>
      <c r="J436" s="197" t="s">
        <v>80</v>
      </c>
      <c r="K436" s="197">
        <f>IF(LeagueInfo!$F$7="Yahoo",IFERROR(INDEX(DefaultAuctionValues!$B$2:$B$359,MATCH(A436,DefaultAuctionValues!$A$2:$A$359,0)),0),IF(LeagueInfo!$F$7="ESPN",IFERROR(INDEX(DefaultAuctionValues!$C$2:$C$359,MATCH(A436,DefaultAuctionValues!$A$2:$A$359,0)),0),IF(LeagueInfo!$F$7="FantasyPros",IFERROR(INDEX(DefaultAuctionValues!$D$2:$D$359,MATCH(A436,DefaultAuctionValues!$A$2:$A$359,0)),0))))</f>
        <v>0</v>
      </c>
      <c r="L436" s="201">
        <f ca="1">I436-K436</f>
        <v>-14.139834933332262</v>
      </c>
      <c r="M436" s="213"/>
      <c r="N436" s="208">
        <f ca="1">INDEX(INDIRECT(""&amp;$B436&amp;"!y2:y709"),MATCH($A436,INDIRECT(""&amp;$B436&amp;"!B2:B709"),0))</f>
        <v>-29.520000000000003</v>
      </c>
      <c r="O436" s="217" t="str">
        <f ca="1">IF(INDEX(INDIRECT(""&amp;$B436&amp;"!V2:V700"),MATCH($A436,INDIRECT(""&amp;$B436&amp;"!B2:B700"),0))=0,"",INDEX(INDIRECT(""&amp;$B436&amp;"!V2:V700"),MATCH($A436,INDIRECT(""&amp;$B436&amp;"!B2:B700"),0)))</f>
        <v/>
      </c>
    </row>
    <row r="437" spans="1:15" x14ac:dyDescent="0.25">
      <c r="A437" s="195" t="s">
        <v>497</v>
      </c>
      <c r="B437" s="195" t="s">
        <v>32</v>
      </c>
      <c r="C437" s="199">
        <f ca="1">IFERROR(INDEX(BYEs!$B$2:$B$33,MATCH(D437,BYEs!$A$2:$A$33,0)),"N/A")</f>
        <v>10</v>
      </c>
      <c r="D437" s="195" t="str">
        <f ca="1">INDEX(INDIRECT(""&amp;B437&amp;"!E2:E700"),MATCH(A437,INDIRECT(""&amp;B437&amp;"!B2:B700"),0))</f>
        <v>BAL</v>
      </c>
      <c r="E437" s="194" t="str">
        <f ca="1">INDEX(INDIRECT(""&amp;$B437&amp;"!Z2:Z709"),MATCH($A437,INDIRECT(""&amp;$B437&amp;"!B2:B709"),0))</f>
        <v>RB12</v>
      </c>
      <c r="F437" s="196">
        <f ca="1">IF(LeagueInfo!$H$7="Starter/Bench",INDEX(INDIRECT(""&amp;B437&amp;"!S2:S709"),MATCH(A437,INDIRECT(""&amp;B437&amp;"!B2:B709"),0)),INDEX(INDIRECT(""&amp;B437&amp;"!AA2:AA709"),MATCH(A437,INDIRECT(""&amp;B437&amp;"!B2:B709"),0)))</f>
        <v>-14.142229891823682</v>
      </c>
      <c r="G437" s="200">
        <f>IF(H437&gt;0,F437-H437,0)</f>
        <v>0</v>
      </c>
      <c r="H437" s="198"/>
      <c r="I437" s="200">
        <f ca="1">F437*$A$2</f>
        <v>-14.142229891823682</v>
      </c>
      <c r="J437" s="197" t="s">
        <v>80</v>
      </c>
      <c r="K437" s="197">
        <f>IF(LeagueInfo!$F$7="Yahoo",IFERROR(INDEX(DefaultAuctionValues!$B$2:$B$359,MATCH(A437,DefaultAuctionValues!$A$2:$A$359,0)),0),IF(LeagueInfo!$F$7="ESPN",IFERROR(INDEX(DefaultAuctionValues!$C$2:$C$359,MATCH(A437,DefaultAuctionValues!$A$2:$A$359,0)),0),IF(LeagueInfo!$F$7="FantasyPros",IFERROR(INDEX(DefaultAuctionValues!$D$2:$D$359,MATCH(A437,DefaultAuctionValues!$A$2:$A$359,0)),0))))</f>
        <v>0</v>
      </c>
      <c r="L437" s="201">
        <f ca="1">I437-K437</f>
        <v>-14.142229891823682</v>
      </c>
      <c r="M437" s="213"/>
      <c r="N437" s="208">
        <f ca="1">INDEX(INDIRECT(""&amp;$B437&amp;"!y2:y709"),MATCH($A437,INDIRECT(""&amp;$B437&amp;"!B2:B709"),0))</f>
        <v>-29.525000000000006</v>
      </c>
      <c r="O437" s="217" t="str">
        <f ca="1">IF(INDEX(INDIRECT(""&amp;$B437&amp;"!V2:V700"),MATCH($A437,INDIRECT(""&amp;$B437&amp;"!B2:B700"),0))=0,"",INDEX(INDIRECT(""&amp;$B437&amp;"!V2:V700"),MATCH($A437,INDIRECT(""&amp;$B437&amp;"!B2:B700"),0)))</f>
        <v/>
      </c>
    </row>
    <row r="438" spans="1:15" x14ac:dyDescent="0.25">
      <c r="A438" s="195" t="s">
        <v>774</v>
      </c>
      <c r="B438" s="195" t="s">
        <v>47</v>
      </c>
      <c r="C438" s="199">
        <f ca="1">IFERROR(INDEX(BYEs!$B$2:$B$33,MATCH(D438,BYEs!$A$2:$A$33,0)),"N/A")</f>
        <v>8</v>
      </c>
      <c r="D438" s="195" t="str">
        <f ca="1">INDEX(INDIRECT(""&amp;B438&amp;"!E2:E700"),MATCH(A438,INDIRECT(""&amp;B438&amp;"!B2:B700"),0))</f>
        <v>ARI</v>
      </c>
      <c r="E438" s="194" t="str">
        <f ca="1">INDEX(INDIRECT(""&amp;$B438&amp;"!Z2:Z709"),MATCH($A438,INDIRECT(""&amp;$B438&amp;"!B2:B709"),0))</f>
        <v>TE12</v>
      </c>
      <c r="F438" s="196">
        <f ca="1">IF(LeagueInfo!$H$7="Starter/Bench",INDEX(INDIRECT(""&amp;B438&amp;"!S2:S709"),MATCH(A438,INDIRECT(""&amp;B438&amp;"!B2:B709"),0)),INDEX(INDIRECT(""&amp;B438&amp;"!AA2:AA709"),MATCH(A438,INDIRECT(""&amp;B438&amp;"!B2:B709"),0)))</f>
        <v>-14.15180972578935</v>
      </c>
      <c r="G438" s="200">
        <f>IF(H438&gt;0,F438-H438,0)</f>
        <v>0</v>
      </c>
      <c r="H438" s="198"/>
      <c r="I438" s="200">
        <f ca="1">F438*$A$2</f>
        <v>-14.15180972578935</v>
      </c>
      <c r="J438" s="197" t="s">
        <v>80</v>
      </c>
      <c r="K438" s="197">
        <f>IF(LeagueInfo!$F$7="Yahoo",IFERROR(INDEX(DefaultAuctionValues!$B$2:$B$359,MATCH(A438,DefaultAuctionValues!$A$2:$A$359,0)),0),IF(LeagueInfo!$F$7="ESPN",IFERROR(INDEX(DefaultAuctionValues!$C$2:$C$359,MATCH(A438,DefaultAuctionValues!$A$2:$A$359,0)),0),IF(LeagueInfo!$F$7="FantasyPros",IFERROR(INDEX(DefaultAuctionValues!$D$2:$D$359,MATCH(A438,DefaultAuctionValues!$A$2:$A$359,0)),0))))</f>
        <v>0</v>
      </c>
      <c r="L438" s="201">
        <f ca="1">I438-K438</f>
        <v>-14.15180972578935</v>
      </c>
      <c r="M438" s="213"/>
      <c r="N438" s="208">
        <f ca="1">INDEX(INDIRECT(""&amp;$B438&amp;"!y2:y709"),MATCH($A438,INDIRECT(""&amp;$B438&amp;"!B2:B709"),0))</f>
        <v>-29.544999999999998</v>
      </c>
      <c r="O438" s="217" t="str">
        <f ca="1">IF(INDEX(INDIRECT(""&amp;$B438&amp;"!V2:V700"),MATCH($A438,INDIRECT(""&amp;$B438&amp;"!B2:B700"),0))=0,"",INDEX(INDIRECT(""&amp;$B438&amp;"!V2:V700"),MATCH($A438,INDIRECT(""&amp;$B438&amp;"!B2:B700"),0)))</f>
        <v/>
      </c>
    </row>
    <row r="439" spans="1:15" x14ac:dyDescent="0.25">
      <c r="A439" s="195" t="s">
        <v>672</v>
      </c>
      <c r="B439" s="195" t="s">
        <v>47</v>
      </c>
      <c r="C439" s="199">
        <f ca="1">IFERROR(INDEX(BYEs!$B$2:$B$33,MATCH(D439,BYEs!$A$2:$A$33,0)),"N/A")</f>
        <v>8</v>
      </c>
      <c r="D439" s="195" t="str">
        <f ca="1">INDEX(INDIRECT(""&amp;B439&amp;"!E2:E700"),MATCH(A439,INDIRECT(""&amp;B439&amp;"!B2:B700"),0))</f>
        <v>JAC</v>
      </c>
      <c r="E439" s="194" t="str">
        <f ca="1">INDEX(INDIRECT(""&amp;$B439&amp;"!Z2:Z709"),MATCH($A439,INDIRECT(""&amp;$B439&amp;"!B2:B709"),0))</f>
        <v>TE12</v>
      </c>
      <c r="F439" s="196">
        <f ca="1">IF(LeagueInfo!$H$7="Starter/Bench",INDEX(INDIRECT(""&amp;B439&amp;"!S2:S709"),MATCH(A439,INDIRECT(""&amp;B439&amp;"!B2:B709"),0)),INDEX(INDIRECT(""&amp;B439&amp;"!AA2:AA709"),MATCH(A439,INDIRECT(""&amp;B439&amp;"!B2:B709"),0)))</f>
        <v>-14.154204684280767</v>
      </c>
      <c r="G439" s="200">
        <f>IF(H439&gt;0,F439-H439,0)</f>
        <v>0</v>
      </c>
      <c r="H439" s="198"/>
      <c r="I439" s="200">
        <f ca="1">F439*$A$2</f>
        <v>-14.154204684280767</v>
      </c>
      <c r="J439" s="197" t="s">
        <v>80</v>
      </c>
      <c r="K439" s="197">
        <f>IF(LeagueInfo!$F$7="Yahoo",IFERROR(INDEX(DefaultAuctionValues!$B$2:$B$359,MATCH(A439,DefaultAuctionValues!$A$2:$A$359,0)),0),IF(LeagueInfo!$F$7="ESPN",IFERROR(INDEX(DefaultAuctionValues!$C$2:$C$359,MATCH(A439,DefaultAuctionValues!$A$2:$A$359,0)),0),IF(LeagueInfo!$F$7="FantasyPros",IFERROR(INDEX(DefaultAuctionValues!$D$2:$D$359,MATCH(A439,DefaultAuctionValues!$A$2:$A$359,0)),0))))</f>
        <v>0</v>
      </c>
      <c r="L439" s="201">
        <f ca="1">I439-K439</f>
        <v>-14.154204684280767</v>
      </c>
      <c r="M439" s="213"/>
      <c r="N439" s="208">
        <f ca="1">INDEX(INDIRECT(""&amp;$B439&amp;"!y2:y709"),MATCH($A439,INDIRECT(""&amp;$B439&amp;"!B2:B709"),0))</f>
        <v>-29.549999999999997</v>
      </c>
      <c r="O439" s="217" t="str">
        <f ca="1">IF(INDEX(INDIRECT(""&amp;$B439&amp;"!V2:V700"),MATCH($A439,INDIRECT(""&amp;$B439&amp;"!B2:B700"),0))=0,"",INDEX(INDIRECT(""&amp;$B439&amp;"!V2:V700"),MATCH($A439,INDIRECT(""&amp;$B439&amp;"!B2:B700"),0)))</f>
        <v/>
      </c>
    </row>
    <row r="440" spans="1:15" x14ac:dyDescent="0.25">
      <c r="A440" s="195" t="s">
        <v>761</v>
      </c>
      <c r="B440" s="195" t="s">
        <v>47</v>
      </c>
      <c r="C440" s="199">
        <f ca="1">IFERROR(INDEX(BYEs!$B$2:$B$33,MATCH(D440,BYEs!$A$2:$A$33,0)),"N/A")</f>
        <v>6</v>
      </c>
      <c r="D440" s="195" t="str">
        <f ca="1">INDEX(INDIRECT(""&amp;B440&amp;"!E2:E700"),MATCH(A440,INDIRECT(""&amp;B440&amp;"!B2:B700"),0))</f>
        <v>CIN</v>
      </c>
      <c r="E440" s="194" t="str">
        <f ca="1">INDEX(INDIRECT(""&amp;$B440&amp;"!Z2:Z709"),MATCH($A440,INDIRECT(""&amp;$B440&amp;"!B2:B709"),0))</f>
        <v>TE12</v>
      </c>
      <c r="F440" s="196">
        <f ca="1">IF(LeagueInfo!$H$7="Starter/Bench",INDEX(INDIRECT(""&amp;B440&amp;"!S2:S709"),MATCH(A440,INDIRECT(""&amp;B440&amp;"!B2:B709"),0)),INDEX(INDIRECT(""&amp;B440&amp;"!AA2:AA709"),MATCH(A440,INDIRECT(""&amp;B440&amp;"!B2:B709"),0)))</f>
        <v>-14.158994601263604</v>
      </c>
      <c r="G440" s="200">
        <f>IF(H440&gt;0,F440-H440,0)</f>
        <v>0</v>
      </c>
      <c r="H440" s="198"/>
      <c r="I440" s="200">
        <f ca="1">F440*$A$2</f>
        <v>-14.158994601263604</v>
      </c>
      <c r="J440" s="197" t="s">
        <v>80</v>
      </c>
      <c r="K440" s="197">
        <f>IF(LeagueInfo!$F$7="Yahoo",IFERROR(INDEX(DefaultAuctionValues!$B$2:$B$359,MATCH(A440,DefaultAuctionValues!$A$2:$A$359,0)),0),IF(LeagueInfo!$F$7="ESPN",IFERROR(INDEX(DefaultAuctionValues!$C$2:$C$359,MATCH(A440,DefaultAuctionValues!$A$2:$A$359,0)),0),IF(LeagueInfo!$F$7="FantasyPros",IFERROR(INDEX(DefaultAuctionValues!$D$2:$D$359,MATCH(A440,DefaultAuctionValues!$A$2:$A$359,0)),0))))</f>
        <v>0</v>
      </c>
      <c r="L440" s="201">
        <f ca="1">I440-K440</f>
        <v>-14.158994601263604</v>
      </c>
      <c r="M440" s="213"/>
      <c r="N440" s="208">
        <f ca="1">INDEX(INDIRECT(""&amp;$B440&amp;"!y2:y709"),MATCH($A440,INDIRECT(""&amp;$B440&amp;"!B2:B709"),0))</f>
        <v>-29.56</v>
      </c>
      <c r="O440" s="217" t="str">
        <f ca="1">IF(INDEX(INDIRECT(""&amp;$B440&amp;"!V2:V700"),MATCH($A440,INDIRECT(""&amp;$B440&amp;"!B2:B700"),0))=0,"",INDEX(INDIRECT(""&amp;$B440&amp;"!V2:V700"),MATCH($A440,INDIRECT(""&amp;$B440&amp;"!B2:B700"),0)))</f>
        <v/>
      </c>
    </row>
    <row r="441" spans="1:15" x14ac:dyDescent="0.25">
      <c r="A441" s="195" t="s">
        <v>594</v>
      </c>
      <c r="B441" s="195" t="s">
        <v>39</v>
      </c>
      <c r="C441" s="199">
        <f ca="1">IFERROR(INDEX(BYEs!$B$2:$B$33,MATCH(D441,BYEs!$A$2:$A$33,0)),"N/A")</f>
        <v>9</v>
      </c>
      <c r="D441" s="195" t="str">
        <f ca="1">INDEX(INDIRECT(""&amp;B441&amp;"!E2:E700"),MATCH(A441,INDIRECT(""&amp;B441&amp;"!B2:B700"),0))</f>
        <v>LAC</v>
      </c>
      <c r="E441" s="194" t="str">
        <f ca="1">INDEX(INDIRECT(""&amp;$B441&amp;"!Z2:Z709"),MATCH($A441,INDIRECT(""&amp;$B441&amp;"!B2:B709"),0))</f>
        <v>WR10</v>
      </c>
      <c r="F441" s="196">
        <f ca="1">IF(LeagueInfo!$H$7="Starter/Bench",INDEX(INDIRECT(""&amp;B441&amp;"!S2:S709"),MATCH(A441,INDIRECT(""&amp;B441&amp;"!B2:B709"),0)),INDEX(INDIRECT(""&amp;B441&amp;"!AA2:AA709"),MATCH(A441,INDIRECT(""&amp;B441&amp;"!B2:B709"),0)))</f>
        <v>-14.16857443522928</v>
      </c>
      <c r="G441" s="200">
        <f>IF(H441&gt;0,F441-H441,0)</f>
        <v>0</v>
      </c>
      <c r="H441" s="198"/>
      <c r="I441" s="200">
        <f ca="1">F441*$A$2</f>
        <v>-14.16857443522928</v>
      </c>
      <c r="J441" s="197" t="s">
        <v>80</v>
      </c>
      <c r="K441" s="197">
        <f>IF(LeagueInfo!$F$7="Yahoo",IFERROR(INDEX(DefaultAuctionValues!$B$2:$B$359,MATCH(A441,DefaultAuctionValues!$A$2:$A$359,0)),0),IF(LeagueInfo!$F$7="ESPN",IFERROR(INDEX(DefaultAuctionValues!$C$2:$C$359,MATCH(A441,DefaultAuctionValues!$A$2:$A$359,0)),0),IF(LeagueInfo!$F$7="FantasyPros",IFERROR(INDEX(DefaultAuctionValues!$D$2:$D$359,MATCH(A441,DefaultAuctionValues!$A$2:$A$359,0)),0))))</f>
        <v>0</v>
      </c>
      <c r="L441" s="201">
        <f ca="1">I441-K441</f>
        <v>-14.16857443522928</v>
      </c>
      <c r="M441" s="213"/>
      <c r="N441" s="208">
        <f ca="1">INDEX(INDIRECT(""&amp;$B441&amp;"!y2:y709"),MATCH($A441,INDIRECT(""&amp;$B441&amp;"!B2:B709"),0))</f>
        <v>-29.580000000000005</v>
      </c>
      <c r="O441" s="217" t="str">
        <f ca="1">IF(INDEX(INDIRECT(""&amp;$B441&amp;"!V2:V700"),MATCH($A441,INDIRECT(""&amp;$B441&amp;"!B2:B700"),0))=0,"",INDEX(INDIRECT(""&amp;$B441&amp;"!V2:V700"),MATCH($A441,INDIRECT(""&amp;$B441&amp;"!B2:B700"),0)))</f>
        <v/>
      </c>
    </row>
    <row r="442" spans="1:15" x14ac:dyDescent="0.25">
      <c r="A442" s="195" t="s">
        <v>929</v>
      </c>
      <c r="B442" s="195" t="s">
        <v>47</v>
      </c>
      <c r="C442" s="199">
        <f ca="1">IFERROR(INDEX(BYEs!$B$2:$B$33,MATCH(D442,BYEs!$A$2:$A$33,0)),"N/A")</f>
        <v>9</v>
      </c>
      <c r="D442" s="195" t="str">
        <f ca="1">INDEX(INDIRECT(""&amp;B442&amp;"!E2:E700"),MATCH(A442,INDIRECT(""&amp;B442&amp;"!B2:B700"),0))</f>
        <v>LAC</v>
      </c>
      <c r="E442" s="194" t="str">
        <f ca="1">INDEX(INDIRECT(""&amp;$B442&amp;"!Z2:Z709"),MATCH($A442,INDIRECT(""&amp;$B442&amp;"!B2:B709"),0))</f>
        <v>TE12</v>
      </c>
      <c r="F442" s="196">
        <f ca="1">IF(LeagueInfo!$H$7="Starter/Bench",INDEX(INDIRECT(""&amp;B442&amp;"!S2:S709"),MATCH(A442,INDIRECT(""&amp;B442&amp;"!B2:B709"),0)),INDEX(INDIRECT(""&amp;B442&amp;"!AA2:AA709"),MATCH(A442,INDIRECT(""&amp;B442&amp;"!B2:B709"),0)))</f>
        <v>-14.192524020143457</v>
      </c>
      <c r="G442" s="200">
        <f>IF(H442&gt;0,F442-H442,0)</f>
        <v>0</v>
      </c>
      <c r="H442" s="198"/>
      <c r="I442" s="200">
        <f ca="1">F442*$A$2</f>
        <v>-14.192524020143457</v>
      </c>
      <c r="J442" s="197" t="s">
        <v>80</v>
      </c>
      <c r="K442" s="197">
        <f>IF(LeagueInfo!$F$7="Yahoo",IFERROR(INDEX(DefaultAuctionValues!$B$2:$B$359,MATCH(A442,DefaultAuctionValues!$A$2:$A$359,0)),0),IF(LeagueInfo!$F$7="ESPN",IFERROR(INDEX(DefaultAuctionValues!$C$2:$C$359,MATCH(A442,DefaultAuctionValues!$A$2:$A$359,0)),0),IF(LeagueInfo!$F$7="FantasyPros",IFERROR(INDEX(DefaultAuctionValues!$D$2:$D$359,MATCH(A442,DefaultAuctionValues!$A$2:$A$359,0)),0))))</f>
        <v>0</v>
      </c>
      <c r="L442" s="201">
        <f ca="1">I442-K442</f>
        <v>-14.192524020143457</v>
      </c>
      <c r="M442" s="213"/>
      <c r="N442" s="208">
        <f ca="1">INDEX(INDIRECT(""&amp;$B442&amp;"!y2:y709"),MATCH($A442,INDIRECT(""&amp;$B442&amp;"!B2:B709"),0))</f>
        <v>-29.63</v>
      </c>
      <c r="O442" s="217" t="str">
        <f ca="1">IF(INDEX(INDIRECT(""&amp;$B442&amp;"!V2:V700"),MATCH($A442,INDIRECT(""&amp;$B442&amp;"!B2:B700"),0))=0,"",INDEX(INDIRECT(""&amp;$B442&amp;"!V2:V700"),MATCH($A442,INDIRECT(""&amp;$B442&amp;"!B2:B700"),0)))</f>
        <v/>
      </c>
    </row>
    <row r="443" spans="1:15" x14ac:dyDescent="0.25">
      <c r="A443" s="195" t="s">
        <v>786</v>
      </c>
      <c r="B443" s="195" t="s">
        <v>47</v>
      </c>
      <c r="C443" s="199">
        <f ca="1">IFERROR(INDEX(BYEs!$B$2:$B$33,MATCH(D443,BYEs!$A$2:$A$33,0)),"N/A")</f>
        <v>5</v>
      </c>
      <c r="D443" s="195" t="str">
        <f ca="1">INDEX(INDIRECT(""&amp;B443&amp;"!E2:E700"),MATCH(A443,INDIRECT(""&amp;B443&amp;"!B2:B700"),0))</f>
        <v>WAS</v>
      </c>
      <c r="E443" s="194" t="str">
        <f ca="1">INDEX(INDIRECT(""&amp;$B443&amp;"!Z2:Z709"),MATCH($A443,INDIRECT(""&amp;$B443&amp;"!B2:B709"),0))</f>
        <v>TE12</v>
      </c>
      <c r="F443" s="196">
        <f ca="1">IF(LeagueInfo!$H$7="Starter/Bench",INDEX(INDIRECT(""&amp;B443&amp;"!S2:S709"),MATCH(A443,INDIRECT(""&amp;B443&amp;"!B2:B709"),0)),INDEX(INDIRECT(""&amp;B443&amp;"!AA2:AA709"),MATCH(A443,INDIRECT(""&amp;B443&amp;"!B2:B709"),0)))</f>
        <v>-14.204498812600548</v>
      </c>
      <c r="G443" s="200">
        <f>IF(H443&gt;0,F443-H443,0)</f>
        <v>0</v>
      </c>
      <c r="H443" s="198"/>
      <c r="I443" s="200">
        <f ca="1">F443*$A$2</f>
        <v>-14.204498812600548</v>
      </c>
      <c r="J443" s="197" t="s">
        <v>80</v>
      </c>
      <c r="K443" s="197">
        <f>IF(LeagueInfo!$F$7="Yahoo",IFERROR(INDEX(DefaultAuctionValues!$B$2:$B$359,MATCH(A443,DefaultAuctionValues!$A$2:$A$359,0)),0),IF(LeagueInfo!$F$7="ESPN",IFERROR(INDEX(DefaultAuctionValues!$C$2:$C$359,MATCH(A443,DefaultAuctionValues!$A$2:$A$359,0)),0),IF(LeagueInfo!$F$7="FantasyPros",IFERROR(INDEX(DefaultAuctionValues!$D$2:$D$359,MATCH(A443,DefaultAuctionValues!$A$2:$A$359,0)),0))))</f>
        <v>0</v>
      </c>
      <c r="L443" s="201">
        <f ca="1">I443-K443</f>
        <v>-14.204498812600548</v>
      </c>
      <c r="M443" s="213"/>
      <c r="N443" s="208">
        <f ca="1">INDEX(INDIRECT(""&amp;$B443&amp;"!y2:y709"),MATCH($A443,INDIRECT(""&amp;$B443&amp;"!B2:B709"),0))</f>
        <v>-29.654999999999998</v>
      </c>
      <c r="O443" s="217" t="str">
        <f ca="1">IF(INDEX(INDIRECT(""&amp;$B443&amp;"!V2:V700"),MATCH($A443,INDIRECT(""&amp;$B443&amp;"!B2:B700"),0))=0,"",INDEX(INDIRECT(""&amp;$B443&amp;"!V2:V700"),MATCH($A443,INDIRECT(""&amp;$B443&amp;"!B2:B700"),0)))</f>
        <v/>
      </c>
    </row>
    <row r="444" spans="1:15" x14ac:dyDescent="0.25">
      <c r="A444" s="195" t="s">
        <v>789</v>
      </c>
      <c r="B444" s="195" t="s">
        <v>47</v>
      </c>
      <c r="C444" s="199">
        <f ca="1">IFERROR(INDEX(BYEs!$B$2:$B$33,MATCH(D444,BYEs!$A$2:$A$33,0)),"N/A")</f>
        <v>5</v>
      </c>
      <c r="D444" s="195" t="str">
        <f ca="1">INDEX(INDIRECT(""&amp;B444&amp;"!E2:E700"),MATCH(A444,INDIRECT(""&amp;B444&amp;"!B2:B700"),0))</f>
        <v>NO</v>
      </c>
      <c r="E444" s="194" t="str">
        <f ca="1">INDEX(INDIRECT(""&amp;$B444&amp;"!Z2:Z709"),MATCH($A444,INDIRECT(""&amp;$B444&amp;"!B2:B709"),0))</f>
        <v>TE12</v>
      </c>
      <c r="F444" s="196">
        <f ca="1">IF(LeagueInfo!$H$7="Starter/Bench",INDEX(INDIRECT(""&amp;B444&amp;"!S2:S709"),MATCH(A444,INDIRECT(""&amp;B444&amp;"!B2:B709"),0)),INDEX(INDIRECT(""&amp;B444&amp;"!AA2:AA709"),MATCH(A444,INDIRECT(""&amp;B444&amp;"!B2:B709"),0)))</f>
        <v>-14.214078646566218</v>
      </c>
      <c r="G444" s="200">
        <f>IF(H444&gt;0,F444-H444,0)</f>
        <v>0</v>
      </c>
      <c r="H444" s="198"/>
      <c r="I444" s="200">
        <f ca="1">F444*$A$2</f>
        <v>-14.214078646566218</v>
      </c>
      <c r="J444" s="197" t="s">
        <v>80</v>
      </c>
      <c r="K444" s="197">
        <f>IF(LeagueInfo!$F$7="Yahoo",IFERROR(INDEX(DefaultAuctionValues!$B$2:$B$359,MATCH(A444,DefaultAuctionValues!$A$2:$A$359,0)),0),IF(LeagueInfo!$F$7="ESPN",IFERROR(INDEX(DefaultAuctionValues!$C$2:$C$359,MATCH(A444,DefaultAuctionValues!$A$2:$A$359,0)),0),IF(LeagueInfo!$F$7="FantasyPros",IFERROR(INDEX(DefaultAuctionValues!$D$2:$D$359,MATCH(A444,DefaultAuctionValues!$A$2:$A$359,0)),0))))</f>
        <v>0</v>
      </c>
      <c r="L444" s="201">
        <f ca="1">I444-K444</f>
        <v>-14.214078646566218</v>
      </c>
      <c r="M444" s="213"/>
      <c r="N444" s="208">
        <f ca="1">INDEX(INDIRECT(""&amp;$B444&amp;"!y2:y709"),MATCH($A444,INDIRECT(""&amp;$B444&amp;"!B2:B709"),0))</f>
        <v>-29.674999999999997</v>
      </c>
      <c r="O444" s="217" t="str">
        <f ca="1">IF(INDEX(INDIRECT(""&amp;$B444&amp;"!V2:V700"),MATCH($A444,INDIRECT(""&amp;$B444&amp;"!B2:B700"),0))=0,"",INDEX(INDIRECT(""&amp;$B444&amp;"!V2:V700"),MATCH($A444,INDIRECT(""&amp;$B444&amp;"!B2:B700"),0)))</f>
        <v/>
      </c>
    </row>
    <row r="445" spans="1:15" x14ac:dyDescent="0.25">
      <c r="A445" s="195" t="s">
        <v>491</v>
      </c>
      <c r="B445" s="195" t="s">
        <v>32</v>
      </c>
      <c r="C445" s="199">
        <f ca="1">IFERROR(INDEX(BYEs!$B$2:$B$33,MATCH(D445,BYEs!$A$2:$A$33,0)),"N/A")</f>
        <v>5</v>
      </c>
      <c r="D445" s="195" t="str">
        <f ca="1">INDEX(INDIRECT(""&amp;B445&amp;"!E2:E700"),MATCH(A445,INDIRECT(""&amp;B445&amp;"!B2:B700"),0))</f>
        <v>NO</v>
      </c>
      <c r="E445" s="194" t="str">
        <f ca="1">INDEX(INDIRECT(""&amp;$B445&amp;"!Z2:Z709"),MATCH($A445,INDIRECT(""&amp;$B445&amp;"!B2:B709"),0))</f>
        <v>RB12</v>
      </c>
      <c r="F445" s="196">
        <f ca="1">IF(LeagueInfo!$H$7="Starter/Bench",INDEX(INDIRECT(""&amp;B445&amp;"!S2:S709"),MATCH(A445,INDIRECT(""&amp;B445&amp;"!B2:B709"),0)),INDEX(INDIRECT(""&amp;B445&amp;"!AA2:AA709"),MATCH(A445,INDIRECT(""&amp;B445&amp;"!B2:B709"),0)))</f>
        <v>-14.218868563549059</v>
      </c>
      <c r="G445" s="200">
        <f>IF(H445&gt;0,F445-H445,0)</f>
        <v>0</v>
      </c>
      <c r="H445" s="198"/>
      <c r="I445" s="200">
        <f ca="1">F445*$A$2</f>
        <v>-14.218868563549059</v>
      </c>
      <c r="J445" s="197" t="s">
        <v>80</v>
      </c>
      <c r="K445" s="197">
        <f>IF(LeagueInfo!$F$7="Yahoo",IFERROR(INDEX(DefaultAuctionValues!$B$2:$B$359,MATCH(A445,DefaultAuctionValues!$A$2:$A$359,0)),0),IF(LeagueInfo!$F$7="ESPN",IFERROR(INDEX(DefaultAuctionValues!$C$2:$C$359,MATCH(A445,DefaultAuctionValues!$A$2:$A$359,0)),0),IF(LeagueInfo!$F$7="FantasyPros",IFERROR(INDEX(DefaultAuctionValues!$D$2:$D$359,MATCH(A445,DefaultAuctionValues!$A$2:$A$359,0)),0))))</f>
        <v>0</v>
      </c>
      <c r="L445" s="201">
        <f ca="1">I445-K445</f>
        <v>-14.218868563549059</v>
      </c>
      <c r="M445" s="213"/>
      <c r="N445" s="208">
        <f ca="1">INDEX(INDIRECT(""&amp;$B445&amp;"!y2:y709"),MATCH($A445,INDIRECT(""&amp;$B445&amp;"!B2:B709"),0))</f>
        <v>-29.685000000000006</v>
      </c>
      <c r="O445" s="217" t="str">
        <f ca="1">IF(INDEX(INDIRECT(""&amp;$B445&amp;"!V2:V700"),MATCH($A445,INDIRECT(""&amp;$B445&amp;"!B2:B700"),0))=0,"",INDEX(INDIRECT(""&amp;$B445&amp;"!V2:V700"),MATCH($A445,INDIRECT(""&amp;$B445&amp;"!B2:B700"),0)))</f>
        <v/>
      </c>
    </row>
    <row r="446" spans="1:15" x14ac:dyDescent="0.25">
      <c r="A446" s="195" t="s">
        <v>788</v>
      </c>
      <c r="B446" s="195" t="s">
        <v>47</v>
      </c>
      <c r="C446" s="199">
        <f ca="1">IFERROR(INDEX(BYEs!$B$2:$B$33,MATCH(D446,BYEs!$A$2:$A$33,0)),"N/A")</f>
        <v>6</v>
      </c>
      <c r="D446" s="195" t="str">
        <f ca="1">INDEX(INDIRECT(""&amp;B446&amp;"!E2:E700"),MATCH(A446,INDIRECT(""&amp;B446&amp;"!B2:B700"),0))</f>
        <v>BUF</v>
      </c>
      <c r="E446" s="194" t="str">
        <f ca="1">INDEX(INDIRECT(""&amp;$B446&amp;"!Z2:Z709"),MATCH($A446,INDIRECT(""&amp;$B446&amp;"!B2:B709"),0))</f>
        <v>TE12</v>
      </c>
      <c r="F446" s="196">
        <f ca="1">IF(LeagueInfo!$H$7="Starter/Bench",INDEX(INDIRECT(""&amp;B446&amp;"!S2:S709"),MATCH(A446,INDIRECT(""&amp;B446&amp;"!B2:B709"),0)),INDEX(INDIRECT(""&amp;B446&amp;"!AA2:AA709"),MATCH(A446,INDIRECT(""&amp;B446&amp;"!B2:B709"),0)))</f>
        <v>-14.22605343902331</v>
      </c>
      <c r="G446" s="200">
        <f>IF(H446&gt;0,F446-H446,0)</f>
        <v>0</v>
      </c>
      <c r="H446" s="198"/>
      <c r="I446" s="200">
        <f ca="1">F446*$A$2</f>
        <v>-14.22605343902331</v>
      </c>
      <c r="J446" s="197" t="s">
        <v>80</v>
      </c>
      <c r="K446" s="197">
        <f>IF(LeagueInfo!$F$7="Yahoo",IFERROR(INDEX(DefaultAuctionValues!$B$2:$B$359,MATCH(A446,DefaultAuctionValues!$A$2:$A$359,0)),0),IF(LeagueInfo!$F$7="ESPN",IFERROR(INDEX(DefaultAuctionValues!$C$2:$C$359,MATCH(A446,DefaultAuctionValues!$A$2:$A$359,0)),0),IF(LeagueInfo!$F$7="FantasyPros",IFERROR(INDEX(DefaultAuctionValues!$D$2:$D$359,MATCH(A446,DefaultAuctionValues!$A$2:$A$359,0)),0))))</f>
        <v>0</v>
      </c>
      <c r="L446" s="201">
        <f ca="1">I446-K446</f>
        <v>-14.22605343902331</v>
      </c>
      <c r="M446" s="213"/>
      <c r="N446" s="208">
        <f ca="1">INDEX(INDIRECT(""&amp;$B446&amp;"!y2:y709"),MATCH($A446,INDIRECT(""&amp;$B446&amp;"!B2:B709"),0))</f>
        <v>-29.7</v>
      </c>
      <c r="O446" s="217" t="str">
        <f ca="1">IF(INDEX(INDIRECT(""&amp;$B446&amp;"!V2:V700"),MATCH($A446,INDIRECT(""&amp;$B446&amp;"!B2:B700"),0))=0,"",INDEX(INDIRECT(""&amp;$B446&amp;"!V2:V700"),MATCH($A446,INDIRECT(""&amp;$B446&amp;"!B2:B700"),0)))</f>
        <v/>
      </c>
    </row>
    <row r="447" spans="1:15" x14ac:dyDescent="0.25">
      <c r="A447" s="195" t="s">
        <v>793</v>
      </c>
      <c r="B447" s="195" t="s">
        <v>47</v>
      </c>
      <c r="C447" s="199">
        <f ca="1">IFERROR(INDEX(BYEs!$B$2:$B$33,MATCH(D447,BYEs!$A$2:$A$33,0)),"N/A")</f>
        <v>11</v>
      </c>
      <c r="D447" s="195" t="str">
        <f ca="1">INDEX(INDIRECT(""&amp;B447&amp;"!E2:E700"),MATCH(A447,INDIRECT(""&amp;B447&amp;"!B2:B700"),0))</f>
        <v>TB</v>
      </c>
      <c r="E447" s="194" t="str">
        <f ca="1">INDEX(INDIRECT(""&amp;$B447&amp;"!Z2:Z709"),MATCH($A447,INDIRECT(""&amp;$B447&amp;"!B2:B709"),0))</f>
        <v>TE12</v>
      </c>
      <c r="F447" s="196">
        <f ca="1">IF(LeagueInfo!$H$7="Starter/Bench",INDEX(INDIRECT(""&amp;B447&amp;"!S2:S709"),MATCH(A447,INDIRECT(""&amp;B447&amp;"!B2:B709"),0)),INDEX(INDIRECT(""&amp;B447&amp;"!AA2:AA709"),MATCH(A447,INDIRECT(""&amp;B447&amp;"!B2:B709"),0)))</f>
        <v>-14.245213106954655</v>
      </c>
      <c r="G447" s="200">
        <f>IF(H447&gt;0,F447-H447,0)</f>
        <v>0</v>
      </c>
      <c r="H447" s="198"/>
      <c r="I447" s="200">
        <f ca="1">F447*$A$2</f>
        <v>-14.245213106954655</v>
      </c>
      <c r="J447" s="197" t="s">
        <v>80</v>
      </c>
      <c r="K447" s="197">
        <f>IF(LeagueInfo!$F$7="Yahoo",IFERROR(INDEX(DefaultAuctionValues!$B$2:$B$359,MATCH(A447,DefaultAuctionValues!$A$2:$A$359,0)),0),IF(LeagueInfo!$F$7="ESPN",IFERROR(INDEX(DefaultAuctionValues!$C$2:$C$359,MATCH(A447,DefaultAuctionValues!$A$2:$A$359,0)),0),IF(LeagueInfo!$F$7="FantasyPros",IFERROR(INDEX(DefaultAuctionValues!$D$2:$D$359,MATCH(A447,DefaultAuctionValues!$A$2:$A$359,0)),0))))</f>
        <v>0</v>
      </c>
      <c r="L447" s="201">
        <f ca="1">I447-K447</f>
        <v>-14.245213106954655</v>
      </c>
      <c r="M447" s="213"/>
      <c r="N447" s="208">
        <f ca="1">INDEX(INDIRECT(""&amp;$B447&amp;"!y2:y709"),MATCH($A447,INDIRECT(""&amp;$B447&amp;"!B2:B709"),0))</f>
        <v>-29.74</v>
      </c>
      <c r="O447" s="217" t="str">
        <f ca="1">IF(INDEX(INDIRECT(""&amp;$B447&amp;"!V2:V700"),MATCH($A447,INDIRECT(""&amp;$B447&amp;"!B2:B700"),0))=0,"",INDEX(INDIRECT(""&amp;$B447&amp;"!V2:V700"),MATCH($A447,INDIRECT(""&amp;$B447&amp;"!B2:B700"),0)))</f>
        <v/>
      </c>
    </row>
    <row r="448" spans="1:15" x14ac:dyDescent="0.25">
      <c r="A448" s="195" t="s">
        <v>474</v>
      </c>
      <c r="B448" s="195" t="s">
        <v>32</v>
      </c>
      <c r="C448" s="199">
        <f ca="1">IFERROR(INDEX(BYEs!$B$2:$B$33,MATCH(D448,BYEs!$A$2:$A$33,0)),"N/A")</f>
        <v>9</v>
      </c>
      <c r="D448" s="195" t="str">
        <f ca="1">INDEX(INDIRECT(""&amp;B448&amp;"!E2:E700"),MATCH(A448,INDIRECT(""&amp;B448&amp;"!B2:B700"),0))</f>
        <v>PIT</v>
      </c>
      <c r="E448" s="194" t="str">
        <f ca="1">INDEX(INDIRECT(""&amp;$B448&amp;"!Z2:Z709"),MATCH($A448,INDIRECT(""&amp;$B448&amp;"!B2:B709"),0))</f>
        <v>RB12</v>
      </c>
      <c r="F448" s="196">
        <f ca="1">IF(LeagueInfo!$H$7="Starter/Bench",INDEX(INDIRECT(""&amp;B448&amp;"!S2:S709"),MATCH(A448,INDIRECT(""&amp;B448&amp;"!B2:B709"),0)),INDEX(INDIRECT(""&amp;B448&amp;"!AA2:AA709"),MATCH(A448,INDIRECT(""&amp;B448&amp;"!B2:B709"),0)))</f>
        <v>-14.271557650360254</v>
      </c>
      <c r="G448" s="200">
        <f>IF(H448&gt;0,F448-H448,0)</f>
        <v>0</v>
      </c>
      <c r="H448" s="198"/>
      <c r="I448" s="200">
        <f ca="1">F448*$A$2</f>
        <v>-14.271557650360254</v>
      </c>
      <c r="J448" s="197" t="s">
        <v>80</v>
      </c>
      <c r="K448" s="197">
        <f>IF(LeagueInfo!$F$7="Yahoo",IFERROR(INDEX(DefaultAuctionValues!$B$2:$B$359,MATCH(A448,DefaultAuctionValues!$A$2:$A$359,0)),0),IF(LeagueInfo!$F$7="ESPN",IFERROR(INDEX(DefaultAuctionValues!$C$2:$C$359,MATCH(A448,DefaultAuctionValues!$A$2:$A$359,0)),0),IF(LeagueInfo!$F$7="FantasyPros",IFERROR(INDEX(DefaultAuctionValues!$D$2:$D$359,MATCH(A448,DefaultAuctionValues!$A$2:$A$359,0)),0))))</f>
        <v>0</v>
      </c>
      <c r="L448" s="201">
        <f ca="1">I448-K448</f>
        <v>-14.271557650360254</v>
      </c>
      <c r="M448" s="213"/>
      <c r="N448" s="208">
        <f ca="1">INDEX(INDIRECT(""&amp;$B448&amp;"!y2:y709"),MATCH($A448,INDIRECT(""&amp;$B448&amp;"!B2:B709"),0))</f>
        <v>-29.795000000000002</v>
      </c>
      <c r="O448" s="217" t="str">
        <f ca="1">IF(INDEX(INDIRECT(""&amp;$B448&amp;"!V2:V700"),MATCH($A448,INDIRECT(""&amp;$B448&amp;"!B2:B700"),0))=0,"",INDEX(INDIRECT(""&amp;$B448&amp;"!V2:V700"),MATCH($A448,INDIRECT(""&amp;$B448&amp;"!B2:B700"),0)))</f>
        <v/>
      </c>
    </row>
    <row r="449" spans="1:15" x14ac:dyDescent="0.25">
      <c r="A449" s="195" t="s">
        <v>794</v>
      </c>
      <c r="B449" s="195" t="s">
        <v>47</v>
      </c>
      <c r="C449" s="199">
        <f ca="1">IFERROR(INDEX(BYEs!$B$2:$B$33,MATCH(D449,BYEs!$A$2:$A$33,0)),"N/A")</f>
        <v>10</v>
      </c>
      <c r="D449" s="195" t="str">
        <f ca="1">INDEX(INDIRECT(""&amp;B449&amp;"!E2:E700"),MATCH(A449,INDIRECT(""&amp;B449&amp;"!B2:B700"),0))</f>
        <v>OAK</v>
      </c>
      <c r="E449" s="194" t="str">
        <f ca="1">INDEX(INDIRECT(""&amp;$B449&amp;"!Z2:Z709"),MATCH($A449,INDIRECT(""&amp;$B449&amp;"!B2:B709"),0))</f>
        <v>TE12</v>
      </c>
      <c r="F449" s="196">
        <f ca="1">IF(LeagueInfo!$H$7="Starter/Bench",INDEX(INDIRECT(""&amp;B449&amp;"!S2:S709"),MATCH(A449,INDIRECT(""&amp;B449&amp;"!B2:B709"),0)),INDEX(INDIRECT(""&amp;B449&amp;"!AA2:AA709"),MATCH(A449,INDIRECT(""&amp;B449&amp;"!B2:B709"),0)))</f>
        <v>-14.276347567343089</v>
      </c>
      <c r="G449" s="200">
        <f>IF(H449&gt;0,F449-H449,0)</f>
        <v>0</v>
      </c>
      <c r="H449" s="198"/>
      <c r="I449" s="200">
        <f ca="1">F449*$A$2</f>
        <v>-14.276347567343089</v>
      </c>
      <c r="J449" s="197" t="s">
        <v>80</v>
      </c>
      <c r="K449" s="197">
        <f>IF(LeagueInfo!$F$7="Yahoo",IFERROR(INDEX(DefaultAuctionValues!$B$2:$B$359,MATCH(A449,DefaultAuctionValues!$A$2:$A$359,0)),0),IF(LeagueInfo!$F$7="ESPN",IFERROR(INDEX(DefaultAuctionValues!$C$2:$C$359,MATCH(A449,DefaultAuctionValues!$A$2:$A$359,0)),0),IF(LeagueInfo!$F$7="FantasyPros",IFERROR(INDEX(DefaultAuctionValues!$D$2:$D$359,MATCH(A449,DefaultAuctionValues!$A$2:$A$359,0)),0))))</f>
        <v>0</v>
      </c>
      <c r="L449" s="201">
        <f ca="1">I449-K449</f>
        <v>-14.276347567343089</v>
      </c>
      <c r="M449" s="213"/>
      <c r="N449" s="208">
        <f ca="1">INDEX(INDIRECT(""&amp;$B449&amp;"!y2:y709"),MATCH($A449,INDIRECT(""&amp;$B449&amp;"!B2:B709"),0))</f>
        <v>-29.805</v>
      </c>
      <c r="O449" s="217" t="str">
        <f ca="1">IF(INDEX(INDIRECT(""&amp;$B449&amp;"!V2:V700"),MATCH($A449,INDIRECT(""&amp;$B449&amp;"!B2:B700"),0))=0,"",INDEX(INDIRECT(""&amp;$B449&amp;"!V2:V700"),MATCH($A449,INDIRECT(""&amp;$B449&amp;"!B2:B700"),0)))</f>
        <v/>
      </c>
    </row>
    <row r="450" spans="1:15" x14ac:dyDescent="0.25">
      <c r="A450" s="195" t="s">
        <v>603</v>
      </c>
      <c r="B450" s="195" t="s">
        <v>39</v>
      </c>
      <c r="C450" s="199">
        <f ca="1">IFERROR(INDEX(BYEs!$B$2:$B$33,MATCH(D450,BYEs!$A$2:$A$33,0)),"N/A")</f>
        <v>9</v>
      </c>
      <c r="D450" s="195" t="str">
        <f ca="1">INDEX(INDIRECT(""&amp;B450&amp;"!E2:E700"),MATCH(A450,INDIRECT(""&amp;B450&amp;"!B2:B700"),0))</f>
        <v>CLE</v>
      </c>
      <c r="E450" s="194" t="str">
        <f ca="1">INDEX(INDIRECT(""&amp;$B450&amp;"!Z2:Z709"),MATCH($A450,INDIRECT(""&amp;$B450&amp;"!B2:B709"),0))</f>
        <v>WR10</v>
      </c>
      <c r="F450" s="196">
        <f ca="1">IF(LeagueInfo!$H$7="Starter/Bench",INDEX(INDIRECT(""&amp;B450&amp;"!S2:S709"),MATCH(A450,INDIRECT(""&amp;B450&amp;"!B2:B709"),0)),INDEX(INDIRECT(""&amp;B450&amp;"!AA2:AA709"),MATCH(A450,INDIRECT(""&amp;B450&amp;"!B2:B709"),0)))</f>
        <v>-14.281137484325926</v>
      </c>
      <c r="G450" s="200">
        <f>IF(H450&gt;0,F450-H450,0)</f>
        <v>0</v>
      </c>
      <c r="H450" s="198"/>
      <c r="I450" s="200">
        <f ca="1">F450*$A$2</f>
        <v>-14.281137484325926</v>
      </c>
      <c r="J450" s="197" t="s">
        <v>80</v>
      </c>
      <c r="K450" s="197">
        <f>IF(LeagueInfo!$F$7="Yahoo",IFERROR(INDEX(DefaultAuctionValues!$B$2:$B$359,MATCH(A450,DefaultAuctionValues!$A$2:$A$359,0)),0),IF(LeagueInfo!$F$7="ESPN",IFERROR(INDEX(DefaultAuctionValues!$C$2:$C$359,MATCH(A450,DefaultAuctionValues!$A$2:$A$359,0)),0),IF(LeagueInfo!$F$7="FantasyPros",IFERROR(INDEX(DefaultAuctionValues!$D$2:$D$359,MATCH(A450,DefaultAuctionValues!$A$2:$A$359,0)),0))))</f>
        <v>0</v>
      </c>
      <c r="L450" s="201">
        <f ca="1">I450-K450</f>
        <v>-14.281137484325926</v>
      </c>
      <c r="M450" s="213"/>
      <c r="N450" s="208">
        <f ca="1">INDEX(INDIRECT(""&amp;$B450&amp;"!y2:y709"),MATCH($A450,INDIRECT(""&amp;$B450&amp;"!B2:B709"),0))</f>
        <v>-29.815000000000001</v>
      </c>
      <c r="O450" s="217" t="str">
        <f ca="1">IF(INDEX(INDIRECT(""&amp;$B450&amp;"!V2:V700"),MATCH($A450,INDIRECT(""&amp;$B450&amp;"!B2:B700"),0))=0,"",INDEX(INDIRECT(""&amp;$B450&amp;"!V2:V700"),MATCH($A450,INDIRECT(""&amp;$B450&amp;"!B2:B700"),0)))</f>
        <v/>
      </c>
    </row>
    <row r="451" spans="1:15" x14ac:dyDescent="0.25">
      <c r="A451" s="195" t="s">
        <v>537</v>
      </c>
      <c r="B451" s="195" t="s">
        <v>32</v>
      </c>
      <c r="C451" s="199">
        <f ca="1">IFERROR(INDEX(BYEs!$B$2:$B$33,MATCH(D451,BYEs!$A$2:$A$33,0)),"N/A")</f>
        <v>11</v>
      </c>
      <c r="D451" s="195" t="str">
        <f ca="1">INDEX(INDIRECT(""&amp;B451&amp;"!E2:E700"),MATCH(A451,INDIRECT(""&amp;B451&amp;"!B2:B700"),0))</f>
        <v>MIA</v>
      </c>
      <c r="E451" s="194" t="str">
        <f ca="1">INDEX(INDIRECT(""&amp;$B451&amp;"!Z2:Z709"),MATCH($A451,INDIRECT(""&amp;$B451&amp;"!B2:B709"),0))</f>
        <v>RB12</v>
      </c>
      <c r="F451" s="196">
        <f ca="1">IF(LeagueInfo!$H$7="Starter/Bench",INDEX(INDIRECT(""&amp;B451&amp;"!S2:S709"),MATCH(A451,INDIRECT(""&amp;B451&amp;"!B2:B709"),0)),INDEX(INDIRECT(""&amp;B451&amp;"!AA2:AA709"),MATCH(A451,INDIRECT(""&amp;B451&amp;"!B2:B709"),0)))</f>
        <v>-14.288322359800183</v>
      </c>
      <c r="G451" s="200">
        <f>IF(H451&gt;0,F451-H451,0)</f>
        <v>0</v>
      </c>
      <c r="H451" s="198"/>
      <c r="I451" s="200">
        <f ca="1">F451*$A$2</f>
        <v>-14.288322359800183</v>
      </c>
      <c r="J451" s="197" t="s">
        <v>80</v>
      </c>
      <c r="K451" s="197">
        <f>IF(LeagueInfo!$F$7="Yahoo",IFERROR(INDEX(DefaultAuctionValues!$B$2:$B$359,MATCH(A451,DefaultAuctionValues!$A$2:$A$359,0)),0),IF(LeagueInfo!$F$7="ESPN",IFERROR(INDEX(DefaultAuctionValues!$C$2:$C$359,MATCH(A451,DefaultAuctionValues!$A$2:$A$359,0)),0),IF(LeagueInfo!$F$7="FantasyPros",IFERROR(INDEX(DefaultAuctionValues!$D$2:$D$359,MATCH(A451,DefaultAuctionValues!$A$2:$A$359,0)),0))))</f>
        <v>0</v>
      </c>
      <c r="L451" s="201">
        <f ca="1">I451-K451</f>
        <v>-14.288322359800183</v>
      </c>
      <c r="M451" s="213"/>
      <c r="N451" s="208">
        <f ca="1">INDEX(INDIRECT(""&amp;$B451&amp;"!y2:y709"),MATCH($A451,INDIRECT(""&amp;$B451&amp;"!B2:B709"),0))</f>
        <v>-29.830000000000005</v>
      </c>
      <c r="O451" s="217" t="str">
        <f ca="1">IF(INDEX(INDIRECT(""&amp;$B451&amp;"!V2:V700"),MATCH($A451,INDIRECT(""&amp;$B451&amp;"!B2:B700"),0))=0,"",INDEX(INDIRECT(""&amp;$B451&amp;"!V2:V700"),MATCH($A451,INDIRECT(""&amp;$B451&amp;"!B2:B700"),0)))</f>
        <v/>
      </c>
    </row>
    <row r="452" spans="1:15" x14ac:dyDescent="0.25">
      <c r="A452" s="195" t="s">
        <v>539</v>
      </c>
      <c r="B452" s="195" t="s">
        <v>32</v>
      </c>
      <c r="C452" s="199">
        <f ca="1">IFERROR(INDEX(BYEs!$B$2:$B$33,MATCH(D452,BYEs!$A$2:$A$33,0)),"N/A")</f>
        <v>11</v>
      </c>
      <c r="D452" s="195" t="str">
        <f ca="1">INDEX(INDIRECT(""&amp;B452&amp;"!E2:E700"),MATCH(A452,INDIRECT(""&amp;B452&amp;"!B2:B700"),0))</f>
        <v>MIA</v>
      </c>
      <c r="E452" s="194" t="str">
        <f ca="1">INDEX(INDIRECT(""&amp;$B452&amp;"!Z2:Z709"),MATCH($A452,INDIRECT(""&amp;$B452&amp;"!B2:B709"),0))</f>
        <v>RB12</v>
      </c>
      <c r="F452" s="196">
        <f ca="1">IF(LeagueInfo!$H$7="Starter/Bench",INDEX(INDIRECT(""&amp;B452&amp;"!S2:S709"),MATCH(A452,INDIRECT(""&amp;B452&amp;"!B2:B709"),0)),INDEX(INDIRECT(""&amp;B452&amp;"!AA2:AA709"),MATCH(A452,INDIRECT(""&amp;B452&amp;"!B2:B709"),0)))</f>
        <v>-14.288322359800183</v>
      </c>
      <c r="G452" s="200">
        <f>IF(H452&gt;0,F452-H452,0)</f>
        <v>0</v>
      </c>
      <c r="H452" s="198"/>
      <c r="I452" s="200">
        <f ca="1">F452*$A$2</f>
        <v>-14.288322359800183</v>
      </c>
      <c r="J452" s="197" t="s">
        <v>80</v>
      </c>
      <c r="K452" s="197">
        <f>IF(LeagueInfo!$F$7="Yahoo",IFERROR(INDEX(DefaultAuctionValues!$B$2:$B$359,MATCH(A452,DefaultAuctionValues!$A$2:$A$359,0)),0),IF(LeagueInfo!$F$7="ESPN",IFERROR(INDEX(DefaultAuctionValues!$C$2:$C$359,MATCH(A452,DefaultAuctionValues!$A$2:$A$359,0)),0),IF(LeagueInfo!$F$7="FantasyPros",IFERROR(INDEX(DefaultAuctionValues!$D$2:$D$359,MATCH(A452,DefaultAuctionValues!$A$2:$A$359,0)),0))))</f>
        <v>0</v>
      </c>
      <c r="L452" s="201">
        <f ca="1">I452-K452</f>
        <v>-14.288322359800183</v>
      </c>
      <c r="M452" s="213"/>
      <c r="N452" s="208">
        <f ca="1">INDEX(INDIRECT(""&amp;$B452&amp;"!y2:y709"),MATCH($A452,INDIRECT(""&amp;$B452&amp;"!B2:B709"),0))</f>
        <v>-29.830000000000005</v>
      </c>
      <c r="O452" s="217" t="str">
        <f ca="1">IF(INDEX(INDIRECT(""&amp;$B452&amp;"!V2:V700"),MATCH($A452,INDIRECT(""&amp;$B452&amp;"!B2:B700"),0))=0,"",INDEX(INDIRECT(""&amp;$B452&amp;"!V2:V700"),MATCH($A452,INDIRECT(""&amp;$B452&amp;"!B2:B700"),0)))</f>
        <v/>
      </c>
    </row>
    <row r="453" spans="1:15" x14ac:dyDescent="0.25">
      <c r="A453" s="195" t="s">
        <v>495</v>
      </c>
      <c r="B453" s="195" t="s">
        <v>32</v>
      </c>
      <c r="C453" s="199">
        <f ca="1">IFERROR(INDEX(BYEs!$B$2:$B$33,MATCH(D453,BYEs!$A$2:$A$33,0)),"N/A")</f>
        <v>11</v>
      </c>
      <c r="D453" s="195" t="str">
        <f ca="1">INDEX(INDIRECT(""&amp;B453&amp;"!E2:E700"),MATCH(A453,INDIRECT(""&amp;B453&amp;"!B2:B700"),0))</f>
        <v>CAR</v>
      </c>
      <c r="E453" s="194" t="str">
        <f ca="1">INDEX(INDIRECT(""&amp;$B453&amp;"!Z2:Z709"),MATCH($A453,INDIRECT(""&amp;$B453&amp;"!B2:B709"),0))</f>
        <v>RB12</v>
      </c>
      <c r="F453" s="196">
        <f ca="1">IF(LeagueInfo!$H$7="Starter/Bench",INDEX(INDIRECT(""&amp;B453&amp;"!S2:S709"),MATCH(A453,INDIRECT(""&amp;B453&amp;"!B2:B709"),0)),INDEX(INDIRECT(""&amp;B453&amp;"!AA2:AA709"),MATCH(A453,INDIRECT(""&amp;B453&amp;"!B2:B709"),0)))</f>
        <v>-14.305087069240107</v>
      </c>
      <c r="G453" s="200">
        <f>IF(H453&gt;0,F453-H453,0)</f>
        <v>0</v>
      </c>
      <c r="H453" s="198"/>
      <c r="I453" s="200">
        <f ca="1">F453*$A$2</f>
        <v>-14.305087069240107</v>
      </c>
      <c r="J453" s="197" t="s">
        <v>80</v>
      </c>
      <c r="K453" s="197">
        <f>IF(LeagueInfo!$F$7="Yahoo",IFERROR(INDEX(DefaultAuctionValues!$B$2:$B$359,MATCH(A453,DefaultAuctionValues!$A$2:$A$359,0)),0),IF(LeagueInfo!$F$7="ESPN",IFERROR(INDEX(DefaultAuctionValues!$C$2:$C$359,MATCH(A453,DefaultAuctionValues!$A$2:$A$359,0)),0),IF(LeagueInfo!$F$7="FantasyPros",IFERROR(INDEX(DefaultAuctionValues!$D$2:$D$359,MATCH(A453,DefaultAuctionValues!$A$2:$A$359,0)),0))))</f>
        <v>0</v>
      </c>
      <c r="L453" s="201">
        <f ca="1">I453-K453</f>
        <v>-14.305087069240107</v>
      </c>
      <c r="M453" s="213"/>
      <c r="N453" s="208">
        <f ca="1">INDEX(INDIRECT(""&amp;$B453&amp;"!y2:y709"),MATCH($A453,INDIRECT(""&amp;$B453&amp;"!B2:B709"),0))</f>
        <v>-29.865000000000002</v>
      </c>
      <c r="O453" s="217" t="str">
        <f ca="1">IF(INDEX(INDIRECT(""&amp;$B453&amp;"!V2:V700"),MATCH($A453,INDIRECT(""&amp;$B453&amp;"!B2:B700"),0))=0,"",INDEX(INDIRECT(""&amp;$B453&amp;"!V2:V700"),MATCH($A453,INDIRECT(""&amp;$B453&amp;"!B2:B700"),0)))</f>
        <v/>
      </c>
    </row>
    <row r="454" spans="1:15" x14ac:dyDescent="0.25">
      <c r="A454" s="195" t="s">
        <v>770</v>
      </c>
      <c r="B454" s="195" t="s">
        <v>47</v>
      </c>
      <c r="C454" s="199">
        <f ca="1">IFERROR(INDEX(BYEs!$B$2:$B$33,MATCH(D454,BYEs!$A$2:$A$33,0)),"N/A")</f>
        <v>5</v>
      </c>
      <c r="D454" s="195" t="str">
        <f ca="1">INDEX(INDIRECT(""&amp;B454&amp;"!E2:E700"),MATCH(A454,INDIRECT(""&amp;B454&amp;"!B2:B700"),0))</f>
        <v>NO</v>
      </c>
      <c r="E454" s="194" t="str">
        <f ca="1">INDEX(INDIRECT(""&amp;$B454&amp;"!Z2:Z709"),MATCH($A454,INDIRECT(""&amp;$B454&amp;"!B2:B709"),0))</f>
        <v>TE12</v>
      </c>
      <c r="F454" s="196">
        <f ca="1">IF(LeagueInfo!$H$7="Starter/Bench",INDEX(INDIRECT(""&amp;B454&amp;"!S2:S709"),MATCH(A454,INDIRECT(""&amp;B454&amp;"!B2:B709"),0)),INDEX(INDIRECT(""&amp;B454&amp;"!AA2:AA709"),MATCH(A454,INDIRECT(""&amp;B454&amp;"!B2:B709"),0)))</f>
        <v>-14.319456820188615</v>
      </c>
      <c r="G454" s="200">
        <f>IF(H454&gt;0,F454-H454,0)</f>
        <v>0</v>
      </c>
      <c r="H454" s="198"/>
      <c r="I454" s="200">
        <f ca="1">F454*$A$2</f>
        <v>-14.319456820188615</v>
      </c>
      <c r="J454" s="197" t="s">
        <v>80</v>
      </c>
      <c r="K454" s="197">
        <f>IF(LeagueInfo!$F$7="Yahoo",IFERROR(INDEX(DefaultAuctionValues!$B$2:$B$359,MATCH(A454,DefaultAuctionValues!$A$2:$A$359,0)),0),IF(LeagueInfo!$F$7="ESPN",IFERROR(INDEX(DefaultAuctionValues!$C$2:$C$359,MATCH(A454,DefaultAuctionValues!$A$2:$A$359,0)),0),IF(LeagueInfo!$F$7="FantasyPros",IFERROR(INDEX(DefaultAuctionValues!$D$2:$D$359,MATCH(A454,DefaultAuctionValues!$A$2:$A$359,0)),0))))</f>
        <v>0</v>
      </c>
      <c r="L454" s="201">
        <f ca="1">I454-K454</f>
        <v>-14.319456820188615</v>
      </c>
      <c r="M454" s="213"/>
      <c r="N454" s="208">
        <f ca="1">INDEX(INDIRECT(""&amp;$B454&amp;"!y2:y709"),MATCH($A454,INDIRECT(""&amp;$B454&amp;"!B2:B709"),0))</f>
        <v>-29.895</v>
      </c>
      <c r="O454" s="217" t="str">
        <f ca="1">IF(INDEX(INDIRECT(""&amp;$B454&amp;"!V2:V700"),MATCH($A454,INDIRECT(""&amp;$B454&amp;"!B2:B700"),0))=0,"",INDEX(INDIRECT(""&amp;$B454&amp;"!V2:V700"),MATCH($A454,INDIRECT(""&amp;$B454&amp;"!B2:B700"),0)))</f>
        <v/>
      </c>
    </row>
    <row r="455" spans="1:15" x14ac:dyDescent="0.25">
      <c r="A455" s="195" t="s">
        <v>501</v>
      </c>
      <c r="B455" s="195" t="s">
        <v>32</v>
      </c>
      <c r="C455" s="199">
        <f ca="1">IFERROR(INDEX(BYEs!$B$2:$B$33,MATCH(D455,BYEs!$A$2:$A$33,0)),"N/A")</f>
        <v>7</v>
      </c>
      <c r="D455" s="195" t="str">
        <f ca="1">INDEX(INDIRECT(""&amp;B455&amp;"!E2:E700"),MATCH(A455,INDIRECT(""&amp;B455&amp;"!B2:B700"),0))</f>
        <v>HOU</v>
      </c>
      <c r="E455" s="194" t="str">
        <f ca="1">INDEX(INDIRECT(""&amp;$B455&amp;"!Z2:Z709"),MATCH($A455,INDIRECT(""&amp;$B455&amp;"!B2:B709"),0))</f>
        <v>RB12</v>
      </c>
      <c r="F455" s="196">
        <f ca="1">IF(LeagueInfo!$H$7="Starter/Bench",INDEX(INDIRECT(""&amp;B455&amp;"!S2:S709"),MATCH(A455,INDIRECT(""&amp;B455&amp;"!B2:B709"),0)),INDEX(INDIRECT(""&amp;B455&amp;"!AA2:AA709"),MATCH(A455,INDIRECT(""&amp;B455&amp;"!B2:B709"),0)))</f>
        <v>-14.333826571137125</v>
      </c>
      <c r="G455" s="200">
        <f>IF(H455&gt;0,F455-H455,0)</f>
        <v>0</v>
      </c>
      <c r="H455" s="198"/>
      <c r="I455" s="200">
        <f ca="1">F455*$A$2</f>
        <v>-14.333826571137125</v>
      </c>
      <c r="J455" s="197" t="s">
        <v>80</v>
      </c>
      <c r="K455" s="197">
        <f>IF(LeagueInfo!$F$7="Yahoo",IFERROR(INDEX(DefaultAuctionValues!$B$2:$B$359,MATCH(A455,DefaultAuctionValues!$A$2:$A$359,0)),0),IF(LeagueInfo!$F$7="ESPN",IFERROR(INDEX(DefaultAuctionValues!$C$2:$C$359,MATCH(A455,DefaultAuctionValues!$A$2:$A$359,0)),0),IF(LeagueInfo!$F$7="FantasyPros",IFERROR(INDEX(DefaultAuctionValues!$D$2:$D$359,MATCH(A455,DefaultAuctionValues!$A$2:$A$359,0)),0))))</f>
        <v>0</v>
      </c>
      <c r="L455" s="201">
        <f ca="1">I455-K455</f>
        <v>-14.333826571137125</v>
      </c>
      <c r="M455" s="213"/>
      <c r="N455" s="208">
        <f ca="1">INDEX(INDIRECT(""&amp;$B455&amp;"!y2:y709"),MATCH($A455,INDIRECT(""&amp;$B455&amp;"!B2:B709"),0))</f>
        <v>-29.925000000000004</v>
      </c>
      <c r="O455" s="217" t="str">
        <f ca="1">IF(INDEX(INDIRECT(""&amp;$B455&amp;"!V2:V700"),MATCH($A455,INDIRECT(""&amp;$B455&amp;"!B2:B700"),0))=0,"",INDEX(INDIRECT(""&amp;$B455&amp;"!V2:V700"),MATCH($A455,INDIRECT(""&amp;$B455&amp;"!B2:B700"),0)))</f>
        <v/>
      </c>
    </row>
    <row r="456" spans="1:15" x14ac:dyDescent="0.25">
      <c r="A456" s="195" t="s">
        <v>777</v>
      </c>
      <c r="B456" s="195" t="s">
        <v>47</v>
      </c>
      <c r="C456" s="199">
        <f ca="1">IFERROR(INDEX(BYEs!$B$2:$B$33,MATCH(D456,BYEs!$A$2:$A$33,0)),"N/A")</f>
        <v>9</v>
      </c>
      <c r="D456" s="195" t="str">
        <f ca="1">INDEX(INDIRECT(""&amp;B456&amp;"!E2:E700"),MATCH(A456,INDIRECT(""&amp;B456&amp;"!B2:B700"),0))</f>
        <v>LAC</v>
      </c>
      <c r="E456" s="194" t="str">
        <f ca="1">INDEX(INDIRECT(""&amp;$B456&amp;"!Z2:Z709"),MATCH($A456,INDIRECT(""&amp;$B456&amp;"!B2:B709"),0))</f>
        <v>TE12</v>
      </c>
      <c r="F456" s="196">
        <f ca="1">IF(LeagueInfo!$H$7="Starter/Bench",INDEX(INDIRECT(""&amp;B456&amp;"!S2:S709"),MATCH(A456,INDIRECT(""&amp;B456&amp;"!B2:B709"),0)),INDEX(INDIRECT(""&amp;B456&amp;"!AA2:AA709"),MATCH(A456,INDIRECT(""&amp;B456&amp;"!B2:B709"),0)))</f>
        <v>-14.391305574931156</v>
      </c>
      <c r="G456" s="200">
        <f>IF(H456&gt;0,F456-H456,0)</f>
        <v>0</v>
      </c>
      <c r="H456" s="198"/>
      <c r="I456" s="200">
        <f ca="1">F456*$A$2</f>
        <v>-14.391305574931156</v>
      </c>
      <c r="J456" s="197" t="s">
        <v>80</v>
      </c>
      <c r="K456" s="197">
        <f>IF(LeagueInfo!$F$7="Yahoo",IFERROR(INDEX(DefaultAuctionValues!$B$2:$B$359,MATCH(A456,DefaultAuctionValues!$A$2:$A$359,0)),0),IF(LeagueInfo!$F$7="ESPN",IFERROR(INDEX(DefaultAuctionValues!$C$2:$C$359,MATCH(A456,DefaultAuctionValues!$A$2:$A$359,0)),0),IF(LeagueInfo!$F$7="FantasyPros",IFERROR(INDEX(DefaultAuctionValues!$D$2:$D$359,MATCH(A456,DefaultAuctionValues!$A$2:$A$359,0)),0))))</f>
        <v>0</v>
      </c>
      <c r="L456" s="201">
        <f ca="1">I456-K456</f>
        <v>-14.391305574931156</v>
      </c>
      <c r="M456" s="213"/>
      <c r="N456" s="208">
        <f ca="1">INDEX(INDIRECT(""&amp;$B456&amp;"!y2:y709"),MATCH($A456,INDIRECT(""&amp;$B456&amp;"!B2:B709"),0))</f>
        <v>-30.044999999999998</v>
      </c>
      <c r="O456" s="217" t="str">
        <f ca="1">IF(INDEX(INDIRECT(""&amp;$B456&amp;"!V2:V700"),MATCH($A456,INDIRECT(""&amp;$B456&amp;"!B2:B700"),0))=0,"",INDEX(INDIRECT(""&amp;$B456&amp;"!V2:V700"),MATCH($A456,INDIRECT(""&amp;$B456&amp;"!B2:B700"),0)))</f>
        <v/>
      </c>
    </row>
    <row r="457" spans="1:15" x14ac:dyDescent="0.25">
      <c r="A457" s="195" t="s">
        <v>493</v>
      </c>
      <c r="B457" s="195" t="s">
        <v>32</v>
      </c>
      <c r="C457" s="199">
        <f ca="1">IFERROR(INDEX(BYEs!$B$2:$B$33,MATCH(D457,BYEs!$A$2:$A$33,0)),"N/A")</f>
        <v>6</v>
      </c>
      <c r="D457" s="195" t="str">
        <f ca="1">INDEX(INDIRECT(""&amp;B457&amp;"!E2:E700"),MATCH(A457,INDIRECT(""&amp;B457&amp;"!B2:B700"),0))</f>
        <v>SEA</v>
      </c>
      <c r="E457" s="194" t="str">
        <f ca="1">INDEX(INDIRECT(""&amp;$B457&amp;"!Z2:Z709"),MATCH($A457,INDIRECT(""&amp;$B457&amp;"!B2:B709"),0))</f>
        <v>RB12</v>
      </c>
      <c r="F457" s="196">
        <f ca="1">IF(LeagueInfo!$H$7="Starter/Bench",INDEX(INDIRECT(""&amp;B457&amp;"!S2:S709"),MATCH(A457,INDIRECT(""&amp;B457&amp;"!B2:B709"),0)),INDEX(INDIRECT(""&amp;B457&amp;"!AA2:AA709"),MATCH(A457,INDIRECT(""&amp;B457&amp;"!B2:B709"),0)))</f>
        <v>-14.40328036738825</v>
      </c>
      <c r="G457" s="200">
        <f>IF(H457&gt;0,F457-H457,0)</f>
        <v>0</v>
      </c>
      <c r="H457" s="198"/>
      <c r="I457" s="200">
        <f ca="1">F457*$A$2</f>
        <v>-14.40328036738825</v>
      </c>
      <c r="J457" s="197" t="s">
        <v>80</v>
      </c>
      <c r="K457" s="197">
        <f>IF(LeagueInfo!$F$7="Yahoo",IFERROR(INDEX(DefaultAuctionValues!$B$2:$B$359,MATCH(A457,DefaultAuctionValues!$A$2:$A$359,0)),0),IF(LeagueInfo!$F$7="ESPN",IFERROR(INDEX(DefaultAuctionValues!$C$2:$C$359,MATCH(A457,DefaultAuctionValues!$A$2:$A$359,0)),0),IF(LeagueInfo!$F$7="FantasyPros",IFERROR(INDEX(DefaultAuctionValues!$D$2:$D$359,MATCH(A457,DefaultAuctionValues!$A$2:$A$359,0)),0))))</f>
        <v>0</v>
      </c>
      <c r="L457" s="201">
        <f ca="1">I457-K457</f>
        <v>-14.40328036738825</v>
      </c>
      <c r="M457" s="213"/>
      <c r="N457" s="208">
        <f ca="1">INDEX(INDIRECT(""&amp;$B457&amp;"!y2:y709"),MATCH($A457,INDIRECT(""&amp;$B457&amp;"!B2:B709"),0))</f>
        <v>-30.070000000000004</v>
      </c>
      <c r="O457" s="217" t="str">
        <f ca="1">IF(INDEX(INDIRECT(""&amp;$B457&amp;"!V2:V700"),MATCH($A457,INDIRECT(""&amp;$B457&amp;"!B2:B700"),0))=0,"",INDEX(INDIRECT(""&amp;$B457&amp;"!V2:V700"),MATCH($A457,INDIRECT(""&amp;$B457&amp;"!B2:B700"),0)))</f>
        <v/>
      </c>
    </row>
    <row r="458" spans="1:15" x14ac:dyDescent="0.25">
      <c r="A458" s="195" t="s">
        <v>798</v>
      </c>
      <c r="B458" s="195" t="s">
        <v>47</v>
      </c>
      <c r="C458" s="199">
        <f ca="1">IFERROR(INDEX(BYEs!$B$2:$B$33,MATCH(D458,BYEs!$A$2:$A$33,0)),"N/A")</f>
        <v>8</v>
      </c>
      <c r="D458" s="195" t="str">
        <f ca="1">INDEX(INDIRECT(""&amp;B458&amp;"!E2:E700"),MATCH(A458,INDIRECT(""&amp;B458&amp;"!B2:B700"),0))</f>
        <v>JAC</v>
      </c>
      <c r="E458" s="194" t="str">
        <f ca="1">INDEX(INDIRECT(""&amp;$B458&amp;"!Z2:Z709"),MATCH($A458,INDIRECT(""&amp;$B458&amp;"!B2:B709"),0))</f>
        <v>TE12</v>
      </c>
      <c r="F458" s="196">
        <f ca="1">IF(LeagueInfo!$H$7="Starter/Bench",INDEX(INDIRECT(""&amp;B458&amp;"!S2:S709"),MATCH(A458,INDIRECT(""&amp;B458&amp;"!B2:B709"),0)),INDEX(INDIRECT(""&amp;B458&amp;"!AA2:AA709"),MATCH(A458,INDIRECT(""&amp;B458&amp;"!B2:B709"),0)))</f>
        <v>-14.4104652428625</v>
      </c>
      <c r="G458" s="200">
        <f>IF(H458&gt;0,F458-H458,0)</f>
        <v>0</v>
      </c>
      <c r="H458" s="198"/>
      <c r="I458" s="200">
        <f ca="1">F458*$A$2</f>
        <v>-14.4104652428625</v>
      </c>
      <c r="J458" s="197" t="s">
        <v>80</v>
      </c>
      <c r="K458" s="197">
        <f>IF(LeagueInfo!$F$7="Yahoo",IFERROR(INDEX(DefaultAuctionValues!$B$2:$B$359,MATCH(A458,DefaultAuctionValues!$A$2:$A$359,0)),0),IF(LeagueInfo!$F$7="ESPN",IFERROR(INDEX(DefaultAuctionValues!$C$2:$C$359,MATCH(A458,DefaultAuctionValues!$A$2:$A$359,0)),0),IF(LeagueInfo!$F$7="FantasyPros",IFERROR(INDEX(DefaultAuctionValues!$D$2:$D$359,MATCH(A458,DefaultAuctionValues!$A$2:$A$359,0)),0))))</f>
        <v>0</v>
      </c>
      <c r="L458" s="201">
        <f ca="1">I458-K458</f>
        <v>-14.4104652428625</v>
      </c>
      <c r="M458" s="213"/>
      <c r="N458" s="208">
        <f ca="1">INDEX(INDIRECT(""&amp;$B458&amp;"!y2:y709"),MATCH($A458,INDIRECT(""&amp;$B458&amp;"!B2:B709"),0))</f>
        <v>-30.084999999999997</v>
      </c>
      <c r="O458" s="217" t="str">
        <f ca="1">IF(INDEX(INDIRECT(""&amp;$B458&amp;"!V2:V700"),MATCH($A458,INDIRECT(""&amp;$B458&amp;"!B2:B700"),0))=0,"",INDEX(INDIRECT(""&amp;$B458&amp;"!V2:V700"),MATCH($A458,INDIRECT(""&amp;$B458&amp;"!B2:B700"),0)))</f>
        <v/>
      </c>
    </row>
    <row r="459" spans="1:15" x14ac:dyDescent="0.25">
      <c r="A459" s="195" t="s">
        <v>795</v>
      </c>
      <c r="B459" s="195" t="s">
        <v>47</v>
      </c>
      <c r="C459" s="199">
        <f ca="1">IFERROR(INDEX(BYEs!$B$2:$B$33,MATCH(D459,BYEs!$A$2:$A$33,0)),"N/A")</f>
        <v>5</v>
      </c>
      <c r="D459" s="195" t="str">
        <f ca="1">INDEX(INDIRECT(""&amp;B459&amp;"!E2:E700"),MATCH(A459,INDIRECT(""&amp;B459&amp;"!B2:B700"),0))</f>
        <v>WAS</v>
      </c>
      <c r="E459" s="194" t="str">
        <f ca="1">INDEX(INDIRECT(""&amp;$B459&amp;"!Z2:Z709"),MATCH($A459,INDIRECT(""&amp;$B459&amp;"!B2:B709"),0))</f>
        <v>TE12</v>
      </c>
      <c r="F459" s="196">
        <f ca="1">IF(LeagueInfo!$H$7="Starter/Bench",INDEX(INDIRECT(""&amp;B459&amp;"!S2:S709"),MATCH(A459,INDIRECT(""&amp;B459&amp;"!B2:B709"),0)),INDEX(INDIRECT(""&amp;B459&amp;"!AA2:AA709"),MATCH(A459,INDIRECT(""&amp;B459&amp;"!B2:B709"),0)))</f>
        <v>-14.417650118336756</v>
      </c>
      <c r="G459" s="200">
        <f>IF(H459&gt;0,F459-H459,0)</f>
        <v>0</v>
      </c>
      <c r="H459" s="198"/>
      <c r="I459" s="200">
        <f ca="1">F459*$A$2</f>
        <v>-14.417650118336756</v>
      </c>
      <c r="J459" s="197" t="s">
        <v>80</v>
      </c>
      <c r="K459" s="197">
        <f>IF(LeagueInfo!$F$7="Yahoo",IFERROR(INDEX(DefaultAuctionValues!$B$2:$B$359,MATCH(A459,DefaultAuctionValues!$A$2:$A$359,0)),0),IF(LeagueInfo!$F$7="ESPN",IFERROR(INDEX(DefaultAuctionValues!$C$2:$C$359,MATCH(A459,DefaultAuctionValues!$A$2:$A$359,0)),0),IF(LeagueInfo!$F$7="FantasyPros",IFERROR(INDEX(DefaultAuctionValues!$D$2:$D$359,MATCH(A459,DefaultAuctionValues!$A$2:$A$359,0)),0))))</f>
        <v>0</v>
      </c>
      <c r="L459" s="201">
        <f ca="1">I459-K459</f>
        <v>-14.417650118336756</v>
      </c>
      <c r="M459" s="213"/>
      <c r="N459" s="208">
        <f ca="1">INDEX(INDIRECT(""&amp;$B459&amp;"!y2:y709"),MATCH($A459,INDIRECT(""&amp;$B459&amp;"!B2:B709"),0))</f>
        <v>-30.099999999999998</v>
      </c>
      <c r="O459" s="217" t="str">
        <f ca="1">IF(INDEX(INDIRECT(""&amp;$B459&amp;"!V2:V700"),MATCH($A459,INDIRECT(""&amp;$B459&amp;"!B2:B700"),0))=0,"",INDEX(INDIRECT(""&amp;$B459&amp;"!V2:V700"),MATCH($A459,INDIRECT(""&amp;$B459&amp;"!B2:B700"),0)))</f>
        <v/>
      </c>
    </row>
    <row r="460" spans="1:15" x14ac:dyDescent="0.25">
      <c r="A460" s="195" t="s">
        <v>783</v>
      </c>
      <c r="B460" s="195" t="s">
        <v>47</v>
      </c>
      <c r="C460" s="199">
        <f ca="1">IFERROR(INDEX(BYEs!$B$2:$B$33,MATCH(D460,BYEs!$A$2:$A$33,0)),"N/A")</f>
        <v>8</v>
      </c>
      <c r="D460" s="195" t="str">
        <f ca="1">INDEX(INDIRECT(""&amp;B460&amp;"!E2:E700"),MATCH(A460,INDIRECT(""&amp;B460&amp;"!B2:B700"),0))</f>
        <v>NYG</v>
      </c>
      <c r="E460" s="194" t="str">
        <f ca="1">INDEX(INDIRECT(""&amp;$B460&amp;"!Z2:Z709"),MATCH($A460,INDIRECT(""&amp;$B460&amp;"!B2:B709"),0))</f>
        <v>TE12</v>
      </c>
      <c r="F460" s="196">
        <f ca="1">IF(LeagueInfo!$H$7="Starter/Bench",INDEX(INDIRECT(""&amp;B460&amp;"!S2:S709"),MATCH(A460,INDIRECT(""&amp;B460&amp;"!B2:B709"),0)),INDEX(INDIRECT(""&amp;B460&amp;"!AA2:AA709"),MATCH(A460,INDIRECT(""&amp;B460&amp;"!B2:B709"),0)))</f>
        <v>-14.422440035319593</v>
      </c>
      <c r="G460" s="200">
        <f>IF(H460&gt;0,F460-H460,0)</f>
        <v>0</v>
      </c>
      <c r="H460" s="198"/>
      <c r="I460" s="200">
        <f ca="1">F460*$A$2</f>
        <v>-14.422440035319593</v>
      </c>
      <c r="J460" s="197" t="s">
        <v>80</v>
      </c>
      <c r="K460" s="197">
        <f>IF(LeagueInfo!$F$7="Yahoo",IFERROR(INDEX(DefaultAuctionValues!$B$2:$B$359,MATCH(A460,DefaultAuctionValues!$A$2:$A$359,0)),0),IF(LeagueInfo!$F$7="ESPN",IFERROR(INDEX(DefaultAuctionValues!$C$2:$C$359,MATCH(A460,DefaultAuctionValues!$A$2:$A$359,0)),0),IF(LeagueInfo!$F$7="FantasyPros",IFERROR(INDEX(DefaultAuctionValues!$D$2:$D$359,MATCH(A460,DefaultAuctionValues!$A$2:$A$359,0)),0))))</f>
        <v>0</v>
      </c>
      <c r="L460" s="201">
        <f ca="1">I460-K460</f>
        <v>-14.422440035319593</v>
      </c>
      <c r="M460" s="213"/>
      <c r="N460" s="208">
        <f ca="1">INDEX(INDIRECT(""&amp;$B460&amp;"!y2:y709"),MATCH($A460,INDIRECT(""&amp;$B460&amp;"!B2:B709"),0))</f>
        <v>-30.11</v>
      </c>
      <c r="O460" s="217" t="str">
        <f ca="1">IF(INDEX(INDIRECT(""&amp;$B460&amp;"!V2:V700"),MATCH($A460,INDIRECT(""&amp;$B460&amp;"!B2:B700"),0))=0,"",INDEX(INDIRECT(""&amp;$B460&amp;"!V2:V700"),MATCH($A460,INDIRECT(""&amp;$B460&amp;"!B2:B700"),0)))</f>
        <v/>
      </c>
    </row>
    <row r="461" spans="1:15" x14ac:dyDescent="0.25">
      <c r="A461" s="195" t="s">
        <v>791</v>
      </c>
      <c r="B461" s="195" t="s">
        <v>47</v>
      </c>
      <c r="C461" s="199">
        <f ca="1">IFERROR(INDEX(BYEs!$B$2:$B$33,MATCH(D461,BYEs!$A$2:$A$33,0)),"N/A")</f>
        <v>9</v>
      </c>
      <c r="D461" s="195" t="str">
        <f ca="1">INDEX(INDIRECT(""&amp;B461&amp;"!E2:E700"),MATCH(A461,INDIRECT(""&amp;B461&amp;"!B2:B700"),0))</f>
        <v>CLE</v>
      </c>
      <c r="E461" s="194" t="str">
        <f ca="1">INDEX(INDIRECT(""&amp;$B461&amp;"!Z2:Z709"),MATCH($A461,INDIRECT(""&amp;$B461&amp;"!B2:B709"),0))</f>
        <v>TE12</v>
      </c>
      <c r="F461" s="196">
        <f ca="1">IF(LeagueInfo!$H$7="Starter/Bench",INDEX(INDIRECT(""&amp;B461&amp;"!S2:S709"),MATCH(A461,INDIRECT(""&amp;B461&amp;"!B2:B709"),0)),INDEX(INDIRECT(""&amp;B461&amp;"!AA2:AA709"),MATCH(A461,INDIRECT(""&amp;B461&amp;"!B2:B709"),0)))</f>
        <v>-14.429624910793846</v>
      </c>
      <c r="G461" s="200">
        <f>IF(H461&gt;0,F461-H461,0)</f>
        <v>0</v>
      </c>
      <c r="H461" s="198"/>
      <c r="I461" s="200">
        <f ca="1">F461*$A$2</f>
        <v>-14.429624910793846</v>
      </c>
      <c r="J461" s="197" t="s">
        <v>80</v>
      </c>
      <c r="K461" s="197">
        <f>IF(LeagueInfo!$F$7="Yahoo",IFERROR(INDEX(DefaultAuctionValues!$B$2:$B$359,MATCH(A461,DefaultAuctionValues!$A$2:$A$359,0)),0),IF(LeagueInfo!$F$7="ESPN",IFERROR(INDEX(DefaultAuctionValues!$C$2:$C$359,MATCH(A461,DefaultAuctionValues!$A$2:$A$359,0)),0),IF(LeagueInfo!$F$7="FantasyPros",IFERROR(INDEX(DefaultAuctionValues!$D$2:$D$359,MATCH(A461,DefaultAuctionValues!$A$2:$A$359,0)),0))))</f>
        <v>0</v>
      </c>
      <c r="L461" s="201">
        <f ca="1">I461-K461</f>
        <v>-14.429624910793846</v>
      </c>
      <c r="M461" s="213"/>
      <c r="N461" s="208">
        <f ca="1">INDEX(INDIRECT(""&amp;$B461&amp;"!y2:y709"),MATCH($A461,INDIRECT(""&amp;$B461&amp;"!B2:B709"),0))</f>
        <v>-30.125</v>
      </c>
      <c r="O461" s="217" t="str">
        <f ca="1">IF(INDEX(INDIRECT(""&amp;$B461&amp;"!V2:V700"),MATCH($A461,INDIRECT(""&amp;$B461&amp;"!B2:B700"),0))=0,"",INDEX(INDIRECT(""&amp;$B461&amp;"!V2:V700"),MATCH($A461,INDIRECT(""&amp;$B461&amp;"!B2:B700"),0)))</f>
        <v/>
      </c>
    </row>
    <row r="462" spans="1:15" x14ac:dyDescent="0.25">
      <c r="A462" s="195" t="s">
        <v>792</v>
      </c>
      <c r="B462" s="195" t="s">
        <v>47</v>
      </c>
      <c r="C462" s="199">
        <f ca="1">IFERROR(INDEX(BYEs!$B$2:$B$33,MATCH(D462,BYEs!$A$2:$A$33,0)),"N/A")</f>
        <v>9</v>
      </c>
      <c r="D462" s="195" t="str">
        <f ca="1">INDEX(INDIRECT(""&amp;B462&amp;"!E2:E700"),MATCH(A462,INDIRECT(""&amp;B462&amp;"!B2:B700"),0))</f>
        <v>MIN</v>
      </c>
      <c r="E462" s="194" t="str">
        <f ca="1">INDEX(INDIRECT(""&amp;$B462&amp;"!Z2:Z709"),MATCH($A462,INDIRECT(""&amp;$B462&amp;"!B2:B709"),0))</f>
        <v>TE12</v>
      </c>
      <c r="F462" s="196">
        <f ca="1">IF(LeagueInfo!$H$7="Starter/Bench",INDEX(INDIRECT(""&amp;B462&amp;"!S2:S709"),MATCH(A462,INDIRECT(""&amp;B462&amp;"!B2:B709"),0)),INDEX(INDIRECT(""&amp;B462&amp;"!AA2:AA709"),MATCH(A462,INDIRECT(""&amp;B462&amp;"!B2:B709"),0)))</f>
        <v>-14.458364412690862</v>
      </c>
      <c r="G462" s="200">
        <f>IF(H462&gt;0,F462-H462,0)</f>
        <v>0</v>
      </c>
      <c r="H462" s="198"/>
      <c r="I462" s="200">
        <f ca="1">F462*$A$2</f>
        <v>-14.458364412690862</v>
      </c>
      <c r="J462" s="197" t="s">
        <v>80</v>
      </c>
      <c r="K462" s="197">
        <f>IF(LeagueInfo!$F$7="Yahoo",IFERROR(INDEX(DefaultAuctionValues!$B$2:$B$359,MATCH(A462,DefaultAuctionValues!$A$2:$A$359,0)),0),IF(LeagueInfo!$F$7="ESPN",IFERROR(INDEX(DefaultAuctionValues!$C$2:$C$359,MATCH(A462,DefaultAuctionValues!$A$2:$A$359,0)),0),IF(LeagueInfo!$F$7="FantasyPros",IFERROR(INDEX(DefaultAuctionValues!$D$2:$D$359,MATCH(A462,DefaultAuctionValues!$A$2:$A$359,0)),0))))</f>
        <v>0</v>
      </c>
      <c r="L462" s="201">
        <f ca="1">I462-K462</f>
        <v>-14.458364412690862</v>
      </c>
      <c r="M462" s="213"/>
      <c r="N462" s="208">
        <f ca="1">INDEX(INDIRECT(""&amp;$B462&amp;"!y2:y709"),MATCH($A462,INDIRECT(""&amp;$B462&amp;"!B2:B709"),0))</f>
        <v>-30.184999999999999</v>
      </c>
      <c r="O462" s="217" t="str">
        <f ca="1">IF(INDEX(INDIRECT(""&amp;$B462&amp;"!V2:V700"),MATCH($A462,INDIRECT(""&amp;$B462&amp;"!B2:B700"),0))=0,"",INDEX(INDIRECT(""&amp;$B462&amp;"!V2:V700"),MATCH($A462,INDIRECT(""&amp;$B462&amp;"!B2:B700"),0)))</f>
        <v/>
      </c>
    </row>
    <row r="463" spans="1:15" x14ac:dyDescent="0.25">
      <c r="A463" s="195" t="s">
        <v>630</v>
      </c>
      <c r="B463" s="195" t="s">
        <v>39</v>
      </c>
      <c r="C463" s="199">
        <f ca="1">IFERROR(INDEX(BYEs!$B$2:$B$33,MATCH(D463,BYEs!$A$2:$A$33,0)),"N/A")</f>
        <v>11</v>
      </c>
      <c r="D463" s="195" t="str">
        <f ca="1">INDEX(INDIRECT(""&amp;B463&amp;"!E2:E700"),MATCH(A463,INDIRECT(""&amp;B463&amp;"!B2:B700"),0))</f>
        <v>IND</v>
      </c>
      <c r="E463" s="194" t="str">
        <f ca="1">INDEX(INDIRECT(""&amp;$B463&amp;"!Z2:Z709"),MATCH($A463,INDIRECT(""&amp;$B463&amp;"!B2:B709"),0))</f>
        <v>WR10</v>
      </c>
      <c r="F463" s="196">
        <f ca="1">IF(LeagueInfo!$H$7="Starter/Bench",INDEX(INDIRECT(""&amp;B463&amp;"!S2:S709"),MATCH(A463,INDIRECT(""&amp;B463&amp;"!B2:B709"),0)),INDEX(INDIRECT(""&amp;B463&amp;"!AA2:AA709"),MATCH(A463,INDIRECT(""&amp;B463&amp;"!B2:B709"),0)))</f>
        <v>-14.484708956096462</v>
      </c>
      <c r="G463" s="200">
        <f>IF(H463&gt;0,F463-H463,0)</f>
        <v>0</v>
      </c>
      <c r="H463" s="198"/>
      <c r="I463" s="200">
        <f ca="1">F463*$A$2</f>
        <v>-14.484708956096462</v>
      </c>
      <c r="J463" s="197" t="s">
        <v>80</v>
      </c>
      <c r="K463" s="197">
        <f>IF(LeagueInfo!$F$7="Yahoo",IFERROR(INDEX(DefaultAuctionValues!$B$2:$B$359,MATCH(A463,DefaultAuctionValues!$A$2:$A$359,0)),0),IF(LeagueInfo!$F$7="ESPN",IFERROR(INDEX(DefaultAuctionValues!$C$2:$C$359,MATCH(A463,DefaultAuctionValues!$A$2:$A$359,0)),0),IF(LeagueInfo!$F$7="FantasyPros",IFERROR(INDEX(DefaultAuctionValues!$D$2:$D$359,MATCH(A463,DefaultAuctionValues!$A$2:$A$359,0)),0))))</f>
        <v>0</v>
      </c>
      <c r="L463" s="201">
        <f ca="1">I463-K463</f>
        <v>-14.484708956096462</v>
      </c>
      <c r="M463" s="213"/>
      <c r="N463" s="208">
        <f ca="1">INDEX(INDIRECT(""&amp;$B463&amp;"!y2:y709"),MATCH($A463,INDIRECT(""&amp;$B463&amp;"!B2:B709"),0))</f>
        <v>-30.240000000000002</v>
      </c>
      <c r="O463" s="217" t="str">
        <f ca="1">IF(INDEX(INDIRECT(""&amp;$B463&amp;"!V2:V700"),MATCH($A463,INDIRECT(""&amp;$B463&amp;"!B2:B700"),0))=0,"",INDEX(INDIRECT(""&amp;$B463&amp;"!V2:V700"),MATCH($A463,INDIRECT(""&amp;$B463&amp;"!B2:B700"),0)))</f>
        <v/>
      </c>
    </row>
    <row r="464" spans="1:15" x14ac:dyDescent="0.25">
      <c r="A464" s="195" t="s">
        <v>704</v>
      </c>
      <c r="B464" s="195" t="s">
        <v>39</v>
      </c>
      <c r="C464" s="199">
        <f ca="1">IFERROR(INDEX(BYEs!$B$2:$B$33,MATCH(D464,BYEs!$A$2:$A$33,0)),"N/A")</f>
        <v>11</v>
      </c>
      <c r="D464" s="195" t="str">
        <f ca="1">INDEX(INDIRECT(""&amp;B464&amp;"!E2:E700"),MATCH(A464,INDIRECT(""&amp;B464&amp;"!B2:B700"),0))</f>
        <v>NYJ</v>
      </c>
      <c r="E464" s="194" t="str">
        <f ca="1">INDEX(INDIRECT(""&amp;$B464&amp;"!Z2:Z709"),MATCH($A464,INDIRECT(""&amp;$B464&amp;"!B2:B709"),0))</f>
        <v>WR10</v>
      </c>
      <c r="F464" s="196">
        <f ca="1">IF(LeagueInfo!$H$7="Starter/Bench",INDEX(INDIRECT(""&amp;B464&amp;"!S2:S709"),MATCH(A464,INDIRECT(""&amp;B464&amp;"!B2:B709"),0)),INDEX(INDIRECT(""&amp;B464&amp;"!AA2:AA709"),MATCH(A464,INDIRECT(""&amp;B464&amp;"!B2:B709"),0)))</f>
        <v>-14.542187959890494</v>
      </c>
      <c r="G464" s="200">
        <f>IF(H464&gt;0,F464-H464,0)</f>
        <v>0</v>
      </c>
      <c r="H464" s="198"/>
      <c r="I464" s="200">
        <f ca="1">F464*$A$2</f>
        <v>-14.542187959890494</v>
      </c>
      <c r="J464" s="197" t="s">
        <v>80</v>
      </c>
      <c r="K464" s="197">
        <f>IF(LeagueInfo!$F$7="Yahoo",IFERROR(INDEX(DefaultAuctionValues!$B$2:$B$359,MATCH(A464,DefaultAuctionValues!$A$2:$A$359,0)),0),IF(LeagueInfo!$F$7="ESPN",IFERROR(INDEX(DefaultAuctionValues!$C$2:$C$359,MATCH(A464,DefaultAuctionValues!$A$2:$A$359,0)),0),IF(LeagueInfo!$F$7="FantasyPros",IFERROR(INDEX(DefaultAuctionValues!$D$2:$D$359,MATCH(A464,DefaultAuctionValues!$A$2:$A$359,0)),0))))</f>
        <v>0</v>
      </c>
      <c r="L464" s="201">
        <f ca="1">I464-K464</f>
        <v>-14.542187959890494</v>
      </c>
      <c r="M464" s="213"/>
      <c r="N464" s="208">
        <f ca="1">INDEX(INDIRECT(""&amp;$B464&amp;"!y2:y709"),MATCH($A464,INDIRECT(""&amp;$B464&amp;"!B2:B709"),0))</f>
        <v>-30.36</v>
      </c>
      <c r="O464" s="217" t="str">
        <f ca="1">IF(INDEX(INDIRECT(""&amp;$B464&amp;"!V2:V700"),MATCH($A464,INDIRECT(""&amp;$B464&amp;"!B2:B700"),0))=0,"",INDEX(INDIRECT(""&amp;$B464&amp;"!V2:V700"),MATCH($A464,INDIRECT(""&amp;$B464&amp;"!B2:B700"),0)))</f>
        <v/>
      </c>
    </row>
    <row r="465" spans="1:15" x14ac:dyDescent="0.25">
      <c r="A465" s="195" t="s">
        <v>800</v>
      </c>
      <c r="B465" s="195" t="s">
        <v>47</v>
      </c>
      <c r="C465" s="199">
        <f ca="1">IFERROR(INDEX(BYEs!$B$2:$B$33,MATCH(D465,BYEs!$A$2:$A$33,0)),"N/A")</f>
        <v>6</v>
      </c>
      <c r="D465" s="195" t="str">
        <f ca="1">INDEX(INDIRECT(""&amp;B465&amp;"!E2:E700"),MATCH(A465,INDIRECT(""&amp;B465&amp;"!B2:B700"),0))</f>
        <v>CIN</v>
      </c>
      <c r="E465" s="194" t="str">
        <f ca="1">INDEX(INDIRECT(""&amp;$B465&amp;"!Z2:Z709"),MATCH($A465,INDIRECT(""&amp;$B465&amp;"!B2:B709"),0))</f>
        <v>TE12</v>
      </c>
      <c r="F465" s="196">
        <f ca="1">IF(LeagueInfo!$H$7="Starter/Bench",INDEX(INDIRECT(""&amp;B465&amp;"!S2:S709"),MATCH(A465,INDIRECT(""&amp;B465&amp;"!B2:B709"),0)),INDEX(INDIRECT(""&amp;B465&amp;"!AA2:AA709"),MATCH(A465,INDIRECT(""&amp;B465&amp;"!B2:B709"),0)))</f>
        <v>-14.58529721273602</v>
      </c>
      <c r="G465" s="200">
        <f>IF(H465&gt;0,F465-H465,0)</f>
        <v>0</v>
      </c>
      <c r="H465" s="198"/>
      <c r="I465" s="200">
        <f ca="1">F465*$A$2</f>
        <v>-14.58529721273602</v>
      </c>
      <c r="J465" s="197" t="s">
        <v>80</v>
      </c>
      <c r="K465" s="197">
        <f>IF(LeagueInfo!$F$7="Yahoo",IFERROR(INDEX(DefaultAuctionValues!$B$2:$B$359,MATCH(A465,DefaultAuctionValues!$A$2:$A$359,0)),0),IF(LeagueInfo!$F$7="ESPN",IFERROR(INDEX(DefaultAuctionValues!$C$2:$C$359,MATCH(A465,DefaultAuctionValues!$A$2:$A$359,0)),0),IF(LeagueInfo!$F$7="FantasyPros",IFERROR(INDEX(DefaultAuctionValues!$D$2:$D$359,MATCH(A465,DefaultAuctionValues!$A$2:$A$359,0)),0))))</f>
        <v>0</v>
      </c>
      <c r="L465" s="201">
        <f ca="1">I465-K465</f>
        <v>-14.58529721273602</v>
      </c>
      <c r="M465" s="213"/>
      <c r="N465" s="208">
        <f ca="1">INDEX(INDIRECT(""&amp;$B465&amp;"!y2:y709"),MATCH($A465,INDIRECT(""&amp;$B465&amp;"!B2:B709"),0))</f>
        <v>-30.45</v>
      </c>
      <c r="O465" s="217" t="str">
        <f ca="1">IF(INDEX(INDIRECT(""&amp;$B465&amp;"!V2:V700"),MATCH($A465,INDIRECT(""&amp;$B465&amp;"!B2:B700"),0))=0,"",INDEX(INDIRECT(""&amp;$B465&amp;"!V2:V700"),MATCH($A465,INDIRECT(""&amp;$B465&amp;"!B2:B700"),0)))</f>
        <v/>
      </c>
    </row>
    <row r="466" spans="1:15" x14ac:dyDescent="0.25">
      <c r="A466" s="195" t="s">
        <v>494</v>
      </c>
      <c r="B466" s="195" t="s">
        <v>32</v>
      </c>
      <c r="C466" s="199">
        <f ca="1">IFERROR(INDEX(BYEs!$B$2:$B$33,MATCH(D466,BYEs!$A$2:$A$33,0)),"N/A")</f>
        <v>9</v>
      </c>
      <c r="D466" s="195" t="str">
        <f ca="1">INDEX(INDIRECT(""&amp;B466&amp;"!E2:E700"),MATCH(A466,INDIRECT(""&amp;B466&amp;"!B2:B700"),0))</f>
        <v>CLE</v>
      </c>
      <c r="E466" s="194" t="str">
        <f ca="1">INDEX(INDIRECT(""&amp;$B466&amp;"!Z2:Z709"),MATCH($A466,INDIRECT(""&amp;$B466&amp;"!B2:B709"),0))</f>
        <v>RB12</v>
      </c>
      <c r="F466" s="196">
        <f ca="1">IF(LeagueInfo!$H$7="Starter/Bench",INDEX(INDIRECT(""&amp;B466&amp;"!S2:S709"),MATCH(A466,INDIRECT(""&amp;B466&amp;"!B2:B709"),0)),INDEX(INDIRECT(""&amp;B466&amp;"!AA2:AA709"),MATCH(A466,INDIRECT(""&amp;B466&amp;"!B2:B709"),0)))</f>
        <v>-14.59966696368453</v>
      </c>
      <c r="G466" s="200">
        <f>IF(H466&gt;0,F466-H466,0)</f>
        <v>0</v>
      </c>
      <c r="H466" s="198"/>
      <c r="I466" s="200">
        <f ca="1">F466*$A$2</f>
        <v>-14.59966696368453</v>
      </c>
      <c r="J466" s="197" t="s">
        <v>80</v>
      </c>
      <c r="K466" s="197">
        <f>IF(LeagueInfo!$F$7="Yahoo",IFERROR(INDEX(DefaultAuctionValues!$B$2:$B$359,MATCH(A466,DefaultAuctionValues!$A$2:$A$359,0)),0),IF(LeagueInfo!$F$7="ESPN",IFERROR(INDEX(DefaultAuctionValues!$C$2:$C$359,MATCH(A466,DefaultAuctionValues!$A$2:$A$359,0)),0),IF(LeagueInfo!$F$7="FantasyPros",IFERROR(INDEX(DefaultAuctionValues!$D$2:$D$359,MATCH(A466,DefaultAuctionValues!$A$2:$A$359,0)),0))))</f>
        <v>0</v>
      </c>
      <c r="L466" s="201">
        <f ca="1">I466-K466</f>
        <v>-14.59966696368453</v>
      </c>
      <c r="M466" s="213"/>
      <c r="N466" s="208">
        <f ca="1">INDEX(INDIRECT(""&amp;$B466&amp;"!y2:y709"),MATCH($A466,INDIRECT(""&amp;$B466&amp;"!B2:B709"),0))</f>
        <v>-30.480000000000004</v>
      </c>
      <c r="O466" s="217" t="str">
        <f ca="1">IF(INDEX(INDIRECT(""&amp;$B466&amp;"!V2:V700"),MATCH($A466,INDIRECT(""&amp;$B466&amp;"!B2:B700"),0))=0,"",INDEX(INDIRECT(""&amp;$B466&amp;"!V2:V700"),MATCH($A466,INDIRECT(""&amp;$B466&amp;"!B2:B700"),0)))</f>
        <v/>
      </c>
    </row>
    <row r="467" spans="1:15" x14ac:dyDescent="0.25">
      <c r="A467" s="195" t="s">
        <v>607</v>
      </c>
      <c r="B467" s="195" t="s">
        <v>39</v>
      </c>
      <c r="C467" s="199">
        <f ca="1">IFERROR(INDEX(BYEs!$B$2:$B$33,MATCH(D467,BYEs!$A$2:$A$33,0)),"N/A")</f>
        <v>5</v>
      </c>
      <c r="D467" s="195" t="str">
        <f ca="1">INDEX(INDIRECT(""&amp;B467&amp;"!E2:E700"),MATCH(A467,INDIRECT(""&amp;B467&amp;"!B2:B700"),0))</f>
        <v>ATL</v>
      </c>
      <c r="E467" s="194" t="str">
        <f ca="1">INDEX(INDIRECT(""&amp;$B467&amp;"!Z2:Z709"),MATCH($A467,INDIRECT(""&amp;$B467&amp;"!B2:B709"),0))</f>
        <v>WR10</v>
      </c>
      <c r="F467" s="196">
        <f ca="1">IF(LeagueInfo!$H$7="Starter/Bench",INDEX(INDIRECT(""&amp;B467&amp;"!S2:S709"),MATCH(A467,INDIRECT(""&amp;B467&amp;"!B2:B709"),0)),INDEX(INDIRECT(""&amp;B467&amp;"!AA2:AA709"),MATCH(A467,INDIRECT(""&amp;B467&amp;"!B2:B709"),0)))</f>
        <v>-14.6355913410558</v>
      </c>
      <c r="G467" s="200">
        <f>IF(H467&gt;0,F467-H467,0)</f>
        <v>0</v>
      </c>
      <c r="H467" s="198"/>
      <c r="I467" s="200">
        <f ca="1">F467*$A$2</f>
        <v>-14.6355913410558</v>
      </c>
      <c r="J467" s="197" t="s">
        <v>80</v>
      </c>
      <c r="K467" s="197">
        <f>IF(LeagueInfo!$F$7="Yahoo",IFERROR(INDEX(DefaultAuctionValues!$B$2:$B$359,MATCH(A467,DefaultAuctionValues!$A$2:$A$359,0)),0),IF(LeagueInfo!$F$7="ESPN",IFERROR(INDEX(DefaultAuctionValues!$C$2:$C$359,MATCH(A467,DefaultAuctionValues!$A$2:$A$359,0)),0),IF(LeagueInfo!$F$7="FantasyPros",IFERROR(INDEX(DefaultAuctionValues!$D$2:$D$359,MATCH(A467,DefaultAuctionValues!$A$2:$A$359,0)),0))))</f>
        <v>0</v>
      </c>
      <c r="L467" s="201">
        <f ca="1">I467-K467</f>
        <v>-14.6355913410558</v>
      </c>
      <c r="M467" s="213"/>
      <c r="N467" s="208">
        <f ca="1">INDEX(INDIRECT(""&amp;$B467&amp;"!y2:y709"),MATCH($A467,INDIRECT(""&amp;$B467&amp;"!B2:B709"),0))</f>
        <v>-30.555</v>
      </c>
      <c r="O467" s="217" t="str">
        <f ca="1">IF(INDEX(INDIRECT(""&amp;$B467&amp;"!V2:V700"),MATCH($A467,INDIRECT(""&amp;$B467&amp;"!B2:B700"),0))=0,"",INDEX(INDIRECT(""&amp;$B467&amp;"!V2:V700"),MATCH($A467,INDIRECT(""&amp;$B467&amp;"!B2:B700"),0)))</f>
        <v/>
      </c>
    </row>
    <row r="468" spans="1:15" x14ac:dyDescent="0.25">
      <c r="A468" s="195" t="s">
        <v>503</v>
      </c>
      <c r="B468" s="195" t="s">
        <v>32</v>
      </c>
      <c r="C468" s="199">
        <f ca="1">IFERROR(INDEX(BYEs!$B$2:$B$33,MATCH(D468,BYEs!$A$2:$A$33,0)),"N/A")</f>
        <v>8</v>
      </c>
      <c r="D468" s="195" t="str">
        <f ca="1">INDEX(INDIRECT(""&amp;B468&amp;"!E2:E700"),MATCH(A468,INDIRECT(""&amp;B468&amp;"!B2:B700"),0))</f>
        <v>JAC</v>
      </c>
      <c r="E468" s="194" t="str">
        <f ca="1">INDEX(INDIRECT(""&amp;$B468&amp;"!Z2:Z709"),MATCH($A468,INDIRECT(""&amp;$B468&amp;"!B2:B709"),0))</f>
        <v>RB12</v>
      </c>
      <c r="F468" s="196">
        <f ca="1">IF(LeagueInfo!$H$7="Starter/Bench",INDEX(INDIRECT(""&amp;B468&amp;"!S2:S709"),MATCH(A468,INDIRECT(""&amp;B468&amp;"!B2:B709"),0)),INDEX(INDIRECT(""&amp;B468&amp;"!AA2:AA709"),MATCH(A468,INDIRECT(""&amp;B468&amp;"!B2:B709"),0)))</f>
        <v>-14.652356050495728</v>
      </c>
      <c r="G468" s="200">
        <f>IF(H468&gt;0,F468-H468,0)</f>
        <v>0</v>
      </c>
      <c r="H468" s="198"/>
      <c r="I468" s="200">
        <f ca="1">F468*$A$2</f>
        <v>-14.652356050495728</v>
      </c>
      <c r="J468" s="197" t="s">
        <v>80</v>
      </c>
      <c r="K468" s="197">
        <f>IF(LeagueInfo!$F$7="Yahoo",IFERROR(INDEX(DefaultAuctionValues!$B$2:$B$359,MATCH(A468,DefaultAuctionValues!$A$2:$A$359,0)),0),IF(LeagueInfo!$F$7="ESPN",IFERROR(INDEX(DefaultAuctionValues!$C$2:$C$359,MATCH(A468,DefaultAuctionValues!$A$2:$A$359,0)),0),IF(LeagueInfo!$F$7="FantasyPros",IFERROR(INDEX(DefaultAuctionValues!$D$2:$D$359,MATCH(A468,DefaultAuctionValues!$A$2:$A$359,0)),0))))</f>
        <v>0</v>
      </c>
      <c r="L468" s="201">
        <f ca="1">I468-K468</f>
        <v>-14.652356050495728</v>
      </c>
      <c r="M468" s="213"/>
      <c r="N468" s="208">
        <f ca="1">INDEX(INDIRECT(""&amp;$B468&amp;"!y2:y709"),MATCH($A468,INDIRECT(""&amp;$B468&amp;"!B2:B709"),0))</f>
        <v>-30.590000000000003</v>
      </c>
      <c r="O468" s="217" t="str">
        <f ca="1">IF(INDEX(INDIRECT(""&amp;$B468&amp;"!V2:V700"),MATCH($A468,INDIRECT(""&amp;$B468&amp;"!B2:B700"),0))=0,"",INDEX(INDIRECT(""&amp;$B468&amp;"!V2:V700"),MATCH($A468,INDIRECT(""&amp;$B468&amp;"!B2:B700"),0)))</f>
        <v/>
      </c>
    </row>
    <row r="469" spans="1:15" x14ac:dyDescent="0.25">
      <c r="A469" s="195" t="s">
        <v>801</v>
      </c>
      <c r="B469" s="195" t="s">
        <v>47</v>
      </c>
      <c r="C469" s="199">
        <f ca="1">IFERROR(INDEX(BYEs!$B$2:$B$33,MATCH(D469,BYEs!$A$2:$A$33,0)),"N/A")</f>
        <v>8</v>
      </c>
      <c r="D469" s="195" t="str">
        <f ca="1">INDEX(INDIRECT(""&amp;B469&amp;"!E2:E700"),MATCH(A469,INDIRECT(""&amp;B469&amp;"!B2:B700"),0))</f>
        <v>ARI</v>
      </c>
      <c r="E469" s="194" t="str">
        <f ca="1">INDEX(INDIRECT(""&amp;$B469&amp;"!Z2:Z709"),MATCH($A469,INDIRECT(""&amp;$B469&amp;"!B2:B709"),0))</f>
        <v>TE12</v>
      </c>
      <c r="F469" s="196">
        <f ca="1">IF(LeagueInfo!$H$7="Starter/Bench",INDEX(INDIRECT(""&amp;B469&amp;"!S2:S709"),MATCH(A469,INDIRECT(""&amp;B469&amp;"!B2:B709"),0)),INDEX(INDIRECT(""&amp;B469&amp;"!AA2:AA709"),MATCH(A469,INDIRECT(""&amp;B469&amp;"!B2:B709"),0)))</f>
        <v>-14.65954092596998</v>
      </c>
      <c r="G469" s="200">
        <f>IF(H469&gt;0,F469-H469,0)</f>
        <v>0</v>
      </c>
      <c r="H469" s="198"/>
      <c r="I469" s="200">
        <f ca="1">F469*$A$2</f>
        <v>-14.65954092596998</v>
      </c>
      <c r="J469" s="197" t="s">
        <v>80</v>
      </c>
      <c r="K469" s="197">
        <f>IF(LeagueInfo!$F$7="Yahoo",IFERROR(INDEX(DefaultAuctionValues!$B$2:$B$359,MATCH(A469,DefaultAuctionValues!$A$2:$A$359,0)),0),IF(LeagueInfo!$F$7="ESPN",IFERROR(INDEX(DefaultAuctionValues!$C$2:$C$359,MATCH(A469,DefaultAuctionValues!$A$2:$A$359,0)),0),IF(LeagueInfo!$F$7="FantasyPros",IFERROR(INDEX(DefaultAuctionValues!$D$2:$D$359,MATCH(A469,DefaultAuctionValues!$A$2:$A$359,0)),0))))</f>
        <v>0</v>
      </c>
      <c r="L469" s="201">
        <f ca="1">I469-K469</f>
        <v>-14.65954092596998</v>
      </c>
      <c r="M469" s="213"/>
      <c r="N469" s="208">
        <f ca="1">INDEX(INDIRECT(""&amp;$B469&amp;"!y2:y709"),MATCH($A469,INDIRECT(""&amp;$B469&amp;"!B2:B709"),0))</f>
        <v>-30.604999999999997</v>
      </c>
      <c r="O469" s="217" t="str">
        <f ca="1">IF(INDEX(INDIRECT(""&amp;$B469&amp;"!V2:V700"),MATCH($A469,INDIRECT(""&amp;$B469&amp;"!B2:B700"),0))=0,"",INDEX(INDIRECT(""&amp;$B469&amp;"!V2:V700"),MATCH($A469,INDIRECT(""&amp;$B469&amp;"!B2:B700"),0)))</f>
        <v/>
      </c>
    </row>
    <row r="470" spans="1:15" x14ac:dyDescent="0.25">
      <c r="A470" s="195" t="s">
        <v>782</v>
      </c>
      <c r="B470" s="195" t="s">
        <v>47</v>
      </c>
      <c r="C470" s="199">
        <f ca="1">IFERROR(INDEX(BYEs!$B$2:$B$33,MATCH(D470,BYEs!$A$2:$A$33,0)),"N/A")</f>
        <v>9</v>
      </c>
      <c r="D470" s="195" t="str">
        <f ca="1">INDEX(INDIRECT(""&amp;B470&amp;"!E2:E700"),MATCH(A470,INDIRECT(""&amp;B470&amp;"!B2:B700"),0))</f>
        <v>CHI</v>
      </c>
      <c r="E470" s="194" t="str">
        <f ca="1">INDEX(INDIRECT(""&amp;$B470&amp;"!Z2:Z709"),MATCH($A470,INDIRECT(""&amp;$B470&amp;"!B2:B709"),0))</f>
        <v>TE12</v>
      </c>
      <c r="F470" s="196">
        <f ca="1">IF(LeagueInfo!$H$7="Starter/Bench",INDEX(INDIRECT(""&amp;B470&amp;"!S2:S709"),MATCH(A470,INDIRECT(""&amp;B470&amp;"!B2:B709"),0)),INDEX(INDIRECT(""&amp;B470&amp;"!AA2:AA709"),MATCH(A470,INDIRECT(""&amp;B470&amp;"!B2:B709"),0)))</f>
        <v>-14.661935884461398</v>
      </c>
      <c r="G470" s="200">
        <f>IF(H470&gt;0,F470-H470,0)</f>
        <v>0</v>
      </c>
      <c r="H470" s="198"/>
      <c r="I470" s="200">
        <f ca="1">F470*$A$2</f>
        <v>-14.661935884461398</v>
      </c>
      <c r="J470" s="197" t="s">
        <v>80</v>
      </c>
      <c r="K470" s="197">
        <f>IF(LeagueInfo!$F$7="Yahoo",IFERROR(INDEX(DefaultAuctionValues!$B$2:$B$359,MATCH(A470,DefaultAuctionValues!$A$2:$A$359,0)),0),IF(LeagueInfo!$F$7="ESPN",IFERROR(INDEX(DefaultAuctionValues!$C$2:$C$359,MATCH(A470,DefaultAuctionValues!$A$2:$A$359,0)),0),IF(LeagueInfo!$F$7="FantasyPros",IFERROR(INDEX(DefaultAuctionValues!$D$2:$D$359,MATCH(A470,DefaultAuctionValues!$A$2:$A$359,0)),0))))</f>
        <v>0</v>
      </c>
      <c r="L470" s="201">
        <f ca="1">I470-K470</f>
        <v>-14.661935884461398</v>
      </c>
      <c r="M470" s="213"/>
      <c r="N470" s="208">
        <f ca="1">INDEX(INDIRECT(""&amp;$B470&amp;"!y2:y709"),MATCH($A470,INDIRECT(""&amp;$B470&amp;"!B2:B709"),0))</f>
        <v>-30.61</v>
      </c>
      <c r="O470" s="217" t="str">
        <f ca="1">IF(INDEX(INDIRECT(""&amp;$B470&amp;"!V2:V700"),MATCH($A470,INDIRECT(""&amp;$B470&amp;"!B2:B700"),0))=0,"",INDEX(INDIRECT(""&amp;$B470&amp;"!V2:V700"),MATCH($A470,INDIRECT(""&amp;$B470&amp;"!B2:B700"),0)))</f>
        <v/>
      </c>
    </row>
    <row r="471" spans="1:15" x14ac:dyDescent="0.25">
      <c r="A471" s="195" t="s">
        <v>616</v>
      </c>
      <c r="B471" s="195" t="s">
        <v>39</v>
      </c>
      <c r="C471" s="199">
        <f ca="1">IFERROR(INDEX(BYEs!$B$2:$B$33,MATCH(D471,BYEs!$A$2:$A$33,0)),"N/A")</f>
        <v>11</v>
      </c>
      <c r="D471" s="195" t="str">
        <f ca="1">INDEX(INDIRECT(""&amp;B471&amp;"!E2:E700"),MATCH(A471,INDIRECT(""&amp;B471&amp;"!B2:B700"),0))</f>
        <v>NYJ</v>
      </c>
      <c r="E471" s="194" t="str">
        <f ca="1">INDEX(INDIRECT(""&amp;$B471&amp;"!Z2:Z709"),MATCH($A471,INDIRECT(""&amp;$B471&amp;"!B2:B709"),0))</f>
        <v>WR10</v>
      </c>
      <c r="F471" s="196">
        <f ca="1">IF(LeagueInfo!$H$7="Starter/Bench",INDEX(INDIRECT(""&amp;B471&amp;"!S2:S709"),MATCH(A471,INDIRECT(""&amp;B471&amp;"!B2:B709"),0)),INDEX(INDIRECT(""&amp;B471&amp;"!AA2:AA709"),MATCH(A471,INDIRECT(""&amp;B471&amp;"!B2:B709"),0)))</f>
        <v>-14.688280427866999</v>
      </c>
      <c r="G471" s="200">
        <f>IF(H471&gt;0,F471-H471,0)</f>
        <v>0</v>
      </c>
      <c r="H471" s="198"/>
      <c r="I471" s="200">
        <f ca="1">F471*$A$2</f>
        <v>-14.688280427866999</v>
      </c>
      <c r="J471" s="197" t="s">
        <v>80</v>
      </c>
      <c r="K471" s="197">
        <f>IF(LeagueInfo!$F$7="Yahoo",IFERROR(INDEX(DefaultAuctionValues!$B$2:$B$359,MATCH(A471,DefaultAuctionValues!$A$2:$A$359,0)),0),IF(LeagueInfo!$F$7="ESPN",IFERROR(INDEX(DefaultAuctionValues!$C$2:$C$359,MATCH(A471,DefaultAuctionValues!$A$2:$A$359,0)),0),IF(LeagueInfo!$F$7="FantasyPros",IFERROR(INDEX(DefaultAuctionValues!$D$2:$D$359,MATCH(A471,DefaultAuctionValues!$A$2:$A$359,0)),0))))</f>
        <v>0</v>
      </c>
      <c r="L471" s="201">
        <f ca="1">I471-K471</f>
        <v>-14.688280427866999</v>
      </c>
      <c r="M471" s="213"/>
      <c r="N471" s="208">
        <f ca="1">INDEX(INDIRECT(""&amp;$B471&amp;"!y2:y709"),MATCH($A471,INDIRECT(""&amp;$B471&amp;"!B2:B709"),0))</f>
        <v>-30.665000000000003</v>
      </c>
      <c r="O471" s="217" t="str">
        <f ca="1">IF(INDEX(INDIRECT(""&amp;$B471&amp;"!V2:V700"),MATCH($A471,INDIRECT(""&amp;$B471&amp;"!B2:B700"),0))=0,"",INDEX(INDIRECT(""&amp;$B471&amp;"!V2:V700"),MATCH($A471,INDIRECT(""&amp;$B471&amp;"!B2:B700"),0)))</f>
        <v/>
      </c>
    </row>
    <row r="472" spans="1:15" x14ac:dyDescent="0.25">
      <c r="A472" s="195" t="s">
        <v>504</v>
      </c>
      <c r="B472" s="195" t="s">
        <v>32</v>
      </c>
      <c r="C472" s="199">
        <f ca="1">IFERROR(INDEX(BYEs!$B$2:$B$33,MATCH(D472,BYEs!$A$2:$A$33,0)),"N/A")</f>
        <v>8</v>
      </c>
      <c r="D472" s="195" t="str">
        <f ca="1">INDEX(INDIRECT(""&amp;B472&amp;"!E2:E700"),MATCH(A472,INDIRECT(""&amp;B472&amp;"!B2:B700"),0))</f>
        <v>GB</v>
      </c>
      <c r="E472" s="194" t="str">
        <f ca="1">INDEX(INDIRECT(""&amp;$B472&amp;"!Z2:Z709"),MATCH($A472,INDIRECT(""&amp;$B472&amp;"!B2:B709"),0))</f>
        <v>RB12</v>
      </c>
      <c r="F472" s="196">
        <f ca="1">IF(LeagueInfo!$H$7="Starter/Bench",INDEX(INDIRECT(""&amp;B472&amp;"!S2:S709"),MATCH(A472,INDIRECT(""&amp;B472&amp;"!B2:B709"),0)),INDEX(INDIRECT(""&amp;B472&amp;"!AA2:AA709"),MATCH(A472,INDIRECT(""&amp;B472&amp;"!B2:B709"),0)))</f>
        <v>-14.690675386358418</v>
      </c>
      <c r="G472" s="200">
        <f>IF(H472&gt;0,F472-H472,0)</f>
        <v>0</v>
      </c>
      <c r="H472" s="198"/>
      <c r="I472" s="200">
        <f ca="1">F472*$A$2</f>
        <v>-14.690675386358418</v>
      </c>
      <c r="J472" s="197" t="s">
        <v>80</v>
      </c>
      <c r="K472" s="197">
        <f>IF(LeagueInfo!$F$7="Yahoo",IFERROR(INDEX(DefaultAuctionValues!$B$2:$B$359,MATCH(A472,DefaultAuctionValues!$A$2:$A$359,0)),0),IF(LeagueInfo!$F$7="ESPN",IFERROR(INDEX(DefaultAuctionValues!$C$2:$C$359,MATCH(A472,DefaultAuctionValues!$A$2:$A$359,0)),0),IF(LeagueInfo!$F$7="FantasyPros",IFERROR(INDEX(DefaultAuctionValues!$D$2:$D$359,MATCH(A472,DefaultAuctionValues!$A$2:$A$359,0)),0))))</f>
        <v>0</v>
      </c>
      <c r="L472" s="201">
        <f ca="1">I472-K472</f>
        <v>-14.690675386358418</v>
      </c>
      <c r="M472" s="213"/>
      <c r="N472" s="208">
        <f ca="1">INDEX(INDIRECT(""&amp;$B472&amp;"!y2:y709"),MATCH($A472,INDIRECT(""&amp;$B472&amp;"!B2:B709"),0))</f>
        <v>-30.670000000000005</v>
      </c>
      <c r="O472" s="217" t="str">
        <f ca="1">IF(INDEX(INDIRECT(""&amp;$B472&amp;"!V2:V700"),MATCH($A472,INDIRECT(""&amp;$B472&amp;"!B2:B700"),0))=0,"",INDEX(INDIRECT(""&amp;$B472&amp;"!V2:V700"),MATCH($A472,INDIRECT(""&amp;$B472&amp;"!B2:B700"),0)))</f>
        <v/>
      </c>
    </row>
    <row r="473" spans="1:15" x14ac:dyDescent="0.25">
      <c r="A473" s="195" t="s">
        <v>797</v>
      </c>
      <c r="B473" s="195" t="s">
        <v>47</v>
      </c>
      <c r="C473" s="199">
        <f ca="1">IFERROR(INDEX(BYEs!$B$2:$B$33,MATCH(D473,BYEs!$A$2:$A$33,0)),"N/A")</f>
        <v>9</v>
      </c>
      <c r="D473" s="195" t="str">
        <f ca="1">INDEX(INDIRECT(""&amp;B473&amp;"!E2:E700"),MATCH(A473,INDIRECT(""&amp;B473&amp;"!B2:B700"),0))</f>
        <v>CHI</v>
      </c>
      <c r="E473" s="194" t="str">
        <f ca="1">INDEX(INDIRECT(""&amp;$B473&amp;"!Z2:Z709"),MATCH($A473,INDIRECT(""&amp;$B473&amp;"!B2:B709"),0))</f>
        <v>TE12</v>
      </c>
      <c r="F473" s="196">
        <f ca="1">IF(LeagueInfo!$H$7="Starter/Bench",INDEX(INDIRECT(""&amp;B473&amp;"!S2:S709"),MATCH(A473,INDIRECT(""&amp;B473&amp;"!B2:B709"),0)),INDEX(INDIRECT(""&amp;B473&amp;"!AA2:AA709"),MATCH(A473,INDIRECT(""&amp;B473&amp;"!B2:B709"),0)))</f>
        <v>-14.705045137306923</v>
      </c>
      <c r="G473" s="200">
        <f>IF(H473&gt;0,F473-H473,0)</f>
        <v>0</v>
      </c>
      <c r="H473" s="198"/>
      <c r="I473" s="200">
        <f ca="1">F473*$A$2</f>
        <v>-14.705045137306923</v>
      </c>
      <c r="J473" s="197" t="s">
        <v>80</v>
      </c>
      <c r="K473" s="197">
        <f>IF(LeagueInfo!$F$7="Yahoo",IFERROR(INDEX(DefaultAuctionValues!$B$2:$B$359,MATCH(A473,DefaultAuctionValues!$A$2:$A$359,0)),0),IF(LeagueInfo!$F$7="ESPN",IFERROR(INDEX(DefaultAuctionValues!$C$2:$C$359,MATCH(A473,DefaultAuctionValues!$A$2:$A$359,0)),0),IF(LeagueInfo!$F$7="FantasyPros",IFERROR(INDEX(DefaultAuctionValues!$D$2:$D$359,MATCH(A473,DefaultAuctionValues!$A$2:$A$359,0)),0))))</f>
        <v>0</v>
      </c>
      <c r="L473" s="201">
        <f ca="1">I473-K473</f>
        <v>-14.705045137306923</v>
      </c>
      <c r="M473" s="213"/>
      <c r="N473" s="208">
        <f ca="1">INDEX(INDIRECT(""&amp;$B473&amp;"!y2:y709"),MATCH($A473,INDIRECT(""&amp;$B473&amp;"!B2:B709"),0))</f>
        <v>-30.7</v>
      </c>
      <c r="O473" s="217" t="str">
        <f ca="1">IF(INDEX(INDIRECT(""&amp;$B473&amp;"!V2:V700"),MATCH($A473,INDIRECT(""&amp;$B473&amp;"!B2:B700"),0))=0,"",INDEX(INDIRECT(""&amp;$B473&amp;"!V2:V700"),MATCH($A473,INDIRECT(""&amp;$B473&amp;"!B2:B700"),0)))</f>
        <v/>
      </c>
    </row>
    <row r="474" spans="1:15" x14ac:dyDescent="0.25">
      <c r="A474" s="195" t="s">
        <v>780</v>
      </c>
      <c r="B474" s="195" t="s">
        <v>47</v>
      </c>
      <c r="C474" s="199">
        <f ca="1">IFERROR(INDEX(BYEs!$B$2:$B$33,MATCH(D474,BYEs!$A$2:$A$33,0)),"N/A")</f>
        <v>10</v>
      </c>
      <c r="D474" s="195" t="str">
        <f ca="1">INDEX(INDIRECT(""&amp;B474&amp;"!E2:E700"),MATCH(A474,INDIRECT(""&amp;B474&amp;"!B2:B700"),0))</f>
        <v>OAK</v>
      </c>
      <c r="E474" s="194" t="str">
        <f ca="1">INDEX(INDIRECT(""&amp;$B474&amp;"!Z2:Z709"),MATCH($A474,INDIRECT(""&amp;$B474&amp;"!B2:B709"),0))</f>
        <v>TE12</v>
      </c>
      <c r="F474" s="196">
        <f ca="1">IF(LeagueInfo!$H$7="Starter/Bench",INDEX(INDIRECT(""&amp;B474&amp;"!S2:S709"),MATCH(A474,INDIRECT(""&amp;B474&amp;"!B2:B709"),0)),INDEX(INDIRECT(""&amp;B474&amp;"!AA2:AA709"),MATCH(A474,INDIRECT(""&amp;B474&amp;"!B2:B709"),0)))</f>
        <v>-14.712230012781179</v>
      </c>
      <c r="G474" s="200">
        <f>IF(H474&gt;0,F474-H474,0)</f>
        <v>0</v>
      </c>
      <c r="H474" s="198"/>
      <c r="I474" s="200">
        <f ca="1">F474*$A$2</f>
        <v>-14.712230012781179</v>
      </c>
      <c r="J474" s="197" t="s">
        <v>80</v>
      </c>
      <c r="K474" s="197">
        <f>IF(LeagueInfo!$F$7="Yahoo",IFERROR(INDEX(DefaultAuctionValues!$B$2:$B$359,MATCH(A474,DefaultAuctionValues!$A$2:$A$359,0)),0),IF(LeagueInfo!$F$7="ESPN",IFERROR(INDEX(DefaultAuctionValues!$C$2:$C$359,MATCH(A474,DefaultAuctionValues!$A$2:$A$359,0)),0),IF(LeagueInfo!$F$7="FantasyPros",IFERROR(INDEX(DefaultAuctionValues!$D$2:$D$359,MATCH(A474,DefaultAuctionValues!$A$2:$A$359,0)),0))))</f>
        <v>0</v>
      </c>
      <c r="L474" s="201">
        <f ca="1">I474-K474</f>
        <v>-14.712230012781179</v>
      </c>
      <c r="M474" s="213"/>
      <c r="N474" s="208">
        <f ca="1">INDEX(INDIRECT(""&amp;$B474&amp;"!y2:y709"),MATCH($A474,INDIRECT(""&amp;$B474&amp;"!B2:B709"),0))</f>
        <v>-30.715</v>
      </c>
      <c r="O474" s="217" t="str">
        <f ca="1">IF(INDEX(INDIRECT(""&amp;$B474&amp;"!V2:V700"),MATCH($A474,INDIRECT(""&amp;$B474&amp;"!B2:B700"),0))=0,"",INDEX(INDIRECT(""&amp;$B474&amp;"!V2:V700"),MATCH($A474,INDIRECT(""&amp;$B474&amp;"!B2:B700"),0)))</f>
        <v/>
      </c>
    </row>
    <row r="475" spans="1:15" x14ac:dyDescent="0.25">
      <c r="A475" s="195" t="s">
        <v>787</v>
      </c>
      <c r="B475" s="195" t="s">
        <v>47</v>
      </c>
      <c r="C475" s="199">
        <f ca="1">IFERROR(INDEX(BYEs!$B$2:$B$33,MATCH(D475,BYEs!$A$2:$A$33,0)),"N/A")</f>
        <v>5</v>
      </c>
      <c r="D475" s="195" t="str">
        <f ca="1">INDEX(INDIRECT(""&amp;B475&amp;"!E2:E700"),MATCH(A475,INDIRECT(""&amp;B475&amp;"!B2:B700"),0))</f>
        <v>ATL</v>
      </c>
      <c r="E475" s="194" t="str">
        <f ca="1">INDEX(INDIRECT(""&amp;$B475&amp;"!Z2:Z709"),MATCH($A475,INDIRECT(""&amp;$B475&amp;"!B2:B709"),0))</f>
        <v>TE12</v>
      </c>
      <c r="F475" s="196">
        <f ca="1">IF(LeagueInfo!$H$7="Starter/Bench",INDEX(INDIRECT(""&amp;B475&amp;"!S2:S709"),MATCH(A475,INDIRECT(""&amp;B475&amp;"!B2:B709"),0)),INDEX(INDIRECT(""&amp;B475&amp;"!AA2:AA709"),MATCH(A475,INDIRECT(""&amp;B475&amp;"!B2:B709"),0)))</f>
        <v>-14.736179597695358</v>
      </c>
      <c r="G475" s="200">
        <f>IF(H475&gt;0,F475-H475,0)</f>
        <v>0</v>
      </c>
      <c r="H475" s="198"/>
      <c r="I475" s="200">
        <f ca="1">F475*$A$2</f>
        <v>-14.736179597695358</v>
      </c>
      <c r="J475" s="197" t="s">
        <v>80</v>
      </c>
      <c r="K475" s="197">
        <f>IF(LeagueInfo!$F$7="Yahoo",IFERROR(INDEX(DefaultAuctionValues!$B$2:$B$359,MATCH(A475,DefaultAuctionValues!$A$2:$A$359,0)),0),IF(LeagueInfo!$F$7="ESPN",IFERROR(INDEX(DefaultAuctionValues!$C$2:$C$359,MATCH(A475,DefaultAuctionValues!$A$2:$A$359,0)),0),IF(LeagueInfo!$F$7="FantasyPros",IFERROR(INDEX(DefaultAuctionValues!$D$2:$D$359,MATCH(A475,DefaultAuctionValues!$A$2:$A$359,0)),0))))</f>
        <v>0</v>
      </c>
      <c r="L475" s="201">
        <f ca="1">I475-K475</f>
        <v>-14.736179597695358</v>
      </c>
      <c r="M475" s="213"/>
      <c r="N475" s="208">
        <f ca="1">INDEX(INDIRECT(""&amp;$B475&amp;"!y2:y709"),MATCH($A475,INDIRECT(""&amp;$B475&amp;"!B2:B709"),0))</f>
        <v>-30.764999999999997</v>
      </c>
      <c r="O475" s="217" t="str">
        <f ca="1">IF(INDEX(INDIRECT(""&amp;$B475&amp;"!V2:V700"),MATCH($A475,INDIRECT(""&amp;$B475&amp;"!B2:B700"),0))=0,"",INDEX(INDIRECT(""&amp;$B475&amp;"!V2:V700"),MATCH($A475,INDIRECT(""&amp;$B475&amp;"!B2:B700"),0)))</f>
        <v/>
      </c>
    </row>
    <row r="476" spans="1:15" x14ac:dyDescent="0.25">
      <c r="A476" s="195" t="s">
        <v>611</v>
      </c>
      <c r="B476" s="195" t="s">
        <v>39</v>
      </c>
      <c r="C476" s="199">
        <f ca="1">IFERROR(INDEX(BYEs!$B$2:$B$33,MATCH(D476,BYEs!$A$2:$A$33,0)),"N/A")</f>
        <v>11</v>
      </c>
      <c r="D476" s="195" t="str">
        <f ca="1">INDEX(INDIRECT(""&amp;B476&amp;"!E2:E700"),MATCH(A476,INDIRECT(""&amp;B476&amp;"!B2:B700"),0))</f>
        <v>SF</v>
      </c>
      <c r="E476" s="194" t="str">
        <f ca="1">INDEX(INDIRECT(""&amp;$B476&amp;"!Z2:Z709"),MATCH($A476,INDIRECT(""&amp;$B476&amp;"!B2:B709"),0))</f>
        <v>WR10</v>
      </c>
      <c r="F476" s="196">
        <f ca="1">IF(LeagueInfo!$H$7="Starter/Bench",INDEX(INDIRECT(""&amp;B476&amp;"!S2:S709"),MATCH(A476,INDIRECT(""&amp;B476&amp;"!B2:B709"),0)),INDEX(INDIRECT(""&amp;B476&amp;"!AA2:AA709"),MATCH(A476,INDIRECT(""&amp;B476&amp;"!B2:B709"),0)))</f>
        <v>-14.750549348643867</v>
      </c>
      <c r="G476" s="200">
        <f>IF(H476&gt;0,F476-H476,0)</f>
        <v>0</v>
      </c>
      <c r="H476" s="198"/>
      <c r="I476" s="200">
        <f ca="1">F476*$A$2</f>
        <v>-14.750549348643867</v>
      </c>
      <c r="J476" s="197" t="s">
        <v>80</v>
      </c>
      <c r="K476" s="197">
        <f>IF(LeagueInfo!$F$7="Yahoo",IFERROR(INDEX(DefaultAuctionValues!$B$2:$B$359,MATCH(A476,DefaultAuctionValues!$A$2:$A$359,0)),0),IF(LeagueInfo!$F$7="ESPN",IFERROR(INDEX(DefaultAuctionValues!$C$2:$C$359,MATCH(A476,DefaultAuctionValues!$A$2:$A$359,0)),0),IF(LeagueInfo!$F$7="FantasyPros",IFERROR(INDEX(DefaultAuctionValues!$D$2:$D$359,MATCH(A476,DefaultAuctionValues!$A$2:$A$359,0)),0))))</f>
        <v>0</v>
      </c>
      <c r="L476" s="201">
        <f ca="1">I476-K476</f>
        <v>-14.750549348643867</v>
      </c>
      <c r="M476" s="213"/>
      <c r="N476" s="208">
        <f ca="1">INDEX(INDIRECT(""&amp;$B476&amp;"!y2:y709"),MATCH($A476,INDIRECT(""&amp;$B476&amp;"!B2:B709"),0))</f>
        <v>-30.795000000000002</v>
      </c>
      <c r="O476" s="217" t="str">
        <f ca="1">IF(INDEX(INDIRECT(""&amp;$B476&amp;"!V2:V700"),MATCH($A476,INDIRECT(""&amp;$B476&amp;"!B2:B700"),0))=0,"",INDEX(INDIRECT(""&amp;$B476&amp;"!V2:V700"),MATCH($A476,INDIRECT(""&amp;$B476&amp;"!B2:B700"),0)))</f>
        <v/>
      </c>
    </row>
    <row r="477" spans="1:15" x14ac:dyDescent="0.25">
      <c r="A477" s="195" t="s">
        <v>544</v>
      </c>
      <c r="B477" s="195" t="s">
        <v>32</v>
      </c>
      <c r="C477" s="199">
        <f ca="1">IFERROR(INDEX(BYEs!$B$2:$B$33,MATCH(D477,BYEs!$A$2:$A$33,0)),"N/A")</f>
        <v>9</v>
      </c>
      <c r="D477" s="195" t="str">
        <f ca="1">INDEX(INDIRECT(""&amp;B477&amp;"!E2:E700"),MATCH(A477,INDIRECT(""&amp;B477&amp;"!B2:B700"),0))</f>
        <v>NE</v>
      </c>
      <c r="E477" s="194" t="str">
        <f ca="1">INDEX(INDIRECT(""&amp;$B477&amp;"!Z2:Z709"),MATCH($A477,INDIRECT(""&amp;$B477&amp;"!B2:B709"),0))</f>
        <v>RB12</v>
      </c>
      <c r="F477" s="196">
        <f ca="1">IF(LeagueInfo!$H$7="Starter/Bench",INDEX(INDIRECT(""&amp;B477&amp;"!S2:S709"),MATCH(A477,INDIRECT(""&amp;B477&amp;"!B2:B709"),0)),INDEX(INDIRECT(""&amp;B477&amp;"!AA2:AA709"),MATCH(A477,INDIRECT(""&amp;B477&amp;"!B2:B709"),0)))</f>
        <v>-14.750549348643869</v>
      </c>
      <c r="G477" s="200">
        <f>IF(H477&gt;0,F477-H477,0)</f>
        <v>0</v>
      </c>
      <c r="H477" s="198"/>
      <c r="I477" s="200">
        <f ca="1">F477*$A$2</f>
        <v>-14.750549348643869</v>
      </c>
      <c r="J477" s="197" t="s">
        <v>80</v>
      </c>
      <c r="K477" s="197">
        <f>IF(LeagueInfo!$F$7="Yahoo",IFERROR(INDEX(DefaultAuctionValues!$B$2:$B$359,MATCH(A477,DefaultAuctionValues!$A$2:$A$359,0)),0),IF(LeagueInfo!$F$7="ESPN",IFERROR(INDEX(DefaultAuctionValues!$C$2:$C$359,MATCH(A477,DefaultAuctionValues!$A$2:$A$359,0)),0),IF(LeagueInfo!$F$7="FantasyPros",IFERROR(INDEX(DefaultAuctionValues!$D$2:$D$359,MATCH(A477,DefaultAuctionValues!$A$2:$A$359,0)),0))))</f>
        <v>0</v>
      </c>
      <c r="L477" s="201">
        <f ca="1">I477-K477</f>
        <v>-14.750549348643869</v>
      </c>
      <c r="M477" s="213"/>
      <c r="N477" s="208">
        <f ca="1">INDEX(INDIRECT(""&amp;$B477&amp;"!y2:y709"),MATCH($A477,INDIRECT(""&amp;$B477&amp;"!B2:B709"),0))</f>
        <v>-30.795000000000005</v>
      </c>
      <c r="O477" s="217" t="str">
        <f ca="1">IF(INDEX(INDIRECT(""&amp;$B477&amp;"!V2:V700"),MATCH($A477,INDIRECT(""&amp;$B477&amp;"!B2:B700"),0))=0,"",INDEX(INDIRECT(""&amp;$B477&amp;"!V2:V700"),MATCH($A477,INDIRECT(""&amp;$B477&amp;"!B2:B700"),0)))</f>
        <v/>
      </c>
    </row>
    <row r="478" spans="1:15" x14ac:dyDescent="0.25">
      <c r="A478" s="195" t="s">
        <v>506</v>
      </c>
      <c r="B478" s="195" t="s">
        <v>32</v>
      </c>
      <c r="C478" s="199">
        <f ca="1">IFERROR(INDEX(BYEs!$B$2:$B$33,MATCH(D478,BYEs!$A$2:$A$33,0)),"N/A")</f>
        <v>11</v>
      </c>
      <c r="D478" s="195" t="str">
        <f ca="1">INDEX(INDIRECT(""&amp;B478&amp;"!E2:E700"),MATCH(A478,INDIRECT(""&amp;B478&amp;"!B2:B700"),0))</f>
        <v>CAR</v>
      </c>
      <c r="E478" s="194" t="str">
        <f ca="1">INDEX(INDIRECT(""&amp;$B478&amp;"!Z2:Z709"),MATCH($A478,INDIRECT(""&amp;$B478&amp;"!B2:B709"),0))</f>
        <v>RB12</v>
      </c>
      <c r="F478" s="196">
        <f ca="1">IF(LeagueInfo!$H$7="Starter/Bench",INDEX(INDIRECT(""&amp;B478&amp;"!S2:S709"),MATCH(A478,INDIRECT(""&amp;B478&amp;"!B2:B709"),0)),INDEX(INDIRECT(""&amp;B478&amp;"!AA2:AA709"),MATCH(A478,INDIRECT(""&amp;B478&amp;"!B2:B709"),0)))</f>
        <v>-14.755339265626704</v>
      </c>
      <c r="G478" s="200">
        <f>IF(H478&gt;0,F478-H478,0)</f>
        <v>0</v>
      </c>
      <c r="H478" s="198"/>
      <c r="I478" s="200">
        <f ca="1">F478*$A$2</f>
        <v>-14.755339265626704</v>
      </c>
      <c r="J478" s="197" t="s">
        <v>80</v>
      </c>
      <c r="K478" s="197">
        <f>IF(LeagueInfo!$F$7="Yahoo",IFERROR(INDEX(DefaultAuctionValues!$B$2:$B$359,MATCH(A478,DefaultAuctionValues!$A$2:$A$359,0)),0),IF(LeagueInfo!$F$7="ESPN",IFERROR(INDEX(DefaultAuctionValues!$C$2:$C$359,MATCH(A478,DefaultAuctionValues!$A$2:$A$359,0)),0),IF(LeagueInfo!$F$7="FantasyPros",IFERROR(INDEX(DefaultAuctionValues!$D$2:$D$359,MATCH(A478,DefaultAuctionValues!$A$2:$A$359,0)),0))))</f>
        <v>0</v>
      </c>
      <c r="L478" s="201">
        <f ca="1">I478-K478</f>
        <v>-14.755339265626704</v>
      </c>
      <c r="M478" s="213"/>
      <c r="N478" s="208">
        <f ca="1">INDEX(INDIRECT(""&amp;$B478&amp;"!y2:y709"),MATCH($A478,INDIRECT(""&amp;$B478&amp;"!B2:B709"),0))</f>
        <v>-30.805000000000003</v>
      </c>
      <c r="O478" s="217" t="str">
        <f ca="1">IF(INDEX(INDIRECT(""&amp;$B478&amp;"!V2:V700"),MATCH($A478,INDIRECT(""&amp;$B478&amp;"!B2:B700"),0))=0,"",INDEX(INDIRECT(""&amp;$B478&amp;"!V2:V700"),MATCH($A478,INDIRECT(""&amp;$B478&amp;"!B2:B700"),0)))</f>
        <v/>
      </c>
    </row>
    <row r="479" spans="1:15" x14ac:dyDescent="0.25">
      <c r="A479" s="195" t="s">
        <v>898</v>
      </c>
      <c r="B479" s="195" t="s">
        <v>47</v>
      </c>
      <c r="C479" s="199">
        <f ca="1">IFERROR(INDEX(BYEs!$B$2:$B$33,MATCH(D479,BYEs!$A$2:$A$33,0)),"N/A")</f>
        <v>5</v>
      </c>
      <c r="D479" s="195" t="str">
        <f ca="1">INDEX(INDIRECT(""&amp;B479&amp;"!E2:E700"),MATCH(A479,INDIRECT(""&amp;B479&amp;"!B2:B700"),0))</f>
        <v>NO</v>
      </c>
      <c r="E479" s="194" t="str">
        <f ca="1">INDEX(INDIRECT(""&amp;$B479&amp;"!Z2:Z709"),MATCH($A479,INDIRECT(""&amp;$B479&amp;"!B2:B709"),0))</f>
        <v>TE12</v>
      </c>
      <c r="F479" s="196">
        <f ca="1">IF(LeagueInfo!$H$7="Starter/Bench",INDEX(INDIRECT(""&amp;B479&amp;"!S2:S709"),MATCH(A479,INDIRECT(""&amp;B479&amp;"!B2:B709"),0)),INDEX(INDIRECT(""&amp;B479&amp;"!AA2:AA709"),MATCH(A479,INDIRECT(""&amp;B479&amp;"!B2:B709"),0)))</f>
        <v>-14.769709016575211</v>
      </c>
      <c r="G479" s="200">
        <f>IF(H479&gt;0,F479-H479,0)</f>
        <v>0</v>
      </c>
      <c r="H479" s="198"/>
      <c r="I479" s="200">
        <f ca="1">F479*$A$2</f>
        <v>-14.769709016575211</v>
      </c>
      <c r="J479" s="197" t="s">
        <v>80</v>
      </c>
      <c r="K479" s="197">
        <f>IF(LeagueInfo!$F$7="Yahoo",IFERROR(INDEX(DefaultAuctionValues!$B$2:$B$359,MATCH(A479,DefaultAuctionValues!$A$2:$A$359,0)),0),IF(LeagueInfo!$F$7="ESPN",IFERROR(INDEX(DefaultAuctionValues!$C$2:$C$359,MATCH(A479,DefaultAuctionValues!$A$2:$A$359,0)),0),IF(LeagueInfo!$F$7="FantasyPros",IFERROR(INDEX(DefaultAuctionValues!$D$2:$D$359,MATCH(A479,DefaultAuctionValues!$A$2:$A$359,0)),0))))</f>
        <v>0</v>
      </c>
      <c r="L479" s="201">
        <f ca="1">I479-K479</f>
        <v>-14.769709016575211</v>
      </c>
      <c r="M479" s="213"/>
      <c r="N479" s="208">
        <f ca="1">INDEX(INDIRECT(""&amp;$B479&amp;"!y2:y709"),MATCH($A479,INDIRECT(""&amp;$B479&amp;"!B2:B709"),0))</f>
        <v>-30.834999999999997</v>
      </c>
      <c r="O479" s="217" t="str">
        <f ca="1">IF(INDEX(INDIRECT(""&amp;$B479&amp;"!V2:V700"),MATCH($A479,INDIRECT(""&amp;$B479&amp;"!B2:B700"),0))=0,"",INDEX(INDIRECT(""&amp;$B479&amp;"!V2:V700"),MATCH($A479,INDIRECT(""&amp;$B479&amp;"!B2:B700"),0)))</f>
        <v/>
      </c>
    </row>
    <row r="480" spans="1:15" x14ac:dyDescent="0.25">
      <c r="A480" s="195" t="s">
        <v>802</v>
      </c>
      <c r="B480" s="195" t="s">
        <v>47</v>
      </c>
      <c r="C480" s="199">
        <f ca="1">IFERROR(INDEX(BYEs!$B$2:$B$33,MATCH(D480,BYEs!$A$2:$A$33,0)),"N/A")</f>
        <v>9</v>
      </c>
      <c r="D480" s="195" t="str">
        <f ca="1">INDEX(INDIRECT(""&amp;B480&amp;"!E2:E700"),MATCH(A480,INDIRECT(""&amp;B480&amp;"!B2:B700"),0))</f>
        <v>NE</v>
      </c>
      <c r="E480" s="194" t="str">
        <f ca="1">INDEX(INDIRECT(""&amp;$B480&amp;"!Z2:Z709"),MATCH($A480,INDIRECT(""&amp;$B480&amp;"!B2:B709"),0))</f>
        <v>TE12</v>
      </c>
      <c r="F480" s="196">
        <f ca="1">IF(LeagueInfo!$H$7="Starter/Bench",INDEX(INDIRECT(""&amp;B480&amp;"!S2:S709"),MATCH(A480,INDIRECT(""&amp;B480&amp;"!B2:B709"),0)),INDEX(INDIRECT(""&amp;B480&amp;"!AA2:AA709"),MATCH(A480,INDIRECT(""&amp;B480&amp;"!B2:B709"),0)))</f>
        <v>-14.77210397506663</v>
      </c>
      <c r="G480" s="200">
        <f>IF(H480&gt;0,F480-H480,0)</f>
        <v>0</v>
      </c>
      <c r="H480" s="198"/>
      <c r="I480" s="200">
        <f ca="1">F480*$A$2</f>
        <v>-14.77210397506663</v>
      </c>
      <c r="J480" s="197" t="s">
        <v>80</v>
      </c>
      <c r="K480" s="197">
        <f>IF(LeagueInfo!$F$7="Yahoo",IFERROR(INDEX(DefaultAuctionValues!$B$2:$B$359,MATCH(A480,DefaultAuctionValues!$A$2:$A$359,0)),0),IF(LeagueInfo!$F$7="ESPN",IFERROR(INDEX(DefaultAuctionValues!$C$2:$C$359,MATCH(A480,DefaultAuctionValues!$A$2:$A$359,0)),0),IF(LeagueInfo!$F$7="FantasyPros",IFERROR(INDEX(DefaultAuctionValues!$D$2:$D$359,MATCH(A480,DefaultAuctionValues!$A$2:$A$359,0)),0))))</f>
        <v>0</v>
      </c>
      <c r="L480" s="201">
        <f ca="1">I480-K480</f>
        <v>-14.77210397506663</v>
      </c>
      <c r="M480" s="213"/>
      <c r="N480" s="208">
        <f ca="1">INDEX(INDIRECT(""&amp;$B480&amp;"!y2:y709"),MATCH($A480,INDIRECT(""&amp;$B480&amp;"!B2:B709"),0))</f>
        <v>-30.84</v>
      </c>
      <c r="O480" s="217" t="str">
        <f ca="1">IF(INDEX(INDIRECT(""&amp;$B480&amp;"!V2:V700"),MATCH($A480,INDIRECT(""&amp;$B480&amp;"!B2:B700"),0))=0,"",INDEX(INDIRECT(""&amp;$B480&amp;"!V2:V700"),MATCH($A480,INDIRECT(""&amp;$B480&amp;"!B2:B700"),0)))</f>
        <v/>
      </c>
    </row>
    <row r="481" spans="1:15" x14ac:dyDescent="0.25">
      <c r="A481" s="195" t="s">
        <v>508</v>
      </c>
      <c r="B481" s="195" t="s">
        <v>32</v>
      </c>
      <c r="C481" s="199">
        <f ca="1">IFERROR(INDEX(BYEs!$B$2:$B$33,MATCH(D481,BYEs!$A$2:$A$33,0)),"N/A")</f>
        <v>5</v>
      </c>
      <c r="D481" s="195" t="str">
        <f ca="1">INDEX(INDIRECT(""&amp;B481&amp;"!E2:E700"),MATCH(A481,INDIRECT(""&amp;B481&amp;"!B2:B700"),0))</f>
        <v>WAS</v>
      </c>
      <c r="E481" s="194" t="str">
        <f ca="1">INDEX(INDIRECT(""&amp;$B481&amp;"!Z2:Z709"),MATCH($A481,INDIRECT(""&amp;$B481&amp;"!B2:B709"),0))</f>
        <v>RB12</v>
      </c>
      <c r="F481" s="196">
        <f ca="1">IF(LeagueInfo!$H$7="Starter/Bench",INDEX(INDIRECT(""&amp;B481&amp;"!S2:S709"),MATCH(A481,INDIRECT(""&amp;B481&amp;"!B2:B709"),0)),INDEX(INDIRECT(""&amp;B481&amp;"!AA2:AA709"),MATCH(A481,INDIRECT(""&amp;B481&amp;"!B2:B709"),0)))</f>
        <v>-14.776893892049468</v>
      </c>
      <c r="G481" s="200">
        <f>IF(H481&gt;0,F481-H481,0)</f>
        <v>0</v>
      </c>
      <c r="H481" s="198"/>
      <c r="I481" s="200">
        <f ca="1">F481*$A$2</f>
        <v>-14.776893892049468</v>
      </c>
      <c r="J481" s="197" t="s">
        <v>80</v>
      </c>
      <c r="K481" s="197">
        <f>IF(LeagueInfo!$F$7="Yahoo",IFERROR(INDEX(DefaultAuctionValues!$B$2:$B$359,MATCH(A481,DefaultAuctionValues!$A$2:$A$359,0)),0),IF(LeagueInfo!$F$7="ESPN",IFERROR(INDEX(DefaultAuctionValues!$C$2:$C$359,MATCH(A481,DefaultAuctionValues!$A$2:$A$359,0)),0),IF(LeagueInfo!$F$7="FantasyPros",IFERROR(INDEX(DefaultAuctionValues!$D$2:$D$359,MATCH(A481,DefaultAuctionValues!$A$2:$A$359,0)),0))))</f>
        <v>0</v>
      </c>
      <c r="L481" s="201">
        <f ca="1">I481-K481</f>
        <v>-14.776893892049468</v>
      </c>
      <c r="M481" s="213"/>
      <c r="N481" s="208">
        <f ca="1">INDEX(INDIRECT(""&amp;$B481&amp;"!y2:y709"),MATCH($A481,INDIRECT(""&amp;$B481&amp;"!B2:B709"),0))</f>
        <v>-30.850000000000005</v>
      </c>
      <c r="O481" s="217" t="str">
        <f ca="1">IF(INDEX(INDIRECT(""&amp;$B481&amp;"!V2:V700"),MATCH($A481,INDIRECT(""&amp;$B481&amp;"!B2:B700"),0))=0,"",INDEX(INDIRECT(""&amp;$B481&amp;"!V2:V700"),MATCH($A481,INDIRECT(""&amp;$B481&amp;"!B2:B700"),0)))</f>
        <v/>
      </c>
    </row>
    <row r="482" spans="1:15" x14ac:dyDescent="0.25">
      <c r="A482" s="195" t="s">
        <v>785</v>
      </c>
      <c r="B482" s="195" t="s">
        <v>47</v>
      </c>
      <c r="C482" s="199">
        <f ca="1">IFERROR(INDEX(BYEs!$B$2:$B$33,MATCH(D482,BYEs!$A$2:$A$33,0)),"N/A")</f>
        <v>11</v>
      </c>
      <c r="D482" s="195" t="str">
        <f ca="1">INDEX(INDIRECT(""&amp;B482&amp;"!E2:E700"),MATCH(A482,INDIRECT(""&amp;B482&amp;"!B2:B700"),0))</f>
        <v>TB</v>
      </c>
      <c r="E482" s="194" t="str">
        <f ca="1">INDEX(INDIRECT(""&amp;$B482&amp;"!Z2:Z709"),MATCH($A482,INDIRECT(""&amp;$B482&amp;"!B2:B709"),0))</f>
        <v>TE12</v>
      </c>
      <c r="F482" s="196">
        <f ca="1">IF(LeagueInfo!$H$7="Starter/Bench",INDEX(INDIRECT(""&amp;B482&amp;"!S2:S709"),MATCH(A482,INDIRECT(""&amp;B482&amp;"!B2:B709"),0)),INDEX(INDIRECT(""&amp;B482&amp;"!AA2:AA709"),MATCH(A482,INDIRECT(""&amp;B482&amp;"!B2:B709"),0)))</f>
        <v>-14.779288850540883</v>
      </c>
      <c r="G482" s="200">
        <f>IF(H482&gt;0,F482-H482,0)</f>
        <v>0</v>
      </c>
      <c r="H482" s="198"/>
      <c r="I482" s="200">
        <f ca="1">F482*$A$2</f>
        <v>-14.779288850540883</v>
      </c>
      <c r="J482" s="197" t="s">
        <v>80</v>
      </c>
      <c r="K482" s="197">
        <f>IF(LeagueInfo!$F$7="Yahoo",IFERROR(INDEX(DefaultAuctionValues!$B$2:$B$359,MATCH(A482,DefaultAuctionValues!$A$2:$A$359,0)),0),IF(LeagueInfo!$F$7="ESPN",IFERROR(INDEX(DefaultAuctionValues!$C$2:$C$359,MATCH(A482,DefaultAuctionValues!$A$2:$A$359,0)),0),IF(LeagueInfo!$F$7="FantasyPros",IFERROR(INDEX(DefaultAuctionValues!$D$2:$D$359,MATCH(A482,DefaultAuctionValues!$A$2:$A$359,0)),0))))</f>
        <v>0</v>
      </c>
      <c r="L482" s="201">
        <f ca="1">I482-K482</f>
        <v>-14.779288850540883</v>
      </c>
      <c r="M482" s="213"/>
      <c r="N482" s="208">
        <f ca="1">INDEX(INDIRECT(""&amp;$B482&amp;"!y2:y709"),MATCH($A482,INDIRECT(""&amp;$B482&amp;"!B2:B709"),0))</f>
        <v>-30.854999999999997</v>
      </c>
      <c r="O482" s="217" t="str">
        <f ca="1">IF(INDEX(INDIRECT(""&amp;$B482&amp;"!V2:V700"),MATCH($A482,INDIRECT(""&amp;$B482&amp;"!B2:B700"),0))=0,"",INDEX(INDIRECT(""&amp;$B482&amp;"!V2:V700"),MATCH($A482,INDIRECT(""&amp;$B482&amp;"!B2:B700"),0)))</f>
        <v/>
      </c>
    </row>
    <row r="483" spans="1:15" x14ac:dyDescent="0.25">
      <c r="A483" s="195" t="s">
        <v>923</v>
      </c>
      <c r="B483" s="195" t="s">
        <v>32</v>
      </c>
      <c r="C483" s="199">
        <f ca="1">IFERROR(INDEX(BYEs!$B$2:$B$33,MATCH(D483,BYEs!$A$2:$A$33,0)),"N/A")</f>
        <v>8</v>
      </c>
      <c r="D483" s="195" t="str">
        <f ca="1">INDEX(INDIRECT(""&amp;B483&amp;"!E2:E700"),MATCH(A483,INDIRECT(""&amp;B483&amp;"!B2:B700"),0))</f>
        <v>JAC</v>
      </c>
      <c r="E483" s="194" t="str">
        <f ca="1">INDEX(INDIRECT(""&amp;$B483&amp;"!Z2:Z709"),MATCH($A483,INDIRECT(""&amp;$B483&amp;"!B2:B709"),0))</f>
        <v>RB12</v>
      </c>
      <c r="F483" s="196">
        <f ca="1">IF(LeagueInfo!$H$7="Starter/Bench",INDEX(INDIRECT(""&amp;B483&amp;"!S2:S709"),MATCH(A483,INDIRECT(""&amp;B483&amp;"!B2:B709"),0)),INDEX(INDIRECT(""&amp;B483&amp;"!AA2:AA709"),MATCH(A483,INDIRECT(""&amp;B483&amp;"!B2:B709"),0)))</f>
        <v>-14.810423310929322</v>
      </c>
      <c r="G483" s="200">
        <f>IF(H483&gt;0,F483-H483,0)</f>
        <v>0</v>
      </c>
      <c r="H483" s="198"/>
      <c r="I483" s="200">
        <f ca="1">F483*$A$2</f>
        <v>-14.810423310929322</v>
      </c>
      <c r="J483" s="197" t="s">
        <v>80</v>
      </c>
      <c r="K483" s="197">
        <f>IF(LeagueInfo!$F$7="Yahoo",IFERROR(INDEX(DefaultAuctionValues!$B$2:$B$359,MATCH(A483,DefaultAuctionValues!$A$2:$A$359,0)),0),IF(LeagueInfo!$F$7="ESPN",IFERROR(INDEX(DefaultAuctionValues!$C$2:$C$359,MATCH(A483,DefaultAuctionValues!$A$2:$A$359,0)),0),IF(LeagueInfo!$F$7="FantasyPros",IFERROR(INDEX(DefaultAuctionValues!$D$2:$D$359,MATCH(A483,DefaultAuctionValues!$A$2:$A$359,0)),0))))</f>
        <v>0</v>
      </c>
      <c r="L483" s="201">
        <f ca="1">I483-K483</f>
        <v>-14.810423310929322</v>
      </c>
      <c r="M483" s="213"/>
      <c r="N483" s="208">
        <f ca="1">INDEX(INDIRECT(""&amp;$B483&amp;"!y2:y709"),MATCH($A483,INDIRECT(""&amp;$B483&amp;"!B2:B709"),0))</f>
        <v>-30.920000000000005</v>
      </c>
      <c r="O483" s="217" t="str">
        <f ca="1">IF(INDEX(INDIRECT(""&amp;$B483&amp;"!V2:V700"),MATCH($A483,INDIRECT(""&amp;$B483&amp;"!B2:B700"),0))=0,"",INDEX(INDIRECT(""&amp;$B483&amp;"!V2:V700"),MATCH($A483,INDIRECT(""&amp;$B483&amp;"!B2:B700"),0)))</f>
        <v/>
      </c>
    </row>
    <row r="484" spans="1:15" x14ac:dyDescent="0.25">
      <c r="A484" s="195" t="s">
        <v>510</v>
      </c>
      <c r="B484" s="195" t="s">
        <v>32</v>
      </c>
      <c r="C484" s="199">
        <f ca="1">IFERROR(INDEX(BYEs!$B$2:$B$33,MATCH(D484,BYEs!$A$2:$A$33,0)),"N/A")</f>
        <v>11</v>
      </c>
      <c r="D484" s="195" t="str">
        <f ca="1">INDEX(INDIRECT(""&amp;B484&amp;"!E2:E700"),MATCH(A484,INDIRECT(""&amp;B484&amp;"!B2:B700"),0))</f>
        <v>TB</v>
      </c>
      <c r="E484" s="194" t="str">
        <f ca="1">INDEX(INDIRECT(""&amp;$B484&amp;"!Z2:Z709"),MATCH($A484,INDIRECT(""&amp;$B484&amp;"!B2:B709"),0))</f>
        <v>RB12</v>
      </c>
      <c r="F484" s="196">
        <f ca="1">IF(LeagueInfo!$H$7="Starter/Bench",INDEX(INDIRECT(""&amp;B484&amp;"!S2:S709"),MATCH(A484,INDIRECT(""&amp;B484&amp;"!B2:B709"),0)),INDEX(INDIRECT(""&amp;B484&amp;"!AA2:AA709"),MATCH(A484,INDIRECT(""&amp;B484&amp;"!B2:B709"),0)))</f>
        <v>-14.827188020369247</v>
      </c>
      <c r="G484" s="200">
        <f>IF(H484&gt;0,F484-H484,0)</f>
        <v>0</v>
      </c>
      <c r="H484" s="198"/>
      <c r="I484" s="200">
        <f ca="1">F484*$A$2</f>
        <v>-14.827188020369247</v>
      </c>
      <c r="J484" s="197" t="s">
        <v>80</v>
      </c>
      <c r="K484" s="197">
        <f>IF(LeagueInfo!$F$7="Yahoo",IFERROR(INDEX(DefaultAuctionValues!$B$2:$B$359,MATCH(A484,DefaultAuctionValues!$A$2:$A$359,0)),0),IF(LeagueInfo!$F$7="ESPN",IFERROR(INDEX(DefaultAuctionValues!$C$2:$C$359,MATCH(A484,DefaultAuctionValues!$A$2:$A$359,0)),0),IF(LeagueInfo!$F$7="FantasyPros",IFERROR(INDEX(DefaultAuctionValues!$D$2:$D$359,MATCH(A484,DefaultAuctionValues!$A$2:$A$359,0)),0))))</f>
        <v>0</v>
      </c>
      <c r="L484" s="201">
        <f ca="1">I484-K484</f>
        <v>-14.827188020369247</v>
      </c>
      <c r="M484" s="213"/>
      <c r="N484" s="208">
        <f ca="1">INDEX(INDIRECT(""&amp;$B484&amp;"!y2:y709"),MATCH($A484,INDIRECT(""&amp;$B484&amp;"!B2:B709"),0))</f>
        <v>-30.955000000000005</v>
      </c>
      <c r="O484" s="217" t="str">
        <f ca="1">IF(INDEX(INDIRECT(""&amp;$B484&amp;"!V2:V700"),MATCH($A484,INDIRECT(""&amp;$B484&amp;"!B2:B700"),0))=0,"",INDEX(INDIRECT(""&amp;$B484&amp;"!V2:V700"),MATCH($A484,INDIRECT(""&amp;$B484&amp;"!B2:B700"),0)))</f>
        <v/>
      </c>
    </row>
    <row r="485" spans="1:15" x14ac:dyDescent="0.25">
      <c r="A485" s="195" t="s">
        <v>804</v>
      </c>
      <c r="B485" s="195" t="s">
        <v>47</v>
      </c>
      <c r="C485" s="199">
        <f ca="1">IFERROR(INDEX(BYEs!$B$2:$B$33,MATCH(D485,BYEs!$A$2:$A$33,0)),"N/A")</f>
        <v>11</v>
      </c>
      <c r="D485" s="195" t="str">
        <f ca="1">INDEX(INDIRECT(""&amp;B485&amp;"!E2:E700"),MATCH(A485,INDIRECT(""&amp;B485&amp;"!B2:B700"),0))</f>
        <v>IND</v>
      </c>
      <c r="E485" s="194" t="str">
        <f ca="1">INDEX(INDIRECT(""&amp;$B485&amp;"!Z2:Z709"),MATCH($A485,INDIRECT(""&amp;$B485&amp;"!B2:B709"),0))</f>
        <v>TE12</v>
      </c>
      <c r="F485" s="196">
        <f ca="1">IF(LeagueInfo!$H$7="Starter/Bench",INDEX(INDIRECT(""&amp;B485&amp;"!S2:S709"),MATCH(A485,INDIRECT(""&amp;B485&amp;"!B2:B709"),0)),INDEX(INDIRECT(""&amp;B485&amp;"!AA2:AA709"),MATCH(A485,INDIRECT(""&amp;B485&amp;"!B2:B709"),0)))</f>
        <v>-14.843952729809171</v>
      </c>
      <c r="G485" s="200">
        <f>IF(H485&gt;0,F485-H485,0)</f>
        <v>0</v>
      </c>
      <c r="H485" s="198"/>
      <c r="I485" s="200">
        <f ca="1">F485*$A$2</f>
        <v>-14.843952729809171</v>
      </c>
      <c r="J485" s="197" t="s">
        <v>80</v>
      </c>
      <c r="K485" s="197">
        <f>IF(LeagueInfo!$F$7="Yahoo",IFERROR(INDEX(DefaultAuctionValues!$B$2:$B$359,MATCH(A485,DefaultAuctionValues!$A$2:$A$359,0)),0),IF(LeagueInfo!$F$7="ESPN",IFERROR(INDEX(DefaultAuctionValues!$C$2:$C$359,MATCH(A485,DefaultAuctionValues!$A$2:$A$359,0)),0),IF(LeagueInfo!$F$7="FantasyPros",IFERROR(INDEX(DefaultAuctionValues!$D$2:$D$359,MATCH(A485,DefaultAuctionValues!$A$2:$A$359,0)),0))))</f>
        <v>0</v>
      </c>
      <c r="L485" s="201">
        <f ca="1">I485-K485</f>
        <v>-14.843952729809171</v>
      </c>
      <c r="M485" s="213"/>
      <c r="N485" s="208">
        <f ca="1">INDEX(INDIRECT(""&amp;$B485&amp;"!y2:y709"),MATCH($A485,INDIRECT(""&amp;$B485&amp;"!B2:B709"),0))</f>
        <v>-30.99</v>
      </c>
      <c r="O485" s="217" t="str">
        <f ca="1">IF(INDEX(INDIRECT(""&amp;$B485&amp;"!V2:V700"),MATCH($A485,INDIRECT(""&amp;$B485&amp;"!B2:B700"),0))=0,"",INDEX(INDIRECT(""&amp;$B485&amp;"!V2:V700"),MATCH($A485,INDIRECT(""&amp;$B485&amp;"!B2:B700"),0)))</f>
        <v/>
      </c>
    </row>
    <row r="486" spans="1:15" x14ac:dyDescent="0.25">
      <c r="A486" s="195" t="s">
        <v>778</v>
      </c>
      <c r="B486" s="195" t="s">
        <v>47</v>
      </c>
      <c r="C486" s="199">
        <f ca="1">IFERROR(INDEX(BYEs!$B$2:$B$33,MATCH(D486,BYEs!$A$2:$A$33,0)),"N/A")</f>
        <v>8</v>
      </c>
      <c r="D486" s="195" t="str">
        <f ca="1">INDEX(INDIRECT(""&amp;B486&amp;"!E2:E700"),MATCH(A486,INDIRECT(""&amp;B486&amp;"!B2:B700"),0))</f>
        <v>LAR</v>
      </c>
      <c r="E486" s="194" t="str">
        <f ca="1">INDEX(INDIRECT(""&amp;$B486&amp;"!Z2:Z709"),MATCH($A486,INDIRECT(""&amp;$B486&amp;"!B2:B709"),0))</f>
        <v>TE12</v>
      </c>
      <c r="F486" s="196">
        <f ca="1">IF(LeagueInfo!$H$7="Starter/Bench",INDEX(INDIRECT(""&amp;B486&amp;"!S2:S709"),MATCH(A486,INDIRECT(""&amp;B486&amp;"!B2:B709"),0)),INDEX(INDIRECT(""&amp;B486&amp;"!AA2:AA709"),MATCH(A486,INDIRECT(""&amp;B486&amp;"!B2:B709"),0)))</f>
        <v>-14.85832248075768</v>
      </c>
      <c r="G486" s="200">
        <f>IF(H486&gt;0,F486-H486,0)</f>
        <v>0</v>
      </c>
      <c r="H486" s="198"/>
      <c r="I486" s="200">
        <f ca="1">F486*$A$2</f>
        <v>-14.85832248075768</v>
      </c>
      <c r="J486" s="197" t="s">
        <v>80</v>
      </c>
      <c r="K486" s="197">
        <f>IF(LeagueInfo!$F$7="Yahoo",IFERROR(INDEX(DefaultAuctionValues!$B$2:$B$359,MATCH(A486,DefaultAuctionValues!$A$2:$A$359,0)),0),IF(LeagueInfo!$F$7="ESPN",IFERROR(INDEX(DefaultAuctionValues!$C$2:$C$359,MATCH(A486,DefaultAuctionValues!$A$2:$A$359,0)),0),IF(LeagueInfo!$F$7="FantasyPros",IFERROR(INDEX(DefaultAuctionValues!$D$2:$D$359,MATCH(A486,DefaultAuctionValues!$A$2:$A$359,0)),0))))</f>
        <v>0</v>
      </c>
      <c r="L486" s="201">
        <f ca="1">I486-K486</f>
        <v>-14.85832248075768</v>
      </c>
      <c r="M486" s="213"/>
      <c r="N486" s="208">
        <f ca="1">INDEX(INDIRECT(""&amp;$B486&amp;"!y2:y709"),MATCH($A486,INDIRECT(""&amp;$B486&amp;"!B2:B709"),0))</f>
        <v>-31.02</v>
      </c>
      <c r="O486" s="217" t="str">
        <f ca="1">IF(INDEX(INDIRECT(""&amp;$B486&amp;"!V2:V700"),MATCH($A486,INDIRECT(""&amp;$B486&amp;"!B2:B700"),0))=0,"",INDEX(INDIRECT(""&amp;$B486&amp;"!V2:V700"),MATCH($A486,INDIRECT(""&amp;$B486&amp;"!B2:B700"),0)))</f>
        <v/>
      </c>
    </row>
    <row r="487" spans="1:15" x14ac:dyDescent="0.25">
      <c r="A487" s="195" t="s">
        <v>796</v>
      </c>
      <c r="B487" s="195" t="s">
        <v>47</v>
      </c>
      <c r="C487" s="199">
        <f ca="1">IFERROR(INDEX(BYEs!$B$2:$B$33,MATCH(D487,BYEs!$A$2:$A$33,0)),"N/A")</f>
        <v>5</v>
      </c>
      <c r="D487" s="195" t="str">
        <f ca="1">INDEX(INDIRECT(""&amp;B487&amp;"!E2:E700"),MATCH(A487,INDIRECT(""&amp;B487&amp;"!B2:B700"),0))</f>
        <v>WAS</v>
      </c>
      <c r="E487" s="194" t="str">
        <f ca="1">INDEX(INDIRECT(""&amp;$B487&amp;"!Z2:Z709"),MATCH($A487,INDIRECT(""&amp;$B487&amp;"!B2:B709"),0))</f>
        <v>TE12</v>
      </c>
      <c r="F487" s="196">
        <f ca="1">IF(LeagueInfo!$H$7="Starter/Bench",INDEX(INDIRECT(""&amp;B487&amp;"!S2:S709"),MATCH(A487,INDIRECT(""&amp;B487&amp;"!B2:B709"),0)),INDEX(INDIRECT(""&amp;B487&amp;"!AA2:AA709"),MATCH(A487,INDIRECT(""&amp;B487&amp;"!B2:B709"),0)))</f>
        <v>-14.870297273214769</v>
      </c>
      <c r="G487" s="200">
        <f>IF(H487&gt;0,F487-H487,0)</f>
        <v>0</v>
      </c>
      <c r="H487" s="198"/>
      <c r="I487" s="200">
        <f ca="1">F487*$A$2</f>
        <v>-14.870297273214769</v>
      </c>
      <c r="J487" s="197" t="s">
        <v>80</v>
      </c>
      <c r="K487" s="197">
        <f>IF(LeagueInfo!$F$7="Yahoo",IFERROR(INDEX(DefaultAuctionValues!$B$2:$B$359,MATCH(A487,DefaultAuctionValues!$A$2:$A$359,0)),0),IF(LeagueInfo!$F$7="ESPN",IFERROR(INDEX(DefaultAuctionValues!$C$2:$C$359,MATCH(A487,DefaultAuctionValues!$A$2:$A$359,0)),0),IF(LeagueInfo!$F$7="FantasyPros",IFERROR(INDEX(DefaultAuctionValues!$D$2:$D$359,MATCH(A487,DefaultAuctionValues!$A$2:$A$359,0)),0))))</f>
        <v>0</v>
      </c>
      <c r="L487" s="201">
        <f ca="1">I487-K487</f>
        <v>-14.870297273214769</v>
      </c>
      <c r="M487" s="213"/>
      <c r="N487" s="208">
        <f ca="1">INDEX(INDIRECT(""&amp;$B487&amp;"!y2:y709"),MATCH($A487,INDIRECT(""&amp;$B487&amp;"!B2:B709"),0))</f>
        <v>-31.044999999999998</v>
      </c>
      <c r="O487" s="217" t="str">
        <f ca="1">IF(INDEX(INDIRECT(""&amp;$B487&amp;"!V2:V700"),MATCH($A487,INDIRECT(""&amp;$B487&amp;"!B2:B700"),0))=0,"",INDEX(INDIRECT(""&amp;$B487&amp;"!V2:V700"),MATCH($A487,INDIRECT(""&amp;$B487&amp;"!B2:B700"),0)))</f>
        <v/>
      </c>
    </row>
    <row r="488" spans="1:15" x14ac:dyDescent="0.25">
      <c r="A488" s="195" t="s">
        <v>803</v>
      </c>
      <c r="B488" s="195" t="s">
        <v>47</v>
      </c>
      <c r="C488" s="199">
        <f ca="1">IFERROR(INDEX(BYEs!$B$2:$B$33,MATCH(D488,BYEs!$A$2:$A$33,0)),"N/A")</f>
        <v>7</v>
      </c>
      <c r="D488" s="195" t="str">
        <f ca="1">INDEX(INDIRECT(""&amp;B488&amp;"!E2:E700"),MATCH(A488,INDIRECT(""&amp;B488&amp;"!B2:B700"),0))</f>
        <v>DET</v>
      </c>
      <c r="E488" s="194" t="str">
        <f ca="1">INDEX(INDIRECT(""&amp;$B488&amp;"!Z2:Z709"),MATCH($A488,INDIRECT(""&amp;$B488&amp;"!B2:B709"),0))</f>
        <v>TE12</v>
      </c>
      <c r="F488" s="196">
        <f ca="1">IF(LeagueInfo!$H$7="Starter/Bench",INDEX(INDIRECT(""&amp;B488&amp;"!S2:S709"),MATCH(A488,INDIRECT(""&amp;B488&amp;"!B2:B709"),0)),INDEX(INDIRECT(""&amp;B488&amp;"!AA2:AA709"),MATCH(A488,INDIRECT(""&amp;B488&amp;"!B2:B709"),0)))</f>
        <v>-14.872692231706187</v>
      </c>
      <c r="G488" s="200">
        <f>IF(H488&gt;0,F488-H488,0)</f>
        <v>0</v>
      </c>
      <c r="H488" s="198"/>
      <c r="I488" s="200">
        <f ca="1">F488*$A$2</f>
        <v>-14.872692231706187</v>
      </c>
      <c r="J488" s="197" t="s">
        <v>80</v>
      </c>
      <c r="K488" s="197">
        <f>IF(LeagueInfo!$F$7="Yahoo",IFERROR(INDEX(DefaultAuctionValues!$B$2:$B$359,MATCH(A488,DefaultAuctionValues!$A$2:$A$359,0)),0),IF(LeagueInfo!$F$7="ESPN",IFERROR(INDEX(DefaultAuctionValues!$C$2:$C$359,MATCH(A488,DefaultAuctionValues!$A$2:$A$359,0)),0),IF(LeagueInfo!$F$7="FantasyPros",IFERROR(INDEX(DefaultAuctionValues!$D$2:$D$359,MATCH(A488,DefaultAuctionValues!$A$2:$A$359,0)),0))))</f>
        <v>0</v>
      </c>
      <c r="L488" s="201">
        <f ca="1">I488-K488</f>
        <v>-14.872692231706187</v>
      </c>
      <c r="M488" s="213"/>
      <c r="N488" s="208">
        <f ca="1">INDEX(INDIRECT(""&amp;$B488&amp;"!y2:y709"),MATCH($A488,INDIRECT(""&amp;$B488&amp;"!B2:B709"),0))</f>
        <v>-31.049999999999997</v>
      </c>
      <c r="O488" s="217" t="str">
        <f ca="1">IF(INDEX(INDIRECT(""&amp;$B488&amp;"!V2:V700"),MATCH($A488,INDIRECT(""&amp;$B488&amp;"!B2:B700"),0))=0,"",INDEX(INDIRECT(""&amp;$B488&amp;"!V2:V700"),MATCH($A488,INDIRECT(""&amp;$B488&amp;"!B2:B700"),0)))</f>
        <v/>
      </c>
    </row>
    <row r="489" spans="1:15" x14ac:dyDescent="0.25">
      <c r="A489" s="195" t="s">
        <v>779</v>
      </c>
      <c r="B489" s="195" t="s">
        <v>47</v>
      </c>
      <c r="C489" s="199">
        <f ca="1">IFERROR(INDEX(BYEs!$B$2:$B$33,MATCH(D489,BYEs!$A$2:$A$33,0)),"N/A")</f>
        <v>11</v>
      </c>
      <c r="D489" s="195" t="str">
        <f ca="1">INDEX(INDIRECT(""&amp;B489&amp;"!E2:E700"),MATCH(A489,INDIRECT(""&amp;B489&amp;"!B2:B700"),0))</f>
        <v>SF</v>
      </c>
      <c r="E489" s="194" t="str">
        <f ca="1">INDEX(INDIRECT(""&amp;$B489&amp;"!Z2:Z709"),MATCH($A489,INDIRECT(""&amp;$B489&amp;"!B2:B709"),0))</f>
        <v>TE12</v>
      </c>
      <c r="F489" s="196">
        <f ca="1">IF(LeagueInfo!$H$7="Starter/Bench",INDEX(INDIRECT(""&amp;B489&amp;"!S2:S709"),MATCH(A489,INDIRECT(""&amp;B489&amp;"!B2:B709"),0)),INDEX(INDIRECT(""&amp;B489&amp;"!AA2:AA709"),MATCH(A489,INDIRECT(""&amp;B489&amp;"!B2:B709"),0)))</f>
        <v>-14.872692231706187</v>
      </c>
      <c r="G489" s="200">
        <f>IF(H489&gt;0,F489-H489,0)</f>
        <v>0</v>
      </c>
      <c r="H489" s="198"/>
      <c r="I489" s="200">
        <f ca="1">F489*$A$2</f>
        <v>-14.872692231706187</v>
      </c>
      <c r="J489" s="197" t="s">
        <v>80</v>
      </c>
      <c r="K489" s="197">
        <f>IF(LeagueInfo!$F$7="Yahoo",IFERROR(INDEX(DefaultAuctionValues!$B$2:$B$359,MATCH(A489,DefaultAuctionValues!$A$2:$A$359,0)),0),IF(LeagueInfo!$F$7="ESPN",IFERROR(INDEX(DefaultAuctionValues!$C$2:$C$359,MATCH(A489,DefaultAuctionValues!$A$2:$A$359,0)),0),IF(LeagueInfo!$F$7="FantasyPros",IFERROR(INDEX(DefaultAuctionValues!$D$2:$D$359,MATCH(A489,DefaultAuctionValues!$A$2:$A$359,0)),0))))</f>
        <v>0</v>
      </c>
      <c r="L489" s="201">
        <f ca="1">I489-K489</f>
        <v>-14.872692231706187</v>
      </c>
      <c r="M489" s="213"/>
      <c r="N489" s="208">
        <f ca="1">INDEX(INDIRECT(""&amp;$B489&amp;"!y2:y709"),MATCH($A489,INDIRECT(""&amp;$B489&amp;"!B2:B709"),0))</f>
        <v>-31.049999999999997</v>
      </c>
      <c r="O489" s="217" t="str">
        <f ca="1">IF(INDEX(INDIRECT(""&amp;$B489&amp;"!V2:V700"),MATCH($A489,INDIRECT(""&amp;$B489&amp;"!B2:B700"),0))=0,"",INDEX(INDIRECT(""&amp;$B489&amp;"!V2:V700"),MATCH($A489,INDIRECT(""&amp;$B489&amp;"!B2:B700"),0)))</f>
        <v/>
      </c>
    </row>
    <row r="490" spans="1:15" x14ac:dyDescent="0.25">
      <c r="A490" s="195" t="s">
        <v>541</v>
      </c>
      <c r="B490" s="195" t="s">
        <v>32</v>
      </c>
      <c r="C490" s="195">
        <f ca="1">IFERROR(INDEX(BYEs!$B$2:$B$33,MATCH(D490,BYEs!$A$2:$A$33,0)),"N/A")</f>
        <v>6</v>
      </c>
      <c r="D490" s="195" t="str">
        <f ca="1">INDEX(INDIRECT(""&amp;B490&amp;"!E2:E700"),MATCH(A490,INDIRECT(""&amp;B490&amp;"!B2:B700"),0))</f>
        <v>SEA</v>
      </c>
      <c r="E490" s="194" t="str">
        <f ca="1">INDEX(INDIRECT(""&amp;$B490&amp;"!Z2:Z709"),MATCH($A490,INDIRECT(""&amp;$B490&amp;"!B2:B709"),0))</f>
        <v>RB12</v>
      </c>
      <c r="F490" s="196">
        <f ca="1">IF(LeagueInfo!$H$7="Starter/Bench",INDEX(INDIRECT(""&amp;B490&amp;"!S2:S709"),MATCH(A490,INDIRECT(""&amp;B490&amp;"!B2:B709"),0)),INDEX(INDIRECT(""&amp;B490&amp;"!AA2:AA709"),MATCH(A490,INDIRECT(""&amp;B490&amp;"!B2:B709"),0)))</f>
        <v>-14.875087190197608</v>
      </c>
      <c r="G490" s="197">
        <f>IF(H490&gt;0,F490-H490,0)</f>
        <v>0</v>
      </c>
      <c r="H490" s="198"/>
      <c r="I490" s="197">
        <f ca="1">F490*$A$2</f>
        <v>-14.875087190197608</v>
      </c>
      <c r="J490" s="197" t="s">
        <v>80</v>
      </c>
      <c r="K490" s="197">
        <f>IF(LeagueInfo!$F$7="Yahoo",IFERROR(INDEX(DefaultAuctionValues!$B$2:$B$359,MATCH(A490,DefaultAuctionValues!$A$2:$A$359,0)),0),IF(LeagueInfo!$F$7="ESPN",IFERROR(INDEX(DefaultAuctionValues!$C$2:$C$359,MATCH(A490,DefaultAuctionValues!$A$2:$A$359,0)),0),IF(LeagueInfo!$F$7="FantasyPros",IFERROR(INDEX(DefaultAuctionValues!$D$2:$D$359,MATCH(A490,DefaultAuctionValues!$A$2:$A$359,0)),0))))</f>
        <v>0</v>
      </c>
      <c r="L490" s="197">
        <f ca="1">I490-K490</f>
        <v>-14.875087190197608</v>
      </c>
      <c r="M490" s="213"/>
      <c r="N490" s="208">
        <f ca="1">INDEX(INDIRECT(""&amp;$B490&amp;"!y2:y709"),MATCH($A490,INDIRECT(""&amp;$B490&amp;"!B2:B709"),0))</f>
        <v>-31.055000000000003</v>
      </c>
      <c r="O490" s="217" t="str">
        <f ca="1">IF(INDEX(INDIRECT(""&amp;$B490&amp;"!V2:V700"),MATCH($A490,INDIRECT(""&amp;$B490&amp;"!B2:B700"),0))=0,"",INDEX(INDIRECT(""&amp;$B490&amp;"!V2:V700"),MATCH($A490,INDIRECT(""&amp;$B490&amp;"!B2:B700"),0)))</f>
        <v/>
      </c>
    </row>
    <row r="491" spans="1:15" x14ac:dyDescent="0.25">
      <c r="A491" s="195" t="s">
        <v>512</v>
      </c>
      <c r="B491" s="195" t="s">
        <v>32</v>
      </c>
      <c r="C491" s="195">
        <f ca="1">IFERROR(INDEX(BYEs!$B$2:$B$33,MATCH(D491,BYEs!$A$2:$A$33,0)),"N/A")</f>
        <v>11</v>
      </c>
      <c r="D491" s="195" t="str">
        <f ca="1">INDEX(INDIRECT(""&amp;B491&amp;"!E2:E700"),MATCH(A491,INDIRECT(""&amp;B491&amp;"!B2:B700"),0))</f>
        <v>IND</v>
      </c>
      <c r="E491" s="194" t="str">
        <f ca="1">INDEX(INDIRECT(""&amp;$B491&amp;"!Z2:Z709"),MATCH($A491,INDIRECT(""&amp;$B491&amp;"!B2:B709"),0))</f>
        <v>RB12</v>
      </c>
      <c r="F491" s="196">
        <f ca="1">IF(LeagueInfo!$H$7="Starter/Bench",INDEX(INDIRECT(""&amp;B491&amp;"!S2:S709"),MATCH(A491,INDIRECT(""&amp;B491&amp;"!B2:B709"),0)),INDEX(INDIRECT(""&amp;B491&amp;"!AA2:AA709"),MATCH(A491,INDIRECT(""&amp;B491&amp;"!B2:B709"),0)))</f>
        <v>-14.882272065671863</v>
      </c>
      <c r="G491" s="197">
        <f>IF(H491&gt;0,F491-H491,0)</f>
        <v>0</v>
      </c>
      <c r="H491" s="198"/>
      <c r="I491" s="197">
        <f ca="1">F491*$A$2</f>
        <v>-14.882272065671863</v>
      </c>
      <c r="J491" s="197" t="s">
        <v>80</v>
      </c>
      <c r="K491" s="197">
        <f>IF(LeagueInfo!$F$7="Yahoo",IFERROR(INDEX(DefaultAuctionValues!$B$2:$B$359,MATCH(A491,DefaultAuctionValues!$A$2:$A$359,0)),0),IF(LeagueInfo!$F$7="ESPN",IFERROR(INDEX(DefaultAuctionValues!$C$2:$C$359,MATCH(A491,DefaultAuctionValues!$A$2:$A$359,0)),0),IF(LeagueInfo!$F$7="FantasyPros",IFERROR(INDEX(DefaultAuctionValues!$D$2:$D$359,MATCH(A491,DefaultAuctionValues!$A$2:$A$359,0)),0))))</f>
        <v>0</v>
      </c>
      <c r="L491" s="197">
        <f ca="1">I491-K491</f>
        <v>-14.882272065671863</v>
      </c>
      <c r="M491" s="213"/>
      <c r="N491" s="208">
        <f ca="1">INDEX(INDIRECT(""&amp;$B491&amp;"!y2:y709"),MATCH($A491,INDIRECT(""&amp;$B491&amp;"!B2:B709"),0))</f>
        <v>-31.070000000000004</v>
      </c>
      <c r="O491" s="217" t="str">
        <f ca="1">IF(INDEX(INDIRECT(""&amp;$B491&amp;"!V2:V700"),MATCH($A491,INDIRECT(""&amp;$B491&amp;"!B2:B700"),0))=0,"",INDEX(INDIRECT(""&amp;$B491&amp;"!V2:V700"),MATCH($A491,INDIRECT(""&amp;$B491&amp;"!B2:B700"),0)))</f>
        <v/>
      </c>
    </row>
    <row r="492" spans="1:15" x14ac:dyDescent="0.25">
      <c r="A492" s="195" t="s">
        <v>540</v>
      </c>
      <c r="B492" s="195" t="s">
        <v>32</v>
      </c>
      <c r="C492" s="195">
        <f ca="1">IFERROR(INDEX(BYEs!$B$2:$B$33,MATCH(D492,BYEs!$A$2:$A$33,0)),"N/A")</f>
        <v>11</v>
      </c>
      <c r="D492" s="195" t="str">
        <f ca="1">INDEX(INDIRECT(""&amp;B492&amp;"!E2:E700"),MATCH(A492,INDIRECT(""&amp;B492&amp;"!B2:B700"),0))</f>
        <v>TB</v>
      </c>
      <c r="E492" s="194" t="str">
        <f ca="1">INDEX(INDIRECT(""&amp;$B492&amp;"!Z2:Z709"),MATCH($A492,INDIRECT(""&amp;$B492&amp;"!B2:B709"),0))</f>
        <v>RB12</v>
      </c>
      <c r="F492" s="196">
        <f ca="1">IF(LeagueInfo!$H$7="Starter/Bench",INDEX(INDIRECT(""&amp;B492&amp;"!S2:S709"),MATCH(A492,INDIRECT(""&amp;B492&amp;"!B2:B709"),0)),INDEX(INDIRECT(""&amp;B492&amp;"!AA2:AA709"),MATCH(A492,INDIRECT(""&amp;B492&amp;"!B2:B709"),0)))</f>
        <v>-14.901431733603209</v>
      </c>
      <c r="G492" s="197">
        <f>IF(H492&gt;0,F492-H492,0)</f>
        <v>0</v>
      </c>
      <c r="H492" s="198"/>
      <c r="I492" s="197">
        <f ca="1">F492*$A$2</f>
        <v>-14.901431733603209</v>
      </c>
      <c r="J492" s="197" t="s">
        <v>80</v>
      </c>
      <c r="K492" s="197">
        <f>IF(LeagueInfo!$F$7="Yahoo",IFERROR(INDEX(DefaultAuctionValues!$B$2:$B$359,MATCH(A492,DefaultAuctionValues!$A$2:$A$359,0)),0),IF(LeagueInfo!$F$7="ESPN",IFERROR(INDEX(DefaultAuctionValues!$C$2:$C$359,MATCH(A492,DefaultAuctionValues!$A$2:$A$359,0)),0),IF(LeagueInfo!$F$7="FantasyPros",IFERROR(INDEX(DefaultAuctionValues!$D$2:$D$359,MATCH(A492,DefaultAuctionValues!$A$2:$A$359,0)),0))))</f>
        <v>0</v>
      </c>
      <c r="L492" s="197">
        <f ca="1">I492-K492</f>
        <v>-14.901431733603209</v>
      </c>
      <c r="M492" s="213"/>
      <c r="N492" s="208">
        <f ca="1">INDEX(INDIRECT(""&amp;$B492&amp;"!y2:y709"),MATCH($A492,INDIRECT(""&amp;$B492&amp;"!B2:B709"),0))</f>
        <v>-31.110000000000007</v>
      </c>
      <c r="O492" s="217" t="str">
        <f ca="1">IF(INDEX(INDIRECT(""&amp;$B492&amp;"!V2:V700"),MATCH($A492,INDIRECT(""&amp;$B492&amp;"!B2:B700"),0))=0,"",INDEX(INDIRECT(""&amp;$B492&amp;"!V2:V700"),MATCH($A492,INDIRECT(""&amp;$B492&amp;"!B2:B700"),0)))</f>
        <v/>
      </c>
    </row>
    <row r="493" spans="1:15" x14ac:dyDescent="0.25">
      <c r="A493" s="195" t="s">
        <v>511</v>
      </c>
      <c r="B493" s="195" t="s">
        <v>32</v>
      </c>
      <c r="C493" s="195">
        <f ca="1">IFERROR(INDEX(BYEs!$B$2:$B$33,MATCH(D493,BYEs!$A$2:$A$33,0)),"N/A")</f>
        <v>6</v>
      </c>
      <c r="D493" s="195" t="str">
        <f ca="1">INDEX(INDIRECT(""&amp;B493&amp;"!E2:E700"),MATCH(A493,INDIRECT(""&amp;B493&amp;"!B2:B700"),0))</f>
        <v>BUF</v>
      </c>
      <c r="E493" s="194" t="str">
        <f ca="1">INDEX(INDIRECT(""&amp;$B493&amp;"!Z2:Z709"),MATCH($A493,INDIRECT(""&amp;$B493&amp;"!B2:B709"),0))</f>
        <v>RB12</v>
      </c>
      <c r="F493" s="196">
        <f ca="1">IF(LeagueInfo!$H$7="Starter/Bench",INDEX(INDIRECT(""&amp;B493&amp;"!S2:S709"),MATCH(A493,INDIRECT(""&amp;B493&amp;"!B2:B709"),0)),INDEX(INDIRECT(""&amp;B493&amp;"!AA2:AA709"),MATCH(A493,INDIRECT(""&amp;B493&amp;"!B2:B709"),0)))</f>
        <v>-14.918196443043133</v>
      </c>
      <c r="G493" s="197">
        <f>IF(H493&gt;0,F493-H493,0)</f>
        <v>0</v>
      </c>
      <c r="H493" s="198"/>
      <c r="I493" s="197">
        <f ca="1">F493*$A$2</f>
        <v>-14.918196443043133</v>
      </c>
      <c r="J493" s="197" t="s">
        <v>80</v>
      </c>
      <c r="K493" s="197">
        <f>IF(LeagueInfo!$F$7="Yahoo",IFERROR(INDEX(DefaultAuctionValues!$B$2:$B$359,MATCH(A493,DefaultAuctionValues!$A$2:$A$359,0)),0),IF(LeagueInfo!$F$7="ESPN",IFERROR(INDEX(DefaultAuctionValues!$C$2:$C$359,MATCH(A493,DefaultAuctionValues!$A$2:$A$359,0)),0),IF(LeagueInfo!$F$7="FantasyPros",IFERROR(INDEX(DefaultAuctionValues!$D$2:$D$359,MATCH(A493,DefaultAuctionValues!$A$2:$A$359,0)),0))))</f>
        <v>0</v>
      </c>
      <c r="L493" s="197">
        <f ca="1">I493-K493</f>
        <v>-14.918196443043133</v>
      </c>
      <c r="M493" s="213"/>
      <c r="N493" s="208">
        <f ca="1">INDEX(INDIRECT(""&amp;$B493&amp;"!y2:y709"),MATCH($A493,INDIRECT(""&amp;$B493&amp;"!B2:B709"),0))</f>
        <v>-31.145000000000003</v>
      </c>
      <c r="O493" s="217" t="str">
        <f ca="1">IF(INDEX(INDIRECT(""&amp;$B493&amp;"!V2:V700"),MATCH($A493,INDIRECT(""&amp;$B493&amp;"!B2:B700"),0))=0,"",INDEX(INDIRECT(""&amp;$B493&amp;"!V2:V700"),MATCH($A493,INDIRECT(""&amp;$B493&amp;"!B2:B700"),0)))</f>
        <v/>
      </c>
    </row>
    <row r="494" spans="1:15" x14ac:dyDescent="0.25">
      <c r="A494" s="195" t="s">
        <v>596</v>
      </c>
      <c r="B494" s="195" t="s">
        <v>39</v>
      </c>
      <c r="C494" s="195">
        <f ca="1">IFERROR(INDEX(BYEs!$B$2:$B$33,MATCH(D494,BYEs!$A$2:$A$33,0)),"N/A")</f>
        <v>6</v>
      </c>
      <c r="D494" s="195" t="str">
        <f ca="1">INDEX(INDIRECT(""&amp;B494&amp;"!E2:E700"),MATCH(A494,INDIRECT(""&amp;B494&amp;"!B2:B700"),0))</f>
        <v>BUF</v>
      </c>
      <c r="E494" s="194" t="str">
        <f ca="1">INDEX(INDIRECT(""&amp;$B494&amp;"!Z2:Z709"),MATCH($A494,INDIRECT(""&amp;$B494&amp;"!B2:B709"),0))</f>
        <v>WR10</v>
      </c>
      <c r="F494" s="196">
        <f ca="1">IF(LeagueInfo!$H$7="Starter/Bench",INDEX(INDIRECT(""&amp;B494&amp;"!S2:S709"),MATCH(A494,INDIRECT(""&amp;B494&amp;"!B2:B709"),0)),INDEX(INDIRECT(""&amp;B494&amp;"!AA2:AA709"),MATCH(A494,INDIRECT(""&amp;B494&amp;"!B2:B709"),0)))</f>
        <v>-14.922986360025968</v>
      </c>
      <c r="G494" s="197">
        <f>IF(H494&gt;0,F494-H494,0)</f>
        <v>0</v>
      </c>
      <c r="H494" s="198"/>
      <c r="I494" s="197">
        <f ca="1">F494*$A$2</f>
        <v>-14.922986360025968</v>
      </c>
      <c r="J494" s="197" t="s">
        <v>80</v>
      </c>
      <c r="K494" s="197">
        <f>IF(LeagueInfo!$F$7="Yahoo",IFERROR(INDEX(DefaultAuctionValues!$B$2:$B$359,MATCH(A494,DefaultAuctionValues!$A$2:$A$359,0)),0),IF(LeagueInfo!$F$7="ESPN",IFERROR(INDEX(DefaultAuctionValues!$C$2:$C$359,MATCH(A494,DefaultAuctionValues!$A$2:$A$359,0)),0),IF(LeagueInfo!$F$7="FantasyPros",IFERROR(INDEX(DefaultAuctionValues!$D$2:$D$359,MATCH(A494,DefaultAuctionValues!$A$2:$A$359,0)),0))))</f>
        <v>0</v>
      </c>
      <c r="L494" s="197">
        <f ca="1">I494-K494</f>
        <v>-14.922986360025968</v>
      </c>
      <c r="M494" s="213"/>
      <c r="N494" s="208">
        <f ca="1">INDEX(INDIRECT(""&amp;$B494&amp;"!y2:y709"),MATCH($A494,INDIRECT(""&amp;$B494&amp;"!B2:B709"),0))</f>
        <v>-31.155000000000001</v>
      </c>
      <c r="O494" s="217" t="str">
        <f ca="1">IF(INDEX(INDIRECT(""&amp;$B494&amp;"!V2:V700"),MATCH($A494,INDIRECT(""&amp;$B494&amp;"!B2:B700"),0))=0,"",INDEX(INDIRECT(""&amp;$B494&amp;"!V2:V700"),MATCH($A494,INDIRECT(""&amp;$B494&amp;"!B2:B700"),0)))</f>
        <v/>
      </c>
    </row>
    <row r="495" spans="1:15" x14ac:dyDescent="0.25">
      <c r="A495" s="195" t="s">
        <v>513</v>
      </c>
      <c r="B495" s="195" t="s">
        <v>32</v>
      </c>
      <c r="C495" s="195">
        <f ca="1">IFERROR(INDEX(BYEs!$B$2:$B$33,MATCH(D495,BYEs!$A$2:$A$33,0)),"N/A")</f>
        <v>10</v>
      </c>
      <c r="D495" s="195" t="str">
        <f ca="1">INDEX(INDIRECT(""&amp;B495&amp;"!E2:E700"),MATCH(A495,INDIRECT(""&amp;B495&amp;"!B2:B700"),0))</f>
        <v>OAK</v>
      </c>
      <c r="E495" s="194" t="str">
        <f ca="1">INDEX(INDIRECT(""&amp;$B495&amp;"!Z2:Z709"),MATCH($A495,INDIRECT(""&amp;$B495&amp;"!B2:B709"),0))</f>
        <v>RB12</v>
      </c>
      <c r="F495" s="196">
        <f ca="1">IF(LeagueInfo!$H$7="Starter/Bench",INDEX(INDIRECT(""&amp;B495&amp;"!S2:S709"),MATCH(A495,INDIRECT(""&amp;B495&amp;"!B2:B709"),0)),INDEX(INDIRECT(""&amp;B495&amp;"!AA2:AA709"),MATCH(A495,INDIRECT(""&amp;B495&amp;"!B2:B709"),0)))</f>
        <v>-14.954120820414406</v>
      </c>
      <c r="G495" s="197">
        <f>IF(H495&gt;0,F495-H495,0)</f>
        <v>0</v>
      </c>
      <c r="H495" s="198"/>
      <c r="I495" s="197">
        <f ca="1">F495*$A$2</f>
        <v>-14.954120820414406</v>
      </c>
      <c r="J495" s="197" t="s">
        <v>80</v>
      </c>
      <c r="K495" s="197">
        <f>IF(LeagueInfo!$F$7="Yahoo",IFERROR(INDEX(DefaultAuctionValues!$B$2:$B$359,MATCH(A495,DefaultAuctionValues!$A$2:$A$359,0)),0),IF(LeagueInfo!$F$7="ESPN",IFERROR(INDEX(DefaultAuctionValues!$C$2:$C$359,MATCH(A495,DefaultAuctionValues!$A$2:$A$359,0)),0),IF(LeagueInfo!$F$7="FantasyPros",IFERROR(INDEX(DefaultAuctionValues!$D$2:$D$359,MATCH(A495,DefaultAuctionValues!$A$2:$A$359,0)),0))))</f>
        <v>0</v>
      </c>
      <c r="L495" s="197">
        <f ca="1">I495-K495</f>
        <v>-14.954120820414406</v>
      </c>
      <c r="M495" s="213"/>
      <c r="N495" s="208">
        <f ca="1">INDEX(INDIRECT(""&amp;$B495&amp;"!y2:y709"),MATCH($A495,INDIRECT(""&amp;$B495&amp;"!B2:B709"),0))</f>
        <v>-31.220000000000006</v>
      </c>
      <c r="O495" s="217" t="str">
        <f ca="1">IF(INDEX(INDIRECT(""&amp;$B495&amp;"!V2:V700"),MATCH($A495,INDIRECT(""&amp;$B495&amp;"!B2:B700"),0))=0,"",INDEX(INDIRECT(""&amp;$B495&amp;"!V2:V700"),MATCH($A495,INDIRECT(""&amp;$B495&amp;"!B2:B700"),0)))</f>
        <v/>
      </c>
    </row>
    <row r="496" spans="1:15" x14ac:dyDescent="0.25">
      <c r="A496" s="195" t="s">
        <v>505</v>
      </c>
      <c r="B496" s="195" t="s">
        <v>32</v>
      </c>
      <c r="C496" s="195">
        <f ca="1">IFERROR(INDEX(BYEs!$B$2:$B$33,MATCH(D496,BYEs!$A$2:$A$33,0)),"N/A")</f>
        <v>11</v>
      </c>
      <c r="D496" s="195" t="str">
        <f ca="1">INDEX(INDIRECT(""&amp;B496&amp;"!E2:E700"),MATCH(A496,INDIRECT(""&amp;B496&amp;"!B2:B700"),0))</f>
        <v>SF</v>
      </c>
      <c r="E496" s="194" t="str">
        <f ca="1">INDEX(INDIRECT(""&amp;$B496&amp;"!Z2:Z709"),MATCH($A496,INDIRECT(""&amp;$B496&amp;"!B2:B709"),0))</f>
        <v>RB12</v>
      </c>
      <c r="F496" s="196">
        <f ca="1">IF(LeagueInfo!$H$7="Starter/Bench",INDEX(INDIRECT(""&amp;B496&amp;"!S2:S709"),MATCH(A496,INDIRECT(""&amp;B496&amp;"!B2:B709"),0)),INDEX(INDIRECT(""&amp;B496&amp;"!AA2:AA709"),MATCH(A496,INDIRECT(""&amp;B496&amp;"!B2:B709"),0)))</f>
        <v>-14.963700654380078</v>
      </c>
      <c r="G496" s="197">
        <f>IF(H496&gt;0,F496-H496,0)</f>
        <v>0</v>
      </c>
      <c r="H496" s="198"/>
      <c r="I496" s="197">
        <f ca="1">F496*$A$2</f>
        <v>-14.963700654380078</v>
      </c>
      <c r="J496" s="197" t="s">
        <v>80</v>
      </c>
      <c r="K496" s="197">
        <f>IF(LeagueInfo!$F$7="Yahoo",IFERROR(INDEX(DefaultAuctionValues!$B$2:$B$359,MATCH(A496,DefaultAuctionValues!$A$2:$A$359,0)),0),IF(LeagueInfo!$F$7="ESPN",IFERROR(INDEX(DefaultAuctionValues!$C$2:$C$359,MATCH(A496,DefaultAuctionValues!$A$2:$A$359,0)),0),IF(LeagueInfo!$F$7="FantasyPros",IFERROR(INDEX(DefaultAuctionValues!$D$2:$D$359,MATCH(A496,DefaultAuctionValues!$A$2:$A$359,0)),0))))</f>
        <v>0</v>
      </c>
      <c r="L496" s="197">
        <f ca="1">I496-K496</f>
        <v>-14.963700654380078</v>
      </c>
      <c r="M496" s="213"/>
      <c r="N496" s="208">
        <f ca="1">INDEX(INDIRECT(""&amp;$B496&amp;"!y2:y709"),MATCH($A496,INDIRECT(""&amp;$B496&amp;"!B2:B709"),0))</f>
        <v>-31.240000000000006</v>
      </c>
      <c r="O496" s="217" t="str">
        <f ca="1">IF(INDEX(INDIRECT(""&amp;$B496&amp;"!V2:V700"),MATCH($A496,INDIRECT(""&amp;$B496&amp;"!B2:B700"),0))=0,"",INDEX(INDIRECT(""&amp;$B496&amp;"!V2:V700"),MATCH($A496,INDIRECT(""&amp;$B496&amp;"!B2:B700"),0)))</f>
        <v/>
      </c>
    </row>
    <row r="497" spans="1:15" x14ac:dyDescent="0.25">
      <c r="A497" s="195" t="s">
        <v>236</v>
      </c>
      <c r="B497" s="195" t="s">
        <v>39</v>
      </c>
      <c r="C497" s="195">
        <f ca="1">IFERROR(INDEX(BYEs!$B$2:$B$33,MATCH(D497,BYEs!$A$2:$A$33,0)),"N/A")</f>
        <v>9</v>
      </c>
      <c r="D497" s="195" t="str">
        <f ca="1">INDEX(INDIRECT(""&amp;B497&amp;"!E2:E700"),MATCH(A497,INDIRECT(""&amp;B497&amp;"!B2:B700"),0))</f>
        <v>MIN</v>
      </c>
      <c r="E497" s="194" t="str">
        <f ca="1">INDEX(INDIRECT(""&amp;$B497&amp;"!Z2:Z709"),MATCH($A497,INDIRECT(""&amp;$B497&amp;"!B2:B709"),0))</f>
        <v>WR10</v>
      </c>
      <c r="F497" s="196">
        <f ca="1">IF(LeagueInfo!$H$7="Starter/Bench",INDEX(INDIRECT(""&amp;B497&amp;"!S2:S709"),MATCH(A497,INDIRECT(""&amp;B497&amp;"!B2:B709"),0)),INDEX(INDIRECT(""&amp;B497&amp;"!AA2:AA709"),MATCH(A497,INDIRECT(""&amp;B497&amp;"!B2:B709"),0)))</f>
        <v>-14.97088552985433</v>
      </c>
      <c r="G497" s="197">
        <f>IF(H497&gt;0,F497-H497,0)</f>
        <v>0</v>
      </c>
      <c r="H497" s="198"/>
      <c r="I497" s="197">
        <f ca="1">F497*$A$2</f>
        <v>-14.97088552985433</v>
      </c>
      <c r="J497" s="197" t="s">
        <v>80</v>
      </c>
      <c r="K497" s="197">
        <f>IF(LeagueInfo!$F$7="Yahoo",IFERROR(INDEX(DefaultAuctionValues!$B$2:$B$359,MATCH(A497,DefaultAuctionValues!$A$2:$A$359,0)),0),IF(LeagueInfo!$F$7="ESPN",IFERROR(INDEX(DefaultAuctionValues!$C$2:$C$359,MATCH(A497,DefaultAuctionValues!$A$2:$A$359,0)),0),IF(LeagueInfo!$F$7="FantasyPros",IFERROR(INDEX(DefaultAuctionValues!$D$2:$D$359,MATCH(A497,DefaultAuctionValues!$A$2:$A$359,0)),0))))</f>
        <v>0</v>
      </c>
      <c r="L497" s="197">
        <f ca="1">I497-K497</f>
        <v>-14.97088552985433</v>
      </c>
      <c r="M497" s="213"/>
      <c r="N497" s="208">
        <f ca="1">INDEX(INDIRECT(""&amp;$B497&amp;"!y2:y709"),MATCH($A497,INDIRECT(""&amp;$B497&amp;"!B2:B709"),0))</f>
        <v>-31.255000000000003</v>
      </c>
      <c r="O497" s="217" t="str">
        <f ca="1">IF(INDEX(INDIRECT(""&amp;$B497&amp;"!V2:V700"),MATCH($A497,INDIRECT(""&amp;$B497&amp;"!B2:B700"),0))=0,"",INDEX(INDIRECT(""&amp;$B497&amp;"!V2:V700"),MATCH($A497,INDIRECT(""&amp;$B497&amp;"!B2:B700"),0)))</f>
        <v/>
      </c>
    </row>
    <row r="498" spans="1:15" x14ac:dyDescent="0.25">
      <c r="A498" s="195" t="s">
        <v>615</v>
      </c>
      <c r="B498" s="195" t="s">
        <v>39</v>
      </c>
      <c r="C498" s="195">
        <f ca="1">IFERROR(INDEX(BYEs!$B$2:$B$33,MATCH(D498,BYEs!$A$2:$A$33,0)),"N/A")</f>
        <v>7</v>
      </c>
      <c r="D498" s="195" t="str">
        <f ca="1">INDEX(INDIRECT(""&amp;B498&amp;"!E2:E700"),MATCH(A498,INDIRECT(""&amp;B498&amp;"!B2:B700"),0))</f>
        <v>DET</v>
      </c>
      <c r="E498" s="194" t="str">
        <f ca="1">INDEX(INDIRECT(""&amp;$B498&amp;"!Z2:Z709"),MATCH($A498,INDIRECT(""&amp;$B498&amp;"!B2:B709"),0))</f>
        <v>WR10</v>
      </c>
      <c r="F498" s="196">
        <f ca="1">IF(LeagueInfo!$H$7="Starter/Bench",INDEX(INDIRECT(""&amp;B498&amp;"!S2:S709"),MATCH(A498,INDIRECT(""&amp;B498&amp;"!B2:B709"),0)),INDEX(INDIRECT(""&amp;B498&amp;"!AA2:AA709"),MATCH(A498,INDIRECT(""&amp;B498&amp;"!B2:B709"),0)))</f>
        <v>-14.973280488345749</v>
      </c>
      <c r="G498" s="197">
        <f>IF(H498&gt;0,F498-H498,0)</f>
        <v>0</v>
      </c>
      <c r="H498" s="198"/>
      <c r="I498" s="197">
        <f ca="1">F498*$A$2</f>
        <v>-14.973280488345749</v>
      </c>
      <c r="J498" s="197" t="s">
        <v>80</v>
      </c>
      <c r="K498" s="197">
        <f>IF(LeagueInfo!$F$7="Yahoo",IFERROR(INDEX(DefaultAuctionValues!$B$2:$B$359,MATCH(A498,DefaultAuctionValues!$A$2:$A$359,0)),0),IF(LeagueInfo!$F$7="ESPN",IFERROR(INDEX(DefaultAuctionValues!$C$2:$C$359,MATCH(A498,DefaultAuctionValues!$A$2:$A$359,0)),0),IF(LeagueInfo!$F$7="FantasyPros",IFERROR(INDEX(DefaultAuctionValues!$D$2:$D$359,MATCH(A498,DefaultAuctionValues!$A$2:$A$359,0)),0))))</f>
        <v>0</v>
      </c>
      <c r="L498" s="197">
        <f ca="1">I498-K498</f>
        <v>-14.973280488345749</v>
      </c>
      <c r="M498" s="213"/>
      <c r="N498" s="208">
        <f ca="1">INDEX(INDIRECT(""&amp;$B498&amp;"!y2:y709"),MATCH($A498,INDIRECT(""&amp;$B498&amp;"!B2:B709"),0))</f>
        <v>-31.26</v>
      </c>
      <c r="O498" s="217" t="str">
        <f ca="1">IF(INDEX(INDIRECT(""&amp;$B498&amp;"!V2:V700"),MATCH($A498,INDIRECT(""&amp;$B498&amp;"!B2:B700"),0))=0,"",INDEX(INDIRECT(""&amp;$B498&amp;"!V2:V700"),MATCH($A498,INDIRECT(""&amp;$B498&amp;"!B2:B700"),0)))</f>
        <v/>
      </c>
    </row>
    <row r="499" spans="1:15" x14ac:dyDescent="0.25">
      <c r="A499" s="195" t="s">
        <v>543</v>
      </c>
      <c r="B499" s="195" t="s">
        <v>32</v>
      </c>
      <c r="C499" s="195">
        <f ca="1">IFERROR(INDEX(BYEs!$B$2:$B$33,MATCH(D499,BYEs!$A$2:$A$33,0)),"N/A")</f>
        <v>9</v>
      </c>
      <c r="D499" s="195" t="str">
        <f ca="1">INDEX(INDIRECT(""&amp;B499&amp;"!E2:E700"),MATCH(A499,INDIRECT(""&amp;B499&amp;"!B2:B700"),0))</f>
        <v>PIT</v>
      </c>
      <c r="E499" s="194" t="str">
        <f ca="1">INDEX(INDIRECT(""&amp;$B499&amp;"!Z2:Z709"),MATCH($A499,INDIRECT(""&amp;$B499&amp;"!B2:B709"),0))</f>
        <v>RB12</v>
      </c>
      <c r="F499" s="196">
        <f ca="1">IF(LeagueInfo!$H$7="Starter/Bench",INDEX(INDIRECT(""&amp;B499&amp;"!S2:S709"),MATCH(A499,INDIRECT(""&amp;B499&amp;"!B2:B709"),0)),INDEX(INDIRECT(""&amp;B499&amp;"!AA2:AA709"),MATCH(A499,INDIRECT(""&amp;B499&amp;"!B2:B709"),0)))</f>
        <v>-14.97328048834575</v>
      </c>
      <c r="G499" s="197">
        <f>IF(H499&gt;0,F499-H499,0)</f>
        <v>0</v>
      </c>
      <c r="H499" s="198"/>
      <c r="I499" s="197">
        <f ca="1">F499*$A$2</f>
        <v>-14.97328048834575</v>
      </c>
      <c r="J499" s="197" t="s">
        <v>80</v>
      </c>
      <c r="K499" s="197">
        <f>IF(LeagueInfo!$F$7="Yahoo",IFERROR(INDEX(DefaultAuctionValues!$B$2:$B$359,MATCH(A499,DefaultAuctionValues!$A$2:$A$359,0)),0),IF(LeagueInfo!$F$7="ESPN",IFERROR(INDEX(DefaultAuctionValues!$C$2:$C$359,MATCH(A499,DefaultAuctionValues!$A$2:$A$359,0)),0),IF(LeagueInfo!$F$7="FantasyPros",IFERROR(INDEX(DefaultAuctionValues!$D$2:$D$359,MATCH(A499,DefaultAuctionValues!$A$2:$A$359,0)),0))))</f>
        <v>0</v>
      </c>
      <c r="L499" s="197">
        <f ca="1">I499-K499</f>
        <v>-14.97328048834575</v>
      </c>
      <c r="M499" s="213"/>
      <c r="N499" s="208">
        <f ca="1">INDEX(INDIRECT(""&amp;$B499&amp;"!y2:y709"),MATCH($A499,INDIRECT(""&amp;$B499&amp;"!B2:B709"),0))</f>
        <v>-31.260000000000005</v>
      </c>
      <c r="O499" s="217" t="str">
        <f ca="1">IF(INDEX(INDIRECT(""&amp;$B499&amp;"!V2:V700"),MATCH($A499,INDIRECT(""&amp;$B499&amp;"!B2:B700"),0))=0,"",INDEX(INDIRECT(""&amp;$B499&amp;"!V2:V700"),MATCH($A499,INDIRECT(""&amp;$B499&amp;"!B2:B700"),0)))</f>
        <v/>
      </c>
    </row>
    <row r="500" spans="1:15" x14ac:dyDescent="0.25">
      <c r="A500" s="195" t="s">
        <v>514</v>
      </c>
      <c r="B500" s="195" t="s">
        <v>32</v>
      </c>
      <c r="C500" s="195">
        <f ca="1">IFERROR(INDEX(BYEs!$B$2:$B$33,MATCH(D500,BYEs!$A$2:$A$33,0)),"N/A")</f>
        <v>9</v>
      </c>
      <c r="D500" s="195" t="str">
        <f ca="1">INDEX(INDIRECT(""&amp;B500&amp;"!E2:E700"),MATCH(A500,INDIRECT(""&amp;B500&amp;"!B2:B700"),0))</f>
        <v>LAC</v>
      </c>
      <c r="E500" s="194" t="str">
        <f ca="1">INDEX(INDIRECT(""&amp;$B500&amp;"!Z2:Z709"),MATCH($A500,INDIRECT(""&amp;$B500&amp;"!B2:B709"),0))</f>
        <v>RB12</v>
      </c>
      <c r="F500" s="196">
        <f ca="1">IF(LeagueInfo!$H$7="Starter/Bench",INDEX(INDIRECT(""&amp;B500&amp;"!S2:S709"),MATCH(A500,INDIRECT(""&amp;B500&amp;"!B2:B709"),0)),INDEX(INDIRECT(""&amp;B500&amp;"!AA2:AA709"),MATCH(A500,INDIRECT(""&amp;B500&amp;"!B2:B709"),0)))</f>
        <v>-14.990045197785676</v>
      </c>
      <c r="G500" s="197">
        <f>IF(H500&gt;0,F500-H500,0)</f>
        <v>0</v>
      </c>
      <c r="H500" s="198"/>
      <c r="I500" s="197">
        <f ca="1">F500*$A$2</f>
        <v>-14.990045197785676</v>
      </c>
      <c r="J500" s="197" t="s">
        <v>80</v>
      </c>
      <c r="K500" s="197">
        <f>IF(LeagueInfo!$F$7="Yahoo",IFERROR(INDEX(DefaultAuctionValues!$B$2:$B$359,MATCH(A500,DefaultAuctionValues!$A$2:$A$359,0)),0),IF(LeagueInfo!$F$7="ESPN",IFERROR(INDEX(DefaultAuctionValues!$C$2:$C$359,MATCH(A500,DefaultAuctionValues!$A$2:$A$359,0)),0),IF(LeagueInfo!$F$7="FantasyPros",IFERROR(INDEX(DefaultAuctionValues!$D$2:$D$359,MATCH(A500,DefaultAuctionValues!$A$2:$A$359,0)),0))))</f>
        <v>0</v>
      </c>
      <c r="L500" s="197">
        <f ca="1">I500-K500</f>
        <v>-14.990045197785676</v>
      </c>
      <c r="M500" s="213"/>
      <c r="N500" s="208">
        <f ca="1">INDEX(INDIRECT(""&amp;$B500&amp;"!y2:y709"),MATCH($A500,INDIRECT(""&amp;$B500&amp;"!B2:B709"),0))</f>
        <v>-31.295000000000005</v>
      </c>
      <c r="O500" s="217" t="str">
        <f ca="1">IF(INDEX(INDIRECT(""&amp;$B500&amp;"!V2:V700"),MATCH($A500,INDIRECT(""&amp;$B500&amp;"!B2:B700"),0))=0,"",INDEX(INDIRECT(""&amp;$B500&amp;"!V2:V700"),MATCH($A500,INDIRECT(""&amp;$B500&amp;"!B2:B700"),0)))</f>
        <v/>
      </c>
    </row>
    <row r="501" spans="1:15" x14ac:dyDescent="0.25">
      <c r="A501" s="195" t="s">
        <v>805</v>
      </c>
      <c r="B501" s="195" t="s">
        <v>47</v>
      </c>
      <c r="C501" s="195">
        <f ca="1">IFERROR(INDEX(BYEs!$B$2:$B$33,MATCH(D501,BYEs!$A$2:$A$33,0)),"N/A")</f>
        <v>8</v>
      </c>
      <c r="D501" s="195" t="str">
        <f ca="1">INDEX(INDIRECT(""&amp;B501&amp;"!E2:E700"),MATCH(A501,INDIRECT(""&amp;B501&amp;"!B2:B700"),0))</f>
        <v>TEN</v>
      </c>
      <c r="E501" s="194" t="str">
        <f ca="1">INDEX(INDIRECT(""&amp;$B501&amp;"!Z2:Z709"),MATCH($A501,INDIRECT(""&amp;$B501&amp;"!B2:B709"),0))</f>
        <v>TE12</v>
      </c>
      <c r="F501" s="196">
        <f ca="1">IF(LeagueInfo!$H$7="Starter/Bench",INDEX(INDIRECT(""&amp;B501&amp;"!S2:S709"),MATCH(A501,INDIRECT(""&amp;B501&amp;"!B2:B709"),0)),INDEX(INDIRECT(""&amp;B501&amp;"!AA2:AA709"),MATCH(A501,INDIRECT(""&amp;B501&amp;"!B2:B709"),0)))</f>
        <v>-15.033154450631198</v>
      </c>
      <c r="G501" s="197">
        <f>IF(H501&gt;0,F501-H501,0)</f>
        <v>0</v>
      </c>
      <c r="H501" s="198"/>
      <c r="I501" s="197">
        <f ca="1">F501*$A$2</f>
        <v>-15.033154450631198</v>
      </c>
      <c r="J501" s="197" t="s">
        <v>80</v>
      </c>
      <c r="K501" s="197">
        <f>IF(LeagueInfo!$F$7="Yahoo",IFERROR(INDEX(DefaultAuctionValues!$B$2:$B$359,MATCH(A501,DefaultAuctionValues!$A$2:$A$359,0)),0),IF(LeagueInfo!$F$7="ESPN",IFERROR(INDEX(DefaultAuctionValues!$C$2:$C$359,MATCH(A501,DefaultAuctionValues!$A$2:$A$359,0)),0),IF(LeagueInfo!$F$7="FantasyPros",IFERROR(INDEX(DefaultAuctionValues!$D$2:$D$359,MATCH(A501,DefaultAuctionValues!$A$2:$A$359,0)),0))))</f>
        <v>0</v>
      </c>
      <c r="L501" s="197">
        <f ca="1">I501-K501</f>
        <v>-15.033154450631198</v>
      </c>
      <c r="M501" s="213"/>
      <c r="N501" s="208">
        <f ca="1">INDEX(INDIRECT(""&amp;$B501&amp;"!y2:y709"),MATCH($A501,INDIRECT(""&amp;$B501&amp;"!B2:B709"),0))</f>
        <v>-31.384999999999998</v>
      </c>
      <c r="O501" s="217" t="str">
        <f ca="1">IF(INDEX(INDIRECT(""&amp;$B501&amp;"!V2:V700"),MATCH($A501,INDIRECT(""&amp;$B501&amp;"!B2:B700"),0))=0,"",INDEX(INDIRECT(""&amp;$B501&amp;"!V2:V700"),MATCH($A501,INDIRECT(""&amp;$B501&amp;"!B2:B700"),0)))</f>
        <v/>
      </c>
    </row>
    <row r="502" spans="1:15" x14ac:dyDescent="0.25">
      <c r="A502" s="195" t="s">
        <v>545</v>
      </c>
      <c r="B502" s="195" t="s">
        <v>32</v>
      </c>
      <c r="C502" s="195">
        <f ca="1">IFERROR(INDEX(BYEs!$B$2:$B$33,MATCH(D502,BYEs!$A$2:$A$33,0)),"N/A")</f>
        <v>10</v>
      </c>
      <c r="D502" s="195" t="str">
        <f ca="1">INDEX(INDIRECT(""&amp;B502&amp;"!E2:E700"),MATCH(A502,INDIRECT(""&amp;B502&amp;"!B2:B700"),0))</f>
        <v>PHI</v>
      </c>
      <c r="E502" s="194" t="str">
        <f ca="1">INDEX(INDIRECT(""&amp;$B502&amp;"!Z2:Z709"),MATCH($A502,INDIRECT(""&amp;$B502&amp;"!B2:B709"),0))</f>
        <v>RB12</v>
      </c>
      <c r="F502" s="196">
        <f ca="1">IF(LeagueInfo!$H$7="Starter/Bench",INDEX(INDIRECT(""&amp;B502&amp;"!S2:S709"),MATCH(A502,INDIRECT(""&amp;B502&amp;"!B2:B709"),0)),INDEX(INDIRECT(""&amp;B502&amp;"!AA2:AA709"),MATCH(A502,INDIRECT(""&amp;B502&amp;"!B2:B709"),0)))</f>
        <v>-15.04512924308829</v>
      </c>
      <c r="G502" s="197">
        <f>IF(H502&gt;0,F502-H502,0)</f>
        <v>0</v>
      </c>
      <c r="H502" s="198"/>
      <c r="I502" s="197">
        <f ca="1">F502*$A$2</f>
        <v>-15.04512924308829</v>
      </c>
      <c r="J502" s="197" t="s">
        <v>80</v>
      </c>
      <c r="K502" s="197">
        <f>IF(LeagueInfo!$F$7="Yahoo",IFERROR(INDEX(DefaultAuctionValues!$B$2:$B$359,MATCH(A502,DefaultAuctionValues!$A$2:$A$359,0)),0),IF(LeagueInfo!$F$7="ESPN",IFERROR(INDEX(DefaultAuctionValues!$C$2:$C$359,MATCH(A502,DefaultAuctionValues!$A$2:$A$359,0)),0),IF(LeagueInfo!$F$7="FantasyPros",IFERROR(INDEX(DefaultAuctionValues!$D$2:$D$359,MATCH(A502,DefaultAuctionValues!$A$2:$A$359,0)),0))))</f>
        <v>0</v>
      </c>
      <c r="L502" s="197">
        <f ca="1">I502-K502</f>
        <v>-15.04512924308829</v>
      </c>
      <c r="M502" s="213"/>
      <c r="N502" s="208">
        <f ca="1">INDEX(INDIRECT(""&amp;$B502&amp;"!y2:y709"),MATCH($A502,INDIRECT(""&amp;$B502&amp;"!B2:B709"),0))</f>
        <v>-31.410000000000004</v>
      </c>
      <c r="O502" s="217" t="str">
        <f ca="1">IF(INDEX(INDIRECT(""&amp;$B502&amp;"!V2:V700"),MATCH($A502,INDIRECT(""&amp;$B502&amp;"!B2:B700"),0))=0,"",INDEX(INDIRECT(""&amp;$B502&amp;"!V2:V700"),MATCH($A502,INDIRECT(""&amp;$B502&amp;"!B2:B700"),0)))</f>
        <v/>
      </c>
    </row>
    <row r="503" spans="1:15" x14ac:dyDescent="0.25">
      <c r="A503" s="195" t="s">
        <v>930</v>
      </c>
      <c r="B503" s="195" t="s">
        <v>47</v>
      </c>
      <c r="C503" s="195">
        <f ca="1">IFERROR(INDEX(BYEs!$B$2:$B$33,MATCH(D503,BYEs!$A$2:$A$33,0)),"N/A")</f>
        <v>5</v>
      </c>
      <c r="D503" s="195" t="str">
        <f ca="1">INDEX(INDIRECT(""&amp;B503&amp;"!E2:E700"),MATCH(A503,INDIRECT(""&amp;B503&amp;"!B2:B700"),0))</f>
        <v>NO</v>
      </c>
      <c r="E503" s="194" t="str">
        <f ca="1">INDEX(INDIRECT(""&amp;$B503&amp;"!Z2:Z709"),MATCH($A503,INDIRECT(""&amp;$B503&amp;"!B2:B709"),0))</f>
        <v>TE12</v>
      </c>
      <c r="F503" s="196">
        <f ca="1">IF(LeagueInfo!$H$7="Starter/Bench",INDEX(INDIRECT(""&amp;B503&amp;"!S2:S709"),MATCH(A503,INDIRECT(""&amp;B503&amp;"!B2:B709"),0)),INDEX(INDIRECT(""&amp;B503&amp;"!AA2:AA709"),MATCH(A503,INDIRECT(""&amp;B503&amp;"!B2:B709"),0)))</f>
        <v>-15.064288911019633</v>
      </c>
      <c r="G503" s="197">
        <f>IF(H503&gt;0,F503-H503,0)</f>
        <v>0</v>
      </c>
      <c r="H503" s="198"/>
      <c r="I503" s="197">
        <f ca="1">F503*$A$2</f>
        <v>-15.064288911019633</v>
      </c>
      <c r="J503" s="197" t="s">
        <v>80</v>
      </c>
      <c r="K503" s="197">
        <f>IF(LeagueInfo!$F$7="Yahoo",IFERROR(INDEX(DefaultAuctionValues!$B$2:$B$359,MATCH(A503,DefaultAuctionValues!$A$2:$A$359,0)),0),IF(LeagueInfo!$F$7="ESPN",IFERROR(INDEX(DefaultAuctionValues!$C$2:$C$359,MATCH(A503,DefaultAuctionValues!$A$2:$A$359,0)),0),IF(LeagueInfo!$F$7="FantasyPros",IFERROR(INDEX(DefaultAuctionValues!$D$2:$D$359,MATCH(A503,DefaultAuctionValues!$A$2:$A$359,0)),0))))</f>
        <v>0</v>
      </c>
      <c r="L503" s="197">
        <f ca="1">I503-K503</f>
        <v>-15.064288911019633</v>
      </c>
      <c r="M503" s="213"/>
      <c r="N503" s="208">
        <f ca="1">INDEX(INDIRECT(""&amp;$B503&amp;"!y2:y709"),MATCH($A503,INDIRECT(""&amp;$B503&amp;"!B2:B709"),0))</f>
        <v>-31.45</v>
      </c>
      <c r="O503" s="217" t="str">
        <f ca="1">IF(INDEX(INDIRECT(""&amp;$B503&amp;"!V2:V700"),MATCH($A503,INDIRECT(""&amp;$B503&amp;"!B2:B700"),0))=0,"",INDEX(INDIRECT(""&amp;$B503&amp;"!V2:V700"),MATCH($A503,INDIRECT(""&amp;$B503&amp;"!B2:B700"),0)))</f>
        <v/>
      </c>
    </row>
    <row r="504" spans="1:15" x14ac:dyDescent="0.25">
      <c r="A504" s="195" t="s">
        <v>926</v>
      </c>
      <c r="B504" s="195" t="s">
        <v>39</v>
      </c>
      <c r="C504" s="195">
        <f ca="1">IFERROR(INDEX(BYEs!$B$2:$B$33,MATCH(D504,BYEs!$A$2:$A$33,0)),"N/A")</f>
        <v>11</v>
      </c>
      <c r="D504" s="195" t="str">
        <f ca="1">INDEX(INDIRECT(""&amp;B504&amp;"!E2:E700"),MATCH(A504,INDIRECT(""&amp;B504&amp;"!B2:B700"),0))</f>
        <v>NYJ</v>
      </c>
      <c r="E504" s="194" t="str">
        <f ca="1">INDEX(INDIRECT(""&amp;$B504&amp;"!Z2:Z709"),MATCH($A504,INDIRECT(""&amp;$B504&amp;"!B2:B709"),0))</f>
        <v>WR10</v>
      </c>
      <c r="F504" s="196">
        <f ca="1">IF(LeagueInfo!$H$7="Starter/Bench",INDEX(INDIRECT(""&amp;B504&amp;"!S2:S709"),MATCH(A504,INDIRECT(""&amp;B504&amp;"!B2:B709"),0)),INDEX(INDIRECT(""&amp;B504&amp;"!AA2:AA709"),MATCH(A504,INDIRECT(""&amp;B504&amp;"!B2:B709"),0)))</f>
        <v>-15.093028412916651</v>
      </c>
      <c r="G504" s="197">
        <f>IF(H504&gt;0,F504-H504,0)</f>
        <v>0</v>
      </c>
      <c r="H504" s="198"/>
      <c r="I504" s="197">
        <f ca="1">F504*$A$2</f>
        <v>-15.093028412916651</v>
      </c>
      <c r="J504" s="197" t="s">
        <v>80</v>
      </c>
      <c r="K504" s="197">
        <f>IF(LeagueInfo!$F$7="Yahoo",IFERROR(INDEX(DefaultAuctionValues!$B$2:$B$359,MATCH(A504,DefaultAuctionValues!$A$2:$A$359,0)),0),IF(LeagueInfo!$F$7="ESPN",IFERROR(INDEX(DefaultAuctionValues!$C$2:$C$359,MATCH(A504,DefaultAuctionValues!$A$2:$A$359,0)),0),IF(LeagueInfo!$F$7="FantasyPros",IFERROR(INDEX(DefaultAuctionValues!$D$2:$D$359,MATCH(A504,DefaultAuctionValues!$A$2:$A$359,0)),0))))</f>
        <v>0</v>
      </c>
      <c r="L504" s="197">
        <f ca="1">I504-K504</f>
        <v>-15.093028412916651</v>
      </c>
      <c r="M504" s="213"/>
      <c r="N504" s="208">
        <f ca="1">INDEX(INDIRECT(""&amp;$B504&amp;"!y2:y709"),MATCH($A504,INDIRECT(""&amp;$B504&amp;"!B2:B709"),0))</f>
        <v>-31.51</v>
      </c>
      <c r="O504" s="217" t="str">
        <f ca="1">IF(INDEX(INDIRECT(""&amp;$B504&amp;"!V2:V700"),MATCH($A504,INDIRECT(""&amp;$B504&amp;"!B2:B700"),0))=0,"",INDEX(INDIRECT(""&amp;$B504&amp;"!V2:V700"),MATCH($A504,INDIRECT(""&amp;$B504&amp;"!B2:B700"),0)))</f>
        <v/>
      </c>
    </row>
    <row r="505" spans="1:15" x14ac:dyDescent="0.25">
      <c r="A505" s="195" t="s">
        <v>535</v>
      </c>
      <c r="B505" s="195" t="s">
        <v>32</v>
      </c>
      <c r="C505" s="195">
        <f ca="1">IFERROR(INDEX(BYEs!$B$2:$B$33,MATCH(D505,BYEs!$A$2:$A$33,0)),"N/A")</f>
        <v>6</v>
      </c>
      <c r="D505" s="195" t="str">
        <f ca="1">INDEX(INDIRECT(""&amp;B505&amp;"!E2:E700"),MATCH(A505,INDIRECT(""&amp;B505&amp;"!B2:B700"),0))</f>
        <v>BUF</v>
      </c>
      <c r="E505" s="194" t="str">
        <f ca="1">INDEX(INDIRECT(""&amp;$B505&amp;"!Z2:Z709"),MATCH($A505,INDIRECT(""&amp;$B505&amp;"!B2:B709"),0))</f>
        <v>RB12</v>
      </c>
      <c r="F505" s="196">
        <f ca="1">IF(LeagueInfo!$H$7="Starter/Bench",INDEX(INDIRECT(""&amp;B505&amp;"!S2:S709"),MATCH(A505,INDIRECT(""&amp;B505&amp;"!B2:B709"),0)),INDEX(INDIRECT(""&amp;B505&amp;"!AA2:AA709"),MATCH(A505,INDIRECT(""&amp;B505&amp;"!B2:B709"),0)))</f>
        <v>-15.112188080847996</v>
      </c>
      <c r="G505" s="197">
        <f>IF(H505&gt;0,F505-H505,0)</f>
        <v>0</v>
      </c>
      <c r="H505" s="198"/>
      <c r="I505" s="197">
        <f ca="1">F505*$A$2</f>
        <v>-15.112188080847996</v>
      </c>
      <c r="J505" s="197" t="s">
        <v>80</v>
      </c>
      <c r="K505" s="197">
        <f>IF(LeagueInfo!$F$7="Yahoo",IFERROR(INDEX(DefaultAuctionValues!$B$2:$B$359,MATCH(A505,DefaultAuctionValues!$A$2:$A$359,0)),0),IF(LeagueInfo!$F$7="ESPN",IFERROR(INDEX(DefaultAuctionValues!$C$2:$C$359,MATCH(A505,DefaultAuctionValues!$A$2:$A$359,0)),0),IF(LeagueInfo!$F$7="FantasyPros",IFERROR(INDEX(DefaultAuctionValues!$D$2:$D$359,MATCH(A505,DefaultAuctionValues!$A$2:$A$359,0)),0))))</f>
        <v>0</v>
      </c>
      <c r="L505" s="197">
        <f ca="1">I505-K505</f>
        <v>-15.112188080847996</v>
      </c>
      <c r="M505" s="213"/>
      <c r="N505" s="208">
        <f ca="1">INDEX(INDIRECT(""&amp;$B505&amp;"!y2:y709"),MATCH($A505,INDIRECT(""&amp;$B505&amp;"!B2:B709"),0))</f>
        <v>-31.550000000000004</v>
      </c>
      <c r="O505" s="217" t="str">
        <f ca="1">IF(INDEX(INDIRECT(""&amp;$B505&amp;"!V2:V700"),MATCH($A505,INDIRECT(""&amp;$B505&amp;"!B2:B700"),0))=0,"",INDEX(INDIRECT(""&amp;$B505&amp;"!V2:V700"),MATCH($A505,INDIRECT(""&amp;$B505&amp;"!B2:B700"),0)))</f>
        <v/>
      </c>
    </row>
    <row r="506" spans="1:15" x14ac:dyDescent="0.25">
      <c r="A506" s="195" t="s">
        <v>517</v>
      </c>
      <c r="B506" s="195" t="s">
        <v>32</v>
      </c>
      <c r="C506" s="195">
        <f ca="1">IFERROR(INDEX(BYEs!$B$2:$B$33,MATCH(D506,BYEs!$A$2:$A$33,0)),"N/A")</f>
        <v>10</v>
      </c>
      <c r="D506" s="195" t="str">
        <f ca="1">INDEX(INDIRECT(""&amp;B506&amp;"!E2:E700"),MATCH(A506,INDIRECT(""&amp;B506&amp;"!B2:B700"),0))</f>
        <v>BAL</v>
      </c>
      <c r="E506" s="194" t="str">
        <f ca="1">INDEX(INDIRECT(""&amp;$B506&amp;"!Z2:Z709"),MATCH($A506,INDIRECT(""&amp;$B506&amp;"!B2:B709"),0))</f>
        <v>RB12</v>
      </c>
      <c r="F506" s="196">
        <f ca="1">IF(LeagueInfo!$H$7="Starter/Bench",INDEX(INDIRECT(""&amp;B506&amp;"!S2:S709"),MATCH(A506,INDIRECT(""&amp;B506&amp;"!B2:B709"),0)),INDEX(INDIRECT(""&amp;B506&amp;"!AA2:AA709"),MATCH(A506,INDIRECT(""&amp;B506&amp;"!B2:B709"),0)))</f>
        <v>-15.150507416710687</v>
      </c>
      <c r="G506" s="197">
        <f>IF(H506&gt;0,F506-H506,0)</f>
        <v>0</v>
      </c>
      <c r="H506" s="198"/>
      <c r="I506" s="197">
        <f ca="1">F506*$A$2</f>
        <v>-15.150507416710687</v>
      </c>
      <c r="J506" s="197" t="s">
        <v>80</v>
      </c>
      <c r="K506" s="197">
        <f>IF(LeagueInfo!$F$7="Yahoo",IFERROR(INDEX(DefaultAuctionValues!$B$2:$B$359,MATCH(A506,DefaultAuctionValues!$A$2:$A$359,0)),0),IF(LeagueInfo!$F$7="ESPN",IFERROR(INDEX(DefaultAuctionValues!$C$2:$C$359,MATCH(A506,DefaultAuctionValues!$A$2:$A$359,0)),0),IF(LeagueInfo!$F$7="FantasyPros",IFERROR(INDEX(DefaultAuctionValues!$D$2:$D$359,MATCH(A506,DefaultAuctionValues!$A$2:$A$359,0)),0))))</f>
        <v>0</v>
      </c>
      <c r="L506" s="197">
        <f ca="1">I506-K506</f>
        <v>-15.150507416710687</v>
      </c>
      <c r="M506" s="213"/>
      <c r="N506" s="208">
        <f ca="1">INDEX(INDIRECT(""&amp;$B506&amp;"!y2:y709"),MATCH($A506,INDIRECT(""&amp;$B506&amp;"!B2:B709"),0))</f>
        <v>-31.630000000000006</v>
      </c>
      <c r="O506" s="217" t="str">
        <f ca="1">IF(INDEX(INDIRECT(""&amp;$B506&amp;"!V2:V700"),MATCH($A506,INDIRECT(""&amp;$B506&amp;"!B2:B700"),0))=0,"",INDEX(INDIRECT(""&amp;$B506&amp;"!V2:V700"),MATCH($A506,INDIRECT(""&amp;$B506&amp;"!B2:B700"),0)))</f>
        <v/>
      </c>
    </row>
    <row r="507" spans="1:15" x14ac:dyDescent="0.25">
      <c r="A507" s="195" t="s">
        <v>773</v>
      </c>
      <c r="B507" s="195" t="s">
        <v>47</v>
      </c>
      <c r="C507" s="195">
        <f ca="1">IFERROR(INDEX(BYEs!$B$2:$B$33,MATCH(D507,BYEs!$A$2:$A$33,0)),"N/A")</f>
        <v>8</v>
      </c>
      <c r="D507" s="195" t="str">
        <f ca="1">INDEX(INDIRECT(""&amp;B507&amp;"!E2:E700"),MATCH(A507,INDIRECT(""&amp;B507&amp;"!B2:B700"),0))</f>
        <v>LAR</v>
      </c>
      <c r="E507" s="194" t="str">
        <f ca="1">INDEX(INDIRECT(""&amp;$B507&amp;"!Z2:Z709"),MATCH($A507,INDIRECT(""&amp;$B507&amp;"!B2:B709"),0))</f>
        <v>TE12</v>
      </c>
      <c r="F507" s="196">
        <f ca="1">IF(LeagueInfo!$H$7="Starter/Bench",INDEX(INDIRECT(""&amp;B507&amp;"!S2:S709"),MATCH(A507,INDIRECT(""&amp;B507&amp;"!B2:B709"),0)),INDEX(INDIRECT(""&amp;B507&amp;"!AA2:AA709"),MATCH(A507,INDIRECT(""&amp;B507&amp;"!B2:B709"),0)))</f>
        <v>-15.152902375202101</v>
      </c>
      <c r="G507" s="197">
        <f>IF(H507&gt;0,F507-H507,0)</f>
        <v>0</v>
      </c>
      <c r="H507" s="198"/>
      <c r="I507" s="197">
        <f ca="1">F507*$A$2</f>
        <v>-15.152902375202101</v>
      </c>
      <c r="J507" s="197" t="s">
        <v>80</v>
      </c>
      <c r="K507" s="197">
        <f>IF(LeagueInfo!$F$7="Yahoo",IFERROR(INDEX(DefaultAuctionValues!$B$2:$B$359,MATCH(A507,DefaultAuctionValues!$A$2:$A$359,0)),0),IF(LeagueInfo!$F$7="ESPN",IFERROR(INDEX(DefaultAuctionValues!$C$2:$C$359,MATCH(A507,DefaultAuctionValues!$A$2:$A$359,0)),0),IF(LeagueInfo!$F$7="FantasyPros",IFERROR(INDEX(DefaultAuctionValues!$D$2:$D$359,MATCH(A507,DefaultAuctionValues!$A$2:$A$359,0)),0))))</f>
        <v>0</v>
      </c>
      <c r="L507" s="197">
        <f ca="1">I507-K507</f>
        <v>-15.152902375202101</v>
      </c>
      <c r="M507" s="213"/>
      <c r="N507" s="208">
        <f ca="1">INDEX(INDIRECT(""&amp;$B507&amp;"!y2:y709"),MATCH($A507,INDIRECT(""&amp;$B507&amp;"!B2:B709"),0))</f>
        <v>-31.634999999999998</v>
      </c>
      <c r="O507" s="217" t="str">
        <f ca="1">IF(INDEX(INDIRECT(""&amp;$B507&amp;"!V2:V700"),MATCH($A507,INDIRECT(""&amp;$B507&amp;"!B2:B700"),0))=0,"",INDEX(INDIRECT(""&amp;$B507&amp;"!V2:V700"),MATCH($A507,INDIRECT(""&amp;$B507&amp;"!B2:B700"),0)))</f>
        <v/>
      </c>
    </row>
    <row r="508" spans="1:15" x14ac:dyDescent="0.25">
      <c r="A508" s="195" t="s">
        <v>614</v>
      </c>
      <c r="B508" s="195" t="s">
        <v>39</v>
      </c>
      <c r="C508" s="195">
        <f ca="1">IFERROR(INDEX(BYEs!$B$2:$B$33,MATCH(D508,BYEs!$A$2:$A$33,0)),"N/A")</f>
        <v>9</v>
      </c>
      <c r="D508" s="195" t="str">
        <f ca="1">INDEX(INDIRECT(""&amp;B508&amp;"!E2:E700"),MATCH(A508,INDIRECT(""&amp;B508&amp;"!B2:B700"),0))</f>
        <v>CHI</v>
      </c>
      <c r="E508" s="194" t="str">
        <f ca="1">INDEX(INDIRECT(""&amp;$B508&amp;"!Z2:Z709"),MATCH($A508,INDIRECT(""&amp;$B508&amp;"!B2:B709"),0))</f>
        <v>WR10</v>
      </c>
      <c r="F508" s="196">
        <f ca="1">IF(LeagueInfo!$H$7="Starter/Bench",INDEX(INDIRECT(""&amp;B508&amp;"!S2:S709"),MATCH(A508,INDIRECT(""&amp;B508&amp;"!B2:B709"),0)),INDEX(INDIRECT(""&amp;B508&amp;"!AA2:AA709"),MATCH(A508,INDIRECT(""&amp;B508&amp;"!B2:B709"),0)))</f>
        <v>-15.181641877099119</v>
      </c>
      <c r="G508" s="197">
        <f>IF(H508&gt;0,F508-H508,0)</f>
        <v>0</v>
      </c>
      <c r="H508" s="198"/>
      <c r="I508" s="197">
        <f ca="1">F508*$A$2</f>
        <v>-15.181641877099119</v>
      </c>
      <c r="J508" s="197" t="s">
        <v>80</v>
      </c>
      <c r="K508" s="197">
        <f>IF(LeagueInfo!$F$7="Yahoo",IFERROR(INDEX(DefaultAuctionValues!$B$2:$B$359,MATCH(A508,DefaultAuctionValues!$A$2:$A$359,0)),0),IF(LeagueInfo!$F$7="ESPN",IFERROR(INDEX(DefaultAuctionValues!$C$2:$C$359,MATCH(A508,DefaultAuctionValues!$A$2:$A$359,0)),0),IF(LeagueInfo!$F$7="FantasyPros",IFERROR(INDEX(DefaultAuctionValues!$D$2:$D$359,MATCH(A508,DefaultAuctionValues!$A$2:$A$359,0)),0))))</f>
        <v>0</v>
      </c>
      <c r="L508" s="197">
        <f ca="1">I508-K508</f>
        <v>-15.181641877099119</v>
      </c>
      <c r="M508" s="213"/>
      <c r="N508" s="208">
        <f ca="1">INDEX(INDIRECT(""&amp;$B508&amp;"!y2:y709"),MATCH($A508,INDIRECT(""&amp;$B508&amp;"!B2:B709"),0))</f>
        <v>-31.695</v>
      </c>
      <c r="O508" s="217" t="str">
        <f ca="1">IF(INDEX(INDIRECT(""&amp;$B508&amp;"!V2:V700"),MATCH($A508,INDIRECT(""&amp;$B508&amp;"!B2:B700"),0))=0,"",INDEX(INDIRECT(""&amp;$B508&amp;"!V2:V700"),MATCH($A508,INDIRECT(""&amp;$B508&amp;"!B2:B700"),0)))</f>
        <v/>
      </c>
    </row>
    <row r="509" spans="1:15" x14ac:dyDescent="0.25">
      <c r="A509" s="195" t="s">
        <v>499</v>
      </c>
      <c r="B509" s="195" t="s">
        <v>32</v>
      </c>
      <c r="C509" s="195">
        <f ca="1">IFERROR(INDEX(BYEs!$B$2:$B$33,MATCH(D509,BYEs!$A$2:$A$33,0)),"N/A")</f>
        <v>8</v>
      </c>
      <c r="D509" s="195" t="str">
        <f ca="1">INDEX(INDIRECT(""&amp;B509&amp;"!E2:E700"),MATCH(A509,INDIRECT(""&amp;B509&amp;"!B2:B700"),0))</f>
        <v>ARI</v>
      </c>
      <c r="E509" s="194" t="str">
        <f ca="1">INDEX(INDIRECT(""&amp;$B509&amp;"!Z2:Z709"),MATCH($A509,INDIRECT(""&amp;$B509&amp;"!B2:B709"),0))</f>
        <v>RB12</v>
      </c>
      <c r="F509" s="196">
        <f ca="1">IF(LeagueInfo!$H$7="Starter/Bench",INDEX(INDIRECT(""&amp;B509&amp;"!S2:S709"),MATCH(A509,INDIRECT(""&amp;B509&amp;"!B2:B709"),0)),INDEX(INDIRECT(""&amp;B509&amp;"!AA2:AA709"),MATCH(A509,INDIRECT(""&amp;B509&amp;"!B2:B709"),0)))</f>
        <v>-15.217566254470391</v>
      </c>
      <c r="G509" s="197">
        <f>IF(H509&gt;0,F509-H509,0)</f>
        <v>0</v>
      </c>
      <c r="H509" s="198"/>
      <c r="I509" s="197">
        <f ca="1">F509*$A$2</f>
        <v>-15.217566254470391</v>
      </c>
      <c r="J509" s="197" t="s">
        <v>80</v>
      </c>
      <c r="K509" s="197">
        <f>IF(LeagueInfo!$F$7="Yahoo",IFERROR(INDEX(DefaultAuctionValues!$B$2:$B$359,MATCH(A509,DefaultAuctionValues!$A$2:$A$359,0)),0),IF(LeagueInfo!$F$7="ESPN",IFERROR(INDEX(DefaultAuctionValues!$C$2:$C$359,MATCH(A509,DefaultAuctionValues!$A$2:$A$359,0)),0),IF(LeagueInfo!$F$7="FantasyPros",IFERROR(INDEX(DefaultAuctionValues!$D$2:$D$359,MATCH(A509,DefaultAuctionValues!$A$2:$A$359,0)),0))))</f>
        <v>0</v>
      </c>
      <c r="L509" s="197">
        <f ca="1">I509-K509</f>
        <v>-15.217566254470391</v>
      </c>
      <c r="M509" s="213"/>
      <c r="N509" s="208">
        <f ca="1">INDEX(INDIRECT(""&amp;$B509&amp;"!y2:y709"),MATCH($A509,INDIRECT(""&amp;$B509&amp;"!B2:B709"),0))</f>
        <v>-31.770000000000003</v>
      </c>
      <c r="O509" s="217" t="str">
        <f ca="1">IF(INDEX(INDIRECT(""&amp;$B509&amp;"!V2:V700"),MATCH($A509,INDIRECT(""&amp;$B509&amp;"!B2:B700"),0))=0,"",INDEX(INDIRECT(""&amp;$B509&amp;"!V2:V700"),MATCH($A509,INDIRECT(""&amp;$B509&amp;"!B2:B700"),0)))</f>
        <v/>
      </c>
    </row>
    <row r="510" spans="1:15" x14ac:dyDescent="0.25">
      <c r="A510" s="195" t="s">
        <v>806</v>
      </c>
      <c r="B510" s="195" t="s">
        <v>47</v>
      </c>
      <c r="C510" s="195">
        <f ca="1">IFERROR(INDEX(BYEs!$B$2:$B$33,MATCH(D510,BYEs!$A$2:$A$33,0)),"N/A")</f>
        <v>11</v>
      </c>
      <c r="D510" s="195" t="str">
        <f ca="1">INDEX(INDIRECT(""&amp;B510&amp;"!E2:E700"),MATCH(A510,INDIRECT(""&amp;B510&amp;"!B2:B700"),0))</f>
        <v>CAR</v>
      </c>
      <c r="E510" s="194" t="str">
        <f ca="1">INDEX(INDIRECT(""&amp;$B510&amp;"!Z2:Z709"),MATCH($A510,INDIRECT(""&amp;$B510&amp;"!B2:B709"),0))</f>
        <v>TE12</v>
      </c>
      <c r="F510" s="196">
        <f ca="1">IF(LeagueInfo!$H$7="Starter/Bench",INDEX(INDIRECT(""&amp;B510&amp;"!S2:S709"),MATCH(A510,INDIRECT(""&amp;B510&amp;"!B2:B709"),0)),INDEX(INDIRECT(""&amp;B510&amp;"!AA2:AA709"),MATCH(A510,INDIRECT(""&amp;B510&amp;"!B2:B709"),0)))</f>
        <v>-15.255885590333078</v>
      </c>
      <c r="G510" s="197">
        <f>IF(H510&gt;0,F510-H510,0)</f>
        <v>0</v>
      </c>
      <c r="H510" s="198"/>
      <c r="I510" s="197">
        <f ca="1">F510*$A$2</f>
        <v>-15.255885590333078</v>
      </c>
      <c r="J510" s="197" t="s">
        <v>80</v>
      </c>
      <c r="K510" s="197">
        <f>IF(LeagueInfo!$F$7="Yahoo",IFERROR(INDEX(DefaultAuctionValues!$B$2:$B$359,MATCH(A510,DefaultAuctionValues!$A$2:$A$359,0)),0),IF(LeagueInfo!$F$7="ESPN",IFERROR(INDEX(DefaultAuctionValues!$C$2:$C$359,MATCH(A510,DefaultAuctionValues!$A$2:$A$359,0)),0),IF(LeagueInfo!$F$7="FantasyPros",IFERROR(INDEX(DefaultAuctionValues!$D$2:$D$359,MATCH(A510,DefaultAuctionValues!$A$2:$A$359,0)),0))))</f>
        <v>0</v>
      </c>
      <c r="L510" s="197">
        <f ca="1">I510-K510</f>
        <v>-15.255885590333078</v>
      </c>
      <c r="M510" s="213"/>
      <c r="N510" s="208">
        <f ca="1">INDEX(INDIRECT(""&amp;$B510&amp;"!y2:y709"),MATCH($A510,INDIRECT(""&amp;$B510&amp;"!B2:B709"),0))</f>
        <v>-31.849999999999998</v>
      </c>
      <c r="O510" s="217" t="str">
        <f ca="1">IF(INDEX(INDIRECT(""&amp;$B510&amp;"!V2:V700"),MATCH($A510,INDIRECT(""&amp;$B510&amp;"!B2:B700"),0))=0,"",INDEX(INDIRECT(""&amp;$B510&amp;"!V2:V700"),MATCH($A510,INDIRECT(""&amp;$B510&amp;"!B2:B700"),0)))</f>
        <v/>
      </c>
    </row>
    <row r="511" spans="1:15" x14ac:dyDescent="0.25">
      <c r="A511" s="195" t="s">
        <v>516</v>
      </c>
      <c r="B511" s="195" t="s">
        <v>32</v>
      </c>
      <c r="C511" s="195">
        <f ca="1">IFERROR(INDEX(BYEs!$B$2:$B$33,MATCH(D511,BYEs!$A$2:$A$33,0)),"N/A")</f>
        <v>8</v>
      </c>
      <c r="D511" s="195" t="str">
        <f ca="1">INDEX(INDIRECT(""&amp;B511&amp;"!E2:E700"),MATCH(A511,INDIRECT(""&amp;B511&amp;"!B2:B700"),0))</f>
        <v>TEN</v>
      </c>
      <c r="E511" s="194" t="str">
        <f ca="1">INDEX(INDIRECT(""&amp;$B511&amp;"!Z2:Z709"),MATCH($A511,INDIRECT(""&amp;$B511&amp;"!B2:B709"),0))</f>
        <v>RB12</v>
      </c>
      <c r="F511" s="196">
        <f ca="1">IF(LeagueInfo!$H$7="Starter/Bench",INDEX(INDIRECT(""&amp;B511&amp;"!S2:S709"),MATCH(A511,INDIRECT(""&amp;B511&amp;"!B2:B709"),0)),INDEX(INDIRECT(""&amp;B511&amp;"!AA2:AA709"),MATCH(A511,INDIRECT(""&amp;B511&amp;"!B2:B709"),0)))</f>
        <v>-15.34210409602413</v>
      </c>
      <c r="G511" s="197">
        <f>IF(H511&gt;0,F511-H511,0)</f>
        <v>0</v>
      </c>
      <c r="H511" s="198"/>
      <c r="I511" s="197">
        <f ca="1">F511*$A$2</f>
        <v>-15.34210409602413</v>
      </c>
      <c r="J511" s="197" t="s">
        <v>80</v>
      </c>
      <c r="K511" s="197">
        <f>IF(LeagueInfo!$F$7="Yahoo",IFERROR(INDEX(DefaultAuctionValues!$B$2:$B$359,MATCH(A511,DefaultAuctionValues!$A$2:$A$359,0)),0),IF(LeagueInfo!$F$7="ESPN",IFERROR(INDEX(DefaultAuctionValues!$C$2:$C$359,MATCH(A511,DefaultAuctionValues!$A$2:$A$359,0)),0),IF(LeagueInfo!$F$7="FantasyPros",IFERROR(INDEX(DefaultAuctionValues!$D$2:$D$359,MATCH(A511,DefaultAuctionValues!$A$2:$A$359,0)),0))))</f>
        <v>0</v>
      </c>
      <c r="L511" s="197">
        <f ca="1">I511-K511</f>
        <v>-15.34210409602413</v>
      </c>
      <c r="M511" s="213"/>
      <c r="N511" s="208">
        <f ca="1">INDEX(INDIRECT(""&amp;$B511&amp;"!y2:y709"),MATCH($A511,INDIRECT(""&amp;$B511&amp;"!B2:B709"),0))</f>
        <v>-32.03</v>
      </c>
      <c r="O511" s="217" t="str">
        <f ca="1">IF(INDEX(INDIRECT(""&amp;$B511&amp;"!V2:V700"),MATCH($A511,INDIRECT(""&amp;$B511&amp;"!B2:B700"),0))=0,"",INDEX(INDIRECT(""&amp;$B511&amp;"!V2:V700"),MATCH($A511,INDIRECT(""&amp;$B511&amp;"!B2:B700"),0)))</f>
        <v/>
      </c>
    </row>
    <row r="512" spans="1:15" x14ac:dyDescent="0.25">
      <c r="A512" s="195" t="s">
        <v>542</v>
      </c>
      <c r="B512" s="195" t="s">
        <v>32</v>
      </c>
      <c r="C512" s="195">
        <f ca="1">IFERROR(INDEX(BYEs!$B$2:$B$33,MATCH(D512,BYEs!$A$2:$A$33,0)),"N/A")</f>
        <v>5</v>
      </c>
      <c r="D512" s="195" t="str">
        <f ca="1">INDEX(INDIRECT(""&amp;B512&amp;"!E2:E700"),MATCH(A512,INDIRECT(""&amp;B512&amp;"!B2:B700"),0))</f>
        <v>WAS</v>
      </c>
      <c r="E512" s="194" t="str">
        <f ca="1">INDEX(INDIRECT(""&amp;$B512&amp;"!Z2:Z709"),MATCH($A512,INDIRECT(""&amp;$B512&amp;"!B2:B709"),0))</f>
        <v>RB12</v>
      </c>
      <c r="F512" s="196">
        <f ca="1">IF(LeagueInfo!$H$7="Starter/Bench",INDEX(INDIRECT(""&amp;B512&amp;"!S2:S709"),MATCH(A512,INDIRECT(""&amp;B512&amp;"!B2:B709"),0)),INDEX(INDIRECT(""&amp;B512&amp;"!AA2:AA709"),MATCH(A512,INDIRECT(""&amp;B512&amp;"!B2:B709"),0)))</f>
        <v>-15.368448639429731</v>
      </c>
      <c r="G512" s="197">
        <f>IF(H512&gt;0,F512-H512,0)</f>
        <v>0</v>
      </c>
      <c r="H512" s="198"/>
      <c r="I512" s="197">
        <f ca="1">F512*$A$2</f>
        <v>-15.368448639429731</v>
      </c>
      <c r="J512" s="197" t="s">
        <v>80</v>
      </c>
      <c r="K512" s="197">
        <f>IF(LeagueInfo!$F$7="Yahoo",IFERROR(INDEX(DefaultAuctionValues!$B$2:$B$359,MATCH(A512,DefaultAuctionValues!$A$2:$A$359,0)),0),IF(LeagueInfo!$F$7="ESPN",IFERROR(INDEX(DefaultAuctionValues!$C$2:$C$359,MATCH(A512,DefaultAuctionValues!$A$2:$A$359,0)),0),IF(LeagueInfo!$F$7="FantasyPros",IFERROR(INDEX(DefaultAuctionValues!$D$2:$D$359,MATCH(A512,DefaultAuctionValues!$A$2:$A$359,0)),0))))</f>
        <v>0</v>
      </c>
      <c r="L512" s="197">
        <f ca="1">I512-K512</f>
        <v>-15.368448639429731</v>
      </c>
      <c r="M512" s="213"/>
      <c r="N512" s="208">
        <f ca="1">INDEX(INDIRECT(""&amp;$B512&amp;"!y2:y709"),MATCH($A512,INDIRECT(""&amp;$B512&amp;"!B2:B709"),0))</f>
        <v>-32.085000000000008</v>
      </c>
      <c r="O512" s="217" t="str">
        <f ca="1">IF(INDEX(INDIRECT(""&amp;$B512&amp;"!V2:V700"),MATCH($A512,INDIRECT(""&amp;$B512&amp;"!B2:B700"),0))=0,"",INDEX(INDIRECT(""&amp;$B512&amp;"!V2:V700"),MATCH($A512,INDIRECT(""&amp;$B512&amp;"!B2:B700"),0)))</f>
        <v/>
      </c>
    </row>
    <row r="513" spans="1:15" x14ac:dyDescent="0.25">
      <c r="A513" s="195" t="s">
        <v>515</v>
      </c>
      <c r="B513" s="195" t="s">
        <v>32</v>
      </c>
      <c r="C513" s="195">
        <f ca="1">IFERROR(INDEX(BYEs!$B$2:$B$33,MATCH(D513,BYEs!$A$2:$A$33,0)),"N/A")</f>
        <v>8</v>
      </c>
      <c r="D513" s="195" t="str">
        <f ca="1">INDEX(INDIRECT(""&amp;B513&amp;"!E2:E700"),MATCH(A513,INDIRECT(""&amp;B513&amp;"!B2:B700"),0))</f>
        <v>TEN</v>
      </c>
      <c r="E513" s="194" t="str">
        <f ca="1">INDEX(INDIRECT(""&amp;$B513&amp;"!Z2:Z709"),MATCH($A513,INDIRECT(""&amp;$B513&amp;"!B2:B709"),0))</f>
        <v>RB12</v>
      </c>
      <c r="F513" s="196">
        <f ca="1">IF(LeagueInfo!$H$7="Starter/Bench",INDEX(INDIRECT(""&amp;B513&amp;"!S2:S709"),MATCH(A513,INDIRECT(""&amp;B513&amp;"!B2:B709"),0)),INDEX(INDIRECT(""&amp;B513&amp;"!AA2:AA709"),MATCH(A513,INDIRECT(""&amp;B513&amp;"!B2:B709"),0)))</f>
        <v>-15.375633514903983</v>
      </c>
      <c r="G513" s="197">
        <f>IF(H513&gt;0,F513-H513,0)</f>
        <v>0</v>
      </c>
      <c r="H513" s="198"/>
      <c r="I513" s="197">
        <f ca="1">F513*$A$2</f>
        <v>-15.375633514903983</v>
      </c>
      <c r="J513" s="197" t="s">
        <v>80</v>
      </c>
      <c r="K513" s="197">
        <f>IF(LeagueInfo!$F$7="Yahoo",IFERROR(INDEX(DefaultAuctionValues!$B$2:$B$359,MATCH(A513,DefaultAuctionValues!$A$2:$A$359,0)),0),IF(LeagueInfo!$F$7="ESPN",IFERROR(INDEX(DefaultAuctionValues!$C$2:$C$359,MATCH(A513,DefaultAuctionValues!$A$2:$A$359,0)),0),IF(LeagueInfo!$F$7="FantasyPros",IFERROR(INDEX(DefaultAuctionValues!$D$2:$D$359,MATCH(A513,DefaultAuctionValues!$A$2:$A$359,0)),0))))</f>
        <v>0</v>
      </c>
      <c r="L513" s="197">
        <f ca="1">I513-K513</f>
        <v>-15.375633514903983</v>
      </c>
      <c r="M513" s="213"/>
      <c r="N513" s="208">
        <f ca="1">INDEX(INDIRECT(""&amp;$B513&amp;"!y2:y709"),MATCH($A513,INDIRECT(""&amp;$B513&amp;"!B2:B709"),0))</f>
        <v>-32.1</v>
      </c>
      <c r="O513" s="217" t="str">
        <f ca="1">IF(INDEX(INDIRECT(""&amp;$B513&amp;"!V2:V700"),MATCH($A513,INDIRECT(""&amp;$B513&amp;"!B2:B700"),0))=0,"",INDEX(INDIRECT(""&amp;$B513&amp;"!V2:V700"),MATCH($A513,INDIRECT(""&amp;$B513&amp;"!B2:B700"),0)))</f>
        <v/>
      </c>
    </row>
    <row r="514" spans="1:15" x14ac:dyDescent="0.25">
      <c r="A514" s="195" t="s">
        <v>518</v>
      </c>
      <c r="B514" s="195" t="s">
        <v>32</v>
      </c>
      <c r="C514" s="195">
        <f ca="1">IFERROR(INDEX(BYEs!$B$2:$B$33,MATCH(D514,BYEs!$A$2:$A$33,0)),"N/A")</f>
        <v>7</v>
      </c>
      <c r="D514" s="195" t="str">
        <f ca="1">INDEX(INDIRECT(""&amp;B514&amp;"!E2:E700"),MATCH(A514,INDIRECT(""&amp;B514&amp;"!B2:B700"),0))</f>
        <v>HOU</v>
      </c>
      <c r="E514" s="194" t="str">
        <f ca="1">INDEX(INDIRECT(""&amp;$B514&amp;"!Z2:Z709"),MATCH($A514,INDIRECT(""&amp;$B514&amp;"!B2:B709"),0))</f>
        <v>RB12</v>
      </c>
      <c r="F514" s="196">
        <f ca="1">IF(LeagueInfo!$H$7="Starter/Bench",INDEX(INDIRECT(""&amp;B514&amp;"!S2:S709"),MATCH(A514,INDIRECT(""&amp;B514&amp;"!B2:B709"),0)),INDEX(INDIRECT(""&amp;B514&amp;"!AA2:AA709"),MATCH(A514,INDIRECT(""&amp;B514&amp;"!B2:B709"),0)))</f>
        <v>-15.385213348869657</v>
      </c>
      <c r="G514" s="197">
        <f>IF(H514&gt;0,F514-H514,0)</f>
        <v>0</v>
      </c>
      <c r="H514" s="198"/>
      <c r="I514" s="197">
        <f ca="1">F514*$A$2</f>
        <v>-15.385213348869657</v>
      </c>
      <c r="J514" s="197" t="s">
        <v>80</v>
      </c>
      <c r="K514" s="197">
        <f>IF(LeagueInfo!$F$7="Yahoo",IFERROR(INDEX(DefaultAuctionValues!$B$2:$B$359,MATCH(A514,DefaultAuctionValues!$A$2:$A$359,0)),0),IF(LeagueInfo!$F$7="ESPN",IFERROR(INDEX(DefaultAuctionValues!$C$2:$C$359,MATCH(A514,DefaultAuctionValues!$A$2:$A$359,0)),0),IF(LeagueInfo!$F$7="FantasyPros",IFERROR(INDEX(DefaultAuctionValues!$D$2:$D$359,MATCH(A514,DefaultAuctionValues!$A$2:$A$359,0)),0))))</f>
        <v>0</v>
      </c>
      <c r="L514" s="197">
        <f ca="1">I514-K514</f>
        <v>-15.385213348869657</v>
      </c>
      <c r="M514" s="213"/>
      <c r="N514" s="208">
        <f ca="1">INDEX(INDIRECT(""&amp;$B514&amp;"!y2:y709"),MATCH($A514,INDIRECT(""&amp;$B514&amp;"!B2:B709"),0))</f>
        <v>-32.120000000000005</v>
      </c>
      <c r="O514" s="217" t="str">
        <f ca="1">IF(INDEX(INDIRECT(""&amp;$B514&amp;"!V2:V700"),MATCH($A514,INDIRECT(""&amp;$B514&amp;"!B2:B700"),0))=0,"",INDEX(INDIRECT(""&amp;$B514&amp;"!V2:V700"),MATCH($A514,INDIRECT(""&amp;$B514&amp;"!B2:B700"),0)))</f>
        <v/>
      </c>
    </row>
    <row r="515" spans="1:15" x14ac:dyDescent="0.25">
      <c r="A515" s="195" t="s">
        <v>538</v>
      </c>
      <c r="B515" s="195" t="s">
        <v>47</v>
      </c>
      <c r="C515" s="195">
        <f ca="1">IFERROR(INDEX(BYEs!$B$2:$B$33,MATCH(D515,BYEs!$A$2:$A$33,0)),"N/A")</f>
        <v>6</v>
      </c>
      <c r="D515" s="195" t="str">
        <f ca="1">INDEX(INDIRECT(""&amp;B515&amp;"!E2:E700"),MATCH(A515,INDIRECT(""&amp;B515&amp;"!B2:B700"),0))</f>
        <v>CIN</v>
      </c>
      <c r="E515" s="194" t="str">
        <f ca="1">INDEX(INDIRECT(""&amp;$B515&amp;"!Z2:Z709"),MATCH($A515,INDIRECT(""&amp;$B515&amp;"!B2:B709"),0))</f>
        <v>TE12</v>
      </c>
      <c r="F515" s="196">
        <f ca="1">IF(LeagueInfo!$H$7="Starter/Bench",INDEX(INDIRECT(""&amp;B515&amp;"!S2:S709"),MATCH(A515,INDIRECT(""&amp;B515&amp;"!B2:B709"),0)),INDEX(INDIRECT(""&amp;B515&amp;"!AA2:AA709"),MATCH(A515,INDIRECT(""&amp;B515&amp;"!B2:B709"),0)))</f>
        <v>-15.459457062103613</v>
      </c>
      <c r="G515" s="197">
        <f>IF(H515&gt;0,F515-H515,0)</f>
        <v>0</v>
      </c>
      <c r="H515" s="198"/>
      <c r="I515" s="197">
        <f ca="1">F515*$A$2</f>
        <v>-15.459457062103613</v>
      </c>
      <c r="J515" s="197" t="s">
        <v>80</v>
      </c>
      <c r="K515" s="197">
        <f>IF(LeagueInfo!$F$7="Yahoo",IFERROR(INDEX(DefaultAuctionValues!$B$2:$B$359,MATCH(A515,DefaultAuctionValues!$A$2:$A$359,0)),0),IF(LeagueInfo!$F$7="ESPN",IFERROR(INDEX(DefaultAuctionValues!$C$2:$C$359,MATCH(A515,DefaultAuctionValues!$A$2:$A$359,0)),0),IF(LeagueInfo!$F$7="FantasyPros",IFERROR(INDEX(DefaultAuctionValues!$D$2:$D$359,MATCH(A515,DefaultAuctionValues!$A$2:$A$359,0)),0))))</f>
        <v>0</v>
      </c>
      <c r="L515" s="197">
        <f ca="1">I515-K515</f>
        <v>-15.459457062103613</v>
      </c>
      <c r="M515" s="213"/>
      <c r="N515" s="208">
        <f ca="1">INDEX(INDIRECT(""&amp;$B515&amp;"!y2:y709"),MATCH($A515,INDIRECT(""&amp;$B515&amp;"!B2:B709"),0))</f>
        <v>-32.274999999999999</v>
      </c>
      <c r="O515" s="217" t="str">
        <f ca="1">IF(INDEX(INDIRECT(""&amp;$B515&amp;"!V2:V700"),MATCH($A515,INDIRECT(""&amp;$B515&amp;"!B2:B700"),0))=0,"",INDEX(INDIRECT(""&amp;$B515&amp;"!V2:V700"),MATCH($A515,INDIRECT(""&amp;$B515&amp;"!B2:B700"),0)))</f>
        <v/>
      </c>
    </row>
    <row r="516" spans="1:15" x14ac:dyDescent="0.25">
      <c r="A516" s="195" t="s">
        <v>924</v>
      </c>
      <c r="B516" s="195" t="s">
        <v>32</v>
      </c>
      <c r="C516" s="195">
        <f ca="1">IFERROR(INDEX(BYEs!$B$2:$B$33,MATCH(D516,BYEs!$A$2:$A$33,0)),"N/A")</f>
        <v>5</v>
      </c>
      <c r="D516" s="195" t="str">
        <f ca="1">INDEX(INDIRECT(""&amp;B516&amp;"!E2:E700"),MATCH(A516,INDIRECT(""&amp;B516&amp;"!B2:B700"),0))</f>
        <v>NO</v>
      </c>
      <c r="E516" s="194" t="str">
        <f ca="1">INDEX(INDIRECT(""&amp;$B516&amp;"!Z2:Z709"),MATCH($A516,INDIRECT(""&amp;$B516&amp;"!B2:B709"),0))</f>
        <v>RB12</v>
      </c>
      <c r="F516" s="196">
        <f ca="1">IF(LeagueInfo!$H$7="Starter/Bench",INDEX(INDIRECT(""&amp;B516&amp;"!S2:S709"),MATCH(A516,INDIRECT(""&amp;B516&amp;"!B2:B709"),0)),INDEX(INDIRECT(""&amp;B516&amp;"!AA2:AA709"),MATCH(A516,INDIRECT(""&amp;B516&amp;"!B2:B709"),0)))</f>
        <v>-15.504961273440561</v>
      </c>
      <c r="G516" s="197">
        <f>IF(H516&gt;0,F516-H516,0)</f>
        <v>0</v>
      </c>
      <c r="H516" s="198"/>
      <c r="I516" s="197">
        <f ca="1">F516*$A$2</f>
        <v>-15.504961273440561</v>
      </c>
      <c r="J516" s="197" t="s">
        <v>80</v>
      </c>
      <c r="K516" s="197">
        <f>IF(LeagueInfo!$F$7="Yahoo",IFERROR(INDEX(DefaultAuctionValues!$B$2:$B$359,MATCH(A516,DefaultAuctionValues!$A$2:$A$359,0)),0),IF(LeagueInfo!$F$7="ESPN",IFERROR(INDEX(DefaultAuctionValues!$C$2:$C$359,MATCH(A516,DefaultAuctionValues!$A$2:$A$359,0)),0),IF(LeagueInfo!$F$7="FantasyPros",IFERROR(INDEX(DefaultAuctionValues!$D$2:$D$359,MATCH(A516,DefaultAuctionValues!$A$2:$A$359,0)),0))))</f>
        <v>0</v>
      </c>
      <c r="L516" s="197">
        <f ca="1">I516-K516</f>
        <v>-15.504961273440561</v>
      </c>
      <c r="M516" s="213"/>
      <c r="N516" s="208">
        <f ca="1">INDEX(INDIRECT(""&amp;$B516&amp;"!y2:y709"),MATCH($A516,INDIRECT(""&amp;$B516&amp;"!B2:B709"),0))</f>
        <v>-32.370000000000005</v>
      </c>
      <c r="O516" s="217" t="str">
        <f ca="1">IF(INDEX(INDIRECT(""&amp;$B516&amp;"!V2:V700"),MATCH($A516,INDIRECT(""&amp;$B516&amp;"!B2:B700"),0))=0,"",INDEX(INDIRECT(""&amp;$B516&amp;"!V2:V700"),MATCH($A516,INDIRECT(""&amp;$B516&amp;"!B2:B700"),0)))</f>
        <v/>
      </c>
    </row>
    <row r="517" spans="1:15" x14ac:dyDescent="0.25">
      <c r="A517" s="195" t="s">
        <v>496</v>
      </c>
      <c r="B517" s="195" t="s">
        <v>32</v>
      </c>
      <c r="C517" s="195">
        <f ca="1">IFERROR(INDEX(BYEs!$B$2:$B$33,MATCH(D517,BYEs!$A$2:$A$33,0)),"N/A")</f>
        <v>9</v>
      </c>
      <c r="D517" s="195" t="str">
        <f ca="1">INDEX(INDIRECT(""&amp;B517&amp;"!E2:E700"),MATCH(A517,INDIRECT(""&amp;B517&amp;"!B2:B700"),0))</f>
        <v>PIT</v>
      </c>
      <c r="E517" s="194" t="str">
        <f ca="1">INDEX(INDIRECT(""&amp;$B517&amp;"!Z2:Z709"),MATCH($A517,INDIRECT(""&amp;$B517&amp;"!B2:B709"),0))</f>
        <v>RB12</v>
      </c>
      <c r="F517" s="196">
        <f ca="1">IF(LeagueInfo!$H$7="Starter/Bench",INDEX(INDIRECT(""&amp;B517&amp;"!S2:S709"),MATCH(A517,INDIRECT(""&amp;B517&amp;"!B2:B709"),0)),INDEX(INDIRECT(""&amp;B517&amp;"!AA2:AA709"),MATCH(A517,INDIRECT(""&amp;B517&amp;"!B2:B709"),0)))</f>
        <v>-15.507356231931979</v>
      </c>
      <c r="G517" s="197">
        <f>IF(H517&gt;0,F517-H517,0)</f>
        <v>0</v>
      </c>
      <c r="H517" s="198"/>
      <c r="I517" s="197">
        <f ca="1">F517*$A$2</f>
        <v>-15.507356231931979</v>
      </c>
      <c r="J517" s="197" t="s">
        <v>80</v>
      </c>
      <c r="K517" s="197">
        <f>IF(LeagueInfo!$F$7="Yahoo",IFERROR(INDEX(DefaultAuctionValues!$B$2:$B$359,MATCH(A517,DefaultAuctionValues!$A$2:$A$359,0)),0),IF(LeagueInfo!$F$7="ESPN",IFERROR(INDEX(DefaultAuctionValues!$C$2:$C$359,MATCH(A517,DefaultAuctionValues!$A$2:$A$359,0)),0),IF(LeagueInfo!$F$7="FantasyPros",IFERROR(INDEX(DefaultAuctionValues!$D$2:$D$359,MATCH(A517,DefaultAuctionValues!$A$2:$A$359,0)),0))))</f>
        <v>0</v>
      </c>
      <c r="L517" s="197">
        <f ca="1">I517-K517</f>
        <v>-15.507356231931979</v>
      </c>
      <c r="M517" s="213"/>
      <c r="N517" s="208">
        <f ca="1">INDEX(INDIRECT(""&amp;$B517&amp;"!y2:y709"),MATCH($A517,INDIRECT(""&amp;$B517&amp;"!B2:B709"),0))</f>
        <v>-32.375000000000007</v>
      </c>
      <c r="O517" s="217" t="str">
        <f ca="1">IF(INDEX(INDIRECT(""&amp;$B517&amp;"!V2:V700"),MATCH($A517,INDIRECT(""&amp;$B517&amp;"!B2:B700"),0))=0,"",INDEX(INDIRECT(""&amp;$B517&amp;"!V2:V700"),MATCH($A517,INDIRECT(""&amp;$B517&amp;"!B2:B700"),0)))</f>
        <v/>
      </c>
    </row>
    <row r="518" spans="1:15" x14ac:dyDescent="0.25">
      <c r="A518" s="195" t="s">
        <v>524</v>
      </c>
      <c r="B518" s="195" t="s">
        <v>32</v>
      </c>
      <c r="C518" s="195">
        <f ca="1">IFERROR(INDEX(BYEs!$B$2:$B$33,MATCH(D518,BYEs!$A$2:$A$33,0)),"N/A")</f>
        <v>6</v>
      </c>
      <c r="D518" s="195" t="str">
        <f ca="1">INDEX(INDIRECT(""&amp;B518&amp;"!E2:E700"),MATCH(A518,INDIRECT(""&amp;B518&amp;"!B2:B700"),0))</f>
        <v>DAL</v>
      </c>
      <c r="E518" s="194" t="str">
        <f ca="1">INDEX(INDIRECT(""&amp;$B518&amp;"!Z2:Z709"),MATCH($A518,INDIRECT(""&amp;$B518&amp;"!B2:B709"),0))</f>
        <v>RB12</v>
      </c>
      <c r="F518" s="196">
        <f ca="1">IF(LeagueInfo!$H$7="Starter/Bench",INDEX(INDIRECT(""&amp;B518&amp;"!S2:S709"),MATCH(A518,INDIRECT(""&amp;B518&amp;"!B2:B709"),0)),INDEX(INDIRECT(""&amp;B518&amp;"!AA2:AA709"),MATCH(A518,INDIRECT(""&amp;B518&amp;"!B2:B709"),0)))</f>
        <v>-15.569625152708847</v>
      </c>
      <c r="G518" s="197">
        <f>IF(H518&gt;0,F518-H518,0)</f>
        <v>0</v>
      </c>
      <c r="H518" s="198"/>
      <c r="I518" s="197">
        <f ca="1">F518*$A$2</f>
        <v>-15.569625152708847</v>
      </c>
      <c r="J518" s="197" t="s">
        <v>80</v>
      </c>
      <c r="K518" s="197">
        <f>IF(LeagueInfo!$F$7="Yahoo",IFERROR(INDEX(DefaultAuctionValues!$B$2:$B$359,MATCH(A518,DefaultAuctionValues!$A$2:$A$359,0)),0),IF(LeagueInfo!$F$7="ESPN",IFERROR(INDEX(DefaultAuctionValues!$C$2:$C$359,MATCH(A518,DefaultAuctionValues!$A$2:$A$359,0)),0),IF(LeagueInfo!$F$7="FantasyPros",IFERROR(INDEX(DefaultAuctionValues!$D$2:$D$359,MATCH(A518,DefaultAuctionValues!$A$2:$A$359,0)),0))))</f>
        <v>0</v>
      </c>
      <c r="L518" s="197">
        <f ca="1">I518-K518</f>
        <v>-15.569625152708847</v>
      </c>
      <c r="M518" s="213"/>
      <c r="N518" s="208">
        <f ca="1">INDEX(INDIRECT(""&amp;$B518&amp;"!y2:y709"),MATCH($A518,INDIRECT(""&amp;$B518&amp;"!B2:B709"),0))</f>
        <v>-32.505000000000003</v>
      </c>
      <c r="O518" s="217" t="str">
        <f ca="1">IF(INDEX(INDIRECT(""&amp;$B518&amp;"!V2:V700"),MATCH($A518,INDIRECT(""&amp;$B518&amp;"!B2:B700"),0))=0,"",INDEX(INDIRECT(""&amp;$B518&amp;"!V2:V700"),MATCH($A518,INDIRECT(""&amp;$B518&amp;"!B2:B700"),0)))</f>
        <v/>
      </c>
    </row>
    <row r="519" spans="1:15" x14ac:dyDescent="0.25">
      <c r="A519" s="195" t="s">
        <v>521</v>
      </c>
      <c r="B519" s="195" t="s">
        <v>32</v>
      </c>
      <c r="C519" s="195">
        <f ca="1">IFERROR(INDEX(BYEs!$B$2:$B$33,MATCH(D519,BYEs!$A$2:$A$33,0)),"N/A")</f>
        <v>9</v>
      </c>
      <c r="D519" s="195" t="str">
        <f ca="1">INDEX(INDIRECT(""&amp;B519&amp;"!E2:E700"),MATCH(A519,INDIRECT(""&amp;B519&amp;"!B2:B700"),0))</f>
        <v>NE</v>
      </c>
      <c r="E519" s="194" t="str">
        <f ca="1">INDEX(INDIRECT(""&amp;$B519&amp;"!Z2:Z709"),MATCH($A519,INDIRECT(""&amp;$B519&amp;"!B2:B709"),0))</f>
        <v>RB12</v>
      </c>
      <c r="F519" s="196">
        <f ca="1">IF(LeagueInfo!$H$7="Starter/Bench",INDEX(INDIRECT(""&amp;B519&amp;"!S2:S709"),MATCH(A519,INDIRECT(""&amp;B519&amp;"!B2:B709"),0)),INDEX(INDIRECT(""&amp;B519&amp;"!AA2:AA709"),MATCH(A519,INDIRECT(""&amp;B519&amp;"!B2:B709"),0)))</f>
        <v>-15.576810028183102</v>
      </c>
      <c r="G519" s="197">
        <f>IF(H519&gt;0,F519-H519,0)</f>
        <v>0</v>
      </c>
      <c r="H519" s="198"/>
      <c r="I519" s="197">
        <f ca="1">F519*$A$2</f>
        <v>-15.576810028183102</v>
      </c>
      <c r="J519" s="197" t="s">
        <v>80</v>
      </c>
      <c r="K519" s="197">
        <f>IF(LeagueInfo!$F$7="Yahoo",IFERROR(INDEX(DefaultAuctionValues!$B$2:$B$359,MATCH(A519,DefaultAuctionValues!$A$2:$A$359,0)),0),IF(LeagueInfo!$F$7="ESPN",IFERROR(INDEX(DefaultAuctionValues!$C$2:$C$359,MATCH(A519,DefaultAuctionValues!$A$2:$A$359,0)),0),IF(LeagueInfo!$F$7="FantasyPros",IFERROR(INDEX(DefaultAuctionValues!$D$2:$D$359,MATCH(A519,DefaultAuctionValues!$A$2:$A$359,0)),0))))</f>
        <v>0</v>
      </c>
      <c r="L519" s="197">
        <f ca="1">I519-K519</f>
        <v>-15.576810028183102</v>
      </c>
      <c r="M519" s="213"/>
      <c r="N519" s="208">
        <f ca="1">INDEX(INDIRECT(""&amp;$B519&amp;"!y2:y709"),MATCH($A519,INDIRECT(""&amp;$B519&amp;"!B2:B709"),0))</f>
        <v>-32.520000000000003</v>
      </c>
      <c r="O519" s="217" t="str">
        <f ca="1">IF(INDEX(INDIRECT(""&amp;$B519&amp;"!V2:V700"),MATCH($A519,INDIRECT(""&amp;$B519&amp;"!B2:B700"),0))=0,"",INDEX(INDIRECT(""&amp;$B519&amp;"!V2:V700"),MATCH($A519,INDIRECT(""&amp;$B519&amp;"!B2:B700"),0)))</f>
        <v/>
      </c>
    </row>
    <row r="520" spans="1:15" x14ac:dyDescent="0.25">
      <c r="A520" s="195" t="s">
        <v>618</v>
      </c>
      <c r="B520" s="195" t="s">
        <v>39</v>
      </c>
      <c r="C520" s="195">
        <f ca="1">IFERROR(INDEX(BYEs!$B$2:$B$33,MATCH(D520,BYEs!$A$2:$A$33,0)),"N/A")</f>
        <v>9</v>
      </c>
      <c r="D520" s="195" t="str">
        <f ca="1">INDEX(INDIRECT(""&amp;B520&amp;"!E2:E700"),MATCH(A520,INDIRECT(""&amp;B520&amp;"!B2:B700"),0))</f>
        <v>PIT</v>
      </c>
      <c r="E520" s="194" t="str">
        <f ca="1">INDEX(INDIRECT(""&amp;$B520&amp;"!Z2:Z709"),MATCH($A520,INDIRECT(""&amp;$B520&amp;"!B2:B709"),0))</f>
        <v>WR10</v>
      </c>
      <c r="F520" s="196">
        <f ca="1">IF(LeagueInfo!$H$7="Starter/Bench",INDEX(INDIRECT(""&amp;B520&amp;"!S2:S709"),MATCH(A520,INDIRECT(""&amp;B520&amp;"!B2:B709"),0)),INDEX(INDIRECT(""&amp;B520&amp;"!AA2:AA709"),MATCH(A520,INDIRECT(""&amp;B520&amp;"!B2:B709"),0)))</f>
        <v>-15.607944488571535</v>
      </c>
      <c r="G520" s="197">
        <f>IF(H520&gt;0,F520-H520,0)</f>
        <v>0</v>
      </c>
      <c r="H520" s="198"/>
      <c r="I520" s="197">
        <f ca="1">F520*$A$2</f>
        <v>-15.607944488571535</v>
      </c>
      <c r="J520" s="197" t="s">
        <v>80</v>
      </c>
      <c r="K520" s="197">
        <f>IF(LeagueInfo!$F$7="Yahoo",IFERROR(INDEX(DefaultAuctionValues!$B$2:$B$359,MATCH(A520,DefaultAuctionValues!$A$2:$A$359,0)),0),IF(LeagueInfo!$F$7="ESPN",IFERROR(INDEX(DefaultAuctionValues!$C$2:$C$359,MATCH(A520,DefaultAuctionValues!$A$2:$A$359,0)),0),IF(LeagueInfo!$F$7="FantasyPros",IFERROR(INDEX(DefaultAuctionValues!$D$2:$D$359,MATCH(A520,DefaultAuctionValues!$A$2:$A$359,0)),0))))</f>
        <v>0</v>
      </c>
      <c r="L520" s="197">
        <f ca="1">I520-K520</f>
        <v>-15.607944488571535</v>
      </c>
      <c r="M520" s="213"/>
      <c r="N520" s="208">
        <f ca="1">INDEX(INDIRECT(""&amp;$B520&amp;"!y2:y709"),MATCH($A520,INDIRECT(""&amp;$B520&amp;"!B2:B709"),0))</f>
        <v>-32.585000000000001</v>
      </c>
      <c r="O520" s="217" t="str">
        <f ca="1">IF(INDEX(INDIRECT(""&amp;$B520&amp;"!V2:V700"),MATCH($A520,INDIRECT(""&amp;$B520&amp;"!B2:B700"),0))=0,"",INDEX(INDIRECT(""&amp;$B520&amp;"!V2:V700"),MATCH($A520,INDIRECT(""&amp;$B520&amp;"!B2:B700"),0)))</f>
        <v/>
      </c>
    </row>
    <row r="521" spans="1:15" x14ac:dyDescent="0.25">
      <c r="A521" s="195" t="s">
        <v>528</v>
      </c>
      <c r="B521" s="195" t="s">
        <v>32</v>
      </c>
      <c r="C521" s="195">
        <f ca="1">IFERROR(INDEX(BYEs!$B$2:$B$33,MATCH(D521,BYEs!$A$2:$A$33,0)),"N/A")</f>
        <v>6</v>
      </c>
      <c r="D521" s="195" t="str">
        <f ca="1">INDEX(INDIRECT(""&amp;B521&amp;"!E2:E700"),MATCH(A521,INDIRECT(""&amp;B521&amp;"!B2:B700"),0))</f>
        <v>DAL</v>
      </c>
      <c r="E521" s="194" t="str">
        <f ca="1">INDEX(INDIRECT(""&amp;$B521&amp;"!Z2:Z709"),MATCH($A521,INDIRECT(""&amp;$B521&amp;"!B2:B709"),0))</f>
        <v>RB12</v>
      </c>
      <c r="F521" s="196">
        <f ca="1">IF(LeagueInfo!$H$7="Starter/Bench",INDEX(INDIRECT(""&amp;B521&amp;"!S2:S709"),MATCH(A521,INDIRECT(""&amp;B521&amp;"!B2:B709"),0)),INDEX(INDIRECT(""&amp;B521&amp;"!AA2:AA709"),MATCH(A521,INDIRECT(""&amp;B521&amp;"!B2:B709"),0)))</f>
        <v>-15.612734405554374</v>
      </c>
      <c r="G521" s="197">
        <f>IF(H521&gt;0,F521-H521,0)</f>
        <v>0</v>
      </c>
      <c r="H521" s="198"/>
      <c r="I521" s="197">
        <f ca="1">F521*$A$2</f>
        <v>-15.612734405554374</v>
      </c>
      <c r="J521" s="197" t="s">
        <v>80</v>
      </c>
      <c r="K521" s="197">
        <f>IF(LeagueInfo!$F$7="Yahoo",IFERROR(INDEX(DefaultAuctionValues!$B$2:$B$359,MATCH(A521,DefaultAuctionValues!$A$2:$A$359,0)),0),IF(LeagueInfo!$F$7="ESPN",IFERROR(INDEX(DefaultAuctionValues!$C$2:$C$359,MATCH(A521,DefaultAuctionValues!$A$2:$A$359,0)),0),IF(LeagueInfo!$F$7="FantasyPros",IFERROR(INDEX(DefaultAuctionValues!$D$2:$D$359,MATCH(A521,DefaultAuctionValues!$A$2:$A$359,0)),0))))</f>
        <v>0</v>
      </c>
      <c r="L521" s="197">
        <f ca="1">I521-K521</f>
        <v>-15.612734405554374</v>
      </c>
      <c r="M521" s="213"/>
      <c r="N521" s="208">
        <f ca="1">INDEX(INDIRECT(""&amp;$B521&amp;"!y2:y709"),MATCH($A521,INDIRECT(""&amp;$B521&amp;"!B2:B709"),0))</f>
        <v>-32.595000000000006</v>
      </c>
      <c r="O521" s="217" t="str">
        <f ca="1">IF(INDEX(INDIRECT(""&amp;$B521&amp;"!V2:V700"),MATCH($A521,INDIRECT(""&amp;$B521&amp;"!B2:B700"),0))=0,"",INDEX(INDIRECT(""&amp;$B521&amp;"!V2:V700"),MATCH($A521,INDIRECT(""&amp;$B521&amp;"!B2:B700"),0)))</f>
        <v/>
      </c>
    </row>
    <row r="522" spans="1:15" x14ac:dyDescent="0.25">
      <c r="A522" s="195" t="s">
        <v>520</v>
      </c>
      <c r="B522" s="195" t="s">
        <v>32</v>
      </c>
      <c r="C522" s="195">
        <f ca="1">IFERROR(INDEX(BYEs!$B$2:$B$33,MATCH(D522,BYEs!$A$2:$A$33,0)),"N/A")</f>
        <v>5</v>
      </c>
      <c r="D522" s="195" t="str">
        <f ca="1">INDEX(INDIRECT(""&amp;B522&amp;"!E2:E700"),MATCH(A522,INDIRECT(""&amp;B522&amp;"!B2:B700"),0))</f>
        <v>DEN</v>
      </c>
      <c r="E522" s="194" t="str">
        <f ca="1">INDEX(INDIRECT(""&amp;$B522&amp;"!Z2:Z709"),MATCH($A522,INDIRECT(""&amp;$B522&amp;"!B2:B709"),0))</f>
        <v>RB12</v>
      </c>
      <c r="F522" s="196">
        <f ca="1">IF(LeagueInfo!$H$7="Starter/Bench",INDEX(INDIRECT(""&amp;B522&amp;"!S2:S709"),MATCH(A522,INDIRECT(""&amp;B522&amp;"!B2:B709"),0)),INDEX(INDIRECT(""&amp;B522&amp;"!AA2:AA709"),MATCH(A522,INDIRECT(""&amp;B522&amp;"!B2:B709"),0)))</f>
        <v>-15.619919281028627</v>
      </c>
      <c r="G522" s="197">
        <f>IF(H522&gt;0,F522-H522,0)</f>
        <v>0</v>
      </c>
      <c r="H522" s="198"/>
      <c r="I522" s="197">
        <f ca="1">F522*$A$2</f>
        <v>-15.619919281028627</v>
      </c>
      <c r="J522" s="197" t="s">
        <v>80</v>
      </c>
      <c r="K522" s="197">
        <f>IF(LeagueInfo!$F$7="Yahoo",IFERROR(INDEX(DefaultAuctionValues!$B$2:$B$359,MATCH(A522,DefaultAuctionValues!$A$2:$A$359,0)),0),IF(LeagueInfo!$F$7="ESPN",IFERROR(INDEX(DefaultAuctionValues!$C$2:$C$359,MATCH(A522,DefaultAuctionValues!$A$2:$A$359,0)),0),IF(LeagueInfo!$F$7="FantasyPros",IFERROR(INDEX(DefaultAuctionValues!$D$2:$D$359,MATCH(A522,DefaultAuctionValues!$A$2:$A$359,0)),0))))</f>
        <v>0</v>
      </c>
      <c r="L522" s="197">
        <f ca="1">I522-K522</f>
        <v>-15.619919281028627</v>
      </c>
      <c r="M522" s="213"/>
      <c r="N522" s="208">
        <f ca="1">INDEX(INDIRECT(""&amp;$B522&amp;"!y2:y709"),MATCH($A522,INDIRECT(""&amp;$B522&amp;"!B2:B709"),0))</f>
        <v>-32.610000000000007</v>
      </c>
      <c r="O522" s="217" t="str">
        <f ca="1">IF(INDEX(INDIRECT(""&amp;$B522&amp;"!V2:V700"),MATCH($A522,INDIRECT(""&amp;$B522&amp;"!B2:B700"),0))=0,"",INDEX(INDIRECT(""&amp;$B522&amp;"!V2:V700"),MATCH($A522,INDIRECT(""&amp;$B522&amp;"!B2:B700"),0)))</f>
        <v/>
      </c>
    </row>
    <row r="523" spans="1:15" x14ac:dyDescent="0.25">
      <c r="A523" s="195" t="s">
        <v>523</v>
      </c>
      <c r="B523" s="195" t="s">
        <v>32</v>
      </c>
      <c r="C523" s="195">
        <f ca="1">IFERROR(INDEX(BYEs!$B$2:$B$33,MATCH(D523,BYEs!$A$2:$A$33,0)),"N/A")</f>
        <v>11</v>
      </c>
      <c r="D523" s="195" t="str">
        <f ca="1">INDEX(INDIRECT(""&amp;B523&amp;"!E2:E700"),MATCH(A523,INDIRECT(""&amp;B523&amp;"!B2:B700"),0))</f>
        <v>IND</v>
      </c>
      <c r="E523" s="194" t="str">
        <f ca="1">INDEX(INDIRECT(""&amp;$B523&amp;"!Z2:Z709"),MATCH($A523,INDIRECT(""&amp;$B523&amp;"!B2:B709"),0))</f>
        <v>RB12</v>
      </c>
      <c r="F523" s="196">
        <f ca="1">IF(LeagueInfo!$H$7="Starter/Bench",INDEX(INDIRECT(""&amp;B523&amp;"!S2:S709"),MATCH(A523,INDIRECT(""&amp;B523&amp;"!B2:B709"),0)),INDEX(INDIRECT(""&amp;B523&amp;"!AA2:AA709"),MATCH(A523,INDIRECT(""&amp;B523&amp;"!B2:B709"),0)))</f>
        <v>-15.624709198011463</v>
      </c>
      <c r="G523" s="197">
        <f>IF(H523&gt;0,F523-H523,0)</f>
        <v>0</v>
      </c>
      <c r="H523" s="198"/>
      <c r="I523" s="197">
        <f ca="1">F523*$A$2</f>
        <v>-15.624709198011463</v>
      </c>
      <c r="J523" s="197" t="s">
        <v>80</v>
      </c>
      <c r="K523" s="197">
        <f>IF(LeagueInfo!$F$7="Yahoo",IFERROR(INDEX(DefaultAuctionValues!$B$2:$B$359,MATCH(A523,DefaultAuctionValues!$A$2:$A$359,0)),0),IF(LeagueInfo!$F$7="ESPN",IFERROR(INDEX(DefaultAuctionValues!$C$2:$C$359,MATCH(A523,DefaultAuctionValues!$A$2:$A$359,0)),0),IF(LeagueInfo!$F$7="FantasyPros",IFERROR(INDEX(DefaultAuctionValues!$D$2:$D$359,MATCH(A523,DefaultAuctionValues!$A$2:$A$359,0)),0))))</f>
        <v>0</v>
      </c>
      <c r="L523" s="197">
        <f ca="1">I523-K523</f>
        <v>-15.624709198011463</v>
      </c>
      <c r="M523" s="213"/>
      <c r="N523" s="208">
        <f ca="1">INDEX(INDIRECT(""&amp;$B523&amp;"!y2:y709"),MATCH($A523,INDIRECT(""&amp;$B523&amp;"!B2:B709"),0))</f>
        <v>-32.620000000000005</v>
      </c>
      <c r="O523" s="217" t="str">
        <f ca="1">IF(INDEX(INDIRECT(""&amp;$B523&amp;"!V2:V700"),MATCH($A523,INDIRECT(""&amp;$B523&amp;"!B2:B700"),0))=0,"",INDEX(INDIRECT(""&amp;$B523&amp;"!V2:V700"),MATCH($A523,INDIRECT(""&amp;$B523&amp;"!B2:B700"),0)))</f>
        <v/>
      </c>
    </row>
    <row r="524" spans="1:15" x14ac:dyDescent="0.25">
      <c r="A524" s="195" t="s">
        <v>522</v>
      </c>
      <c r="B524" s="195" t="s">
        <v>32</v>
      </c>
      <c r="C524" s="195">
        <f ca="1">IFERROR(INDEX(BYEs!$B$2:$B$33,MATCH(D524,BYEs!$A$2:$A$33,0)),"N/A")</f>
        <v>5</v>
      </c>
      <c r="D524" s="195" t="str">
        <f ca="1">INDEX(INDIRECT(""&amp;B524&amp;"!E2:E700"),MATCH(A524,INDIRECT(""&amp;B524&amp;"!B2:B700"),0))</f>
        <v>NO</v>
      </c>
      <c r="E524" s="194" t="str">
        <f ca="1">INDEX(INDIRECT(""&amp;$B524&amp;"!Z2:Z709"),MATCH($A524,INDIRECT(""&amp;$B524&amp;"!B2:B709"),0))</f>
        <v>RB12</v>
      </c>
      <c r="F524" s="196">
        <f ca="1">IF(LeagueInfo!$H$7="Starter/Bench",INDEX(INDIRECT(""&amp;B524&amp;"!S2:S709"),MATCH(A524,INDIRECT(""&amp;B524&amp;"!B2:B709"),0)),INDEX(INDIRECT(""&amp;B524&amp;"!AA2:AA709"),MATCH(A524,INDIRECT(""&amp;B524&amp;"!B2:B709"),0)))</f>
        <v>-15.641473907451388</v>
      </c>
      <c r="G524" s="197">
        <f>IF(H524&gt;0,F524-H524,0)</f>
        <v>0</v>
      </c>
      <c r="H524" s="198"/>
      <c r="I524" s="197">
        <f ca="1">F524*$A$2</f>
        <v>-15.641473907451388</v>
      </c>
      <c r="J524" s="197" t="s">
        <v>80</v>
      </c>
      <c r="K524" s="197">
        <f>IF(LeagueInfo!$F$7="Yahoo",IFERROR(INDEX(DefaultAuctionValues!$B$2:$B$359,MATCH(A524,DefaultAuctionValues!$A$2:$A$359,0)),0),IF(LeagueInfo!$F$7="ESPN",IFERROR(INDEX(DefaultAuctionValues!$C$2:$C$359,MATCH(A524,DefaultAuctionValues!$A$2:$A$359,0)),0),IF(LeagueInfo!$F$7="FantasyPros",IFERROR(INDEX(DefaultAuctionValues!$D$2:$D$359,MATCH(A524,DefaultAuctionValues!$A$2:$A$359,0)),0))))</f>
        <v>0</v>
      </c>
      <c r="L524" s="197">
        <f ca="1">I524-K524</f>
        <v>-15.641473907451388</v>
      </c>
      <c r="M524" s="213"/>
      <c r="N524" s="208">
        <f ca="1">INDEX(INDIRECT(""&amp;$B524&amp;"!y2:y709"),MATCH($A524,INDIRECT(""&amp;$B524&amp;"!B2:B709"),0))</f>
        <v>-32.655000000000001</v>
      </c>
      <c r="O524" s="217" t="str">
        <f ca="1">IF(INDEX(INDIRECT(""&amp;$B524&amp;"!V2:V700"),MATCH($A524,INDIRECT(""&amp;$B524&amp;"!B2:B700"),0))=0,"",INDEX(INDIRECT(""&amp;$B524&amp;"!V2:V700"),MATCH($A524,INDIRECT(""&amp;$B524&amp;"!B2:B700"),0)))</f>
        <v/>
      </c>
    </row>
    <row r="525" spans="1:15" x14ac:dyDescent="0.25">
      <c r="A525" s="195" t="s">
        <v>525</v>
      </c>
      <c r="B525" s="195" t="s">
        <v>32</v>
      </c>
      <c r="C525" s="195">
        <f ca="1">IFERROR(INDEX(BYEs!$B$2:$B$33,MATCH(D525,BYEs!$A$2:$A$33,0)),"N/A")</f>
        <v>9</v>
      </c>
      <c r="D525" s="195" t="str">
        <f ca="1">INDEX(INDIRECT(""&amp;B525&amp;"!E2:E700"),MATCH(A525,INDIRECT(""&amp;B525&amp;"!B2:B700"),0))</f>
        <v>NE</v>
      </c>
      <c r="E525" s="194" t="str">
        <f ca="1">INDEX(INDIRECT(""&amp;$B525&amp;"!Z2:Z709"),MATCH($A525,INDIRECT(""&amp;$B525&amp;"!B2:B709"),0))</f>
        <v>RB12</v>
      </c>
      <c r="F525" s="196">
        <f ca="1">IF(LeagueInfo!$H$7="Starter/Bench",INDEX(INDIRECT(""&amp;B525&amp;"!S2:S709"),MATCH(A525,INDIRECT(""&amp;B525&amp;"!B2:B709"),0)),INDEX(INDIRECT(""&amp;B525&amp;"!AA2:AA709"),MATCH(A525,INDIRECT(""&amp;B525&amp;"!B2:B709"),0)))</f>
        <v>-15.655843658399897</v>
      </c>
      <c r="G525" s="197">
        <f>IF(H525&gt;0,F525-H525,0)</f>
        <v>0</v>
      </c>
      <c r="H525" s="198"/>
      <c r="I525" s="197">
        <f ca="1">F525*$A$2</f>
        <v>-15.655843658399897</v>
      </c>
      <c r="J525" s="197" t="s">
        <v>80</v>
      </c>
      <c r="K525" s="197">
        <f>IF(LeagueInfo!$F$7="Yahoo",IFERROR(INDEX(DefaultAuctionValues!$B$2:$B$359,MATCH(A525,DefaultAuctionValues!$A$2:$A$359,0)),0),IF(LeagueInfo!$F$7="ESPN",IFERROR(INDEX(DefaultAuctionValues!$C$2:$C$359,MATCH(A525,DefaultAuctionValues!$A$2:$A$359,0)),0),IF(LeagueInfo!$F$7="FantasyPros",IFERROR(INDEX(DefaultAuctionValues!$D$2:$D$359,MATCH(A525,DefaultAuctionValues!$A$2:$A$359,0)),0))))</f>
        <v>0</v>
      </c>
      <c r="L525" s="197">
        <f ca="1">I525-K525</f>
        <v>-15.655843658399897</v>
      </c>
      <c r="M525" s="213"/>
      <c r="N525" s="208">
        <f ca="1">INDEX(INDIRECT(""&amp;$B525&amp;"!y2:y709"),MATCH($A525,INDIRECT(""&amp;$B525&amp;"!B2:B709"),0))</f>
        <v>-32.685000000000002</v>
      </c>
      <c r="O525" s="217" t="str">
        <f ca="1">IF(INDEX(INDIRECT(""&amp;$B525&amp;"!V2:V700"),MATCH($A525,INDIRECT(""&amp;$B525&amp;"!B2:B700"),0))=0,"",INDEX(INDIRECT(""&amp;$B525&amp;"!V2:V700"),MATCH($A525,INDIRECT(""&amp;$B525&amp;"!B2:B700"),0)))</f>
        <v/>
      </c>
    </row>
    <row r="526" spans="1:15" x14ac:dyDescent="0.25">
      <c r="A526" s="195" t="s">
        <v>325</v>
      </c>
      <c r="B526" s="195" t="s">
        <v>32</v>
      </c>
      <c r="C526" s="195">
        <f ca="1">IFERROR(INDEX(BYEs!$B$2:$B$33,MATCH(D526,BYEs!$A$2:$A$33,0)),"N/A")</f>
        <v>7</v>
      </c>
      <c r="D526" s="195" t="str">
        <f ca="1">INDEX(INDIRECT(""&amp;B526&amp;"!E2:E700"),MATCH(A526,INDIRECT(""&amp;B526&amp;"!B2:B700"),0))</f>
        <v>HOU</v>
      </c>
      <c r="E526" s="194" t="str">
        <f ca="1">INDEX(INDIRECT(""&amp;$B526&amp;"!Z2:Z709"),MATCH($A526,INDIRECT(""&amp;$B526&amp;"!B2:B709"),0))</f>
        <v>RB12</v>
      </c>
      <c r="F526" s="196">
        <f ca="1">IF(LeagueInfo!$H$7="Starter/Bench",INDEX(INDIRECT(""&amp;B526&amp;"!S2:S709"),MATCH(A526,INDIRECT(""&amp;B526&amp;"!B2:B709"),0)),INDEX(INDIRECT(""&amp;B526&amp;"!AA2:AA709"),MATCH(A526,INDIRECT(""&amp;B526&amp;"!B2:B709"),0)))</f>
        <v>-15.682188201805495</v>
      </c>
      <c r="G526" s="197">
        <f>IF(H526&gt;0,F526-H526,0)</f>
        <v>0</v>
      </c>
      <c r="H526" s="198"/>
      <c r="I526" s="197">
        <f ca="1">F526*$A$2</f>
        <v>-15.682188201805495</v>
      </c>
      <c r="J526" s="197" t="s">
        <v>80</v>
      </c>
      <c r="K526" s="197">
        <f>IF(LeagueInfo!$F$7="Yahoo",IFERROR(INDEX(DefaultAuctionValues!$B$2:$B$359,MATCH(A526,DefaultAuctionValues!$A$2:$A$359,0)),0),IF(LeagueInfo!$F$7="ESPN",IFERROR(INDEX(DefaultAuctionValues!$C$2:$C$359,MATCH(A526,DefaultAuctionValues!$A$2:$A$359,0)),0),IF(LeagueInfo!$F$7="FantasyPros",IFERROR(INDEX(DefaultAuctionValues!$D$2:$D$359,MATCH(A526,DefaultAuctionValues!$A$2:$A$359,0)),0))))</f>
        <v>0</v>
      </c>
      <c r="L526" s="197">
        <f ca="1">I526-K526</f>
        <v>-15.682188201805495</v>
      </c>
      <c r="M526" s="213"/>
      <c r="N526" s="208">
        <f ca="1">INDEX(INDIRECT(""&amp;$B526&amp;"!y2:y709"),MATCH($A526,INDIRECT(""&amp;$B526&amp;"!B2:B709"),0))</f>
        <v>-32.74</v>
      </c>
      <c r="O526" s="217" t="str">
        <f ca="1">IF(INDEX(INDIRECT(""&amp;$B526&amp;"!V2:V700"),MATCH($A526,INDIRECT(""&amp;$B526&amp;"!B2:B700"),0))=0,"",INDEX(INDIRECT(""&amp;$B526&amp;"!V2:V700"),MATCH($A526,INDIRECT(""&amp;$B526&amp;"!B2:B700"),0)))</f>
        <v/>
      </c>
    </row>
    <row r="527" spans="1:15" x14ac:dyDescent="0.25">
      <c r="A527" s="195" t="s">
        <v>546</v>
      </c>
      <c r="B527" s="195" t="s">
        <v>32</v>
      </c>
      <c r="C527" s="195">
        <f ca="1">IFERROR(INDEX(BYEs!$B$2:$B$33,MATCH(D527,BYEs!$A$2:$A$33,0)),"N/A")</f>
        <v>8</v>
      </c>
      <c r="D527" s="195" t="str">
        <f ca="1">INDEX(INDIRECT(""&amp;B527&amp;"!E2:E700"),MATCH(A527,INDIRECT(""&amp;B527&amp;"!B2:B700"),0))</f>
        <v>GB</v>
      </c>
      <c r="E527" s="194" t="str">
        <f ca="1">INDEX(INDIRECT(""&amp;$B527&amp;"!Z2:Z709"),MATCH($A527,INDIRECT(""&amp;$B527&amp;"!B2:B709"),0))</f>
        <v>RB12</v>
      </c>
      <c r="F527" s="196">
        <f ca="1">IF(LeagueInfo!$H$7="Starter/Bench",INDEX(INDIRECT(""&amp;B527&amp;"!S2:S709"),MATCH(A527,INDIRECT(""&amp;B527&amp;"!B2:B709"),0)),INDEX(INDIRECT(""&amp;B527&amp;"!AA2:AA709"),MATCH(A527,INDIRECT(""&amp;B527&amp;"!B2:B709"),0)))</f>
        <v>-15.68937307727975</v>
      </c>
      <c r="G527" s="197">
        <f>IF(H527&gt;0,F527-H527,0)</f>
        <v>0</v>
      </c>
      <c r="H527" s="198"/>
      <c r="I527" s="197">
        <f ca="1">F527*$A$2</f>
        <v>-15.68937307727975</v>
      </c>
      <c r="J527" s="197" t="s">
        <v>80</v>
      </c>
      <c r="K527" s="197">
        <f>IF(LeagueInfo!$F$7="Yahoo",IFERROR(INDEX(DefaultAuctionValues!$B$2:$B$359,MATCH(A527,DefaultAuctionValues!$A$2:$A$359,0)),0),IF(LeagueInfo!$F$7="ESPN",IFERROR(INDEX(DefaultAuctionValues!$C$2:$C$359,MATCH(A527,DefaultAuctionValues!$A$2:$A$359,0)),0),IF(LeagueInfo!$F$7="FantasyPros",IFERROR(INDEX(DefaultAuctionValues!$D$2:$D$359,MATCH(A527,DefaultAuctionValues!$A$2:$A$359,0)),0))))</f>
        <v>0</v>
      </c>
      <c r="L527" s="197">
        <f ca="1">I527-K527</f>
        <v>-15.68937307727975</v>
      </c>
      <c r="M527" s="213"/>
      <c r="N527" s="208">
        <f ca="1">INDEX(INDIRECT(""&amp;$B527&amp;"!y2:y709"),MATCH($A527,INDIRECT(""&amp;$B527&amp;"!B2:B709"),0))</f>
        <v>-32.755000000000003</v>
      </c>
      <c r="O527" s="217" t="str">
        <f ca="1">IF(INDEX(INDIRECT(""&amp;$B527&amp;"!V2:V700"),MATCH($A527,INDIRECT(""&amp;$B527&amp;"!B2:B700"),0))=0,"",INDEX(INDIRECT(""&amp;$B527&amp;"!V2:V700"),MATCH($A527,INDIRECT(""&amp;$B527&amp;"!B2:B700"),0)))</f>
        <v/>
      </c>
    </row>
    <row r="528" spans="1:15" x14ac:dyDescent="0.25">
      <c r="A528" s="195" t="s">
        <v>527</v>
      </c>
      <c r="B528" s="195" t="s">
        <v>32</v>
      </c>
      <c r="C528" s="195">
        <f ca="1">IFERROR(INDEX(BYEs!$B$2:$B$33,MATCH(D528,BYEs!$A$2:$A$33,0)),"N/A")</f>
        <v>9</v>
      </c>
      <c r="D528" s="195" t="str">
        <f ca="1">INDEX(INDIRECT(""&amp;B528&amp;"!E2:E700"),MATCH(A528,INDIRECT(""&amp;B528&amp;"!B2:B700"),0))</f>
        <v>CLE</v>
      </c>
      <c r="E528" s="194" t="str">
        <f ca="1">INDEX(INDIRECT(""&amp;$B528&amp;"!Z2:Z709"),MATCH($A528,INDIRECT(""&amp;$B528&amp;"!B2:B709"),0))</f>
        <v>RB12</v>
      </c>
      <c r="F528" s="196">
        <f ca="1">IF(LeagueInfo!$H$7="Starter/Bench",INDEX(INDIRECT(""&amp;B528&amp;"!S2:S709"),MATCH(A528,INDIRECT(""&amp;B528&amp;"!B2:B709"),0)),INDEX(INDIRECT(""&amp;B528&amp;"!AA2:AA709"),MATCH(A528,INDIRECT(""&amp;B528&amp;"!B2:B709"),0)))</f>
        <v>-15.785171416936475</v>
      </c>
      <c r="G528" s="197">
        <f>IF(H528&gt;0,F528-H528,0)</f>
        <v>0</v>
      </c>
      <c r="H528" s="198"/>
      <c r="I528" s="197">
        <f ca="1">F528*$A$2</f>
        <v>-15.785171416936475</v>
      </c>
      <c r="J528" s="197" t="s">
        <v>80</v>
      </c>
      <c r="K528" s="197">
        <f>IF(LeagueInfo!$F$7="Yahoo",IFERROR(INDEX(DefaultAuctionValues!$B$2:$B$359,MATCH(A528,DefaultAuctionValues!$A$2:$A$359,0)),0),IF(LeagueInfo!$F$7="ESPN",IFERROR(INDEX(DefaultAuctionValues!$C$2:$C$359,MATCH(A528,DefaultAuctionValues!$A$2:$A$359,0)),0),IF(LeagueInfo!$F$7="FantasyPros",IFERROR(INDEX(DefaultAuctionValues!$D$2:$D$359,MATCH(A528,DefaultAuctionValues!$A$2:$A$359,0)),0))))</f>
        <v>0</v>
      </c>
      <c r="L528" s="197">
        <f ca="1">I528-K528</f>
        <v>-15.785171416936475</v>
      </c>
      <c r="M528" s="213"/>
      <c r="N528" s="208">
        <f ca="1">INDEX(INDIRECT(""&amp;$B528&amp;"!y2:y709"),MATCH($A528,INDIRECT(""&amp;$B528&amp;"!B2:B709"),0))</f>
        <v>-32.955000000000005</v>
      </c>
      <c r="O528" s="217" t="str">
        <f ca="1">IF(INDEX(INDIRECT(""&amp;$B528&amp;"!V2:V700"),MATCH($A528,INDIRECT(""&amp;$B528&amp;"!B2:B700"),0))=0,"",INDEX(INDIRECT(""&amp;$B528&amp;"!V2:V700"),MATCH($A528,INDIRECT(""&amp;$B528&amp;"!B2:B700"),0)))</f>
        <v/>
      </c>
    </row>
    <row r="529" spans="1:15" x14ac:dyDescent="0.25">
      <c r="A529" s="195" t="s">
        <v>538</v>
      </c>
      <c r="B529" s="195" t="s">
        <v>32</v>
      </c>
      <c r="C529" s="195">
        <f ca="1">IFERROR(INDEX(BYEs!$B$2:$B$33,MATCH(D529,BYEs!$A$2:$A$33,0)),"N/A")</f>
        <v>6</v>
      </c>
      <c r="D529" s="195" t="str">
        <f ca="1">INDEX(INDIRECT(""&amp;B529&amp;"!E2:E700"),MATCH(A529,INDIRECT(""&amp;B529&amp;"!B2:B700"),0))</f>
        <v>CIN</v>
      </c>
      <c r="E529" s="194" t="str">
        <f ca="1">INDEX(INDIRECT(""&amp;$B529&amp;"!Z2:Z709"),MATCH($A529,INDIRECT(""&amp;$B529&amp;"!B2:B709"),0))</f>
        <v>RB12</v>
      </c>
      <c r="F529" s="196">
        <f ca="1">IF(LeagueInfo!$H$7="Starter/Bench",INDEX(INDIRECT(""&amp;B529&amp;"!S2:S709"),MATCH(A529,INDIRECT(""&amp;B529&amp;"!B2:B709"),0)),INDEX(INDIRECT(""&amp;B529&amp;"!AA2:AA709"),MATCH(A529,INDIRECT(""&amp;B529&amp;"!B2:B709"),0)))</f>
        <v>-15.873784881118944</v>
      </c>
      <c r="G529" s="197">
        <f>IF(H529&gt;0,F529-H529,0)</f>
        <v>0</v>
      </c>
      <c r="H529" s="198"/>
      <c r="I529" s="197">
        <f ca="1">F529*$A$2</f>
        <v>-15.873784881118944</v>
      </c>
      <c r="J529" s="197" t="s">
        <v>80</v>
      </c>
      <c r="K529" s="197">
        <f>IF(LeagueInfo!$F$7="Yahoo",IFERROR(INDEX(DefaultAuctionValues!$B$2:$B$359,MATCH(A529,DefaultAuctionValues!$A$2:$A$359,0)),0),IF(LeagueInfo!$F$7="ESPN",IFERROR(INDEX(DefaultAuctionValues!$C$2:$C$359,MATCH(A529,DefaultAuctionValues!$A$2:$A$359,0)),0),IF(LeagueInfo!$F$7="FantasyPros",IFERROR(INDEX(DefaultAuctionValues!$D$2:$D$359,MATCH(A529,DefaultAuctionValues!$A$2:$A$359,0)),0))))</f>
        <v>0</v>
      </c>
      <c r="L529" s="197">
        <f ca="1">I529-K529</f>
        <v>-15.873784881118944</v>
      </c>
      <c r="M529" s="213"/>
      <c r="N529" s="208">
        <f ca="1">INDEX(INDIRECT(""&amp;$B529&amp;"!y2:y709"),MATCH($A529,INDIRECT(""&amp;$B529&amp;"!B2:B709"),0))</f>
        <v>-33.140000000000008</v>
      </c>
      <c r="O529" s="217" t="str">
        <f ca="1">IF(INDEX(INDIRECT(""&amp;$B529&amp;"!V2:V700"),MATCH($A529,INDIRECT(""&amp;$B529&amp;"!B2:B700"),0))=0,"",INDEX(INDIRECT(""&amp;$B529&amp;"!V2:V700"),MATCH($A529,INDIRECT(""&amp;$B529&amp;"!B2:B700"),0)))</f>
        <v/>
      </c>
    </row>
    <row r="530" spans="1:15" x14ac:dyDescent="0.25">
      <c r="A530" s="195" t="s">
        <v>532</v>
      </c>
      <c r="B530" s="195" t="s">
        <v>32</v>
      </c>
      <c r="C530" s="195">
        <f ca="1">IFERROR(INDEX(BYEs!$B$2:$B$33,MATCH(D530,BYEs!$A$2:$A$33,0)),"N/A")</f>
        <v>11</v>
      </c>
      <c r="D530" s="195" t="str">
        <f ca="1">INDEX(INDIRECT(""&amp;B530&amp;"!E2:E700"),MATCH(A530,INDIRECT(""&amp;B530&amp;"!B2:B700"),0))</f>
        <v>NYJ</v>
      </c>
      <c r="E530" s="194" t="str">
        <f ca="1">INDEX(INDIRECT(""&amp;$B530&amp;"!Z2:Z709"),MATCH($A530,INDIRECT(""&amp;$B530&amp;"!B2:B709"),0))</f>
        <v>RB12</v>
      </c>
      <c r="F530" s="196">
        <f ca="1">IF(LeagueInfo!$H$7="Starter/Bench",INDEX(INDIRECT(""&amp;B530&amp;"!S2:S709"),MATCH(A530,INDIRECT(""&amp;B530&amp;"!B2:B709"),0)),INDEX(INDIRECT(""&amp;B530&amp;"!AA2:AA709"),MATCH(A530,INDIRECT(""&amp;B530&amp;"!B2:B709"),0)))</f>
        <v>-15.912104216981632</v>
      </c>
      <c r="G530" s="197">
        <f>IF(H530&gt;0,F530-H530,0)</f>
        <v>0</v>
      </c>
      <c r="H530" s="198"/>
      <c r="I530" s="197">
        <f ca="1">F530*$A$2</f>
        <v>-15.912104216981632</v>
      </c>
      <c r="J530" s="197" t="s">
        <v>80</v>
      </c>
      <c r="K530" s="197">
        <f>IF(LeagueInfo!$F$7="Yahoo",IFERROR(INDEX(DefaultAuctionValues!$B$2:$B$359,MATCH(A530,DefaultAuctionValues!$A$2:$A$359,0)),0),IF(LeagueInfo!$F$7="ESPN",IFERROR(INDEX(DefaultAuctionValues!$C$2:$C$359,MATCH(A530,DefaultAuctionValues!$A$2:$A$359,0)),0),IF(LeagueInfo!$F$7="FantasyPros",IFERROR(INDEX(DefaultAuctionValues!$D$2:$D$359,MATCH(A530,DefaultAuctionValues!$A$2:$A$359,0)),0))))</f>
        <v>0</v>
      </c>
      <c r="L530" s="197">
        <f ca="1">I530-K530</f>
        <v>-15.912104216981632</v>
      </c>
      <c r="M530" s="213"/>
      <c r="N530" s="208">
        <f ca="1">INDEX(INDIRECT(""&amp;$B530&amp;"!y2:y709"),MATCH($A530,INDIRECT(""&amp;$B530&amp;"!B2:B709"),0))</f>
        <v>-33.220000000000006</v>
      </c>
      <c r="O530" s="217" t="str">
        <f ca="1">IF(INDEX(INDIRECT(""&amp;$B530&amp;"!V2:V700"),MATCH($A530,INDIRECT(""&amp;$B530&amp;"!B2:B700"),0))=0,"",INDEX(INDIRECT(""&amp;$B530&amp;"!V2:V700"),MATCH($A530,INDIRECT(""&amp;$B530&amp;"!B2:B700"),0)))</f>
        <v/>
      </c>
    </row>
    <row r="531" spans="1:15" x14ac:dyDescent="0.25">
      <c r="A531" s="195" t="s">
        <v>595</v>
      </c>
      <c r="B531" s="195" t="s">
        <v>39</v>
      </c>
      <c r="C531" s="195">
        <f ca="1">IFERROR(INDEX(BYEs!$B$2:$B$33,MATCH(D531,BYEs!$A$2:$A$33,0)),"N/A")</f>
        <v>8</v>
      </c>
      <c r="D531" s="195" t="str">
        <f ca="1">INDEX(INDIRECT(""&amp;B531&amp;"!E2:E700"),MATCH(A531,INDIRECT(""&amp;B531&amp;"!B2:B700"),0))</f>
        <v>ARI</v>
      </c>
      <c r="E531" s="194" t="str">
        <f ca="1">INDEX(INDIRECT(""&amp;$B531&amp;"!Z2:Z709"),MATCH($A531,INDIRECT(""&amp;$B531&amp;"!B2:B709"),0))</f>
        <v>WR10</v>
      </c>
      <c r="F531" s="196">
        <f ca="1">IF(LeagueInfo!$H$7="Starter/Bench",INDEX(INDIRECT(""&amp;B531&amp;"!S2:S709"),MATCH(A531,INDIRECT(""&amp;B531&amp;"!B2:B709"),0)),INDEX(INDIRECT(""&amp;B531&amp;"!AA2:AA709"),MATCH(A531,INDIRECT(""&amp;B531&amp;"!B2:B709"),0)))</f>
        <v>-15.976768096249918</v>
      </c>
      <c r="G531" s="197">
        <f>IF(H531&gt;0,F531-H531,0)</f>
        <v>0</v>
      </c>
      <c r="H531" s="198"/>
      <c r="I531" s="197">
        <f ca="1">F531*$A$2</f>
        <v>-15.976768096249918</v>
      </c>
      <c r="J531" s="197" t="s">
        <v>80</v>
      </c>
      <c r="K531" s="197">
        <f>IF(LeagueInfo!$F$7="Yahoo",IFERROR(INDEX(DefaultAuctionValues!$B$2:$B$359,MATCH(A531,DefaultAuctionValues!$A$2:$A$359,0)),0),IF(LeagueInfo!$F$7="ESPN",IFERROR(INDEX(DefaultAuctionValues!$C$2:$C$359,MATCH(A531,DefaultAuctionValues!$A$2:$A$359,0)),0),IF(LeagueInfo!$F$7="FantasyPros",IFERROR(INDEX(DefaultAuctionValues!$D$2:$D$359,MATCH(A531,DefaultAuctionValues!$A$2:$A$359,0)),0))))</f>
        <v>0</v>
      </c>
      <c r="L531" s="197">
        <f ca="1">I531-K531</f>
        <v>-15.976768096249918</v>
      </c>
      <c r="M531" s="213"/>
      <c r="N531" s="208">
        <f ca="1">INDEX(INDIRECT(""&amp;$B531&amp;"!y2:y709"),MATCH($A531,INDIRECT(""&amp;$B531&amp;"!B2:B709"),0))</f>
        <v>-33.355000000000004</v>
      </c>
      <c r="O531" s="217" t="str">
        <f ca="1">IF(INDEX(INDIRECT(""&amp;$B531&amp;"!V2:V700"),MATCH($A531,INDIRECT(""&amp;$B531&amp;"!B2:B700"),0))=0,"",INDEX(INDIRECT(""&amp;$B531&amp;"!V2:V700"),MATCH($A531,INDIRECT(""&amp;$B531&amp;"!B2:B700"),0)))</f>
        <v/>
      </c>
    </row>
    <row r="532" spans="1:15" x14ac:dyDescent="0.25">
      <c r="A532" s="195" t="s">
        <v>529</v>
      </c>
      <c r="B532" s="195" t="s">
        <v>32</v>
      </c>
      <c r="C532" s="195">
        <f ca="1">IFERROR(INDEX(BYEs!$B$2:$B$33,MATCH(D532,BYEs!$A$2:$A$33,0)),"N/A")</f>
        <v>10</v>
      </c>
      <c r="D532" s="195" t="str">
        <f ca="1">INDEX(INDIRECT(""&amp;B532&amp;"!E2:E700"),MATCH(A532,INDIRECT(""&amp;B532&amp;"!B2:B700"),0))</f>
        <v>KC</v>
      </c>
      <c r="E532" s="194" t="str">
        <f ca="1">INDEX(INDIRECT(""&amp;$B532&amp;"!Z2:Z709"),MATCH($A532,INDIRECT(""&amp;$B532&amp;"!B2:B709"),0))</f>
        <v>RB12</v>
      </c>
      <c r="F532" s="196">
        <f ca="1">IF(LeagueInfo!$H$7="Starter/Bench",INDEX(INDIRECT(""&amp;B532&amp;"!S2:S709"),MATCH(A532,INDIRECT(""&amp;B532&amp;"!B2:B709"),0)),INDEX(INDIRECT(""&amp;B532&amp;"!AA2:AA709"),MATCH(A532,INDIRECT(""&amp;B532&amp;"!B2:B709"),0)))</f>
        <v>-16.046221892501045</v>
      </c>
      <c r="G532" s="197">
        <f>IF(H532&gt;0,F532-H532,0)</f>
        <v>0</v>
      </c>
      <c r="H532" s="198"/>
      <c r="I532" s="197">
        <f ca="1">F532*$A$2</f>
        <v>-16.046221892501045</v>
      </c>
      <c r="J532" s="197" t="s">
        <v>80</v>
      </c>
      <c r="K532" s="197">
        <f>IF(LeagueInfo!$F$7="Yahoo",IFERROR(INDEX(DefaultAuctionValues!$B$2:$B$359,MATCH(A532,DefaultAuctionValues!$A$2:$A$359,0)),0),IF(LeagueInfo!$F$7="ESPN",IFERROR(INDEX(DefaultAuctionValues!$C$2:$C$359,MATCH(A532,DefaultAuctionValues!$A$2:$A$359,0)),0),IF(LeagueInfo!$F$7="FantasyPros",IFERROR(INDEX(DefaultAuctionValues!$D$2:$D$359,MATCH(A532,DefaultAuctionValues!$A$2:$A$359,0)),0))))</f>
        <v>0</v>
      </c>
      <c r="L532" s="197">
        <f ca="1">I532-K532</f>
        <v>-16.046221892501045</v>
      </c>
      <c r="M532" s="213"/>
      <c r="N532" s="208">
        <f ca="1">INDEX(INDIRECT(""&amp;$B532&amp;"!y2:y709"),MATCH($A532,INDIRECT(""&amp;$B532&amp;"!B2:B709"),0))</f>
        <v>-33.500000000000007</v>
      </c>
      <c r="O532" s="217" t="str">
        <f ca="1">IF(INDEX(INDIRECT(""&amp;$B532&amp;"!V2:V700"),MATCH($A532,INDIRECT(""&amp;$B532&amp;"!B2:B700"),0))=0,"",INDEX(INDIRECT(""&amp;$B532&amp;"!V2:V700"),MATCH($A532,INDIRECT(""&amp;$B532&amp;"!B2:B700"),0)))</f>
        <v/>
      </c>
    </row>
    <row r="533" spans="1:15" x14ac:dyDescent="0.25">
      <c r="A533" s="195" t="s">
        <v>526</v>
      </c>
      <c r="B533" s="195" t="s">
        <v>32</v>
      </c>
      <c r="C533" s="195">
        <f ca="1">IFERROR(INDEX(BYEs!$B$2:$B$33,MATCH(D533,BYEs!$A$2:$A$33,0)),"N/A")</f>
        <v>6</v>
      </c>
      <c r="D533" s="195" t="str">
        <f ca="1">INDEX(INDIRECT(""&amp;B533&amp;"!E2:E700"),MATCH(A533,INDIRECT(""&amp;B533&amp;"!B2:B700"),0))</f>
        <v>BUF</v>
      </c>
      <c r="E533" s="194" t="str">
        <f ca="1">INDEX(INDIRECT(""&amp;$B533&amp;"!Z2:Z709"),MATCH($A533,INDIRECT(""&amp;$B533&amp;"!B2:B709"),0))</f>
        <v>RB12</v>
      </c>
      <c r="F533" s="196">
        <f ca="1">IF(LeagueInfo!$H$7="Starter/Bench",INDEX(INDIRECT(""&amp;B533&amp;"!S2:S709"),MATCH(A533,INDIRECT(""&amp;B533&amp;"!B2:B709"),0)),INDEX(INDIRECT(""&amp;B533&amp;"!AA2:AA709"),MATCH(A533,INDIRECT(""&amp;B533&amp;"!B2:B709"),0)))</f>
        <v>-16.079751311380896</v>
      </c>
      <c r="G533" s="197">
        <f>IF(H533&gt;0,F533-H533,0)</f>
        <v>0</v>
      </c>
      <c r="H533" s="198"/>
      <c r="I533" s="197">
        <f ca="1">F533*$A$2</f>
        <v>-16.079751311380896</v>
      </c>
      <c r="J533" s="197" t="s">
        <v>80</v>
      </c>
      <c r="K533" s="197">
        <f>IF(LeagueInfo!$F$7="Yahoo",IFERROR(INDEX(DefaultAuctionValues!$B$2:$B$359,MATCH(A533,DefaultAuctionValues!$A$2:$A$359,0)),0),IF(LeagueInfo!$F$7="ESPN",IFERROR(INDEX(DefaultAuctionValues!$C$2:$C$359,MATCH(A533,DefaultAuctionValues!$A$2:$A$359,0)),0),IF(LeagueInfo!$F$7="FantasyPros",IFERROR(INDEX(DefaultAuctionValues!$D$2:$D$359,MATCH(A533,DefaultAuctionValues!$A$2:$A$359,0)),0))))</f>
        <v>0</v>
      </c>
      <c r="L533" s="197">
        <f ca="1">I533-K533</f>
        <v>-16.079751311380896</v>
      </c>
      <c r="M533" s="213"/>
      <c r="N533" s="208">
        <f ca="1">INDEX(INDIRECT(""&amp;$B533&amp;"!y2:y709"),MATCH($A533,INDIRECT(""&amp;$B533&amp;"!B2:B709"),0))</f>
        <v>-33.570000000000007</v>
      </c>
      <c r="O533" s="217" t="str">
        <f ca="1">IF(INDEX(INDIRECT(""&amp;$B533&amp;"!V2:V700"),MATCH($A533,INDIRECT(""&amp;$B533&amp;"!B2:B700"),0))=0,"",INDEX(INDIRECT(""&amp;$B533&amp;"!V2:V700"),MATCH($A533,INDIRECT(""&amp;$B533&amp;"!B2:B700"),0)))</f>
        <v/>
      </c>
    </row>
    <row r="534" spans="1:15" x14ac:dyDescent="0.25">
      <c r="A534" s="195" t="s">
        <v>612</v>
      </c>
      <c r="B534" s="195" t="s">
        <v>39</v>
      </c>
      <c r="C534" s="195">
        <f ca="1">IFERROR(INDEX(BYEs!$B$2:$B$33,MATCH(D534,BYEs!$A$2:$A$33,0)),"N/A")</f>
        <v>5</v>
      </c>
      <c r="D534" s="195" t="str">
        <f ca="1">INDEX(INDIRECT(""&amp;B534&amp;"!E2:E700"),MATCH(A534,INDIRECT(""&amp;B534&amp;"!B2:B700"),0))</f>
        <v>WAS</v>
      </c>
      <c r="E534" s="194" t="str">
        <f ca="1">INDEX(INDIRECT(""&amp;$B534&amp;"!Z2:Z709"),MATCH($A534,INDIRECT(""&amp;$B534&amp;"!B2:B709"),0))</f>
        <v>WR10</v>
      </c>
      <c r="F534" s="196">
        <f ca="1">IF(LeagueInfo!$H$7="Starter/Bench",INDEX(INDIRECT(""&amp;B534&amp;"!S2:S709"),MATCH(A534,INDIRECT(""&amp;B534&amp;"!B2:B709"),0)),INDEX(INDIRECT(""&amp;B534&amp;"!AA2:AA709"),MATCH(A534,INDIRECT(""&amp;B534&amp;"!B2:B709"),0)))</f>
        <v>-16.091726103837985</v>
      </c>
      <c r="G534" s="197">
        <f>IF(H534&gt;0,F534-H534,0)</f>
        <v>0</v>
      </c>
      <c r="H534" s="198"/>
      <c r="I534" s="197">
        <f ca="1">F534*$A$2</f>
        <v>-16.091726103837985</v>
      </c>
      <c r="J534" s="197" t="s">
        <v>80</v>
      </c>
      <c r="K534" s="197">
        <f>IF(LeagueInfo!$F$7="Yahoo",IFERROR(INDEX(DefaultAuctionValues!$B$2:$B$359,MATCH(A534,DefaultAuctionValues!$A$2:$A$359,0)),0),IF(LeagueInfo!$F$7="ESPN",IFERROR(INDEX(DefaultAuctionValues!$C$2:$C$359,MATCH(A534,DefaultAuctionValues!$A$2:$A$359,0)),0),IF(LeagueInfo!$F$7="FantasyPros",IFERROR(INDEX(DefaultAuctionValues!$D$2:$D$359,MATCH(A534,DefaultAuctionValues!$A$2:$A$359,0)),0))))</f>
        <v>0</v>
      </c>
      <c r="L534" s="197">
        <f ca="1">I534-K534</f>
        <v>-16.091726103837985</v>
      </c>
      <c r="M534" s="213"/>
      <c r="N534" s="208">
        <f ca="1">INDEX(INDIRECT(""&amp;$B534&amp;"!y2:y709"),MATCH($A534,INDIRECT(""&amp;$B534&amp;"!B2:B709"),0))</f>
        <v>-33.594999999999999</v>
      </c>
      <c r="O534" s="217" t="str">
        <f ca="1">IF(INDEX(INDIRECT(""&amp;$B534&amp;"!V2:V700"),MATCH($A534,INDIRECT(""&amp;$B534&amp;"!B2:B700"),0))=0,"",INDEX(INDIRECT(""&amp;$B534&amp;"!V2:V700"),MATCH($A534,INDIRECT(""&amp;$B534&amp;"!B2:B700"),0)))</f>
        <v/>
      </c>
    </row>
    <row r="535" spans="1:15" x14ac:dyDescent="0.25">
      <c r="A535" s="195" t="s">
        <v>925</v>
      </c>
      <c r="B535" s="195" t="s">
        <v>32</v>
      </c>
      <c r="C535" s="195">
        <f ca="1">IFERROR(INDEX(BYEs!$B$2:$B$33,MATCH(D535,BYEs!$A$2:$A$33,0)),"N/A")</f>
        <v>8</v>
      </c>
      <c r="D535" s="195" t="str">
        <f ca="1">INDEX(INDIRECT(""&amp;B535&amp;"!E2:E700"),MATCH(A535,INDIRECT(""&amp;B535&amp;"!B2:B700"),0))</f>
        <v>LAR</v>
      </c>
      <c r="E535" s="194" t="str">
        <f ca="1">INDEX(INDIRECT(""&amp;$B535&amp;"!Z2:Z709"),MATCH($A535,INDIRECT(""&amp;$B535&amp;"!B2:B709"),0))</f>
        <v>RB12</v>
      </c>
      <c r="F535" s="196">
        <f ca="1">IF(LeagueInfo!$H$7="Starter/Bench",INDEX(INDIRECT(""&amp;B535&amp;"!S2:S709"),MATCH(A535,INDIRECT(""&amp;B535&amp;"!B2:B709"),0)),INDEX(INDIRECT(""&amp;B535&amp;"!AA2:AA709"),MATCH(A535,INDIRECT(""&amp;B535&amp;"!B2:B709"),0)))</f>
        <v>-16.199499235951802</v>
      </c>
      <c r="G535" s="197">
        <f>IF(H535&gt;0,F535-H535,0)</f>
        <v>0</v>
      </c>
      <c r="H535" s="198"/>
      <c r="I535" s="197">
        <f ca="1">F535*$A$2</f>
        <v>-16.199499235951802</v>
      </c>
      <c r="J535" s="197" t="s">
        <v>80</v>
      </c>
      <c r="K535" s="197">
        <f>IF(LeagueInfo!$F$7="Yahoo",IFERROR(INDEX(DefaultAuctionValues!$B$2:$B$359,MATCH(A535,DefaultAuctionValues!$A$2:$A$359,0)),0),IF(LeagueInfo!$F$7="ESPN",IFERROR(INDEX(DefaultAuctionValues!$C$2:$C$359,MATCH(A535,DefaultAuctionValues!$A$2:$A$359,0)),0),IF(LeagueInfo!$F$7="FantasyPros",IFERROR(INDEX(DefaultAuctionValues!$D$2:$D$359,MATCH(A535,DefaultAuctionValues!$A$2:$A$359,0)),0))))</f>
        <v>0</v>
      </c>
      <c r="L535" s="197">
        <f ca="1">I535-K535</f>
        <v>-16.199499235951802</v>
      </c>
      <c r="M535" s="213"/>
      <c r="N535" s="208">
        <f ca="1">INDEX(INDIRECT(""&amp;$B535&amp;"!y2:y709"),MATCH($A535,INDIRECT(""&amp;$B535&amp;"!B2:B709"),0))</f>
        <v>-33.820000000000007</v>
      </c>
      <c r="O535" s="217" t="str">
        <f ca="1">IF(INDEX(INDIRECT(""&amp;$B535&amp;"!V2:V700"),MATCH($A535,INDIRECT(""&amp;$B535&amp;"!B2:B700"),0))=0,"",INDEX(INDIRECT(""&amp;$B535&amp;"!V2:V700"),MATCH($A535,INDIRECT(""&amp;$B535&amp;"!B2:B700"),0)))</f>
        <v/>
      </c>
    </row>
    <row r="536" spans="1:15" x14ac:dyDescent="0.25">
      <c r="A536" s="195" t="s">
        <v>530</v>
      </c>
      <c r="B536" s="195" t="s">
        <v>32</v>
      </c>
      <c r="C536" s="195">
        <f ca="1">IFERROR(INDEX(BYEs!$B$2:$B$33,MATCH(D536,BYEs!$A$2:$A$33,0)),"N/A")</f>
        <v>9</v>
      </c>
      <c r="D536" s="195" t="str">
        <f ca="1">INDEX(INDIRECT(""&amp;B536&amp;"!E2:E700"),MATCH(A536,INDIRECT(""&amp;B536&amp;"!B2:B700"),0))</f>
        <v>PIT</v>
      </c>
      <c r="E536" s="194" t="str">
        <f ca="1">INDEX(INDIRECT(""&amp;$B536&amp;"!Z2:Z709"),MATCH($A536,INDIRECT(""&amp;$B536&amp;"!B2:B709"),0))</f>
        <v>RB12</v>
      </c>
      <c r="F536" s="196">
        <f ca="1">IF(LeagueInfo!$H$7="Starter/Bench",INDEX(INDIRECT(""&amp;B536&amp;"!S2:S709"),MATCH(A536,INDIRECT(""&amp;B536&amp;"!B2:B709"),0)),INDEX(INDIRECT(""&amp;B536&amp;"!AA2:AA709"),MATCH(A536,INDIRECT(""&amp;B536&amp;"!B2:B709"),0)))</f>
        <v>-16.221053862374561</v>
      </c>
      <c r="G536" s="197">
        <f>IF(H536&gt;0,F536-H536,0)</f>
        <v>0</v>
      </c>
      <c r="H536" s="198"/>
      <c r="I536" s="197">
        <f ca="1">F536*$A$2</f>
        <v>-16.221053862374561</v>
      </c>
      <c r="J536" s="197" t="s">
        <v>80</v>
      </c>
      <c r="K536" s="197">
        <f>IF(LeagueInfo!$F$7="Yahoo",IFERROR(INDEX(DefaultAuctionValues!$B$2:$B$359,MATCH(A536,DefaultAuctionValues!$A$2:$A$359,0)),0),IF(LeagueInfo!$F$7="ESPN",IFERROR(INDEX(DefaultAuctionValues!$C$2:$C$359,MATCH(A536,DefaultAuctionValues!$A$2:$A$359,0)),0),IF(LeagueInfo!$F$7="FantasyPros",IFERROR(INDEX(DefaultAuctionValues!$D$2:$D$359,MATCH(A536,DefaultAuctionValues!$A$2:$A$359,0)),0))))</f>
        <v>0</v>
      </c>
      <c r="L536" s="197">
        <f ca="1">I536-K536</f>
        <v>-16.221053862374561</v>
      </c>
      <c r="M536" s="213"/>
      <c r="N536" s="208">
        <f ca="1">INDEX(INDIRECT(""&amp;$B536&amp;"!y2:y709"),MATCH($A536,INDIRECT(""&amp;$B536&amp;"!B2:B709"),0))</f>
        <v>-33.865000000000002</v>
      </c>
      <c r="O536" s="217" t="str">
        <f ca="1">IF(INDEX(INDIRECT(""&amp;$B536&amp;"!V2:V700"),MATCH($A536,INDIRECT(""&amp;$B536&amp;"!B2:B700"),0))=0,"",INDEX(INDIRECT(""&amp;$B536&amp;"!V2:V700"),MATCH($A536,INDIRECT(""&amp;$B536&amp;"!B2:B700"),0)))</f>
        <v/>
      </c>
    </row>
    <row r="537" spans="1:15" x14ac:dyDescent="0.25">
      <c r="A537" s="195" t="s">
        <v>531</v>
      </c>
      <c r="B537" s="195" t="s">
        <v>32</v>
      </c>
      <c r="C537" s="195">
        <f ca="1">IFERROR(INDEX(BYEs!$B$2:$B$33,MATCH(D537,BYEs!$A$2:$A$33,0)),"N/A")</f>
        <v>8</v>
      </c>
      <c r="D537" s="195" t="str">
        <f ca="1">INDEX(INDIRECT(""&amp;B537&amp;"!E2:E700"),MATCH(A537,INDIRECT(""&amp;B537&amp;"!B2:B700"),0))</f>
        <v>JAC</v>
      </c>
      <c r="E537" s="194" t="str">
        <f ca="1">INDEX(INDIRECT(""&amp;$B537&amp;"!Z2:Z709"),MATCH($A537,INDIRECT(""&amp;$B537&amp;"!B2:B709"),0))</f>
        <v>RB12</v>
      </c>
      <c r="F537" s="196">
        <f ca="1">IF(LeagueInfo!$H$7="Starter/Bench",INDEX(INDIRECT(""&amp;B537&amp;"!S2:S709"),MATCH(A537,INDIRECT(""&amp;B537&amp;"!B2:B709"),0)),INDEX(INDIRECT(""&amp;B537&amp;"!AA2:AA709"),MATCH(A537,INDIRECT(""&amp;B537&amp;"!B2:B709"),0)))</f>
        <v>-16.24739840578016</v>
      </c>
      <c r="G537" s="197">
        <f>IF(H537&gt;0,F537-H537,0)</f>
        <v>0</v>
      </c>
      <c r="H537" s="198"/>
      <c r="I537" s="197">
        <f ca="1">F537*$A$2</f>
        <v>-16.24739840578016</v>
      </c>
      <c r="J537" s="197" t="s">
        <v>80</v>
      </c>
      <c r="K537" s="197">
        <f>IF(LeagueInfo!$F$7="Yahoo",IFERROR(INDEX(DefaultAuctionValues!$B$2:$B$359,MATCH(A537,DefaultAuctionValues!$A$2:$A$359,0)),0),IF(LeagueInfo!$F$7="ESPN",IFERROR(INDEX(DefaultAuctionValues!$C$2:$C$359,MATCH(A537,DefaultAuctionValues!$A$2:$A$359,0)),0),IF(LeagueInfo!$F$7="FantasyPros",IFERROR(INDEX(DefaultAuctionValues!$D$2:$D$359,MATCH(A537,DefaultAuctionValues!$A$2:$A$359,0)),0))))</f>
        <v>0</v>
      </c>
      <c r="L537" s="197">
        <f ca="1">I537-K537</f>
        <v>-16.24739840578016</v>
      </c>
      <c r="M537" s="213"/>
      <c r="N537" s="208">
        <f ca="1">INDEX(INDIRECT(""&amp;$B537&amp;"!y2:y709"),MATCH($A537,INDIRECT(""&amp;$B537&amp;"!B2:B709"),0))</f>
        <v>-33.92</v>
      </c>
      <c r="O537" s="217" t="str">
        <f ca="1">IF(INDEX(INDIRECT(""&amp;$B537&amp;"!V2:V700"),MATCH($A537,INDIRECT(""&amp;$B537&amp;"!B2:B700"),0))=0,"",INDEX(INDIRECT(""&amp;$B537&amp;"!V2:V700"),MATCH($A537,INDIRECT(""&amp;$B537&amp;"!B2:B700"),0)))</f>
        <v/>
      </c>
    </row>
    <row r="538" spans="1:15" x14ac:dyDescent="0.25">
      <c r="A538" s="195" t="s">
        <v>533</v>
      </c>
      <c r="B538" s="195" t="s">
        <v>32</v>
      </c>
      <c r="C538" s="195">
        <f ca="1">IFERROR(INDEX(BYEs!$B$2:$B$33,MATCH(D538,BYEs!$A$2:$A$33,0)),"N/A")</f>
        <v>9</v>
      </c>
      <c r="D538" s="195" t="str">
        <f ca="1">INDEX(INDIRECT(""&amp;B538&amp;"!E2:E700"),MATCH(A538,INDIRECT(""&amp;B538&amp;"!B2:B700"),0))</f>
        <v>CHI</v>
      </c>
      <c r="E538" s="194" t="str">
        <f ca="1">INDEX(INDIRECT(""&amp;$B538&amp;"!Z2:Z709"),MATCH($A538,INDIRECT(""&amp;$B538&amp;"!B2:B709"),0))</f>
        <v>RB12</v>
      </c>
      <c r="F538" s="196">
        <f ca="1">IF(LeagueInfo!$H$7="Starter/Bench",INDEX(INDIRECT(""&amp;B538&amp;"!S2:S709"),MATCH(A538,INDIRECT(""&amp;B538&amp;"!B2:B709"),0)),INDEX(INDIRECT(""&amp;B538&amp;"!AA2:AA709"),MATCH(A538,INDIRECT(""&amp;B538&amp;"!B2:B709"),0)))</f>
        <v>-16.319247160522703</v>
      </c>
      <c r="G538" s="197">
        <f>IF(H538&gt;0,F538-H538,0)</f>
        <v>0</v>
      </c>
      <c r="H538" s="198"/>
      <c r="I538" s="197">
        <f ca="1">F538*$A$2</f>
        <v>-16.319247160522703</v>
      </c>
      <c r="J538" s="197" t="s">
        <v>80</v>
      </c>
      <c r="K538" s="197">
        <f>IF(LeagueInfo!$F$7="Yahoo",IFERROR(INDEX(DefaultAuctionValues!$B$2:$B$359,MATCH(A538,DefaultAuctionValues!$A$2:$A$359,0)),0),IF(LeagueInfo!$F$7="ESPN",IFERROR(INDEX(DefaultAuctionValues!$C$2:$C$359,MATCH(A538,DefaultAuctionValues!$A$2:$A$359,0)),0),IF(LeagueInfo!$F$7="FantasyPros",IFERROR(INDEX(DefaultAuctionValues!$D$2:$D$359,MATCH(A538,DefaultAuctionValues!$A$2:$A$359,0)),0))))</f>
        <v>0</v>
      </c>
      <c r="L538" s="197">
        <f ca="1">I538-K538</f>
        <v>-16.319247160522703</v>
      </c>
      <c r="M538" s="213"/>
      <c r="N538" s="208">
        <f ca="1">INDEX(INDIRECT(""&amp;$B538&amp;"!y2:y709"),MATCH($A538,INDIRECT(""&amp;$B538&amp;"!B2:B709"),0))</f>
        <v>-34.070000000000007</v>
      </c>
      <c r="O538" s="217" t="str">
        <f ca="1">IF(INDEX(INDIRECT(""&amp;$B538&amp;"!V2:V700"),MATCH($A538,INDIRECT(""&amp;$B538&amp;"!B2:B700"),0))=0,"",INDEX(INDIRECT(""&amp;$B538&amp;"!V2:V700"),MATCH($A538,INDIRECT(""&amp;$B538&amp;"!B2:B700"),0)))</f>
        <v/>
      </c>
    </row>
    <row r="539" spans="1:15" x14ac:dyDescent="0.25">
      <c r="A539" s="195" t="s">
        <v>534</v>
      </c>
      <c r="B539" s="195" t="s">
        <v>32</v>
      </c>
      <c r="C539" s="195">
        <f ca="1">IFERROR(INDEX(BYEs!$B$2:$B$33,MATCH(D539,BYEs!$A$2:$A$33,0)),"N/A")</f>
        <v>8</v>
      </c>
      <c r="D539" s="195" t="str">
        <f ca="1">INDEX(INDIRECT(""&amp;B539&amp;"!E2:E700"),MATCH(A539,INDIRECT(""&amp;B539&amp;"!B2:B700"),0))</f>
        <v>LAR</v>
      </c>
      <c r="E539" s="194" t="str">
        <f ca="1">INDEX(INDIRECT(""&amp;$B539&amp;"!Z2:Z709"),MATCH($A539,INDIRECT(""&amp;$B539&amp;"!B2:B709"),0))</f>
        <v>RB12</v>
      </c>
      <c r="F539" s="196">
        <f ca="1">IF(LeagueInfo!$H$7="Starter/Bench",INDEX(INDIRECT(""&amp;B539&amp;"!S2:S709"),MATCH(A539,INDIRECT(""&amp;B539&amp;"!B2:B709"),0)),INDEX(INDIRECT(""&amp;B539&amp;"!AA2:AA709"),MATCH(A539,INDIRECT(""&amp;B539&amp;"!B2:B709"),0)))</f>
        <v>-16.319247160522703</v>
      </c>
      <c r="G539" s="197">
        <f>IF(H539&gt;0,F539-H539,0)</f>
        <v>0</v>
      </c>
      <c r="H539" s="198"/>
      <c r="I539" s="197">
        <f ca="1">F539*$A$2</f>
        <v>-16.319247160522703</v>
      </c>
      <c r="J539" s="197" t="s">
        <v>80</v>
      </c>
      <c r="K539" s="197">
        <f>IF(LeagueInfo!$F$7="Yahoo",IFERROR(INDEX(DefaultAuctionValues!$B$2:$B$359,MATCH(A539,DefaultAuctionValues!$A$2:$A$359,0)),0),IF(LeagueInfo!$F$7="ESPN",IFERROR(INDEX(DefaultAuctionValues!$C$2:$C$359,MATCH(A539,DefaultAuctionValues!$A$2:$A$359,0)),0),IF(LeagueInfo!$F$7="FantasyPros",IFERROR(INDEX(DefaultAuctionValues!$D$2:$D$359,MATCH(A539,DefaultAuctionValues!$A$2:$A$359,0)),0))))</f>
        <v>0</v>
      </c>
      <c r="L539" s="197">
        <f ca="1">I539-K539</f>
        <v>-16.319247160522703</v>
      </c>
      <c r="M539" s="213"/>
      <c r="N539" s="208">
        <f ca="1">INDEX(INDIRECT(""&amp;$B539&amp;"!y2:y709"),MATCH($A539,INDIRECT(""&amp;$B539&amp;"!B2:B709"),0))</f>
        <v>-34.070000000000007</v>
      </c>
      <c r="O539" s="217" t="str">
        <f ca="1">IF(INDEX(INDIRECT(""&amp;$B539&amp;"!V2:V700"),MATCH($A539,INDIRECT(""&amp;$B539&amp;"!B2:B700"),0))=0,"",INDEX(INDIRECT(""&amp;$B539&amp;"!V2:V700"),MATCH($A539,INDIRECT(""&amp;$B539&amp;"!B2:B700"),0)))</f>
        <v/>
      </c>
    </row>
    <row r="540" spans="1:15" x14ac:dyDescent="0.25">
      <c r="A540" s="195" t="s">
        <v>624</v>
      </c>
      <c r="B540" s="195" t="s">
        <v>39</v>
      </c>
      <c r="C540" s="195">
        <f ca="1">IFERROR(INDEX(BYEs!$B$2:$B$33,MATCH(D540,BYEs!$A$2:$A$33,0)),"N/A")</f>
        <v>10</v>
      </c>
      <c r="D540" s="195" t="str">
        <f ca="1">INDEX(INDIRECT(""&amp;B540&amp;"!E2:E700"),MATCH(A540,INDIRECT(""&amp;B540&amp;"!B2:B700"),0))</f>
        <v>KC</v>
      </c>
      <c r="E540" s="194" t="str">
        <f ca="1">INDEX(INDIRECT(""&amp;$B540&amp;"!Z2:Z709"),MATCH($A540,INDIRECT(""&amp;$B540&amp;"!B2:B709"),0))</f>
        <v>WR10</v>
      </c>
      <c r="F540" s="196">
        <f ca="1">IF(LeagueInfo!$H$7="Starter/Bench",INDEX(INDIRECT(""&amp;B540&amp;"!S2:S709"),MATCH(A540,INDIRECT(""&amp;B540&amp;"!B2:B709"),0)),INDEX(INDIRECT(""&amp;B540&amp;"!AA2:AA709"),MATCH(A540,INDIRECT(""&amp;B540&amp;"!B2:B709"),0)))</f>
        <v>-16.46773458699062</v>
      </c>
      <c r="G540" s="197">
        <f>IF(H540&gt;0,F540-H540,0)</f>
        <v>0</v>
      </c>
      <c r="H540" s="198"/>
      <c r="I540" s="197">
        <f ca="1">F540*$A$2</f>
        <v>-16.46773458699062</v>
      </c>
      <c r="J540" s="197" t="s">
        <v>80</v>
      </c>
      <c r="K540" s="197">
        <f>IF(LeagueInfo!$F$7="Yahoo",IFERROR(INDEX(DefaultAuctionValues!$B$2:$B$359,MATCH(A540,DefaultAuctionValues!$A$2:$A$359,0)),0),IF(LeagueInfo!$F$7="ESPN",IFERROR(INDEX(DefaultAuctionValues!$C$2:$C$359,MATCH(A540,DefaultAuctionValues!$A$2:$A$359,0)),0),IF(LeagueInfo!$F$7="FantasyPros",IFERROR(INDEX(DefaultAuctionValues!$D$2:$D$359,MATCH(A540,DefaultAuctionValues!$A$2:$A$359,0)),0))))</f>
        <v>0</v>
      </c>
      <c r="L540" s="197">
        <f ca="1">I540-K540</f>
        <v>-16.46773458699062</v>
      </c>
      <c r="M540" s="213"/>
      <c r="N540" s="208">
        <f ca="1">INDEX(INDIRECT(""&amp;$B540&amp;"!y2:y709"),MATCH($A540,INDIRECT(""&amp;$B540&amp;"!B2:B709"),0))</f>
        <v>-34.380000000000003</v>
      </c>
      <c r="O540" s="217" t="str">
        <f ca="1">IF(INDEX(INDIRECT(""&amp;$B540&amp;"!V2:V700"),MATCH($A540,INDIRECT(""&amp;$B540&amp;"!B2:B700"),0))=0,"",INDEX(INDIRECT(""&amp;$B540&amp;"!V2:V700"),MATCH($A540,INDIRECT(""&amp;$B540&amp;"!B2:B700"),0)))</f>
        <v/>
      </c>
    </row>
    <row r="541" spans="1:15" x14ac:dyDescent="0.25">
      <c r="A541" s="195" t="s">
        <v>625</v>
      </c>
      <c r="B541" s="195" t="s">
        <v>39</v>
      </c>
      <c r="C541" s="195">
        <f ca="1">IFERROR(INDEX(BYEs!$B$2:$B$33,MATCH(D541,BYEs!$A$2:$A$33,0)),"N/A")</f>
        <v>10</v>
      </c>
      <c r="D541" s="195" t="str">
        <f ca="1">INDEX(INDIRECT(""&amp;B541&amp;"!E2:E700"),MATCH(A541,INDIRECT(""&amp;B541&amp;"!B2:B700"),0))</f>
        <v>BAL</v>
      </c>
      <c r="E541" s="194" t="str">
        <f ca="1">INDEX(INDIRECT(""&amp;$B541&amp;"!Z2:Z709"),MATCH($A541,INDIRECT(""&amp;$B541&amp;"!B2:B709"),0))</f>
        <v>WR10</v>
      </c>
      <c r="F541" s="196">
        <f ca="1">IF(LeagueInfo!$H$7="Starter/Bench",INDEX(INDIRECT(""&amp;B541&amp;"!S2:S709"),MATCH(A541,INDIRECT(""&amp;B541&amp;"!B2:B709"),0)),INDEX(INDIRECT(""&amp;B541&amp;"!AA2:AA709"),MATCH(A541,INDIRECT(""&amp;B541&amp;"!B2:B709"),0)))</f>
        <v>-16.805423734280566</v>
      </c>
      <c r="G541" s="197">
        <f>IF(H541&gt;0,F541-H541,0)</f>
        <v>0</v>
      </c>
      <c r="H541" s="198"/>
      <c r="I541" s="197">
        <f ca="1">F541*$A$2</f>
        <v>-16.805423734280566</v>
      </c>
      <c r="J541" s="197" t="s">
        <v>80</v>
      </c>
      <c r="K541" s="197">
        <f>IF(LeagueInfo!$F$7="Yahoo",IFERROR(INDEX(DefaultAuctionValues!$B$2:$B$359,MATCH(A541,DefaultAuctionValues!$A$2:$A$359,0)),0),IF(LeagueInfo!$F$7="ESPN",IFERROR(INDEX(DefaultAuctionValues!$C$2:$C$359,MATCH(A541,DefaultAuctionValues!$A$2:$A$359,0)),0),IF(LeagueInfo!$F$7="FantasyPros",IFERROR(INDEX(DefaultAuctionValues!$D$2:$D$359,MATCH(A541,DefaultAuctionValues!$A$2:$A$359,0)),0))))</f>
        <v>0</v>
      </c>
      <c r="L541" s="197">
        <f ca="1">I541-K541</f>
        <v>-16.805423734280566</v>
      </c>
      <c r="M541" s="213"/>
      <c r="N541" s="208">
        <f ca="1">INDEX(INDIRECT(""&amp;$B541&amp;"!y2:y709"),MATCH($A541,INDIRECT(""&amp;$B541&amp;"!B2:B709"),0))</f>
        <v>-35.085000000000001</v>
      </c>
      <c r="O541" s="217" t="str">
        <f ca="1">IF(INDEX(INDIRECT(""&amp;$B541&amp;"!V2:V700"),MATCH($A541,INDIRECT(""&amp;$B541&amp;"!B2:B700"),0))=0,"",INDEX(INDIRECT(""&amp;$B541&amp;"!V2:V700"),MATCH($A541,INDIRECT(""&amp;$B541&amp;"!B2:B700"),0)))</f>
        <v/>
      </c>
    </row>
    <row r="542" spans="1:15" x14ac:dyDescent="0.25">
      <c r="A542" s="195" t="s">
        <v>608</v>
      </c>
      <c r="B542" s="195" t="s">
        <v>39</v>
      </c>
      <c r="C542" s="195">
        <f ca="1">IFERROR(INDEX(BYEs!$B$2:$B$33,MATCH(D542,BYEs!$A$2:$A$33,0)),"N/A")</f>
        <v>5</v>
      </c>
      <c r="D542" s="195" t="str">
        <f ca="1">INDEX(INDIRECT(""&amp;B542&amp;"!E2:E700"),MATCH(A542,INDIRECT(""&amp;B542&amp;"!B2:B700"),0))</f>
        <v>DEN</v>
      </c>
      <c r="E542" s="194" t="str">
        <f ca="1">INDEX(INDIRECT(""&amp;$B542&amp;"!Z2:Z709"),MATCH($A542,INDIRECT(""&amp;$B542&amp;"!B2:B709"),0))</f>
        <v>WR10</v>
      </c>
      <c r="F542" s="196">
        <f ca="1">IF(LeagueInfo!$H$7="Starter/Bench",INDEX(INDIRECT(""&amp;B542&amp;"!S2:S709"),MATCH(A542,INDIRECT(""&amp;B542&amp;"!B2:B709"),0)),INDEX(INDIRECT(""&amp;B542&amp;"!AA2:AA709"),MATCH(A542,INDIRECT(""&amp;B542&amp;"!B2:B709"),0)))</f>
        <v>-16.824583402211911</v>
      </c>
      <c r="G542" s="197">
        <f>IF(H542&gt;0,F542-H542,0)</f>
        <v>0</v>
      </c>
      <c r="H542" s="198"/>
      <c r="I542" s="197">
        <f ca="1">F542*$A$2</f>
        <v>-16.824583402211911</v>
      </c>
      <c r="J542" s="197" t="s">
        <v>80</v>
      </c>
      <c r="K542" s="197">
        <f>IF(LeagueInfo!$F$7="Yahoo",IFERROR(INDEX(DefaultAuctionValues!$B$2:$B$359,MATCH(A542,DefaultAuctionValues!$A$2:$A$359,0)),0),IF(LeagueInfo!$F$7="ESPN",IFERROR(INDEX(DefaultAuctionValues!$C$2:$C$359,MATCH(A542,DefaultAuctionValues!$A$2:$A$359,0)),0),IF(LeagueInfo!$F$7="FantasyPros",IFERROR(INDEX(DefaultAuctionValues!$D$2:$D$359,MATCH(A542,DefaultAuctionValues!$A$2:$A$359,0)),0))))</f>
        <v>0</v>
      </c>
      <c r="L542" s="197">
        <f ca="1">I542-K542</f>
        <v>-16.824583402211911</v>
      </c>
      <c r="M542" s="213"/>
      <c r="N542" s="208">
        <f ca="1">INDEX(INDIRECT(""&amp;$B542&amp;"!y2:y709"),MATCH($A542,INDIRECT(""&amp;$B542&amp;"!B2:B709"),0))</f>
        <v>-35.125</v>
      </c>
      <c r="O542" s="217" t="str">
        <f ca="1">IF(INDEX(INDIRECT(""&amp;$B542&amp;"!V2:V700"),MATCH($A542,INDIRECT(""&amp;$B542&amp;"!B2:B700"),0))=0,"",INDEX(INDIRECT(""&amp;$B542&amp;"!V2:V700"),MATCH($A542,INDIRECT(""&amp;$B542&amp;"!B2:B700"),0)))</f>
        <v/>
      </c>
    </row>
    <row r="543" spans="1:15" x14ac:dyDescent="0.25">
      <c r="A543" s="195" t="s">
        <v>620</v>
      </c>
      <c r="B543" s="195" t="s">
        <v>39</v>
      </c>
      <c r="C543" s="195">
        <f ca="1">IFERROR(INDEX(BYEs!$B$2:$B$33,MATCH(D543,BYEs!$A$2:$A$33,0)),"N/A")</f>
        <v>9</v>
      </c>
      <c r="D543" s="195" t="str">
        <f ca="1">INDEX(INDIRECT(""&amp;B543&amp;"!E2:E700"),MATCH(A543,INDIRECT(""&amp;B543&amp;"!B2:B700"),0))</f>
        <v>PIT</v>
      </c>
      <c r="E543" s="194" t="str">
        <f ca="1">INDEX(INDIRECT(""&amp;$B543&amp;"!Z2:Z709"),MATCH($A543,INDIRECT(""&amp;$B543&amp;"!B2:B709"),0))</f>
        <v>WR10</v>
      </c>
      <c r="F543" s="196">
        <f ca="1">IF(LeagueInfo!$H$7="Starter/Bench",INDEX(INDIRECT(""&amp;B543&amp;"!S2:S709"),MATCH(A543,INDIRECT(""&amp;B543&amp;"!B2:B709"),0)),INDEX(INDIRECT(""&amp;B543&amp;"!AA2:AA709"),MATCH(A543,INDIRECT(""&amp;B543&amp;"!B2:B709"),0)))</f>
        <v>-16.901222073937291</v>
      </c>
      <c r="G543" s="197">
        <f>IF(H543&gt;0,F543-H543,0)</f>
        <v>0</v>
      </c>
      <c r="H543" s="198"/>
      <c r="I543" s="197">
        <f ca="1">F543*$A$2</f>
        <v>-16.901222073937291</v>
      </c>
      <c r="J543" s="197" t="s">
        <v>80</v>
      </c>
      <c r="K543" s="197">
        <f>IF(LeagueInfo!$F$7="Yahoo",IFERROR(INDEX(DefaultAuctionValues!$B$2:$B$359,MATCH(A543,DefaultAuctionValues!$A$2:$A$359,0)),0),IF(LeagueInfo!$F$7="ESPN",IFERROR(INDEX(DefaultAuctionValues!$C$2:$C$359,MATCH(A543,DefaultAuctionValues!$A$2:$A$359,0)),0),IF(LeagueInfo!$F$7="FantasyPros",IFERROR(INDEX(DefaultAuctionValues!$D$2:$D$359,MATCH(A543,DefaultAuctionValues!$A$2:$A$359,0)),0))))</f>
        <v>0</v>
      </c>
      <c r="L543" s="197">
        <f ca="1">I543-K543</f>
        <v>-16.901222073937291</v>
      </c>
      <c r="M543" s="213"/>
      <c r="N543" s="208">
        <f ca="1">INDEX(INDIRECT(""&amp;$B543&amp;"!y2:y709"),MATCH($A543,INDIRECT(""&amp;$B543&amp;"!B2:B709"),0))</f>
        <v>-35.285000000000004</v>
      </c>
      <c r="O543" s="217" t="str">
        <f ca="1">IF(INDEX(INDIRECT(""&amp;$B543&amp;"!V2:V700"),MATCH($A543,INDIRECT(""&amp;$B543&amp;"!B2:B700"),0))=0,"",INDEX(INDIRECT(""&amp;$B543&amp;"!V2:V700"),MATCH($A543,INDIRECT(""&amp;$B543&amp;"!B2:B700"),0)))</f>
        <v/>
      </c>
    </row>
    <row r="544" spans="1:15" x14ac:dyDescent="0.25">
      <c r="A544" s="195" t="s">
        <v>609</v>
      </c>
      <c r="B544" s="195" t="s">
        <v>39</v>
      </c>
      <c r="C544" s="195">
        <f ca="1">IFERROR(INDEX(BYEs!$B$2:$B$33,MATCH(D544,BYEs!$A$2:$A$33,0)),"N/A")</f>
        <v>8</v>
      </c>
      <c r="D544" s="195" t="str">
        <f ca="1">INDEX(INDIRECT(""&amp;B544&amp;"!E2:E700"),MATCH(A544,INDIRECT(""&amp;B544&amp;"!B2:B700"),0))</f>
        <v>NYG</v>
      </c>
      <c r="E544" s="194" t="str">
        <f ca="1">INDEX(INDIRECT(""&amp;$B544&amp;"!Z2:Z709"),MATCH($A544,INDIRECT(""&amp;$B544&amp;"!B2:B709"),0))</f>
        <v>WR10</v>
      </c>
      <c r="F544" s="196">
        <f ca="1">IF(LeagueInfo!$H$7="Starter/Bench",INDEX(INDIRECT(""&amp;B544&amp;"!S2:S709"),MATCH(A544,INDIRECT(""&amp;B544&amp;"!B2:B709"),0)),INDEX(INDIRECT(""&amp;B544&amp;"!AA2:AA709"),MATCH(A544,INDIRECT(""&amp;B544&amp;"!B2:B709"),0)))</f>
        <v>-16.951516202257071</v>
      </c>
      <c r="G544" s="197">
        <f>IF(H544&gt;0,F544-H544,0)</f>
        <v>0</v>
      </c>
      <c r="H544" s="198"/>
      <c r="I544" s="197">
        <f ca="1">F544*$A$2</f>
        <v>-16.951516202257071</v>
      </c>
      <c r="J544" s="197" t="s">
        <v>80</v>
      </c>
      <c r="K544" s="197">
        <f>IF(LeagueInfo!$F$7="Yahoo",IFERROR(INDEX(DefaultAuctionValues!$B$2:$B$359,MATCH(A544,DefaultAuctionValues!$A$2:$A$359,0)),0),IF(LeagueInfo!$F$7="ESPN",IFERROR(INDEX(DefaultAuctionValues!$C$2:$C$359,MATCH(A544,DefaultAuctionValues!$A$2:$A$359,0)),0),IF(LeagueInfo!$F$7="FantasyPros",IFERROR(INDEX(DefaultAuctionValues!$D$2:$D$359,MATCH(A544,DefaultAuctionValues!$A$2:$A$359,0)),0))))</f>
        <v>0</v>
      </c>
      <c r="L544" s="197">
        <f ca="1">I544-K544</f>
        <v>-16.951516202257071</v>
      </c>
      <c r="M544" s="213"/>
      <c r="N544" s="208">
        <f ca="1">INDEX(INDIRECT(""&amp;$B544&amp;"!y2:y709"),MATCH($A544,INDIRECT(""&amp;$B544&amp;"!B2:B709"),0))</f>
        <v>-35.39</v>
      </c>
      <c r="O544" s="217" t="str">
        <f ca="1">IF(INDEX(INDIRECT(""&amp;$B544&amp;"!V2:V700"),MATCH($A544,INDIRECT(""&amp;$B544&amp;"!B2:B700"),0))=0,"",INDEX(INDIRECT(""&amp;$B544&amp;"!V2:V700"),MATCH($A544,INDIRECT(""&amp;$B544&amp;"!B2:B700"),0)))</f>
        <v/>
      </c>
    </row>
    <row r="545" spans="1:15" x14ac:dyDescent="0.25">
      <c r="A545" s="195" t="s">
        <v>631</v>
      </c>
      <c r="B545" s="195" t="s">
        <v>39</v>
      </c>
      <c r="C545" s="195">
        <f ca="1">IFERROR(INDEX(BYEs!$B$2:$B$33,MATCH(D545,BYEs!$A$2:$A$33,0)),"N/A")</f>
        <v>9</v>
      </c>
      <c r="D545" s="195" t="str">
        <f ca="1">INDEX(INDIRECT(""&amp;B545&amp;"!E2:E700"),MATCH(A545,INDIRECT(""&amp;B545&amp;"!B2:B700"),0))</f>
        <v>CLE</v>
      </c>
      <c r="E545" s="194" t="str">
        <f ca="1">INDEX(INDIRECT(""&amp;$B545&amp;"!Z2:Z709"),MATCH($A545,INDIRECT(""&amp;$B545&amp;"!B2:B709"),0))</f>
        <v>WR10</v>
      </c>
      <c r="F545" s="196">
        <f ca="1">IF(LeagueInfo!$H$7="Starter/Bench",INDEX(INDIRECT(""&amp;B545&amp;"!S2:S709"),MATCH(A545,INDIRECT(""&amp;B545&amp;"!B2:B709"),0)),INDEX(INDIRECT(""&amp;B545&amp;"!AA2:AA709"),MATCH(A545,INDIRECT(""&amp;B545&amp;"!B2:B709"),0)))</f>
        <v>-17.159877591010442</v>
      </c>
      <c r="G545" s="197">
        <f>IF(H545&gt;0,F545-H545,0)</f>
        <v>0</v>
      </c>
      <c r="H545" s="198"/>
      <c r="I545" s="197">
        <f ca="1">F545*$A$2</f>
        <v>-17.159877591010442</v>
      </c>
      <c r="J545" s="197" t="s">
        <v>80</v>
      </c>
      <c r="K545" s="197">
        <f>IF(LeagueInfo!$F$7="Yahoo",IFERROR(INDEX(DefaultAuctionValues!$B$2:$B$359,MATCH(A545,DefaultAuctionValues!$A$2:$A$359,0)),0),IF(LeagueInfo!$F$7="ESPN",IFERROR(INDEX(DefaultAuctionValues!$C$2:$C$359,MATCH(A545,DefaultAuctionValues!$A$2:$A$359,0)),0),IF(LeagueInfo!$F$7="FantasyPros",IFERROR(INDEX(DefaultAuctionValues!$D$2:$D$359,MATCH(A545,DefaultAuctionValues!$A$2:$A$359,0)),0))))</f>
        <v>0</v>
      </c>
      <c r="L545" s="197">
        <f ca="1">I545-K545</f>
        <v>-17.159877591010442</v>
      </c>
      <c r="M545" s="213"/>
      <c r="N545" s="208">
        <f ca="1">INDEX(INDIRECT(""&amp;$B545&amp;"!y2:y709"),MATCH($A545,INDIRECT(""&amp;$B545&amp;"!B2:B709"),0))</f>
        <v>-35.825000000000003</v>
      </c>
      <c r="O545" s="217" t="str">
        <f ca="1">IF(INDEX(INDIRECT(""&amp;$B545&amp;"!V2:V700"),MATCH($A545,INDIRECT(""&amp;$B545&amp;"!B2:B700"),0))=0,"",INDEX(INDIRECT(""&amp;$B545&amp;"!V2:V700"),MATCH($A545,INDIRECT(""&amp;$B545&amp;"!B2:B700"),0)))</f>
        <v/>
      </c>
    </row>
    <row r="546" spans="1:15" x14ac:dyDescent="0.25">
      <c r="A546" s="195" t="s">
        <v>628</v>
      </c>
      <c r="B546" s="195" t="s">
        <v>39</v>
      </c>
      <c r="C546" s="195">
        <f ca="1">IFERROR(INDEX(BYEs!$B$2:$B$33,MATCH(D546,BYEs!$A$2:$A$33,0)),"N/A")</f>
        <v>9</v>
      </c>
      <c r="D546" s="195" t="str">
        <f ca="1">INDEX(INDIRECT(""&amp;B546&amp;"!E2:E700"),MATCH(A546,INDIRECT(""&amp;B546&amp;"!B2:B700"),0))</f>
        <v>MIN</v>
      </c>
      <c r="E546" s="194" t="str">
        <f ca="1">INDEX(INDIRECT(""&amp;$B546&amp;"!Z2:Z709"),MATCH($A546,INDIRECT(""&amp;$B546&amp;"!B2:B709"),0))</f>
        <v>WR10</v>
      </c>
      <c r="F546" s="196">
        <f ca="1">IF(LeagueInfo!$H$7="Starter/Bench",INDEX(INDIRECT(""&amp;B546&amp;"!S2:S709"),MATCH(A546,INDIRECT(""&amp;B546&amp;"!B2:B709"),0)),INDEX(INDIRECT(""&amp;B546&amp;"!AA2:AA709"),MATCH(A546,INDIRECT(""&amp;B546&amp;"!B2:B709"),0)))</f>
        <v>-17.483196987351882</v>
      </c>
      <c r="G546" s="197">
        <f>IF(H546&gt;0,F546-H546,0)</f>
        <v>0</v>
      </c>
      <c r="H546" s="198"/>
      <c r="I546" s="197">
        <f ca="1">F546*$A$2</f>
        <v>-17.483196987351882</v>
      </c>
      <c r="J546" s="197" t="s">
        <v>80</v>
      </c>
      <c r="K546" s="197">
        <f>IF(LeagueInfo!$F$7="Yahoo",IFERROR(INDEX(DefaultAuctionValues!$B$2:$B$359,MATCH(A546,DefaultAuctionValues!$A$2:$A$359,0)),0),IF(LeagueInfo!$F$7="ESPN",IFERROR(INDEX(DefaultAuctionValues!$C$2:$C$359,MATCH(A546,DefaultAuctionValues!$A$2:$A$359,0)),0),IF(LeagueInfo!$F$7="FantasyPros",IFERROR(INDEX(DefaultAuctionValues!$D$2:$D$359,MATCH(A546,DefaultAuctionValues!$A$2:$A$359,0)),0))))</f>
        <v>0</v>
      </c>
      <c r="L546" s="197">
        <f ca="1">I546-K546</f>
        <v>-17.483196987351882</v>
      </c>
      <c r="M546" s="213"/>
      <c r="N546" s="208">
        <f ca="1">INDEX(INDIRECT(""&amp;$B546&amp;"!y2:y709"),MATCH($A546,INDIRECT(""&amp;$B546&amp;"!B2:B709"),0))</f>
        <v>-36.5</v>
      </c>
      <c r="O546" s="217" t="str">
        <f ca="1">IF(INDEX(INDIRECT(""&amp;$B546&amp;"!V2:V700"),MATCH($A546,INDIRECT(""&amp;$B546&amp;"!B2:B700"),0))=0,"",INDEX(INDIRECT(""&amp;$B546&amp;"!V2:V700"),MATCH($A546,INDIRECT(""&amp;$B546&amp;"!B2:B700"),0)))</f>
        <v/>
      </c>
    </row>
    <row r="547" spans="1:15" x14ac:dyDescent="0.25">
      <c r="A547" s="195" t="s">
        <v>658</v>
      </c>
      <c r="B547" s="195" t="s">
        <v>39</v>
      </c>
      <c r="C547" s="195">
        <f ca="1">IFERROR(INDEX(BYEs!$B$2:$B$33,MATCH(D547,BYEs!$A$2:$A$33,0)),"N/A")</f>
        <v>6</v>
      </c>
      <c r="D547" s="195" t="str">
        <f ca="1">INDEX(INDIRECT(""&amp;B547&amp;"!E2:E700"),MATCH(A547,INDIRECT(""&amp;B547&amp;"!B2:B700"),0))</f>
        <v>SEA</v>
      </c>
      <c r="E547" s="194" t="str">
        <f ca="1">INDEX(INDIRECT(""&amp;$B547&amp;"!Z2:Z709"),MATCH($A547,INDIRECT(""&amp;$B547&amp;"!B2:B709"),0))</f>
        <v>WR10</v>
      </c>
      <c r="F547" s="196">
        <f ca="1">IF(LeagueInfo!$H$7="Starter/Bench",INDEX(INDIRECT(""&amp;B547&amp;"!S2:S709"),MATCH(A547,INDIRECT(""&amp;B547&amp;"!B2:B709"),0)),INDEX(INDIRECT(""&amp;B547&amp;"!AA2:AA709"),MATCH(A547,INDIRECT(""&amp;B547&amp;"!B2:B709"),0)))</f>
        <v>-17.507146572266059</v>
      </c>
      <c r="G547" s="197">
        <f>IF(H547&gt;0,F547-H547,0)</f>
        <v>0</v>
      </c>
      <c r="H547" s="198"/>
      <c r="I547" s="197">
        <f ca="1">F547*$A$2</f>
        <v>-17.507146572266059</v>
      </c>
      <c r="J547" s="197" t="s">
        <v>80</v>
      </c>
      <c r="K547" s="197">
        <f>IF(LeagueInfo!$F$7="Yahoo",IFERROR(INDEX(DefaultAuctionValues!$B$2:$B$359,MATCH(A547,DefaultAuctionValues!$A$2:$A$359,0)),0),IF(LeagueInfo!$F$7="ESPN",IFERROR(INDEX(DefaultAuctionValues!$C$2:$C$359,MATCH(A547,DefaultAuctionValues!$A$2:$A$359,0)),0),IF(LeagueInfo!$F$7="FantasyPros",IFERROR(INDEX(DefaultAuctionValues!$D$2:$D$359,MATCH(A547,DefaultAuctionValues!$A$2:$A$359,0)),0))))</f>
        <v>0</v>
      </c>
      <c r="L547" s="197">
        <f ca="1">I547-K547</f>
        <v>-17.507146572266059</v>
      </c>
      <c r="M547" s="213"/>
      <c r="N547" s="208">
        <f ca="1">INDEX(INDIRECT(""&amp;$B547&amp;"!y2:y709"),MATCH($A547,INDIRECT(""&amp;$B547&amp;"!B2:B709"),0))</f>
        <v>-36.549999999999997</v>
      </c>
      <c r="O547" s="217" t="str">
        <f ca="1">IF(INDEX(INDIRECT(""&amp;$B547&amp;"!V2:V700"),MATCH($A547,INDIRECT(""&amp;$B547&amp;"!B2:B700"),0))=0,"",INDEX(INDIRECT(""&amp;$B547&amp;"!V2:V700"),MATCH($A547,INDIRECT(""&amp;$B547&amp;"!B2:B700"),0)))</f>
        <v/>
      </c>
    </row>
    <row r="548" spans="1:15" x14ac:dyDescent="0.25">
      <c r="A548" s="195" t="s">
        <v>617</v>
      </c>
      <c r="B548" s="195" t="s">
        <v>39</v>
      </c>
      <c r="C548" s="195">
        <f ca="1">IFERROR(INDEX(BYEs!$B$2:$B$33,MATCH(D548,BYEs!$A$2:$A$33,0)),"N/A")</f>
        <v>5</v>
      </c>
      <c r="D548" s="195" t="str">
        <f ca="1">INDEX(INDIRECT(""&amp;B548&amp;"!E2:E700"),MATCH(A548,INDIRECT(""&amp;B548&amp;"!B2:B700"),0))</f>
        <v>ATL</v>
      </c>
      <c r="E548" s="194" t="str">
        <f ca="1">INDEX(INDIRECT(""&amp;$B548&amp;"!Z2:Z709"),MATCH($A548,INDIRECT(""&amp;$B548&amp;"!B2:B709"),0))</f>
        <v>WR10</v>
      </c>
      <c r="F548" s="196">
        <f ca="1">IF(LeagueInfo!$H$7="Starter/Bench",INDEX(INDIRECT(""&amp;B548&amp;"!S2:S709"),MATCH(A548,INDIRECT(""&amp;B548&amp;"!B2:B709"),0)),INDEX(INDIRECT(""&amp;B548&amp;"!AA2:AA709"),MATCH(A548,INDIRECT(""&amp;B548&amp;"!B2:B709"),0)))</f>
        <v>-17.52151632321457</v>
      </c>
      <c r="G548" s="197">
        <f>IF(H548&gt;0,F548-H548,0)</f>
        <v>0</v>
      </c>
      <c r="H548" s="198"/>
      <c r="I548" s="197">
        <f ca="1">F548*$A$2</f>
        <v>-17.52151632321457</v>
      </c>
      <c r="J548" s="197" t="s">
        <v>80</v>
      </c>
      <c r="K548" s="197">
        <f>IF(LeagueInfo!$F$7="Yahoo",IFERROR(INDEX(DefaultAuctionValues!$B$2:$B$359,MATCH(A548,DefaultAuctionValues!$A$2:$A$359,0)),0),IF(LeagueInfo!$F$7="ESPN",IFERROR(INDEX(DefaultAuctionValues!$C$2:$C$359,MATCH(A548,DefaultAuctionValues!$A$2:$A$359,0)),0),IF(LeagueInfo!$F$7="FantasyPros",IFERROR(INDEX(DefaultAuctionValues!$D$2:$D$359,MATCH(A548,DefaultAuctionValues!$A$2:$A$359,0)),0))))</f>
        <v>0</v>
      </c>
      <c r="L548" s="197">
        <f ca="1">I548-K548</f>
        <v>-17.52151632321457</v>
      </c>
      <c r="M548" s="213"/>
      <c r="N548" s="208">
        <f ca="1">INDEX(INDIRECT(""&amp;$B548&amp;"!y2:y709"),MATCH($A548,INDIRECT(""&amp;$B548&amp;"!B2:B709"),0))</f>
        <v>-36.58</v>
      </c>
      <c r="O548" s="217" t="str">
        <f ca="1">IF(INDEX(INDIRECT(""&amp;$B548&amp;"!V2:V700"),MATCH($A548,INDIRECT(""&amp;$B548&amp;"!B2:B700"),0))=0,"",INDEX(INDIRECT(""&amp;$B548&amp;"!V2:V700"),MATCH($A548,INDIRECT(""&amp;$B548&amp;"!B2:B700"),0)))</f>
        <v/>
      </c>
    </row>
    <row r="549" spans="1:15" x14ac:dyDescent="0.25">
      <c r="A549" s="195" t="s">
        <v>619</v>
      </c>
      <c r="B549" s="195" t="s">
        <v>39</v>
      </c>
      <c r="C549" s="195">
        <f ca="1">IFERROR(INDEX(BYEs!$B$2:$B$33,MATCH(D549,BYEs!$A$2:$A$33,0)),"N/A")</f>
        <v>5</v>
      </c>
      <c r="D549" s="195" t="str">
        <f ca="1">INDEX(INDIRECT(""&amp;B549&amp;"!E2:E700"),MATCH(A549,INDIRECT(""&amp;B549&amp;"!B2:B700"),0))</f>
        <v>DEN</v>
      </c>
      <c r="E549" s="194" t="str">
        <f ca="1">INDEX(INDIRECT(""&amp;$B549&amp;"!Z2:Z709"),MATCH($A549,INDIRECT(""&amp;$B549&amp;"!B2:B709"),0))</f>
        <v>WR10</v>
      </c>
      <c r="F549" s="196">
        <f ca="1">IF(LeagueInfo!$H$7="Starter/Bench",INDEX(INDIRECT(""&amp;B549&amp;"!S2:S709"),MATCH(A549,INDIRECT(""&amp;B549&amp;"!B2:B709"),0)),INDEX(INDIRECT(""&amp;B549&amp;"!AA2:AA709"),MATCH(A549,INDIRECT(""&amp;B549&amp;"!B2:B709"),0)))</f>
        <v>-17.531096157180244</v>
      </c>
      <c r="G549" s="197">
        <f>IF(H549&gt;0,F549-H549,0)</f>
        <v>0</v>
      </c>
      <c r="H549" s="198"/>
      <c r="I549" s="197">
        <f ca="1">F549*$A$2</f>
        <v>-17.531096157180244</v>
      </c>
      <c r="J549" s="197" t="s">
        <v>80</v>
      </c>
      <c r="K549" s="197">
        <f>IF(LeagueInfo!$F$7="Yahoo",IFERROR(INDEX(DefaultAuctionValues!$B$2:$B$359,MATCH(A549,DefaultAuctionValues!$A$2:$A$359,0)),0),IF(LeagueInfo!$F$7="ESPN",IFERROR(INDEX(DefaultAuctionValues!$C$2:$C$359,MATCH(A549,DefaultAuctionValues!$A$2:$A$359,0)),0),IF(LeagueInfo!$F$7="FantasyPros",IFERROR(INDEX(DefaultAuctionValues!$D$2:$D$359,MATCH(A549,DefaultAuctionValues!$A$2:$A$359,0)),0))))</f>
        <v>0</v>
      </c>
      <c r="L549" s="197">
        <f ca="1">I549-K549</f>
        <v>-17.531096157180244</v>
      </c>
      <c r="M549" s="213"/>
      <c r="N549" s="208">
        <f ca="1">INDEX(INDIRECT(""&amp;$B549&amp;"!y2:y709"),MATCH($A549,INDIRECT(""&amp;$B549&amp;"!B2:B709"),0))</f>
        <v>-36.6</v>
      </c>
      <c r="O549" s="217" t="str">
        <f ca="1">IF(INDEX(INDIRECT(""&amp;$B549&amp;"!V2:V700"),MATCH($A549,INDIRECT(""&amp;$B549&amp;"!B2:B700"),0))=0,"",INDEX(INDIRECT(""&amp;$B549&amp;"!V2:V700"),MATCH($A549,INDIRECT(""&amp;$B549&amp;"!B2:B700"),0)))</f>
        <v/>
      </c>
    </row>
    <row r="550" spans="1:15" x14ac:dyDescent="0.25">
      <c r="A550" s="195" t="s">
        <v>629</v>
      </c>
      <c r="B550" s="195" t="s">
        <v>39</v>
      </c>
      <c r="C550" s="195">
        <f ca="1">IFERROR(INDEX(BYEs!$B$2:$B$33,MATCH(D550,BYEs!$A$2:$A$33,0)),"N/A")</f>
        <v>7</v>
      </c>
      <c r="D550" s="195" t="str">
        <f ca="1">INDEX(INDIRECT(""&amp;B550&amp;"!E2:E700"),MATCH(A550,INDIRECT(""&amp;B550&amp;"!B2:B700"),0))</f>
        <v>DET</v>
      </c>
      <c r="E550" s="194" t="str">
        <f ca="1">INDEX(INDIRECT(""&amp;$B550&amp;"!Z2:Z709"),MATCH($A550,INDIRECT(""&amp;$B550&amp;"!B2:B709"),0))</f>
        <v>WR10</v>
      </c>
      <c r="F550" s="196">
        <f ca="1">IF(LeagueInfo!$H$7="Starter/Bench",INDEX(INDIRECT(""&amp;B550&amp;"!S2:S709"),MATCH(A550,INDIRECT(""&amp;B550&amp;"!B2:B709"),0)),INDEX(INDIRECT(""&amp;B550&amp;"!AA2:AA709"),MATCH(A550,INDIRECT(""&amp;B550&amp;"!B2:B709"),0)))</f>
        <v>-17.593365077957113</v>
      </c>
      <c r="G550" s="197">
        <f>IF(H550&gt;0,F550-H550,0)</f>
        <v>0</v>
      </c>
      <c r="H550" s="198"/>
      <c r="I550" s="197">
        <f ca="1">F550*$A$2</f>
        <v>-17.593365077957113</v>
      </c>
      <c r="J550" s="197" t="s">
        <v>80</v>
      </c>
      <c r="K550" s="197">
        <f>IF(LeagueInfo!$F$7="Yahoo",IFERROR(INDEX(DefaultAuctionValues!$B$2:$B$359,MATCH(A550,DefaultAuctionValues!$A$2:$A$359,0)),0),IF(LeagueInfo!$F$7="ESPN",IFERROR(INDEX(DefaultAuctionValues!$C$2:$C$359,MATCH(A550,DefaultAuctionValues!$A$2:$A$359,0)),0),IF(LeagueInfo!$F$7="FantasyPros",IFERROR(INDEX(DefaultAuctionValues!$D$2:$D$359,MATCH(A550,DefaultAuctionValues!$A$2:$A$359,0)),0))))</f>
        <v>0</v>
      </c>
      <c r="L550" s="197">
        <f ca="1">I550-K550</f>
        <v>-17.593365077957113</v>
      </c>
      <c r="M550" s="213"/>
      <c r="N550" s="208">
        <f ca="1">INDEX(INDIRECT(""&amp;$B550&amp;"!y2:y709"),MATCH($A550,INDIRECT(""&amp;$B550&amp;"!B2:B709"),0))</f>
        <v>-36.730000000000004</v>
      </c>
      <c r="O550" s="217" t="str">
        <f ca="1">IF(INDEX(INDIRECT(""&amp;$B550&amp;"!V2:V700"),MATCH($A550,INDIRECT(""&amp;$B550&amp;"!B2:B700"),0))=0,"",INDEX(INDIRECT(""&amp;$B550&amp;"!V2:V700"),MATCH($A550,INDIRECT(""&amp;$B550&amp;"!B2:B700"),0)))</f>
        <v/>
      </c>
    </row>
    <row r="551" spans="1:15" x14ac:dyDescent="0.25">
      <c r="A551" s="195" t="s">
        <v>687</v>
      </c>
      <c r="B551" s="195" t="s">
        <v>39</v>
      </c>
      <c r="C551" s="195">
        <f ca="1">IFERROR(INDEX(BYEs!$B$2:$B$33,MATCH(D551,BYEs!$A$2:$A$33,0)),"N/A")</f>
        <v>11</v>
      </c>
      <c r="D551" s="195" t="str">
        <f ca="1">INDEX(INDIRECT(""&amp;B551&amp;"!E2:E700"),MATCH(A551,INDIRECT(""&amp;B551&amp;"!B2:B700"),0))</f>
        <v>NYJ</v>
      </c>
      <c r="E551" s="194" t="str">
        <f ca="1">INDEX(INDIRECT(""&amp;$B551&amp;"!Z2:Z709"),MATCH($A551,INDIRECT(""&amp;$B551&amp;"!B2:B709"),0))</f>
        <v>WR10</v>
      </c>
      <c r="F551" s="196">
        <f ca="1">IF(LeagueInfo!$H$7="Starter/Bench",INDEX(INDIRECT(""&amp;B551&amp;"!S2:S709"),MATCH(A551,INDIRECT(""&amp;B551&amp;"!B2:B709"),0)),INDEX(INDIRECT(""&amp;B551&amp;"!AA2:AA709"),MATCH(A551,INDIRECT(""&amp;B551&amp;"!B2:B709"),0)))</f>
        <v>-17.619709621362713</v>
      </c>
      <c r="G551" s="197">
        <f>IF(H551&gt;0,F551-H551,0)</f>
        <v>0</v>
      </c>
      <c r="H551" s="198"/>
      <c r="I551" s="197">
        <f ca="1">F551*$A$2</f>
        <v>-17.619709621362713</v>
      </c>
      <c r="J551" s="197" t="s">
        <v>80</v>
      </c>
      <c r="K551" s="197">
        <f>IF(LeagueInfo!$F$7="Yahoo",IFERROR(INDEX(DefaultAuctionValues!$B$2:$B$359,MATCH(A551,DefaultAuctionValues!$A$2:$A$359,0)),0),IF(LeagueInfo!$F$7="ESPN",IFERROR(INDEX(DefaultAuctionValues!$C$2:$C$359,MATCH(A551,DefaultAuctionValues!$A$2:$A$359,0)),0),IF(LeagueInfo!$F$7="FantasyPros",IFERROR(INDEX(DefaultAuctionValues!$D$2:$D$359,MATCH(A551,DefaultAuctionValues!$A$2:$A$359,0)),0))))</f>
        <v>0</v>
      </c>
      <c r="L551" s="197">
        <f ca="1">I551-K551</f>
        <v>-17.619709621362713</v>
      </c>
      <c r="M551" s="213"/>
      <c r="N551" s="208">
        <f ca="1">INDEX(INDIRECT(""&amp;$B551&amp;"!y2:y709"),MATCH($A551,INDIRECT(""&amp;$B551&amp;"!B2:B709"),0))</f>
        <v>-36.785000000000004</v>
      </c>
      <c r="O551" s="217" t="str">
        <f ca="1">IF(INDEX(INDIRECT(""&amp;$B551&amp;"!V2:V700"),MATCH($A551,INDIRECT(""&amp;$B551&amp;"!B2:B700"),0))=0,"",INDEX(INDIRECT(""&amp;$B551&amp;"!V2:V700"),MATCH($A551,INDIRECT(""&amp;$B551&amp;"!B2:B700"),0)))</f>
        <v/>
      </c>
    </row>
    <row r="552" spans="1:15" x14ac:dyDescent="0.25">
      <c r="A552" s="195" t="s">
        <v>601</v>
      </c>
      <c r="B552" s="195" t="s">
        <v>39</v>
      </c>
      <c r="C552" s="195">
        <f ca="1">IFERROR(INDEX(BYEs!$B$2:$B$33,MATCH(D552,BYEs!$A$2:$A$33,0)),"N/A")</f>
        <v>8</v>
      </c>
      <c r="D552" s="195" t="str">
        <f ca="1">INDEX(INDIRECT(""&amp;B552&amp;"!E2:E700"),MATCH(A552,INDIRECT(""&amp;B552&amp;"!B2:B700"),0))</f>
        <v>LAR</v>
      </c>
      <c r="E552" s="194" t="str">
        <f ca="1">INDEX(INDIRECT(""&amp;$B552&amp;"!Z2:Z709"),MATCH($A552,INDIRECT(""&amp;$B552&amp;"!B2:B709"),0))</f>
        <v>WR10</v>
      </c>
      <c r="F552" s="196">
        <f ca="1">IF(LeagueInfo!$H$7="Starter/Bench",INDEX(INDIRECT(""&amp;B552&amp;"!S2:S709"),MATCH(A552,INDIRECT(""&amp;B552&amp;"!B2:B709"),0)),INDEX(INDIRECT(""&amp;B552&amp;"!AA2:AA709"),MATCH(A552,INDIRECT(""&amp;B552&amp;"!B2:B709"),0)))</f>
        <v>-17.75622225537354</v>
      </c>
      <c r="G552" s="197">
        <f>IF(H552&gt;0,F552-H552,0)</f>
        <v>0</v>
      </c>
      <c r="H552" s="198"/>
      <c r="I552" s="197">
        <f ca="1">F552*$A$2</f>
        <v>-17.75622225537354</v>
      </c>
      <c r="J552" s="197" t="s">
        <v>80</v>
      </c>
      <c r="K552" s="197">
        <f>IF(LeagueInfo!$F$7="Yahoo",IFERROR(INDEX(DefaultAuctionValues!$B$2:$B$359,MATCH(A552,DefaultAuctionValues!$A$2:$A$359,0)),0),IF(LeagueInfo!$F$7="ESPN",IFERROR(INDEX(DefaultAuctionValues!$C$2:$C$359,MATCH(A552,DefaultAuctionValues!$A$2:$A$359,0)),0),IF(LeagueInfo!$F$7="FantasyPros",IFERROR(INDEX(DefaultAuctionValues!$D$2:$D$359,MATCH(A552,DefaultAuctionValues!$A$2:$A$359,0)),0))))</f>
        <v>0</v>
      </c>
      <c r="L552" s="197">
        <f ca="1">I552-K552</f>
        <v>-17.75622225537354</v>
      </c>
      <c r="M552" s="213"/>
      <c r="N552" s="208">
        <f ca="1">INDEX(INDIRECT(""&amp;$B552&amp;"!y2:y709"),MATCH($A552,INDIRECT(""&amp;$B552&amp;"!B2:B709"),0))</f>
        <v>-37.07</v>
      </c>
      <c r="O552" s="217" t="str">
        <f ca="1">IF(INDEX(INDIRECT(""&amp;$B552&amp;"!V2:V700"),MATCH($A552,INDIRECT(""&amp;$B552&amp;"!B2:B700"),0))=0,"",INDEX(INDIRECT(""&amp;$B552&amp;"!V2:V700"),MATCH($A552,INDIRECT(""&amp;$B552&amp;"!B2:B700"),0)))</f>
        <v/>
      </c>
    </row>
    <row r="553" spans="1:15" x14ac:dyDescent="0.25">
      <c r="A553" s="195" t="s">
        <v>381</v>
      </c>
      <c r="B553" s="195" t="s">
        <v>33</v>
      </c>
      <c r="C553" s="195">
        <f ca="1">IFERROR(INDEX(BYEs!$B$2:$B$33,MATCH(D553,BYEs!$A$2:$A$33,0)),"N/A")</f>
        <v>11</v>
      </c>
      <c r="D553" s="195" t="str">
        <f ca="1">INDEX(INDIRECT(""&amp;B553&amp;"!E2:E700"),MATCH(A553,INDIRECT(""&amp;B553&amp;"!B2:B700"),0))</f>
        <v>NYJ</v>
      </c>
      <c r="E553" s="194" t="str">
        <f ca="1">INDEX(INDIRECT(""&amp;$B553&amp;"!Z2:Z709"),MATCH($A553,INDIRECT(""&amp;$B553&amp;"!B2:B709"),0))</f>
        <v>QB5</v>
      </c>
      <c r="F553" s="196">
        <f ca="1">IF(LeagueInfo!$H$7="Starter/Bench",INDEX(INDIRECT(""&amp;B553&amp;"!S2:S709"),MATCH(A553,INDIRECT(""&amp;B553&amp;"!B2:B709"),0)),INDEX(INDIRECT(""&amp;B553&amp;"!AA2:AA709"),MATCH(A553,INDIRECT(""&amp;B553&amp;"!B2:B709"),0)))</f>
        <v>-17.9181214493934</v>
      </c>
      <c r="G553" s="197">
        <f>IF(H553&gt;0,F553-H553,0)</f>
        <v>0</v>
      </c>
      <c r="H553" s="198"/>
      <c r="I553" s="197">
        <f ca="1">F553*$A$2</f>
        <v>-17.9181214493934</v>
      </c>
      <c r="J553" s="197" t="s">
        <v>80</v>
      </c>
      <c r="K553" s="197">
        <f>IF(LeagueInfo!$F$7="Yahoo",IFERROR(INDEX(DefaultAuctionValues!$B$2:$B$359,MATCH(A553,DefaultAuctionValues!$A$2:$A$359,0)),0),IF(LeagueInfo!$F$7="ESPN",IFERROR(INDEX(DefaultAuctionValues!$C$2:$C$359,MATCH(A553,DefaultAuctionValues!$A$2:$A$359,0)),0),IF(LeagueInfo!$F$7="FantasyPros",IFERROR(INDEX(DefaultAuctionValues!$D$2:$D$359,MATCH(A553,DefaultAuctionValues!$A$2:$A$359,0)),0))))</f>
        <v>0</v>
      </c>
      <c r="L553" s="197">
        <f ca="1">I553-K553</f>
        <v>-17.9181214493934</v>
      </c>
      <c r="M553" s="213"/>
      <c r="N553" s="208">
        <f ca="1">INDEX(INDIRECT(""&amp;$B553&amp;"!y2:y709"),MATCH($A553,INDIRECT(""&amp;$B553&amp;"!B2:B709"),0))</f>
        <v>-37.408000000000001</v>
      </c>
      <c r="O553" s="217" t="str">
        <f ca="1">IF(INDEX(INDIRECT(""&amp;$B553&amp;"!V2:V700"),MATCH($A553,INDIRECT(""&amp;$B553&amp;"!B2:B700"),0))=0,"",INDEX(INDIRECT(""&amp;$B553&amp;"!V2:V700"),MATCH($A553,INDIRECT(""&amp;$B553&amp;"!B2:B700"),0)))</f>
        <v/>
      </c>
    </row>
    <row r="554" spans="1:15" x14ac:dyDescent="0.25">
      <c r="A554" s="195" t="s">
        <v>606</v>
      </c>
      <c r="B554" s="195" t="s">
        <v>39</v>
      </c>
      <c r="C554" s="195">
        <f ca="1">IFERROR(INDEX(BYEs!$B$2:$B$33,MATCH(D554,BYEs!$A$2:$A$33,0)),"N/A")</f>
        <v>8</v>
      </c>
      <c r="D554" s="195" t="str">
        <f ca="1">INDEX(INDIRECT(""&amp;B554&amp;"!E2:E700"),MATCH(A554,INDIRECT(""&amp;B554&amp;"!B2:B700"),0))</f>
        <v>TEN</v>
      </c>
      <c r="E554" s="194" t="str">
        <f ca="1">INDEX(INDIRECT(""&amp;$B554&amp;"!Z2:Z709"),MATCH($A554,INDIRECT(""&amp;$B554&amp;"!B2:B709"),0))</f>
        <v>WR10</v>
      </c>
      <c r="F554" s="196">
        <f ca="1">IF(LeagueInfo!$H$7="Starter/Bench",INDEX(INDIRECT(""&amp;B554&amp;"!S2:S709"),MATCH(A554,INDIRECT(""&amp;B554&amp;"!B2:B709"),0)),INDEX(INDIRECT(""&amp;B554&amp;"!AA2:AA709"),MATCH(A554,INDIRECT(""&amp;B554&amp;"!B2:B709"),0)))</f>
        <v>-17.926264308264223</v>
      </c>
      <c r="G554" s="197">
        <f>IF(H554&gt;0,F554-H554,0)</f>
        <v>0</v>
      </c>
      <c r="H554" s="198"/>
      <c r="I554" s="197">
        <f ca="1">F554*$A$2</f>
        <v>-17.926264308264223</v>
      </c>
      <c r="J554" s="197" t="s">
        <v>80</v>
      </c>
      <c r="K554" s="197">
        <f>IF(LeagueInfo!$F$7="Yahoo",IFERROR(INDEX(DefaultAuctionValues!$B$2:$B$359,MATCH(A554,DefaultAuctionValues!$A$2:$A$359,0)),0),IF(LeagueInfo!$F$7="ESPN",IFERROR(INDEX(DefaultAuctionValues!$C$2:$C$359,MATCH(A554,DefaultAuctionValues!$A$2:$A$359,0)),0),IF(LeagueInfo!$F$7="FantasyPros",IFERROR(INDEX(DefaultAuctionValues!$D$2:$D$359,MATCH(A554,DefaultAuctionValues!$A$2:$A$359,0)),0))))</f>
        <v>0</v>
      </c>
      <c r="L554" s="197">
        <f ca="1">I554-K554</f>
        <v>-17.926264308264223</v>
      </c>
      <c r="M554" s="213"/>
      <c r="N554" s="208">
        <f ca="1">INDEX(INDIRECT(""&amp;$B554&amp;"!y2:y709"),MATCH($A554,INDIRECT(""&amp;$B554&amp;"!B2:B709"),0))</f>
        <v>-37.425000000000004</v>
      </c>
      <c r="O554" s="217" t="str">
        <f ca="1">IF(INDEX(INDIRECT(""&amp;$B554&amp;"!V2:V700"),MATCH($A554,INDIRECT(""&amp;$B554&amp;"!B2:B700"),0))=0,"",INDEX(INDIRECT(""&amp;$B554&amp;"!V2:V700"),MATCH($A554,INDIRECT(""&amp;$B554&amp;"!B2:B700"),0)))</f>
        <v/>
      </c>
    </row>
    <row r="555" spans="1:15" x14ac:dyDescent="0.25">
      <c r="A555" s="195" t="s">
        <v>633</v>
      </c>
      <c r="B555" s="195" t="s">
        <v>39</v>
      </c>
      <c r="C555" s="195">
        <f ca="1">IFERROR(INDEX(BYEs!$B$2:$B$33,MATCH(D555,BYEs!$A$2:$A$33,0)),"N/A")</f>
        <v>9</v>
      </c>
      <c r="D555" s="195" t="str">
        <f ca="1">INDEX(INDIRECT(""&amp;B555&amp;"!E2:E700"),MATCH(A555,INDIRECT(""&amp;B555&amp;"!B2:B700"),0))</f>
        <v>PIT</v>
      </c>
      <c r="E555" s="194" t="str">
        <f ca="1">INDEX(INDIRECT(""&amp;$B555&amp;"!Z2:Z709"),MATCH($A555,INDIRECT(""&amp;$B555&amp;"!B2:B709"),0))</f>
        <v>WR10</v>
      </c>
      <c r="F555" s="196">
        <f ca="1">IF(LeagueInfo!$H$7="Starter/Bench",INDEX(INDIRECT(""&amp;B555&amp;"!S2:S709"),MATCH(A555,INDIRECT(""&amp;B555&amp;"!B2:B709"),0)),INDEX(INDIRECT(""&amp;B555&amp;"!AA2:AA709"),MATCH(A555,INDIRECT(""&amp;B555&amp;"!B2:B709"),0)))</f>
        <v>-17.947818934686985</v>
      </c>
      <c r="G555" s="197">
        <f>IF(H555&gt;0,F555-H555,0)</f>
        <v>0</v>
      </c>
      <c r="H555" s="198"/>
      <c r="I555" s="197">
        <f ca="1">F555*$A$2</f>
        <v>-17.947818934686985</v>
      </c>
      <c r="J555" s="197" t="s">
        <v>80</v>
      </c>
      <c r="K555" s="197">
        <f>IF(LeagueInfo!$F$7="Yahoo",IFERROR(INDEX(DefaultAuctionValues!$B$2:$B$359,MATCH(A555,DefaultAuctionValues!$A$2:$A$359,0)),0),IF(LeagueInfo!$F$7="ESPN",IFERROR(INDEX(DefaultAuctionValues!$C$2:$C$359,MATCH(A555,DefaultAuctionValues!$A$2:$A$359,0)),0),IF(LeagueInfo!$F$7="FantasyPros",IFERROR(INDEX(DefaultAuctionValues!$D$2:$D$359,MATCH(A555,DefaultAuctionValues!$A$2:$A$359,0)),0))))</f>
        <v>0</v>
      </c>
      <c r="L555" s="197">
        <f ca="1">I555-K555</f>
        <v>-17.947818934686985</v>
      </c>
      <c r="M555" s="213"/>
      <c r="N555" s="208">
        <f ca="1">INDEX(INDIRECT(""&amp;$B555&amp;"!y2:y709"),MATCH($A555,INDIRECT(""&amp;$B555&amp;"!B2:B709"),0))</f>
        <v>-37.47</v>
      </c>
      <c r="O555" s="217" t="str">
        <f ca="1">IF(INDEX(INDIRECT(""&amp;$B555&amp;"!V2:V700"),MATCH($A555,INDIRECT(""&amp;$B555&amp;"!B2:B700"),0))=0,"",INDEX(INDIRECT(""&amp;$B555&amp;"!V2:V700"),MATCH($A555,INDIRECT(""&amp;$B555&amp;"!B2:B700"),0)))</f>
        <v/>
      </c>
    </row>
    <row r="556" spans="1:15" x14ac:dyDescent="0.25">
      <c r="A556" s="195" t="s">
        <v>709</v>
      </c>
      <c r="B556" s="195" t="s">
        <v>39</v>
      </c>
      <c r="C556" s="195">
        <f ca="1">IFERROR(INDEX(BYEs!$B$2:$B$33,MATCH(D556,BYEs!$A$2:$A$33,0)),"N/A")</f>
        <v>11</v>
      </c>
      <c r="D556" s="195" t="str">
        <f ca="1">INDEX(INDIRECT(""&amp;B556&amp;"!E2:E700"),MATCH(A556,INDIRECT(""&amp;B556&amp;"!B2:B700"),0))</f>
        <v>NYJ</v>
      </c>
      <c r="E556" s="194" t="str">
        <f ca="1">INDEX(INDIRECT(""&amp;$B556&amp;"!Z2:Z709"),MATCH($A556,INDIRECT(""&amp;$B556&amp;"!B2:B709"),0))</f>
        <v>WR10</v>
      </c>
      <c r="F556" s="196">
        <f ca="1">IF(LeagueInfo!$H$7="Starter/Bench",INDEX(INDIRECT(""&amp;B556&amp;"!S2:S709"),MATCH(A556,INDIRECT(""&amp;B556&amp;"!B2:B709"),0)),INDEX(INDIRECT(""&amp;B556&amp;"!AA2:AA709"),MATCH(A556,INDIRECT(""&amp;B556&amp;"!B2:B709"),0)))</f>
        <v>-17.978953395075422</v>
      </c>
      <c r="G556" s="197">
        <f>IF(H556&gt;0,F556-H556,0)</f>
        <v>0</v>
      </c>
      <c r="H556" s="198"/>
      <c r="I556" s="197">
        <f ca="1">F556*$A$2</f>
        <v>-17.978953395075422</v>
      </c>
      <c r="J556" s="197" t="s">
        <v>80</v>
      </c>
      <c r="K556" s="197">
        <f>IF(LeagueInfo!$F$7="Yahoo",IFERROR(INDEX(DefaultAuctionValues!$B$2:$B$359,MATCH(A556,DefaultAuctionValues!$A$2:$A$359,0)),0),IF(LeagueInfo!$F$7="ESPN",IFERROR(INDEX(DefaultAuctionValues!$C$2:$C$359,MATCH(A556,DefaultAuctionValues!$A$2:$A$359,0)),0),IF(LeagueInfo!$F$7="FantasyPros",IFERROR(INDEX(DefaultAuctionValues!$D$2:$D$359,MATCH(A556,DefaultAuctionValues!$A$2:$A$359,0)),0))))</f>
        <v>0</v>
      </c>
      <c r="L556" s="197">
        <f ca="1">I556-K556</f>
        <v>-17.978953395075422</v>
      </c>
      <c r="M556" s="213"/>
      <c r="N556" s="208">
        <f ca="1">INDEX(INDIRECT(""&amp;$B556&amp;"!y2:y709"),MATCH($A556,INDIRECT(""&amp;$B556&amp;"!B2:B709"),0))</f>
        <v>-37.535000000000004</v>
      </c>
      <c r="O556" s="217" t="str">
        <f ca="1">IF(INDEX(INDIRECT(""&amp;$B556&amp;"!V2:V700"),MATCH($A556,INDIRECT(""&amp;$B556&amp;"!B2:B700"),0))=0,"",INDEX(INDIRECT(""&amp;$B556&amp;"!V2:V700"),MATCH($A556,INDIRECT(""&amp;$B556&amp;"!B2:B700"),0)))</f>
        <v/>
      </c>
    </row>
    <row r="557" spans="1:15" x14ac:dyDescent="0.25">
      <c r="A557" s="195" t="s">
        <v>627</v>
      </c>
      <c r="B557" s="195" t="s">
        <v>39</v>
      </c>
      <c r="C557" s="195">
        <f ca="1">IFERROR(INDEX(BYEs!$B$2:$B$33,MATCH(D557,BYEs!$A$2:$A$33,0)),"N/A")</f>
        <v>9</v>
      </c>
      <c r="D557" s="195" t="str">
        <f ca="1">INDEX(INDIRECT(""&amp;B557&amp;"!E2:E700"),MATCH(A557,INDIRECT(""&amp;B557&amp;"!B2:B700"),0))</f>
        <v>PIT</v>
      </c>
      <c r="E557" s="194" t="str">
        <f ca="1">INDEX(INDIRECT(""&amp;$B557&amp;"!Z2:Z709"),MATCH($A557,INDIRECT(""&amp;$B557&amp;"!B2:B709"),0))</f>
        <v>WR10</v>
      </c>
      <c r="F557" s="196">
        <f ca="1">IF(LeagueInfo!$H$7="Starter/Bench",INDEX(INDIRECT(""&amp;B557&amp;"!S2:S709"),MATCH(A557,INDIRECT(""&amp;B557&amp;"!B2:B709"),0)),INDEX(INDIRECT(""&amp;B557&amp;"!AA2:AA709"),MATCH(A557,INDIRECT(""&amp;B557&amp;"!B2:B709"),0)))</f>
        <v>-18.01727273093811</v>
      </c>
      <c r="G557" s="197">
        <f>IF(H557&gt;0,F557-H557,0)</f>
        <v>0</v>
      </c>
      <c r="H557" s="198"/>
      <c r="I557" s="197">
        <f ca="1">F557*$A$2</f>
        <v>-18.01727273093811</v>
      </c>
      <c r="J557" s="197" t="s">
        <v>80</v>
      </c>
      <c r="K557" s="197">
        <f>IF(LeagueInfo!$F$7="Yahoo",IFERROR(INDEX(DefaultAuctionValues!$B$2:$B$359,MATCH(A557,DefaultAuctionValues!$A$2:$A$359,0)),0),IF(LeagueInfo!$F$7="ESPN",IFERROR(INDEX(DefaultAuctionValues!$C$2:$C$359,MATCH(A557,DefaultAuctionValues!$A$2:$A$359,0)),0),IF(LeagueInfo!$F$7="FantasyPros",IFERROR(INDEX(DefaultAuctionValues!$D$2:$D$359,MATCH(A557,DefaultAuctionValues!$A$2:$A$359,0)),0))))</f>
        <v>0</v>
      </c>
      <c r="L557" s="197">
        <f ca="1">I557-K557</f>
        <v>-18.01727273093811</v>
      </c>
      <c r="M557" s="213"/>
      <c r="N557" s="208">
        <f ca="1">INDEX(INDIRECT(""&amp;$B557&amp;"!y2:y709"),MATCH($A557,INDIRECT(""&amp;$B557&amp;"!B2:B709"),0))</f>
        <v>-37.615000000000002</v>
      </c>
      <c r="O557" s="217" t="str">
        <f ca="1">IF(INDEX(INDIRECT(""&amp;$B557&amp;"!V2:V700"),MATCH($A557,INDIRECT(""&amp;$B557&amp;"!B2:B700"),0))=0,"",INDEX(INDIRECT(""&amp;$B557&amp;"!V2:V700"),MATCH($A557,INDIRECT(""&amp;$B557&amp;"!B2:B700"),0)))</f>
        <v/>
      </c>
    </row>
    <row r="558" spans="1:15" x14ac:dyDescent="0.25">
      <c r="A558" s="195" t="s">
        <v>639</v>
      </c>
      <c r="B558" s="195" t="s">
        <v>39</v>
      </c>
      <c r="C558" s="195">
        <f ca="1">IFERROR(INDEX(BYEs!$B$2:$B$33,MATCH(D558,BYEs!$A$2:$A$33,0)),"N/A")</f>
        <v>5</v>
      </c>
      <c r="D558" s="195" t="str">
        <f ca="1">INDEX(INDIRECT(""&amp;B558&amp;"!E2:E700"),MATCH(A558,INDIRECT(""&amp;B558&amp;"!B2:B700"),0))</f>
        <v>WAS</v>
      </c>
      <c r="E558" s="194" t="str">
        <f ca="1">INDEX(INDIRECT(""&amp;$B558&amp;"!Z2:Z709"),MATCH($A558,INDIRECT(""&amp;$B558&amp;"!B2:B709"),0))</f>
        <v>WR10</v>
      </c>
      <c r="F558" s="196">
        <f ca="1">IF(LeagueInfo!$H$7="Starter/Bench",INDEX(INDIRECT(""&amp;B558&amp;"!S2:S709"),MATCH(A558,INDIRECT(""&amp;B558&amp;"!B2:B709"),0)),INDEX(INDIRECT(""&amp;B558&amp;"!AA2:AA709"),MATCH(A558,INDIRECT(""&amp;B558&amp;"!B2:B709"),0)))</f>
        <v>-18.108281153611994</v>
      </c>
      <c r="G558" s="197">
        <f>IF(H558&gt;0,F558-H558,0)</f>
        <v>0</v>
      </c>
      <c r="H558" s="198"/>
      <c r="I558" s="197">
        <f ca="1">F558*$A$2</f>
        <v>-18.108281153611994</v>
      </c>
      <c r="J558" s="197" t="s">
        <v>80</v>
      </c>
      <c r="K558" s="197">
        <f>IF(LeagueInfo!$F$7="Yahoo",IFERROR(INDEX(DefaultAuctionValues!$B$2:$B$359,MATCH(A558,DefaultAuctionValues!$A$2:$A$359,0)),0),IF(LeagueInfo!$F$7="ESPN",IFERROR(INDEX(DefaultAuctionValues!$C$2:$C$359,MATCH(A558,DefaultAuctionValues!$A$2:$A$359,0)),0),IF(LeagueInfo!$F$7="FantasyPros",IFERROR(INDEX(DefaultAuctionValues!$D$2:$D$359,MATCH(A558,DefaultAuctionValues!$A$2:$A$359,0)),0))))</f>
        <v>0</v>
      </c>
      <c r="L558" s="197">
        <f ca="1">I558-K558</f>
        <v>-18.108281153611994</v>
      </c>
      <c r="M558" s="213"/>
      <c r="N558" s="208">
        <f ca="1">INDEX(INDIRECT(""&amp;$B558&amp;"!y2:y709"),MATCH($A558,INDIRECT(""&amp;$B558&amp;"!B2:B709"),0))</f>
        <v>-37.805</v>
      </c>
      <c r="O558" s="217" t="str">
        <f ca="1">IF(INDEX(INDIRECT(""&amp;$B558&amp;"!V2:V700"),MATCH($A558,INDIRECT(""&amp;$B558&amp;"!B2:B700"),0))=0,"",INDEX(INDIRECT(""&amp;$B558&amp;"!V2:V700"),MATCH($A558,INDIRECT(""&amp;$B558&amp;"!B2:B700"),0)))</f>
        <v/>
      </c>
    </row>
    <row r="559" spans="1:15" x14ac:dyDescent="0.25">
      <c r="A559" s="195" t="s">
        <v>643</v>
      </c>
      <c r="B559" s="195" t="s">
        <v>39</v>
      </c>
      <c r="C559" s="195">
        <f ca="1">IFERROR(INDEX(BYEs!$B$2:$B$33,MATCH(D559,BYEs!$A$2:$A$33,0)),"N/A")</f>
        <v>6</v>
      </c>
      <c r="D559" s="195" t="str">
        <f ca="1">INDEX(INDIRECT(""&amp;B559&amp;"!E2:E700"),MATCH(A559,INDIRECT(""&amp;B559&amp;"!B2:B700"),0))</f>
        <v>SEA</v>
      </c>
      <c r="E559" s="194" t="str">
        <f ca="1">INDEX(INDIRECT(""&amp;$B559&amp;"!Z2:Z709"),MATCH($A559,INDIRECT(""&amp;$B559&amp;"!B2:B709"),0))</f>
        <v>WR10</v>
      </c>
      <c r="F559" s="196">
        <f ca="1">IF(LeagueInfo!$H$7="Starter/Bench",INDEX(INDIRECT(""&amp;B559&amp;"!S2:S709"),MATCH(A559,INDIRECT(""&amp;B559&amp;"!B2:B709"),0)),INDEX(INDIRECT(""&amp;B559&amp;"!AA2:AA709"),MATCH(A559,INDIRECT(""&amp;B559&amp;"!B2:B709"),0)))</f>
        <v>-18.168155115897449</v>
      </c>
      <c r="G559" s="197">
        <f>IF(H559&gt;0,F559-H559,0)</f>
        <v>0</v>
      </c>
      <c r="H559" s="198"/>
      <c r="I559" s="197">
        <f ca="1">F559*$A$2</f>
        <v>-18.168155115897449</v>
      </c>
      <c r="J559" s="197" t="s">
        <v>80</v>
      </c>
      <c r="K559" s="197">
        <f>IF(LeagueInfo!$F$7="Yahoo",IFERROR(INDEX(DefaultAuctionValues!$B$2:$B$359,MATCH(A559,DefaultAuctionValues!$A$2:$A$359,0)),0),IF(LeagueInfo!$F$7="ESPN",IFERROR(INDEX(DefaultAuctionValues!$C$2:$C$359,MATCH(A559,DefaultAuctionValues!$A$2:$A$359,0)),0),IF(LeagueInfo!$F$7="FantasyPros",IFERROR(INDEX(DefaultAuctionValues!$D$2:$D$359,MATCH(A559,DefaultAuctionValues!$A$2:$A$359,0)),0))))</f>
        <v>0</v>
      </c>
      <c r="L559" s="197">
        <f ca="1">I559-K559</f>
        <v>-18.168155115897449</v>
      </c>
      <c r="M559" s="213"/>
      <c r="N559" s="208">
        <f ca="1">INDEX(INDIRECT(""&amp;$B559&amp;"!y2:y709"),MATCH($A559,INDIRECT(""&amp;$B559&amp;"!B2:B709"),0))</f>
        <v>-37.93</v>
      </c>
      <c r="O559" s="217" t="str">
        <f ca="1">IF(INDEX(INDIRECT(""&amp;$B559&amp;"!V2:V700"),MATCH($A559,INDIRECT(""&amp;$B559&amp;"!B2:B700"),0))=0,"",INDEX(INDIRECT(""&amp;$B559&amp;"!V2:V700"),MATCH($A559,INDIRECT(""&amp;$B559&amp;"!B2:B700"),0)))</f>
        <v/>
      </c>
    </row>
    <row r="560" spans="1:15" x14ac:dyDescent="0.25">
      <c r="A560" s="195" t="s">
        <v>623</v>
      </c>
      <c r="B560" s="195" t="s">
        <v>39</v>
      </c>
      <c r="C560" s="195">
        <f ca="1">IFERROR(INDEX(BYEs!$B$2:$B$33,MATCH(D560,BYEs!$A$2:$A$33,0)),"N/A")</f>
        <v>10</v>
      </c>
      <c r="D560" s="195" t="str">
        <f ca="1">INDEX(INDIRECT(""&amp;B560&amp;"!E2:E700"),MATCH(A560,INDIRECT(""&amp;B560&amp;"!B2:B700"),0))</f>
        <v>BAL</v>
      </c>
      <c r="E560" s="194" t="str">
        <f ca="1">INDEX(INDIRECT(""&amp;$B560&amp;"!Z2:Z709"),MATCH($A560,INDIRECT(""&amp;$B560&amp;"!B2:B709"),0))</f>
        <v>WR10</v>
      </c>
      <c r="F560" s="196">
        <f ca="1">IF(LeagueInfo!$H$7="Starter/Bench",INDEX(INDIRECT(""&amp;B560&amp;"!S2:S709"),MATCH(A560,INDIRECT(""&amp;B560&amp;"!B2:B709"),0)),INDEX(INDIRECT(""&amp;B560&amp;"!AA2:AA709"),MATCH(A560,INDIRECT(""&amp;B560&amp;"!B2:B709"),0)))</f>
        <v>-18.297482874434024</v>
      </c>
      <c r="G560" s="197">
        <f>IF(H560&gt;0,F560-H560,0)</f>
        <v>0</v>
      </c>
      <c r="H560" s="198"/>
      <c r="I560" s="197">
        <f ca="1">F560*$A$2</f>
        <v>-18.297482874434024</v>
      </c>
      <c r="J560" s="197" t="s">
        <v>80</v>
      </c>
      <c r="K560" s="197">
        <f>IF(LeagueInfo!$F$7="Yahoo",IFERROR(INDEX(DefaultAuctionValues!$B$2:$B$359,MATCH(A560,DefaultAuctionValues!$A$2:$A$359,0)),0),IF(LeagueInfo!$F$7="ESPN",IFERROR(INDEX(DefaultAuctionValues!$C$2:$C$359,MATCH(A560,DefaultAuctionValues!$A$2:$A$359,0)),0),IF(LeagueInfo!$F$7="FantasyPros",IFERROR(INDEX(DefaultAuctionValues!$D$2:$D$359,MATCH(A560,DefaultAuctionValues!$A$2:$A$359,0)),0))))</f>
        <v>0</v>
      </c>
      <c r="L560" s="197">
        <f ca="1">I560-K560</f>
        <v>-18.297482874434024</v>
      </c>
      <c r="M560" s="213"/>
      <c r="N560" s="208">
        <f ca="1">INDEX(INDIRECT(""&amp;$B560&amp;"!y2:y709"),MATCH($A560,INDIRECT(""&amp;$B560&amp;"!B2:B709"),0))</f>
        <v>-38.200000000000003</v>
      </c>
      <c r="O560" s="217" t="str">
        <f ca="1">IF(INDEX(INDIRECT(""&amp;$B560&amp;"!V2:V700"),MATCH($A560,INDIRECT(""&amp;$B560&amp;"!B2:B700"),0))=0,"",INDEX(INDIRECT(""&amp;$B560&amp;"!V2:V700"),MATCH($A560,INDIRECT(""&amp;$B560&amp;"!B2:B700"),0)))</f>
        <v/>
      </c>
    </row>
    <row r="561" spans="1:15" x14ac:dyDescent="0.25">
      <c r="A561" s="195" t="s">
        <v>679</v>
      </c>
      <c r="B561" s="195" t="s">
        <v>39</v>
      </c>
      <c r="C561" s="195">
        <f ca="1">IFERROR(INDEX(BYEs!$B$2:$B$33,MATCH(D561,BYEs!$A$2:$A$33,0)),"N/A")</f>
        <v>11</v>
      </c>
      <c r="D561" s="195" t="str">
        <f ca="1">INDEX(INDIRECT(""&amp;B561&amp;"!E2:E700"),MATCH(A561,INDIRECT(""&amp;B561&amp;"!B2:B700"),0))</f>
        <v>NYJ</v>
      </c>
      <c r="E561" s="194" t="str">
        <f ca="1">INDEX(INDIRECT(""&amp;$B561&amp;"!Z2:Z709"),MATCH($A561,INDIRECT(""&amp;$B561&amp;"!B2:B709"),0))</f>
        <v>WR10</v>
      </c>
      <c r="F561" s="196">
        <f ca="1">IF(LeagueInfo!$H$7="Starter/Bench",INDEX(INDIRECT(""&amp;B561&amp;"!S2:S709"),MATCH(A561,INDIRECT(""&amp;B561&amp;"!B2:B709"),0)),INDEX(INDIRECT(""&amp;B561&amp;"!AA2:AA709"),MATCH(A561,INDIRECT(""&amp;B561&amp;"!B2:B709"),0)))</f>
        <v>-18.505844263187395</v>
      </c>
      <c r="G561" s="197">
        <f>IF(H561&gt;0,F561-H561,0)</f>
        <v>0</v>
      </c>
      <c r="H561" s="198"/>
      <c r="I561" s="197">
        <f ca="1">F561*$A$2</f>
        <v>-18.505844263187395</v>
      </c>
      <c r="J561" s="197" t="s">
        <v>80</v>
      </c>
      <c r="K561" s="197">
        <f>IF(LeagueInfo!$F$7="Yahoo",IFERROR(INDEX(DefaultAuctionValues!$B$2:$B$359,MATCH(A561,DefaultAuctionValues!$A$2:$A$359,0)),0),IF(LeagueInfo!$F$7="ESPN",IFERROR(INDEX(DefaultAuctionValues!$C$2:$C$359,MATCH(A561,DefaultAuctionValues!$A$2:$A$359,0)),0),IF(LeagueInfo!$F$7="FantasyPros",IFERROR(INDEX(DefaultAuctionValues!$D$2:$D$359,MATCH(A561,DefaultAuctionValues!$A$2:$A$359,0)),0))))</f>
        <v>0</v>
      </c>
      <c r="L561" s="197">
        <f ca="1">I561-K561</f>
        <v>-18.505844263187395</v>
      </c>
      <c r="M561" s="213"/>
      <c r="N561" s="208">
        <f ca="1">INDEX(INDIRECT(""&amp;$B561&amp;"!y2:y709"),MATCH($A561,INDIRECT(""&amp;$B561&amp;"!B2:B709"),0))</f>
        <v>-38.635000000000005</v>
      </c>
      <c r="O561" s="217" t="str">
        <f ca="1">IF(INDEX(INDIRECT(""&amp;$B561&amp;"!V2:V700"),MATCH($A561,INDIRECT(""&amp;$B561&amp;"!B2:B700"),0))=0,"",INDEX(INDIRECT(""&amp;$B561&amp;"!V2:V700"),MATCH($A561,INDIRECT(""&amp;$B561&amp;"!B2:B700"),0)))</f>
        <v/>
      </c>
    </row>
    <row r="562" spans="1:15" x14ac:dyDescent="0.25">
      <c r="A562" s="195" t="s">
        <v>635</v>
      </c>
      <c r="B562" s="195" t="s">
        <v>39</v>
      </c>
      <c r="C562" s="195">
        <f ca="1">IFERROR(INDEX(BYEs!$B$2:$B$33,MATCH(D562,BYEs!$A$2:$A$33,0)),"N/A")</f>
        <v>5</v>
      </c>
      <c r="D562" s="195" t="str">
        <f ca="1">INDEX(INDIRECT(""&amp;B562&amp;"!E2:E700"),MATCH(A562,INDIRECT(""&amp;B562&amp;"!B2:B700"),0))</f>
        <v>DEN</v>
      </c>
      <c r="E562" s="194" t="str">
        <f ca="1">INDEX(INDIRECT(""&amp;$B562&amp;"!Z2:Z709"),MATCH($A562,INDIRECT(""&amp;$B562&amp;"!B2:B709"),0))</f>
        <v>WR10</v>
      </c>
      <c r="F562" s="196">
        <f ca="1">IF(LeagueInfo!$H$7="Starter/Bench",INDEX(INDIRECT(""&amp;B562&amp;"!S2:S709"),MATCH(A562,INDIRECT(""&amp;B562&amp;"!B2:B709"),0)),INDEX(INDIRECT(""&amp;B562&amp;"!AA2:AA709"),MATCH(A562,INDIRECT(""&amp;B562&amp;"!B2:B709"),0)))</f>
        <v>-18.56571822547285</v>
      </c>
      <c r="G562" s="197">
        <f>IF(H562&gt;0,F562-H562,0)</f>
        <v>0</v>
      </c>
      <c r="H562" s="198"/>
      <c r="I562" s="197">
        <f ca="1">F562*$A$2</f>
        <v>-18.56571822547285</v>
      </c>
      <c r="J562" s="197" t="s">
        <v>80</v>
      </c>
      <c r="K562" s="197">
        <f>IF(LeagueInfo!$F$7="Yahoo",IFERROR(INDEX(DefaultAuctionValues!$B$2:$B$359,MATCH(A562,DefaultAuctionValues!$A$2:$A$359,0)),0),IF(LeagueInfo!$F$7="ESPN",IFERROR(INDEX(DefaultAuctionValues!$C$2:$C$359,MATCH(A562,DefaultAuctionValues!$A$2:$A$359,0)),0),IF(LeagueInfo!$F$7="FantasyPros",IFERROR(INDEX(DefaultAuctionValues!$D$2:$D$359,MATCH(A562,DefaultAuctionValues!$A$2:$A$359,0)),0))))</f>
        <v>0</v>
      </c>
      <c r="L562" s="197">
        <f ca="1">I562-K562</f>
        <v>-18.56571822547285</v>
      </c>
      <c r="M562" s="213"/>
      <c r="N562" s="208">
        <f ca="1">INDEX(INDIRECT(""&amp;$B562&amp;"!y2:y709"),MATCH($A562,INDIRECT(""&amp;$B562&amp;"!B2:B709"),0))</f>
        <v>-38.760000000000005</v>
      </c>
      <c r="O562" s="217" t="str">
        <f ca="1">IF(INDEX(INDIRECT(""&amp;$B562&amp;"!V2:V700"),MATCH($A562,INDIRECT(""&amp;$B562&amp;"!B2:B700"),0))=0,"",INDEX(INDIRECT(""&amp;$B562&amp;"!V2:V700"),MATCH($A562,INDIRECT(""&amp;$B562&amp;"!B2:B700"),0)))</f>
        <v/>
      </c>
    </row>
    <row r="563" spans="1:15" x14ac:dyDescent="0.25">
      <c r="A563" s="195" t="s">
        <v>613</v>
      </c>
      <c r="B563" s="195" t="s">
        <v>39</v>
      </c>
      <c r="C563" s="195">
        <f ca="1">IFERROR(INDEX(BYEs!$B$2:$B$33,MATCH(D563,BYEs!$A$2:$A$33,0)),"N/A")</f>
        <v>8</v>
      </c>
      <c r="D563" s="195" t="str">
        <f ca="1">INDEX(INDIRECT(""&amp;B563&amp;"!E2:E700"),MATCH(A563,INDIRECT(""&amp;B563&amp;"!B2:B700"),0))</f>
        <v>LAR</v>
      </c>
      <c r="E563" s="194" t="str">
        <f ca="1">INDEX(INDIRECT(""&amp;$B563&amp;"!Z2:Z709"),MATCH($A563,INDIRECT(""&amp;$B563&amp;"!B2:B709"),0))</f>
        <v>WR10</v>
      </c>
      <c r="F563" s="196">
        <f ca="1">IF(LeagueInfo!$H$7="Starter/Bench",INDEX(INDIRECT(""&amp;B563&amp;"!S2:S709"),MATCH(A563,INDIRECT(""&amp;B563&amp;"!B2:B709"),0)),INDEX(INDIRECT(""&amp;B563&amp;"!AA2:AA709"),MATCH(A563,INDIRECT(""&amp;B563&amp;"!B2:B709"),0)))</f>
        <v>-18.57529805943852</v>
      </c>
      <c r="G563" s="197">
        <f>IF(H563&gt;0,F563-H563,0)</f>
        <v>0</v>
      </c>
      <c r="H563" s="198"/>
      <c r="I563" s="197">
        <f ca="1">F563*$A$2</f>
        <v>-18.57529805943852</v>
      </c>
      <c r="J563" s="197" t="s">
        <v>80</v>
      </c>
      <c r="K563" s="197">
        <f>IF(LeagueInfo!$F$7="Yahoo",IFERROR(INDEX(DefaultAuctionValues!$B$2:$B$359,MATCH(A563,DefaultAuctionValues!$A$2:$A$359,0)),0),IF(LeagueInfo!$F$7="ESPN",IFERROR(INDEX(DefaultAuctionValues!$C$2:$C$359,MATCH(A563,DefaultAuctionValues!$A$2:$A$359,0)),0),IF(LeagueInfo!$F$7="FantasyPros",IFERROR(INDEX(DefaultAuctionValues!$D$2:$D$359,MATCH(A563,DefaultAuctionValues!$A$2:$A$359,0)),0))))</f>
        <v>0</v>
      </c>
      <c r="L563" s="197">
        <f ca="1">I563-K563</f>
        <v>-18.57529805943852</v>
      </c>
      <c r="M563" s="213"/>
      <c r="N563" s="208">
        <f ca="1">INDEX(INDIRECT(""&amp;$B563&amp;"!y2:y709"),MATCH($A563,INDIRECT(""&amp;$B563&amp;"!B2:B709"),0))</f>
        <v>-38.78</v>
      </c>
      <c r="O563" s="217" t="str">
        <f ca="1">IF(INDEX(INDIRECT(""&amp;$B563&amp;"!V2:V700"),MATCH($A563,INDIRECT(""&amp;$B563&amp;"!B2:B700"),0))=0,"",INDEX(INDIRECT(""&amp;$B563&amp;"!V2:V700"),MATCH($A563,INDIRECT(""&amp;$B563&amp;"!B2:B700"),0)))</f>
        <v/>
      </c>
    </row>
    <row r="564" spans="1:15" x14ac:dyDescent="0.25">
      <c r="A564" s="195" t="s">
        <v>647</v>
      </c>
      <c r="B564" s="195" t="s">
        <v>39</v>
      </c>
      <c r="C564" s="195">
        <f ca="1">IFERROR(INDEX(BYEs!$B$2:$B$33,MATCH(D564,BYEs!$A$2:$A$33,0)),"N/A")</f>
        <v>11</v>
      </c>
      <c r="D564" s="195" t="str">
        <f ca="1">INDEX(INDIRECT(""&amp;B564&amp;"!E2:E700"),MATCH(A564,INDIRECT(""&amp;B564&amp;"!B2:B700"),0))</f>
        <v>MIA</v>
      </c>
      <c r="E564" s="194" t="str">
        <f ca="1">INDEX(INDIRECT(""&amp;$B564&amp;"!Z2:Z709"),MATCH($A564,INDIRECT(""&amp;$B564&amp;"!B2:B709"),0))</f>
        <v>WR10</v>
      </c>
      <c r="F564" s="196">
        <f ca="1">IF(LeagueInfo!$H$7="Starter/Bench",INDEX(INDIRECT(""&amp;B564&amp;"!S2:S709"),MATCH(A564,INDIRECT(""&amp;B564&amp;"!B2:B709"),0)),INDEX(INDIRECT(""&amp;B564&amp;"!AA2:AA709"),MATCH(A564,INDIRECT(""&amp;B564&amp;"!B2:B709"),0)))</f>
        <v>-18.817188867071746</v>
      </c>
      <c r="G564" s="197">
        <f>IF(H564&gt;0,F564-H564,0)</f>
        <v>0</v>
      </c>
      <c r="H564" s="198"/>
      <c r="I564" s="197">
        <f ca="1">F564*$A$2</f>
        <v>-18.817188867071746</v>
      </c>
      <c r="J564" s="197" t="s">
        <v>80</v>
      </c>
      <c r="K564" s="197">
        <f>IF(LeagueInfo!$F$7="Yahoo",IFERROR(INDEX(DefaultAuctionValues!$B$2:$B$359,MATCH(A564,DefaultAuctionValues!$A$2:$A$359,0)),0),IF(LeagueInfo!$F$7="ESPN",IFERROR(INDEX(DefaultAuctionValues!$C$2:$C$359,MATCH(A564,DefaultAuctionValues!$A$2:$A$359,0)),0),IF(LeagueInfo!$F$7="FantasyPros",IFERROR(INDEX(DefaultAuctionValues!$D$2:$D$359,MATCH(A564,DefaultAuctionValues!$A$2:$A$359,0)),0))))</f>
        <v>0</v>
      </c>
      <c r="L564" s="197">
        <f ca="1">I564-K564</f>
        <v>-18.817188867071746</v>
      </c>
      <c r="M564" s="213"/>
      <c r="N564" s="208">
        <f ca="1">INDEX(INDIRECT(""&amp;$B564&amp;"!y2:y709"),MATCH($A564,INDIRECT(""&amp;$B564&amp;"!B2:B709"),0))</f>
        <v>-39.285000000000004</v>
      </c>
      <c r="O564" s="217" t="str">
        <f ca="1">IF(INDEX(INDIRECT(""&amp;$B564&amp;"!V2:V700"),MATCH($A564,INDIRECT(""&amp;$B564&amp;"!B2:B700"),0))=0,"",INDEX(INDIRECT(""&amp;$B564&amp;"!V2:V700"),MATCH($A564,INDIRECT(""&amp;$B564&amp;"!B2:B700"),0)))</f>
        <v/>
      </c>
    </row>
    <row r="565" spans="1:15" x14ac:dyDescent="0.25">
      <c r="A565" s="195" t="s">
        <v>699</v>
      </c>
      <c r="B565" s="195" t="s">
        <v>39</v>
      </c>
      <c r="C565" s="195">
        <f ca="1">IFERROR(INDEX(BYEs!$B$2:$B$33,MATCH(D565,BYEs!$A$2:$A$33,0)),"N/A")</f>
        <v>10</v>
      </c>
      <c r="D565" s="195" t="str">
        <f ca="1">INDEX(INDIRECT(""&amp;B565&amp;"!E2:E700"),MATCH(A565,INDIRECT(""&amp;B565&amp;"!B2:B700"),0))</f>
        <v>PHI</v>
      </c>
      <c r="E565" s="194" t="str">
        <f ca="1">INDEX(INDIRECT(""&amp;$B565&amp;"!Z2:Z709"),MATCH($A565,INDIRECT(""&amp;$B565&amp;"!B2:B709"),0))</f>
        <v>WR10</v>
      </c>
      <c r="F565" s="196">
        <f ca="1">IF(LeagueInfo!$H$7="Starter/Bench",INDEX(INDIRECT(""&amp;B565&amp;"!S2:S709"),MATCH(A565,INDIRECT(""&amp;B565&amp;"!B2:B709"),0)),INDEX(INDIRECT(""&amp;B565&amp;"!AA2:AA709"),MATCH(A565,INDIRECT(""&amp;B565&amp;"!B2:B709"),0)))</f>
        <v>-18.869877953882941</v>
      </c>
      <c r="G565" s="197">
        <f>IF(H565&gt;0,F565-H565,0)</f>
        <v>0</v>
      </c>
      <c r="H565" s="198"/>
      <c r="I565" s="197">
        <f ca="1">F565*$A$2</f>
        <v>-18.869877953882941</v>
      </c>
      <c r="J565" s="197" t="s">
        <v>80</v>
      </c>
      <c r="K565" s="197">
        <f>IF(LeagueInfo!$F$7="Yahoo",IFERROR(INDEX(DefaultAuctionValues!$B$2:$B$359,MATCH(A565,DefaultAuctionValues!$A$2:$A$359,0)),0),IF(LeagueInfo!$F$7="ESPN",IFERROR(INDEX(DefaultAuctionValues!$C$2:$C$359,MATCH(A565,DefaultAuctionValues!$A$2:$A$359,0)),0),IF(LeagueInfo!$F$7="FantasyPros",IFERROR(INDEX(DefaultAuctionValues!$D$2:$D$359,MATCH(A565,DefaultAuctionValues!$A$2:$A$359,0)),0))))</f>
        <v>0</v>
      </c>
      <c r="L565" s="197">
        <f ca="1">I565-K565</f>
        <v>-18.869877953882941</v>
      </c>
      <c r="M565" s="213"/>
      <c r="N565" s="208">
        <f ca="1">INDEX(INDIRECT(""&amp;$B565&amp;"!y2:y709"),MATCH($A565,INDIRECT(""&amp;$B565&amp;"!B2:B709"),0))</f>
        <v>-39.395000000000003</v>
      </c>
      <c r="O565" s="217" t="str">
        <f ca="1">IF(INDEX(INDIRECT(""&amp;$B565&amp;"!V2:V700"),MATCH($A565,INDIRECT(""&amp;$B565&amp;"!B2:B700"),0))=0,"",INDEX(INDIRECT(""&amp;$B565&amp;"!V2:V700"),MATCH($A565,INDIRECT(""&amp;$B565&amp;"!B2:B700"),0)))</f>
        <v/>
      </c>
    </row>
    <row r="566" spans="1:15" x14ac:dyDescent="0.25">
      <c r="A566" s="195" t="s">
        <v>634</v>
      </c>
      <c r="B566" s="195" t="s">
        <v>39</v>
      </c>
      <c r="C566" s="195">
        <f ca="1">IFERROR(INDEX(BYEs!$B$2:$B$33,MATCH(D566,BYEs!$A$2:$A$33,0)),"N/A")</f>
        <v>8</v>
      </c>
      <c r="D566" s="195" t="str">
        <f ca="1">INDEX(INDIRECT(""&amp;B566&amp;"!E2:E700"),MATCH(A566,INDIRECT(""&amp;B566&amp;"!B2:B700"),0))</f>
        <v>TEN</v>
      </c>
      <c r="E566" s="194" t="str">
        <f ca="1">INDEX(INDIRECT(""&amp;$B566&amp;"!Z2:Z709"),MATCH($A566,INDIRECT(""&amp;$B566&amp;"!B2:B709"),0))</f>
        <v>WR10</v>
      </c>
      <c r="F566" s="196">
        <f ca="1">IF(LeagueInfo!$H$7="Starter/Bench",INDEX(INDIRECT(""&amp;B566&amp;"!S2:S709"),MATCH(A566,INDIRECT(""&amp;B566&amp;"!B2:B709"),0)),INDEX(INDIRECT(""&amp;B566&amp;"!AA2:AA709"),MATCH(A566,INDIRECT(""&amp;B566&amp;"!B2:B709"),0)))</f>
        <v>-18.877062829357197</v>
      </c>
      <c r="G566" s="197">
        <f>IF(H566&gt;0,F566-H566,0)</f>
        <v>0</v>
      </c>
      <c r="H566" s="198"/>
      <c r="I566" s="197">
        <f ca="1">F566*$A$2</f>
        <v>-18.877062829357197</v>
      </c>
      <c r="J566" s="197" t="s">
        <v>80</v>
      </c>
      <c r="K566" s="197">
        <f>IF(LeagueInfo!$F$7="Yahoo",IFERROR(INDEX(DefaultAuctionValues!$B$2:$B$359,MATCH(A566,DefaultAuctionValues!$A$2:$A$359,0)),0),IF(LeagueInfo!$F$7="ESPN",IFERROR(INDEX(DefaultAuctionValues!$C$2:$C$359,MATCH(A566,DefaultAuctionValues!$A$2:$A$359,0)),0),IF(LeagueInfo!$F$7="FantasyPros",IFERROR(INDEX(DefaultAuctionValues!$D$2:$D$359,MATCH(A566,DefaultAuctionValues!$A$2:$A$359,0)),0))))</f>
        <v>0</v>
      </c>
      <c r="L566" s="197">
        <f ca="1">I566-K566</f>
        <v>-18.877062829357197</v>
      </c>
      <c r="M566" s="213"/>
      <c r="N566" s="208">
        <f ca="1">INDEX(INDIRECT(""&amp;$B566&amp;"!y2:y709"),MATCH($A566,INDIRECT(""&amp;$B566&amp;"!B2:B709"),0))</f>
        <v>-39.410000000000004</v>
      </c>
      <c r="O566" s="217" t="str">
        <f ca="1">IF(INDEX(INDIRECT(""&amp;$B566&amp;"!V2:V700"),MATCH($A566,INDIRECT(""&amp;$B566&amp;"!B2:B700"),0))=0,"",INDEX(INDIRECT(""&amp;$B566&amp;"!V2:V700"),MATCH($A566,INDIRECT(""&amp;$B566&amp;"!B2:B700"),0)))</f>
        <v/>
      </c>
    </row>
    <row r="567" spans="1:15" x14ac:dyDescent="0.25">
      <c r="A567" s="195" t="s">
        <v>653</v>
      </c>
      <c r="B567" s="195" t="s">
        <v>39</v>
      </c>
      <c r="C567" s="195">
        <f ca="1">IFERROR(INDEX(BYEs!$B$2:$B$33,MATCH(D567,BYEs!$A$2:$A$33,0)),"N/A")</f>
        <v>8</v>
      </c>
      <c r="D567" s="195" t="str">
        <f ca="1">INDEX(INDIRECT(""&amp;B567&amp;"!E2:E700"),MATCH(A567,INDIRECT(""&amp;B567&amp;"!B2:B700"),0))</f>
        <v>TEN</v>
      </c>
      <c r="E567" s="194" t="str">
        <f ca="1">INDEX(INDIRECT(""&amp;$B567&amp;"!Z2:Z709"),MATCH($A567,INDIRECT(""&amp;$B567&amp;"!B2:B709"),0))</f>
        <v>WR10</v>
      </c>
      <c r="F567" s="196">
        <f ca="1">IF(LeagueInfo!$H$7="Starter/Bench",INDEX(INDIRECT(""&amp;B567&amp;"!S2:S709"),MATCH(A567,INDIRECT(""&amp;B567&amp;"!B2:B709"),0)),INDEX(INDIRECT(""&amp;B567&amp;"!AA2:AA709"),MATCH(A567,INDIRECT(""&amp;B567&amp;"!B2:B709"),0)))</f>
        <v>-18.953701501082573</v>
      </c>
      <c r="G567" s="197">
        <f>IF(H567&gt;0,F567-H567,0)</f>
        <v>0</v>
      </c>
      <c r="H567" s="198"/>
      <c r="I567" s="197">
        <f ca="1">F567*$A$2</f>
        <v>-18.953701501082573</v>
      </c>
      <c r="J567" s="197" t="s">
        <v>80</v>
      </c>
      <c r="K567" s="197">
        <f>IF(LeagueInfo!$F$7="Yahoo",IFERROR(INDEX(DefaultAuctionValues!$B$2:$B$359,MATCH(A567,DefaultAuctionValues!$A$2:$A$359,0)),0),IF(LeagueInfo!$F$7="ESPN",IFERROR(INDEX(DefaultAuctionValues!$C$2:$C$359,MATCH(A567,DefaultAuctionValues!$A$2:$A$359,0)),0),IF(LeagueInfo!$F$7="FantasyPros",IFERROR(INDEX(DefaultAuctionValues!$D$2:$D$359,MATCH(A567,DefaultAuctionValues!$A$2:$A$359,0)),0))))</f>
        <v>0</v>
      </c>
      <c r="L567" s="197">
        <f ca="1">I567-K567</f>
        <v>-18.953701501082573</v>
      </c>
      <c r="M567" s="213"/>
      <c r="N567" s="208">
        <f ca="1">INDEX(INDIRECT(""&amp;$B567&amp;"!y2:y709"),MATCH($A567,INDIRECT(""&amp;$B567&amp;"!B2:B709"),0))</f>
        <v>-39.57</v>
      </c>
      <c r="O567" s="217" t="str">
        <f ca="1">IF(INDEX(INDIRECT(""&amp;$B567&amp;"!V2:V700"),MATCH($A567,INDIRECT(""&amp;$B567&amp;"!B2:B700"),0))=0,"",INDEX(INDIRECT(""&amp;$B567&amp;"!V2:V700"),MATCH($A567,INDIRECT(""&amp;$B567&amp;"!B2:B700"),0)))</f>
        <v/>
      </c>
    </row>
    <row r="568" spans="1:15" x14ac:dyDescent="0.25">
      <c r="A568" s="195" t="s">
        <v>654</v>
      </c>
      <c r="B568" s="195" t="s">
        <v>39</v>
      </c>
      <c r="C568" s="195">
        <f ca="1">IFERROR(INDEX(BYEs!$B$2:$B$33,MATCH(D568,BYEs!$A$2:$A$33,0)),"N/A")</f>
        <v>10</v>
      </c>
      <c r="D568" s="195" t="str">
        <f ca="1">INDEX(INDIRECT(""&amp;B568&amp;"!E2:E700"),MATCH(A568,INDIRECT(""&amp;B568&amp;"!B2:B700"),0))</f>
        <v>KC</v>
      </c>
      <c r="E568" s="194" t="str">
        <f ca="1">INDEX(INDIRECT(""&amp;$B568&amp;"!Z2:Z709"),MATCH($A568,INDIRECT(""&amp;$B568&amp;"!B2:B709"),0))</f>
        <v>WR10</v>
      </c>
      <c r="F568" s="196">
        <f ca="1">IF(LeagueInfo!$H$7="Starter/Bench",INDEX(INDIRECT(""&amp;B568&amp;"!S2:S709"),MATCH(A568,INDIRECT(""&amp;B568&amp;"!B2:B709"),0)),INDEX(INDIRECT(""&amp;B568&amp;"!AA2:AA709"),MATCH(A568,INDIRECT(""&amp;B568&amp;"!B2:B709"),0)))</f>
        <v>-19.001600670910936</v>
      </c>
      <c r="G568" s="197">
        <f>IF(H568&gt;0,F568-H568,0)</f>
        <v>0</v>
      </c>
      <c r="H568" s="198"/>
      <c r="I568" s="197">
        <f ca="1">F568*$A$2</f>
        <v>-19.001600670910936</v>
      </c>
      <c r="J568" s="197" t="s">
        <v>80</v>
      </c>
      <c r="K568" s="197">
        <f>IF(LeagueInfo!$F$7="Yahoo",IFERROR(INDEX(DefaultAuctionValues!$B$2:$B$359,MATCH(A568,DefaultAuctionValues!$A$2:$A$359,0)),0),IF(LeagueInfo!$F$7="ESPN",IFERROR(INDEX(DefaultAuctionValues!$C$2:$C$359,MATCH(A568,DefaultAuctionValues!$A$2:$A$359,0)),0),IF(LeagueInfo!$F$7="FantasyPros",IFERROR(INDEX(DefaultAuctionValues!$D$2:$D$359,MATCH(A568,DefaultAuctionValues!$A$2:$A$359,0)),0))))</f>
        <v>0</v>
      </c>
      <c r="L568" s="197">
        <f ca="1">I568-K568</f>
        <v>-19.001600670910936</v>
      </c>
      <c r="M568" s="213"/>
      <c r="N568" s="208">
        <f ca="1">INDEX(INDIRECT(""&amp;$B568&amp;"!y2:y709"),MATCH($A568,INDIRECT(""&amp;$B568&amp;"!B2:B709"),0))</f>
        <v>-39.67</v>
      </c>
      <c r="O568" s="217" t="str">
        <f ca="1">IF(INDEX(INDIRECT(""&amp;$B568&amp;"!V2:V700"),MATCH($A568,INDIRECT(""&amp;$B568&amp;"!B2:B700"),0))=0,"",INDEX(INDIRECT(""&amp;$B568&amp;"!V2:V700"),MATCH($A568,INDIRECT(""&amp;$B568&amp;"!B2:B700"),0)))</f>
        <v/>
      </c>
    </row>
    <row r="569" spans="1:15" x14ac:dyDescent="0.25">
      <c r="A569" s="195" t="s">
        <v>662</v>
      </c>
      <c r="B569" s="195" t="s">
        <v>39</v>
      </c>
      <c r="C569" s="195">
        <f ca="1">IFERROR(INDEX(BYEs!$B$2:$B$33,MATCH(D569,BYEs!$A$2:$A$33,0)),"N/A")</f>
        <v>5</v>
      </c>
      <c r="D569" s="195" t="str">
        <f ca="1">INDEX(INDIRECT(""&amp;B569&amp;"!E2:E700"),MATCH(A569,INDIRECT(""&amp;B569&amp;"!B2:B700"),0))</f>
        <v>NO</v>
      </c>
      <c r="E569" s="194" t="str">
        <f ca="1">INDEX(INDIRECT(""&amp;$B569&amp;"!Z2:Z709"),MATCH($A569,INDIRECT(""&amp;$B569&amp;"!B2:B709"),0))</f>
        <v>WR10</v>
      </c>
      <c r="F569" s="196">
        <f ca="1">IF(LeagueInfo!$H$7="Starter/Bench",INDEX(INDIRECT(""&amp;B569&amp;"!S2:S709"),MATCH(A569,INDIRECT(""&amp;B569&amp;"!B2:B709"),0)),INDEX(INDIRECT(""&amp;B569&amp;"!AA2:AA709"),MATCH(A569,INDIRECT(""&amp;B569&amp;"!B2:B709"),0)))</f>
        <v>-19.078239342636312</v>
      </c>
      <c r="G569" s="197">
        <f>IF(H569&gt;0,F569-H569,0)</f>
        <v>0</v>
      </c>
      <c r="H569" s="198"/>
      <c r="I569" s="197">
        <f ca="1">F569*$A$2</f>
        <v>-19.078239342636312</v>
      </c>
      <c r="J569" s="197" t="s">
        <v>80</v>
      </c>
      <c r="K569" s="197">
        <f>IF(LeagueInfo!$F$7="Yahoo",IFERROR(INDEX(DefaultAuctionValues!$B$2:$B$359,MATCH(A569,DefaultAuctionValues!$A$2:$A$359,0)),0),IF(LeagueInfo!$F$7="ESPN",IFERROR(INDEX(DefaultAuctionValues!$C$2:$C$359,MATCH(A569,DefaultAuctionValues!$A$2:$A$359,0)),0),IF(LeagueInfo!$F$7="FantasyPros",IFERROR(INDEX(DefaultAuctionValues!$D$2:$D$359,MATCH(A569,DefaultAuctionValues!$A$2:$A$359,0)),0))))</f>
        <v>0</v>
      </c>
      <c r="L569" s="197">
        <f ca="1">I569-K569</f>
        <v>-19.078239342636312</v>
      </c>
      <c r="M569" s="213"/>
      <c r="N569" s="208">
        <f ca="1">INDEX(INDIRECT(""&amp;$B569&amp;"!y2:y709"),MATCH($A569,INDIRECT(""&amp;$B569&amp;"!B2:B709"),0))</f>
        <v>-39.83</v>
      </c>
      <c r="O569" s="217" t="str">
        <f ca="1">IF(INDEX(INDIRECT(""&amp;$B569&amp;"!V2:V700"),MATCH($A569,INDIRECT(""&amp;$B569&amp;"!B2:B700"),0))=0,"",INDEX(INDIRECT(""&amp;$B569&amp;"!V2:V700"),MATCH($A569,INDIRECT(""&amp;$B569&amp;"!B2:B700"),0)))</f>
        <v/>
      </c>
    </row>
    <row r="570" spans="1:15" x14ac:dyDescent="0.25">
      <c r="A570" s="195" t="s">
        <v>656</v>
      </c>
      <c r="B570" s="195" t="s">
        <v>39</v>
      </c>
      <c r="C570" s="195">
        <f ca="1">IFERROR(INDEX(BYEs!$B$2:$B$33,MATCH(D570,BYEs!$A$2:$A$33,0)),"N/A")</f>
        <v>8</v>
      </c>
      <c r="D570" s="195" t="str">
        <f ca="1">INDEX(INDIRECT(""&amp;B570&amp;"!E2:E700"),MATCH(A570,INDIRECT(""&amp;B570&amp;"!B2:B700"),0))</f>
        <v>GB</v>
      </c>
      <c r="E570" s="194" t="str">
        <f ca="1">INDEX(INDIRECT(""&amp;$B570&amp;"!Z2:Z709"),MATCH($A570,INDIRECT(""&amp;$B570&amp;"!B2:B709"),0))</f>
        <v>WR10</v>
      </c>
      <c r="F570" s="196">
        <f ca="1">IF(LeagueInfo!$H$7="Starter/Bench",INDEX(INDIRECT(""&amp;B570&amp;"!S2:S709"),MATCH(A570,INDIRECT(""&amp;B570&amp;"!B2:B709"),0)),INDEX(INDIRECT(""&amp;B570&amp;"!AA2:AA709"),MATCH(A570,INDIRECT(""&amp;B570&amp;"!B2:B709"),0)))</f>
        <v>-19.116558678499004</v>
      </c>
      <c r="G570" s="197">
        <f>IF(H570&gt;0,F570-H570,0)</f>
        <v>0</v>
      </c>
      <c r="H570" s="198"/>
      <c r="I570" s="197">
        <f ca="1">F570*$A$2</f>
        <v>-19.116558678499004</v>
      </c>
      <c r="J570" s="197" t="s">
        <v>80</v>
      </c>
      <c r="K570" s="197">
        <f>IF(LeagueInfo!$F$7="Yahoo",IFERROR(INDEX(DefaultAuctionValues!$B$2:$B$359,MATCH(A570,DefaultAuctionValues!$A$2:$A$359,0)),0),IF(LeagueInfo!$F$7="ESPN",IFERROR(INDEX(DefaultAuctionValues!$C$2:$C$359,MATCH(A570,DefaultAuctionValues!$A$2:$A$359,0)),0),IF(LeagueInfo!$F$7="FantasyPros",IFERROR(INDEX(DefaultAuctionValues!$D$2:$D$359,MATCH(A570,DefaultAuctionValues!$A$2:$A$359,0)),0))))</f>
        <v>0</v>
      </c>
      <c r="L570" s="197">
        <f ca="1">I570-K570</f>
        <v>-19.116558678499004</v>
      </c>
      <c r="M570" s="213"/>
      <c r="N570" s="208">
        <f ca="1">INDEX(INDIRECT(""&amp;$B570&amp;"!y2:y709"),MATCH($A570,INDIRECT(""&amp;$B570&amp;"!B2:B709"),0))</f>
        <v>-39.910000000000004</v>
      </c>
      <c r="O570" s="217" t="str">
        <f ca="1">IF(INDEX(INDIRECT(""&amp;$B570&amp;"!V2:V700"),MATCH($A570,INDIRECT(""&amp;$B570&amp;"!B2:B700"),0))=0,"",INDEX(INDIRECT(""&amp;$B570&amp;"!V2:V700"),MATCH($A570,INDIRECT(""&amp;$B570&amp;"!B2:B700"),0)))</f>
        <v/>
      </c>
    </row>
    <row r="571" spans="1:15" x14ac:dyDescent="0.25">
      <c r="A571" s="195" t="s">
        <v>657</v>
      </c>
      <c r="B571" s="195" t="s">
        <v>39</v>
      </c>
      <c r="C571" s="195">
        <f ca="1">IFERROR(INDEX(BYEs!$B$2:$B$33,MATCH(D571,BYEs!$A$2:$A$33,0)),"N/A")</f>
        <v>11</v>
      </c>
      <c r="D571" s="195" t="str">
        <f ca="1">INDEX(INDIRECT(""&amp;B571&amp;"!E2:E700"),MATCH(A571,INDIRECT(""&amp;B571&amp;"!B2:B700"),0))</f>
        <v>CAR</v>
      </c>
      <c r="E571" s="194" t="str">
        <f ca="1">INDEX(INDIRECT(""&amp;$B571&amp;"!Z2:Z709"),MATCH($A571,INDIRECT(""&amp;$B571&amp;"!B2:B709"),0))</f>
        <v>WR10</v>
      </c>
      <c r="F571" s="196">
        <f ca="1">IF(LeagueInfo!$H$7="Starter/Bench",INDEX(INDIRECT(""&amp;B571&amp;"!S2:S709"),MATCH(A571,INDIRECT(""&amp;B571&amp;"!B2:B709"),0)),INDEX(INDIRECT(""&amp;B571&amp;"!AA2:AA709"),MATCH(A571,INDIRECT(""&amp;B571&amp;"!B2:B709"),0)))</f>
        <v>-19.121348595481837</v>
      </c>
      <c r="G571" s="197">
        <f>IF(H571&gt;0,F571-H571,0)</f>
        <v>0</v>
      </c>
      <c r="H571" s="198"/>
      <c r="I571" s="197">
        <f ca="1">F571*$A$2</f>
        <v>-19.121348595481837</v>
      </c>
      <c r="J571" s="197" t="s">
        <v>80</v>
      </c>
      <c r="K571" s="197">
        <f>IF(LeagueInfo!$F$7="Yahoo",IFERROR(INDEX(DefaultAuctionValues!$B$2:$B$359,MATCH(A571,DefaultAuctionValues!$A$2:$A$359,0)),0),IF(LeagueInfo!$F$7="ESPN",IFERROR(INDEX(DefaultAuctionValues!$C$2:$C$359,MATCH(A571,DefaultAuctionValues!$A$2:$A$359,0)),0),IF(LeagueInfo!$F$7="FantasyPros",IFERROR(INDEX(DefaultAuctionValues!$D$2:$D$359,MATCH(A571,DefaultAuctionValues!$A$2:$A$359,0)),0))))</f>
        <v>0</v>
      </c>
      <c r="L571" s="197">
        <f ca="1">I571-K571</f>
        <v>-19.121348595481837</v>
      </c>
      <c r="M571" s="213"/>
      <c r="N571" s="208">
        <f ca="1">INDEX(INDIRECT(""&amp;$B571&amp;"!y2:y709"),MATCH($A571,INDIRECT(""&amp;$B571&amp;"!B2:B709"),0))</f>
        <v>-39.92</v>
      </c>
      <c r="O571" s="217" t="str">
        <f ca="1">IF(INDEX(INDIRECT(""&amp;$B571&amp;"!V2:V700"),MATCH($A571,INDIRECT(""&amp;$B571&amp;"!B2:B700"),0))=0,"",INDEX(INDIRECT(""&amp;$B571&amp;"!V2:V700"),MATCH($A571,INDIRECT(""&amp;$B571&amp;"!B2:B700"),0)))</f>
        <v/>
      </c>
    </row>
    <row r="572" spans="1:15" x14ac:dyDescent="0.25">
      <c r="A572" s="195" t="s">
        <v>660</v>
      </c>
      <c r="B572" s="195" t="s">
        <v>39</v>
      </c>
      <c r="C572" s="195">
        <f ca="1">IFERROR(INDEX(BYEs!$B$2:$B$33,MATCH(D572,BYEs!$A$2:$A$33,0)),"N/A")</f>
        <v>6</v>
      </c>
      <c r="D572" s="195" t="str">
        <f ca="1">INDEX(INDIRECT(""&amp;B572&amp;"!E2:E700"),MATCH(A572,INDIRECT(""&amp;B572&amp;"!B2:B700"),0))</f>
        <v>DAL</v>
      </c>
      <c r="E572" s="194" t="str">
        <f ca="1">INDEX(INDIRECT(""&amp;$B572&amp;"!Z2:Z709"),MATCH($A572,INDIRECT(""&amp;$B572&amp;"!B2:B709"),0))</f>
        <v>WR10</v>
      </c>
      <c r="F572" s="196">
        <f ca="1">IF(LeagueInfo!$H$7="Starter/Bench",INDEX(INDIRECT(""&amp;B572&amp;"!S2:S709"),MATCH(A572,INDIRECT(""&amp;B572&amp;"!B2:B709"),0)),INDEX(INDIRECT(""&amp;B572&amp;"!AA2:AA709"),MATCH(A572,INDIRECT(""&amp;B572&amp;"!B2:B709"),0)))</f>
        <v>-19.195592308715799</v>
      </c>
      <c r="G572" s="197">
        <f>IF(H572&gt;0,F572-H572,0)</f>
        <v>0</v>
      </c>
      <c r="H572" s="198"/>
      <c r="I572" s="197">
        <f ca="1">F572*$A$2</f>
        <v>-19.195592308715799</v>
      </c>
      <c r="J572" s="197" t="s">
        <v>80</v>
      </c>
      <c r="K572" s="197">
        <f>IF(LeagueInfo!$F$7="Yahoo",IFERROR(INDEX(DefaultAuctionValues!$B$2:$B$359,MATCH(A572,DefaultAuctionValues!$A$2:$A$359,0)),0),IF(LeagueInfo!$F$7="ESPN",IFERROR(INDEX(DefaultAuctionValues!$C$2:$C$359,MATCH(A572,DefaultAuctionValues!$A$2:$A$359,0)),0),IF(LeagueInfo!$F$7="FantasyPros",IFERROR(INDEX(DefaultAuctionValues!$D$2:$D$359,MATCH(A572,DefaultAuctionValues!$A$2:$A$359,0)),0))))</f>
        <v>0</v>
      </c>
      <c r="L572" s="197">
        <f ca="1">I572-K572</f>
        <v>-19.195592308715799</v>
      </c>
      <c r="M572" s="213"/>
      <c r="N572" s="208">
        <f ca="1">INDEX(INDIRECT(""&amp;$B572&amp;"!y2:y709"),MATCH($A572,INDIRECT(""&amp;$B572&amp;"!B2:B709"),0))</f>
        <v>-40.075000000000003</v>
      </c>
      <c r="O572" s="217" t="str">
        <f ca="1">IF(INDEX(INDIRECT(""&amp;$B572&amp;"!V2:V700"),MATCH($A572,INDIRECT(""&amp;$B572&amp;"!B2:B700"),0))=0,"",INDEX(INDIRECT(""&amp;$B572&amp;"!V2:V700"),MATCH($A572,INDIRECT(""&amp;$B572&amp;"!B2:B700"),0)))</f>
        <v/>
      </c>
    </row>
    <row r="573" spans="1:15" x14ac:dyDescent="0.25">
      <c r="A573" s="195" t="s">
        <v>651</v>
      </c>
      <c r="B573" s="195" t="s">
        <v>39</v>
      </c>
      <c r="C573" s="195">
        <f ca="1">IFERROR(INDEX(BYEs!$B$2:$B$33,MATCH(D573,BYEs!$A$2:$A$33,0)),"N/A")</f>
        <v>8</v>
      </c>
      <c r="D573" s="195" t="str">
        <f ca="1">INDEX(INDIRECT(""&amp;B573&amp;"!E2:E700"),MATCH(A573,INDIRECT(""&amp;B573&amp;"!B2:B700"),0))</f>
        <v>GB</v>
      </c>
      <c r="E573" s="194" t="str">
        <f ca="1">INDEX(INDIRECT(""&amp;$B573&amp;"!Z2:Z709"),MATCH($A573,INDIRECT(""&amp;$B573&amp;"!B2:B709"),0))</f>
        <v>WR10</v>
      </c>
      <c r="F573" s="196">
        <f ca="1">IF(LeagueInfo!$H$7="Starter/Bench",INDEX(INDIRECT(""&amp;B573&amp;"!S2:S709"),MATCH(A573,INDIRECT(""&amp;B573&amp;"!B2:B709"),0)),INDEX(INDIRECT(""&amp;B573&amp;"!AA2:AA709"),MATCH(A573,INDIRECT(""&amp;B573&amp;"!B2:B709"),0)))</f>
        <v>-19.212357018155725</v>
      </c>
      <c r="G573" s="197">
        <f>IF(H573&gt;0,F573-H573,0)</f>
        <v>0</v>
      </c>
      <c r="H573" s="198"/>
      <c r="I573" s="197">
        <f ca="1">F573*$A$2</f>
        <v>-19.212357018155725</v>
      </c>
      <c r="J573" s="197" t="s">
        <v>80</v>
      </c>
      <c r="K573" s="197">
        <f>IF(LeagueInfo!$F$7="Yahoo",IFERROR(INDEX(DefaultAuctionValues!$B$2:$B$359,MATCH(A573,DefaultAuctionValues!$A$2:$A$359,0)),0),IF(LeagueInfo!$F$7="ESPN",IFERROR(INDEX(DefaultAuctionValues!$C$2:$C$359,MATCH(A573,DefaultAuctionValues!$A$2:$A$359,0)),0),IF(LeagueInfo!$F$7="FantasyPros",IFERROR(INDEX(DefaultAuctionValues!$D$2:$D$359,MATCH(A573,DefaultAuctionValues!$A$2:$A$359,0)),0))))</f>
        <v>0</v>
      </c>
      <c r="L573" s="197">
        <f ca="1">I573-K573</f>
        <v>-19.212357018155725</v>
      </c>
      <c r="M573" s="213"/>
      <c r="N573" s="208">
        <f ca="1">INDEX(INDIRECT(""&amp;$B573&amp;"!y2:y709"),MATCH($A573,INDIRECT(""&amp;$B573&amp;"!B2:B709"),0))</f>
        <v>-40.11</v>
      </c>
      <c r="O573" s="217" t="str">
        <f ca="1">IF(INDEX(INDIRECT(""&amp;$B573&amp;"!V2:V700"),MATCH($A573,INDIRECT(""&amp;$B573&amp;"!B2:B700"),0))=0,"",INDEX(INDIRECT(""&amp;$B573&amp;"!V2:V700"),MATCH($A573,INDIRECT(""&amp;$B573&amp;"!B2:B700"),0)))</f>
        <v/>
      </c>
    </row>
    <row r="574" spans="1:15" x14ac:dyDescent="0.25">
      <c r="A574" s="195" t="s">
        <v>640</v>
      </c>
      <c r="B574" s="195" t="s">
        <v>39</v>
      </c>
      <c r="C574" s="195">
        <f ca="1">IFERROR(INDEX(BYEs!$B$2:$B$33,MATCH(D574,BYEs!$A$2:$A$33,0)),"N/A")</f>
        <v>11</v>
      </c>
      <c r="D574" s="195" t="str">
        <f ca="1">INDEX(INDIRECT(""&amp;B574&amp;"!E2:E700"),MATCH(A574,INDIRECT(""&amp;B574&amp;"!B2:B700"),0))</f>
        <v>SF</v>
      </c>
      <c r="E574" s="194" t="str">
        <f ca="1">INDEX(INDIRECT(""&amp;$B574&amp;"!Z2:Z709"),MATCH($A574,INDIRECT(""&amp;$B574&amp;"!B2:B709"),0))</f>
        <v>WR10</v>
      </c>
      <c r="F574" s="196">
        <f ca="1">IF(LeagueInfo!$H$7="Starter/Bench",INDEX(INDIRECT(""&amp;B574&amp;"!S2:S709"),MATCH(A574,INDIRECT(""&amp;B574&amp;"!B2:B709"),0)),INDEX(INDIRECT(""&amp;B574&amp;"!AA2:AA709"),MATCH(A574,INDIRECT(""&amp;B574&amp;"!B2:B709"),0)))</f>
        <v>-19.217146935138562</v>
      </c>
      <c r="G574" s="197">
        <f>IF(H574&gt;0,F574-H574,0)</f>
        <v>0</v>
      </c>
      <c r="H574" s="198"/>
      <c r="I574" s="197">
        <f ca="1">F574*$A$2</f>
        <v>-19.217146935138562</v>
      </c>
      <c r="J574" s="197" t="s">
        <v>80</v>
      </c>
      <c r="K574" s="197">
        <f>IF(LeagueInfo!$F$7="Yahoo",IFERROR(INDEX(DefaultAuctionValues!$B$2:$B$359,MATCH(A574,DefaultAuctionValues!$A$2:$A$359,0)),0),IF(LeagueInfo!$F$7="ESPN",IFERROR(INDEX(DefaultAuctionValues!$C$2:$C$359,MATCH(A574,DefaultAuctionValues!$A$2:$A$359,0)),0),IF(LeagueInfo!$F$7="FantasyPros",IFERROR(INDEX(DefaultAuctionValues!$D$2:$D$359,MATCH(A574,DefaultAuctionValues!$A$2:$A$359,0)),0))))</f>
        <v>0</v>
      </c>
      <c r="L574" s="197">
        <f ca="1">I574-K574</f>
        <v>-19.217146935138562</v>
      </c>
      <c r="M574" s="213"/>
      <c r="N574" s="208">
        <f ca="1">INDEX(INDIRECT(""&amp;$B574&amp;"!y2:y709"),MATCH($A574,INDIRECT(""&amp;$B574&amp;"!B2:B709"),0))</f>
        <v>-40.120000000000005</v>
      </c>
      <c r="O574" s="217" t="str">
        <f ca="1">IF(INDEX(INDIRECT(""&amp;$B574&amp;"!V2:V700"),MATCH($A574,INDIRECT(""&amp;$B574&amp;"!B2:B700"),0))=0,"",INDEX(INDIRECT(""&amp;$B574&amp;"!V2:V700"),MATCH($A574,INDIRECT(""&amp;$B574&amp;"!B2:B700"),0)))</f>
        <v/>
      </c>
    </row>
    <row r="575" spans="1:15" x14ac:dyDescent="0.25">
      <c r="A575" s="195" t="s">
        <v>636</v>
      </c>
      <c r="B575" s="195" t="s">
        <v>39</v>
      </c>
      <c r="C575" s="195">
        <f ca="1">IFERROR(INDEX(BYEs!$B$2:$B$33,MATCH(D575,BYEs!$A$2:$A$33,0)),"N/A")</f>
        <v>6</v>
      </c>
      <c r="D575" s="195" t="str">
        <f ca="1">INDEX(INDIRECT(""&amp;B575&amp;"!E2:E700"),MATCH(A575,INDIRECT(""&amp;B575&amp;"!B2:B700"),0))</f>
        <v>BUF</v>
      </c>
      <c r="E575" s="194" t="str">
        <f ca="1">INDEX(INDIRECT(""&amp;$B575&amp;"!Z2:Z709"),MATCH($A575,INDIRECT(""&amp;$B575&amp;"!B2:B709"),0))</f>
        <v>WR10</v>
      </c>
      <c r="F575" s="196">
        <f ca="1">IF(LeagueInfo!$H$7="Starter/Bench",INDEX(INDIRECT(""&amp;B575&amp;"!S2:S709"),MATCH(A575,INDIRECT(""&amp;B575&amp;"!B2:B709"),0)),INDEX(INDIRECT(""&amp;B575&amp;"!AA2:AA709"),MATCH(A575,INDIRECT(""&amp;B575&amp;"!B2:B709"),0)))</f>
        <v>-19.248281395526995</v>
      </c>
      <c r="G575" s="197">
        <f>IF(H575&gt;0,F575-H575,0)</f>
        <v>0</v>
      </c>
      <c r="H575" s="198"/>
      <c r="I575" s="197">
        <f ca="1">F575*$A$2</f>
        <v>-19.248281395526995</v>
      </c>
      <c r="J575" s="197" t="s">
        <v>80</v>
      </c>
      <c r="K575" s="197">
        <f>IF(LeagueInfo!$F$7="Yahoo",IFERROR(INDEX(DefaultAuctionValues!$B$2:$B$359,MATCH(A575,DefaultAuctionValues!$A$2:$A$359,0)),0),IF(LeagueInfo!$F$7="ESPN",IFERROR(INDEX(DefaultAuctionValues!$C$2:$C$359,MATCH(A575,DefaultAuctionValues!$A$2:$A$359,0)),0),IF(LeagueInfo!$F$7="FantasyPros",IFERROR(INDEX(DefaultAuctionValues!$D$2:$D$359,MATCH(A575,DefaultAuctionValues!$A$2:$A$359,0)),0))))</f>
        <v>0</v>
      </c>
      <c r="L575" s="197">
        <f ca="1">I575-K575</f>
        <v>-19.248281395526995</v>
      </c>
      <c r="M575" s="213"/>
      <c r="N575" s="208">
        <f ca="1">INDEX(INDIRECT(""&amp;$B575&amp;"!y2:y709"),MATCH($A575,INDIRECT(""&amp;$B575&amp;"!B2:B709"),0))</f>
        <v>-40.185000000000002</v>
      </c>
      <c r="O575" s="217" t="str">
        <f ca="1">IF(INDEX(INDIRECT(""&amp;$B575&amp;"!V2:V700"),MATCH($A575,INDIRECT(""&amp;$B575&amp;"!B2:B700"),0))=0,"",INDEX(INDIRECT(""&amp;$B575&amp;"!V2:V700"),MATCH($A575,INDIRECT(""&amp;$B575&amp;"!B2:B700"),0)))</f>
        <v/>
      </c>
    </row>
    <row r="576" spans="1:15" x14ac:dyDescent="0.25">
      <c r="A576" s="195" t="s">
        <v>665</v>
      </c>
      <c r="B576" s="195" t="s">
        <v>39</v>
      </c>
      <c r="C576" s="195">
        <f ca="1">IFERROR(INDEX(BYEs!$B$2:$B$33,MATCH(D576,BYEs!$A$2:$A$33,0)),"N/A")</f>
        <v>11</v>
      </c>
      <c r="D576" s="195" t="str">
        <f ca="1">INDEX(INDIRECT(""&amp;B576&amp;"!E2:E700"),MATCH(A576,INDIRECT(""&amp;B576&amp;"!B2:B700"),0))</f>
        <v>IND</v>
      </c>
      <c r="E576" s="194" t="str">
        <f ca="1">INDEX(INDIRECT(""&amp;$B576&amp;"!Z2:Z709"),MATCH($A576,INDIRECT(""&amp;$B576&amp;"!B2:B709"),0))</f>
        <v>WR10</v>
      </c>
      <c r="F576" s="196">
        <f ca="1">IF(LeagueInfo!$H$7="Starter/Bench",INDEX(INDIRECT(""&amp;B576&amp;"!S2:S709"),MATCH(A576,INDIRECT(""&amp;B576&amp;"!B2:B709"),0)),INDEX(INDIRECT(""&amp;B576&amp;"!AA2:AA709"),MATCH(A576,INDIRECT(""&amp;B576&amp;"!B2:B709"),0)))</f>
        <v>-19.25546627100125</v>
      </c>
      <c r="G576" s="197">
        <f>IF(H576&gt;0,F576-H576,0)</f>
        <v>0</v>
      </c>
      <c r="H576" s="198"/>
      <c r="I576" s="197">
        <f ca="1">F576*$A$2</f>
        <v>-19.25546627100125</v>
      </c>
      <c r="J576" s="197" t="s">
        <v>80</v>
      </c>
      <c r="K576" s="197">
        <f>IF(LeagueInfo!$F$7="Yahoo",IFERROR(INDEX(DefaultAuctionValues!$B$2:$B$359,MATCH(A576,DefaultAuctionValues!$A$2:$A$359,0)),0),IF(LeagueInfo!$F$7="ESPN",IFERROR(INDEX(DefaultAuctionValues!$C$2:$C$359,MATCH(A576,DefaultAuctionValues!$A$2:$A$359,0)),0),IF(LeagueInfo!$F$7="FantasyPros",IFERROR(INDEX(DefaultAuctionValues!$D$2:$D$359,MATCH(A576,DefaultAuctionValues!$A$2:$A$359,0)),0))))</f>
        <v>0</v>
      </c>
      <c r="L576" s="197">
        <f ca="1">I576-K576</f>
        <v>-19.25546627100125</v>
      </c>
      <c r="M576" s="213"/>
      <c r="N576" s="208">
        <f ca="1">INDEX(INDIRECT(""&amp;$B576&amp;"!y2:y709"),MATCH($A576,INDIRECT(""&amp;$B576&amp;"!B2:B709"),0))</f>
        <v>-40.200000000000003</v>
      </c>
      <c r="O576" s="217" t="str">
        <f ca="1">IF(INDEX(INDIRECT(""&amp;$B576&amp;"!V2:V700"),MATCH($A576,INDIRECT(""&amp;$B576&amp;"!B2:B700"),0))=0,"",INDEX(INDIRECT(""&amp;$B576&amp;"!V2:V700"),MATCH($A576,INDIRECT(""&amp;$B576&amp;"!B2:B700"),0)))</f>
        <v/>
      </c>
    </row>
    <row r="577" spans="1:15" x14ac:dyDescent="0.25">
      <c r="A577" s="195" t="s">
        <v>648</v>
      </c>
      <c r="B577" s="195" t="s">
        <v>39</v>
      </c>
      <c r="C577" s="195">
        <f ca="1">IFERROR(INDEX(BYEs!$B$2:$B$33,MATCH(D577,BYEs!$A$2:$A$33,0)),"N/A")</f>
        <v>8</v>
      </c>
      <c r="D577" s="195" t="str">
        <f ca="1">INDEX(INDIRECT(""&amp;B577&amp;"!E2:E700"),MATCH(A577,INDIRECT(""&amp;B577&amp;"!B2:B700"),0))</f>
        <v>TEN</v>
      </c>
      <c r="E577" s="194" t="str">
        <f ca="1">INDEX(INDIRECT(""&amp;$B577&amp;"!Z2:Z709"),MATCH($A577,INDIRECT(""&amp;$B577&amp;"!B2:B709"),0))</f>
        <v>WR10</v>
      </c>
      <c r="F577" s="196">
        <f ca="1">IF(LeagueInfo!$H$7="Starter/Bench",INDEX(INDIRECT(""&amp;B577&amp;"!S2:S709"),MATCH(A577,INDIRECT(""&amp;B577&amp;"!B2:B709"),0)),INDEX(INDIRECT(""&amp;B577&amp;"!AA2:AA709"),MATCH(A577,INDIRECT(""&amp;B577&amp;"!B2:B709"),0)))</f>
        <v>-19.317735191778116</v>
      </c>
      <c r="G577" s="197">
        <f>IF(H577&gt;0,F577-H577,0)</f>
        <v>0</v>
      </c>
      <c r="H577" s="198"/>
      <c r="I577" s="197">
        <f ca="1">F577*$A$2</f>
        <v>-19.317735191778116</v>
      </c>
      <c r="J577" s="197" t="s">
        <v>80</v>
      </c>
      <c r="K577" s="197">
        <f>IF(LeagueInfo!$F$7="Yahoo",IFERROR(INDEX(DefaultAuctionValues!$B$2:$B$359,MATCH(A577,DefaultAuctionValues!$A$2:$A$359,0)),0),IF(LeagueInfo!$F$7="ESPN",IFERROR(INDEX(DefaultAuctionValues!$C$2:$C$359,MATCH(A577,DefaultAuctionValues!$A$2:$A$359,0)),0),IF(LeagueInfo!$F$7="FantasyPros",IFERROR(INDEX(DefaultAuctionValues!$D$2:$D$359,MATCH(A577,DefaultAuctionValues!$A$2:$A$359,0)),0))))</f>
        <v>0</v>
      </c>
      <c r="L577" s="197">
        <f ca="1">I577-K577</f>
        <v>-19.317735191778116</v>
      </c>
      <c r="M577" s="213"/>
      <c r="N577" s="208">
        <f ca="1">INDEX(INDIRECT(""&amp;$B577&amp;"!y2:y709"),MATCH($A577,INDIRECT(""&amp;$B577&amp;"!B2:B709"),0))</f>
        <v>-40.33</v>
      </c>
      <c r="O577" s="217" t="str">
        <f ca="1">IF(INDEX(INDIRECT(""&amp;$B577&amp;"!V2:V700"),MATCH($A577,INDIRECT(""&amp;$B577&amp;"!B2:B700"),0))=0,"",INDEX(INDIRECT(""&amp;$B577&amp;"!V2:V700"),MATCH($A577,INDIRECT(""&amp;$B577&amp;"!B2:B700"),0)))</f>
        <v/>
      </c>
    </row>
    <row r="578" spans="1:15" x14ac:dyDescent="0.25">
      <c r="A578" s="195" t="s">
        <v>667</v>
      </c>
      <c r="B578" s="195" t="s">
        <v>39</v>
      </c>
      <c r="C578" s="195">
        <f ca="1">IFERROR(INDEX(BYEs!$B$2:$B$33,MATCH(D578,BYEs!$A$2:$A$33,0)),"N/A")</f>
        <v>8</v>
      </c>
      <c r="D578" s="195" t="str">
        <f ca="1">INDEX(INDIRECT(""&amp;B578&amp;"!E2:E700"),MATCH(A578,INDIRECT(""&amp;B578&amp;"!B2:B700"),0))</f>
        <v>TEN</v>
      </c>
      <c r="E578" s="194" t="str">
        <f ca="1">INDEX(INDIRECT(""&amp;$B578&amp;"!Z2:Z709"),MATCH($A578,INDIRECT(""&amp;$B578&amp;"!B2:B709"),0))</f>
        <v>WR10</v>
      </c>
      <c r="F578" s="196">
        <f ca="1">IF(LeagueInfo!$H$7="Starter/Bench",INDEX(INDIRECT(""&amp;B578&amp;"!S2:S709"),MATCH(A578,INDIRECT(""&amp;B578&amp;"!B2:B709"),0)),INDEX(INDIRECT(""&amp;B578&amp;"!AA2:AA709"),MATCH(A578,INDIRECT(""&amp;B578&amp;"!B2:B709"),0)))</f>
        <v>-19.320130150269538</v>
      </c>
      <c r="G578" s="197">
        <f>IF(H578&gt;0,F578-H578,0)</f>
        <v>0</v>
      </c>
      <c r="H578" s="198"/>
      <c r="I578" s="197">
        <f ca="1">F578*$A$2</f>
        <v>-19.320130150269538</v>
      </c>
      <c r="J578" s="197" t="s">
        <v>80</v>
      </c>
      <c r="K578" s="197">
        <f>IF(LeagueInfo!$F$7="Yahoo",IFERROR(INDEX(DefaultAuctionValues!$B$2:$B$359,MATCH(A578,DefaultAuctionValues!$A$2:$A$359,0)),0),IF(LeagueInfo!$F$7="ESPN",IFERROR(INDEX(DefaultAuctionValues!$C$2:$C$359,MATCH(A578,DefaultAuctionValues!$A$2:$A$359,0)),0),IF(LeagueInfo!$F$7="FantasyPros",IFERROR(INDEX(DefaultAuctionValues!$D$2:$D$359,MATCH(A578,DefaultAuctionValues!$A$2:$A$359,0)),0))))</f>
        <v>0</v>
      </c>
      <c r="L578" s="197">
        <f ca="1">I578-K578</f>
        <v>-19.320130150269538</v>
      </c>
      <c r="M578" s="213"/>
      <c r="N578" s="208">
        <f ca="1">INDEX(INDIRECT(""&amp;$B578&amp;"!y2:y709"),MATCH($A578,INDIRECT(""&amp;$B578&amp;"!B2:B709"),0))</f>
        <v>-40.335000000000001</v>
      </c>
      <c r="O578" s="217" t="str">
        <f ca="1">IF(INDEX(INDIRECT(""&amp;$B578&amp;"!V2:V700"),MATCH($A578,INDIRECT(""&amp;$B578&amp;"!B2:B700"),0))=0,"",INDEX(INDIRECT(""&amp;$B578&amp;"!V2:V700"),MATCH($A578,INDIRECT(""&amp;$B578&amp;"!B2:B700"),0)))</f>
        <v/>
      </c>
    </row>
    <row r="579" spans="1:15" x14ac:dyDescent="0.25">
      <c r="A579" s="195" t="s">
        <v>668</v>
      </c>
      <c r="B579" s="195" t="s">
        <v>39</v>
      </c>
      <c r="C579" s="195">
        <f ca="1">IFERROR(INDEX(BYEs!$B$2:$B$33,MATCH(D579,BYEs!$A$2:$A$33,0)),"N/A")</f>
        <v>8</v>
      </c>
      <c r="D579" s="195" t="str">
        <f ca="1">INDEX(INDIRECT(""&amp;B579&amp;"!E2:E700"),MATCH(A579,INDIRECT(""&amp;B579&amp;"!B2:B700"),0))</f>
        <v>JAC</v>
      </c>
      <c r="E579" s="194" t="str">
        <f ca="1">INDEX(INDIRECT(""&amp;$B579&amp;"!Z2:Z709"),MATCH($A579,INDIRECT(""&amp;$B579&amp;"!B2:B709"),0))</f>
        <v>WR10</v>
      </c>
      <c r="F579" s="196">
        <f ca="1">IF(LeagueInfo!$H$7="Starter/Bench",INDEX(INDIRECT(""&amp;B579&amp;"!S2:S709"),MATCH(A579,INDIRECT(""&amp;B579&amp;"!B2:B709"),0)),INDEX(INDIRECT(""&amp;B579&amp;"!AA2:AA709"),MATCH(A579,INDIRECT(""&amp;B579&amp;"!B2:B709"),0)))</f>
        <v>-19.334499901218045</v>
      </c>
      <c r="G579" s="197">
        <f>IF(H579&gt;0,F579-H579,0)</f>
        <v>0</v>
      </c>
      <c r="H579" s="198"/>
      <c r="I579" s="197">
        <f ca="1">F579*$A$2</f>
        <v>-19.334499901218045</v>
      </c>
      <c r="J579" s="197" t="s">
        <v>80</v>
      </c>
      <c r="K579" s="197">
        <f>IF(LeagueInfo!$F$7="Yahoo",IFERROR(INDEX(DefaultAuctionValues!$B$2:$B$359,MATCH(A579,DefaultAuctionValues!$A$2:$A$359,0)),0),IF(LeagueInfo!$F$7="ESPN",IFERROR(INDEX(DefaultAuctionValues!$C$2:$C$359,MATCH(A579,DefaultAuctionValues!$A$2:$A$359,0)),0),IF(LeagueInfo!$F$7="FantasyPros",IFERROR(INDEX(DefaultAuctionValues!$D$2:$D$359,MATCH(A579,DefaultAuctionValues!$A$2:$A$359,0)),0))))</f>
        <v>0</v>
      </c>
      <c r="L579" s="197">
        <f ca="1">I579-K579</f>
        <v>-19.334499901218045</v>
      </c>
      <c r="M579" s="213"/>
      <c r="N579" s="208">
        <f ca="1">INDEX(INDIRECT(""&amp;$B579&amp;"!y2:y709"),MATCH($A579,INDIRECT(""&amp;$B579&amp;"!B2:B709"),0))</f>
        <v>-40.365000000000002</v>
      </c>
      <c r="O579" s="217" t="str">
        <f ca="1">IF(INDEX(INDIRECT(""&amp;$B579&amp;"!V2:V700"),MATCH($A579,INDIRECT(""&amp;$B579&amp;"!B2:B700"),0))=0,"",INDEX(INDIRECT(""&amp;$B579&amp;"!V2:V700"),MATCH($A579,INDIRECT(""&amp;$B579&amp;"!B2:B700"),0)))</f>
        <v/>
      </c>
    </row>
    <row r="580" spans="1:15" x14ac:dyDescent="0.25">
      <c r="A580" s="195" t="s">
        <v>669</v>
      </c>
      <c r="B580" s="195" t="s">
        <v>39</v>
      </c>
      <c r="C580" s="195">
        <f ca="1">IFERROR(INDEX(BYEs!$B$2:$B$33,MATCH(D580,BYEs!$A$2:$A$33,0)),"N/A")</f>
        <v>8</v>
      </c>
      <c r="D580" s="195" t="str">
        <f ca="1">INDEX(INDIRECT(""&amp;B580&amp;"!E2:E700"),MATCH(A580,INDIRECT(""&amp;B580&amp;"!B2:B700"),0))</f>
        <v>JAC</v>
      </c>
      <c r="E580" s="194" t="str">
        <f ca="1">INDEX(INDIRECT(""&amp;$B580&amp;"!Z2:Z709"),MATCH($A580,INDIRECT(""&amp;$B580&amp;"!B2:B709"),0))</f>
        <v>WR10</v>
      </c>
      <c r="F580" s="196">
        <f ca="1">IF(LeagueInfo!$H$7="Starter/Bench",INDEX(INDIRECT(""&amp;B580&amp;"!S2:S709"),MATCH(A580,INDIRECT(""&amp;B580&amp;"!B2:B709"),0)),INDEX(INDIRECT(""&amp;B580&amp;"!AA2:AA709"),MATCH(A580,INDIRECT(""&amp;B580&amp;"!B2:B709"),0)))</f>
        <v>-19.346474693675134</v>
      </c>
      <c r="G580" s="197">
        <f>IF(H580&gt;0,F580-H580,0)</f>
        <v>0</v>
      </c>
      <c r="H580" s="198"/>
      <c r="I580" s="197">
        <f ca="1">F580*$A$2</f>
        <v>-19.346474693675134</v>
      </c>
      <c r="J580" s="197" t="s">
        <v>80</v>
      </c>
      <c r="K580" s="197">
        <f>IF(LeagueInfo!$F$7="Yahoo",IFERROR(INDEX(DefaultAuctionValues!$B$2:$B$359,MATCH(A580,DefaultAuctionValues!$A$2:$A$359,0)),0),IF(LeagueInfo!$F$7="ESPN",IFERROR(INDEX(DefaultAuctionValues!$C$2:$C$359,MATCH(A580,DefaultAuctionValues!$A$2:$A$359,0)),0),IF(LeagueInfo!$F$7="FantasyPros",IFERROR(INDEX(DefaultAuctionValues!$D$2:$D$359,MATCH(A580,DefaultAuctionValues!$A$2:$A$359,0)),0))))</f>
        <v>0</v>
      </c>
      <c r="L580" s="197">
        <f ca="1">I580-K580</f>
        <v>-19.346474693675134</v>
      </c>
      <c r="M580" s="213"/>
      <c r="N580" s="208">
        <f ca="1">INDEX(INDIRECT(""&amp;$B580&amp;"!y2:y709"),MATCH($A580,INDIRECT(""&amp;$B580&amp;"!B2:B709"),0))</f>
        <v>-40.39</v>
      </c>
      <c r="O580" s="217" t="str">
        <f ca="1">IF(INDEX(INDIRECT(""&amp;$B580&amp;"!V2:V700"),MATCH($A580,INDIRECT(""&amp;$B580&amp;"!B2:B700"),0))=0,"",INDEX(INDIRECT(""&amp;$B580&amp;"!V2:V700"),MATCH($A580,INDIRECT(""&amp;$B580&amp;"!B2:B700"),0)))</f>
        <v/>
      </c>
    </row>
    <row r="581" spans="1:15" x14ac:dyDescent="0.25">
      <c r="A581" s="195" t="s">
        <v>670</v>
      </c>
      <c r="B581" s="195" t="s">
        <v>39</v>
      </c>
      <c r="C581" s="195">
        <f ca="1">IFERROR(INDEX(BYEs!$B$2:$B$33,MATCH(D581,BYEs!$A$2:$A$33,0)),"N/A")</f>
        <v>5</v>
      </c>
      <c r="D581" s="195" t="str">
        <f ca="1">INDEX(INDIRECT(""&amp;B581&amp;"!E2:E700"),MATCH(A581,INDIRECT(""&amp;B581&amp;"!B2:B700"),0))</f>
        <v>NO</v>
      </c>
      <c r="E581" s="194" t="str">
        <f ca="1">INDEX(INDIRECT(""&amp;$B581&amp;"!Z2:Z709"),MATCH($A581,INDIRECT(""&amp;$B581&amp;"!B2:B709"),0))</f>
        <v>WR10</v>
      </c>
      <c r="F581" s="196">
        <f ca="1">IF(LeagueInfo!$H$7="Starter/Bench",INDEX(INDIRECT(""&amp;B581&amp;"!S2:S709"),MATCH(A581,INDIRECT(""&amp;B581&amp;"!B2:B709"),0)),INDEX(INDIRECT(""&amp;B581&amp;"!AA2:AA709"),MATCH(A581,INDIRECT(""&amp;B581&amp;"!B2:B709"),0)))</f>
        <v>-19.380004112554989</v>
      </c>
      <c r="G581" s="197">
        <f>IF(H581&gt;0,F581-H581,0)</f>
        <v>0</v>
      </c>
      <c r="H581" s="198"/>
      <c r="I581" s="197">
        <f ca="1">F581*$A$2</f>
        <v>-19.380004112554989</v>
      </c>
      <c r="J581" s="197" t="s">
        <v>80</v>
      </c>
      <c r="K581" s="197">
        <f>IF(LeagueInfo!$F$7="Yahoo",IFERROR(INDEX(DefaultAuctionValues!$B$2:$B$359,MATCH(A581,DefaultAuctionValues!$A$2:$A$359,0)),0),IF(LeagueInfo!$F$7="ESPN",IFERROR(INDEX(DefaultAuctionValues!$C$2:$C$359,MATCH(A581,DefaultAuctionValues!$A$2:$A$359,0)),0),IF(LeagueInfo!$F$7="FantasyPros",IFERROR(INDEX(DefaultAuctionValues!$D$2:$D$359,MATCH(A581,DefaultAuctionValues!$A$2:$A$359,0)),0))))</f>
        <v>0</v>
      </c>
      <c r="L581" s="197">
        <f ca="1">I581-K581</f>
        <v>-19.380004112554989</v>
      </c>
      <c r="M581" s="213"/>
      <c r="N581" s="208">
        <f ca="1">INDEX(INDIRECT(""&amp;$B581&amp;"!y2:y709"),MATCH($A581,INDIRECT(""&amp;$B581&amp;"!B2:B709"),0))</f>
        <v>-40.46</v>
      </c>
      <c r="O581" s="217" t="str">
        <f ca="1">IF(INDEX(INDIRECT(""&amp;$B581&amp;"!V2:V700"),MATCH($A581,INDIRECT(""&amp;$B581&amp;"!B2:B700"),0))=0,"",INDEX(INDIRECT(""&amp;$B581&amp;"!V2:V700"),MATCH($A581,INDIRECT(""&amp;$B581&amp;"!B2:B700"),0)))</f>
        <v/>
      </c>
    </row>
    <row r="582" spans="1:15" x14ac:dyDescent="0.25">
      <c r="A582" s="195" t="s">
        <v>671</v>
      </c>
      <c r="B582" s="195" t="s">
        <v>39</v>
      </c>
      <c r="C582" s="195">
        <f ca="1">IFERROR(INDEX(BYEs!$B$2:$B$33,MATCH(D582,BYEs!$A$2:$A$33,0)),"N/A")</f>
        <v>6</v>
      </c>
      <c r="D582" s="195" t="str">
        <f ca="1">INDEX(INDIRECT(""&amp;B582&amp;"!E2:E700"),MATCH(A582,INDIRECT(""&amp;B582&amp;"!B2:B700"),0))</f>
        <v>SEA</v>
      </c>
      <c r="E582" s="194" t="str">
        <f ca="1">INDEX(INDIRECT(""&amp;$B582&amp;"!Z2:Z709"),MATCH($A582,INDIRECT(""&amp;$B582&amp;"!B2:B709"),0))</f>
        <v>WR10</v>
      </c>
      <c r="F582" s="196">
        <f ca="1">IF(LeagueInfo!$H$7="Starter/Bench",INDEX(INDIRECT(""&amp;B582&amp;"!S2:S709"),MATCH(A582,INDIRECT(""&amp;B582&amp;"!B2:B709"),0)),INDEX(INDIRECT(""&amp;B582&amp;"!AA2:AA709"),MATCH(A582,INDIRECT(""&amp;B582&amp;"!B2:B709"),0)))</f>
        <v>-19.380004112554989</v>
      </c>
      <c r="G582" s="197">
        <f>IF(H582&gt;0,F582-H582,0)</f>
        <v>0</v>
      </c>
      <c r="H582" s="198"/>
      <c r="I582" s="197">
        <f ca="1">F582*$A$2</f>
        <v>-19.380004112554989</v>
      </c>
      <c r="J582" s="197" t="s">
        <v>80</v>
      </c>
      <c r="K582" s="197">
        <f>IF(LeagueInfo!$F$7="Yahoo",IFERROR(INDEX(DefaultAuctionValues!$B$2:$B$359,MATCH(A582,DefaultAuctionValues!$A$2:$A$359,0)),0),IF(LeagueInfo!$F$7="ESPN",IFERROR(INDEX(DefaultAuctionValues!$C$2:$C$359,MATCH(A582,DefaultAuctionValues!$A$2:$A$359,0)),0),IF(LeagueInfo!$F$7="FantasyPros",IFERROR(INDEX(DefaultAuctionValues!$D$2:$D$359,MATCH(A582,DefaultAuctionValues!$A$2:$A$359,0)),0))))</f>
        <v>0</v>
      </c>
      <c r="L582" s="197">
        <f ca="1">I582-K582</f>
        <v>-19.380004112554989</v>
      </c>
      <c r="M582" s="213"/>
      <c r="N582" s="208">
        <f ca="1">INDEX(INDIRECT(""&amp;$B582&amp;"!y2:y709"),MATCH($A582,INDIRECT(""&amp;$B582&amp;"!B2:B709"),0))</f>
        <v>-40.46</v>
      </c>
      <c r="O582" s="217" t="str">
        <f ca="1">IF(INDEX(INDIRECT(""&amp;$B582&amp;"!V2:V700"),MATCH($A582,INDIRECT(""&amp;$B582&amp;"!B2:B700"),0))=0,"",INDEX(INDIRECT(""&amp;$B582&amp;"!V2:V700"),MATCH($A582,INDIRECT(""&amp;$B582&amp;"!B2:B700"),0)))</f>
        <v/>
      </c>
    </row>
    <row r="583" spans="1:15" x14ac:dyDescent="0.25">
      <c r="A583" s="195" t="s">
        <v>655</v>
      </c>
      <c r="B583" s="195" t="s">
        <v>39</v>
      </c>
      <c r="C583" s="195">
        <f ca="1">IFERROR(INDEX(BYEs!$B$2:$B$33,MATCH(D583,BYEs!$A$2:$A$33,0)),"N/A")</f>
        <v>11</v>
      </c>
      <c r="D583" s="195" t="str">
        <f ca="1">INDEX(INDIRECT(""&amp;B583&amp;"!E2:E700"),MATCH(A583,INDIRECT(""&amp;B583&amp;"!B2:B700"),0))</f>
        <v>TB</v>
      </c>
      <c r="E583" s="194" t="str">
        <f ca="1">INDEX(INDIRECT(""&amp;$B583&amp;"!Z2:Z709"),MATCH($A583,INDIRECT(""&amp;$B583&amp;"!B2:B709"),0))</f>
        <v>WR10</v>
      </c>
      <c r="F583" s="196">
        <f ca="1">IF(LeagueInfo!$H$7="Starter/Bench",INDEX(INDIRECT(""&amp;B583&amp;"!S2:S709"),MATCH(A583,INDIRECT(""&amp;B583&amp;"!B2:B709"),0)),INDEX(INDIRECT(""&amp;B583&amp;"!AA2:AA709"),MATCH(A583,INDIRECT(""&amp;B583&amp;"!B2:B709"),0)))</f>
        <v>-19.389583946520663</v>
      </c>
      <c r="G583" s="197">
        <f>IF(H583&gt;0,F583-H583,0)</f>
        <v>0</v>
      </c>
      <c r="H583" s="198"/>
      <c r="I583" s="197">
        <f ca="1">F583*$A$2</f>
        <v>-19.389583946520663</v>
      </c>
      <c r="J583" s="197" t="s">
        <v>80</v>
      </c>
      <c r="K583" s="197">
        <f>IF(LeagueInfo!$F$7="Yahoo",IFERROR(INDEX(DefaultAuctionValues!$B$2:$B$359,MATCH(A583,DefaultAuctionValues!$A$2:$A$359,0)),0),IF(LeagueInfo!$F$7="ESPN",IFERROR(INDEX(DefaultAuctionValues!$C$2:$C$359,MATCH(A583,DefaultAuctionValues!$A$2:$A$359,0)),0),IF(LeagueInfo!$F$7="FantasyPros",IFERROR(INDEX(DefaultAuctionValues!$D$2:$D$359,MATCH(A583,DefaultAuctionValues!$A$2:$A$359,0)),0))))</f>
        <v>0</v>
      </c>
      <c r="L583" s="197">
        <f ca="1">I583-K583</f>
        <v>-19.389583946520663</v>
      </c>
      <c r="M583" s="213"/>
      <c r="N583" s="208">
        <f ca="1">INDEX(INDIRECT(""&amp;$B583&amp;"!y2:y709"),MATCH($A583,INDIRECT(""&amp;$B583&amp;"!B2:B709"),0))</f>
        <v>-40.480000000000004</v>
      </c>
      <c r="O583" s="217" t="str">
        <f ca="1">IF(INDEX(INDIRECT(""&amp;$B583&amp;"!V2:V700"),MATCH($A583,INDIRECT(""&amp;$B583&amp;"!B2:B700"),0))=0,"",INDEX(INDIRECT(""&amp;$B583&amp;"!V2:V700"),MATCH($A583,INDIRECT(""&amp;$B583&amp;"!B2:B700"),0)))</f>
        <v/>
      </c>
    </row>
    <row r="584" spans="1:15" x14ac:dyDescent="0.25">
      <c r="A584" s="195" t="s">
        <v>672</v>
      </c>
      <c r="B584" s="195" t="s">
        <v>39</v>
      </c>
      <c r="C584" s="195">
        <f ca="1">IFERROR(INDEX(BYEs!$B$2:$B$33,MATCH(D584,BYEs!$A$2:$A$33,0)),"N/A")</f>
        <v>8</v>
      </c>
      <c r="D584" s="195" t="str">
        <f ca="1">INDEX(INDIRECT(""&amp;B584&amp;"!E2:E700"),MATCH(A584,INDIRECT(""&amp;B584&amp;"!B2:B700"),0))</f>
        <v>JAC</v>
      </c>
      <c r="E584" s="194" t="str">
        <f ca="1">INDEX(INDIRECT(""&amp;$B584&amp;"!Z2:Z709"),MATCH($A584,INDIRECT(""&amp;$B584&amp;"!B2:B709"),0))</f>
        <v>WR10</v>
      </c>
      <c r="F584" s="196">
        <f ca="1">IF(LeagueInfo!$H$7="Starter/Bench",INDEX(INDIRECT(""&amp;B584&amp;"!S2:S709"),MATCH(A584,INDIRECT(""&amp;B584&amp;"!B2:B709"),0)),INDEX(INDIRECT(""&amp;B584&amp;"!AA2:AA709"),MATCH(A584,INDIRECT(""&amp;B584&amp;"!B2:B709"),0)))</f>
        <v>-19.399163780486333</v>
      </c>
      <c r="G584" s="197">
        <f>IF(H584&gt;0,F584-H584,0)</f>
        <v>0</v>
      </c>
      <c r="H584" s="198"/>
      <c r="I584" s="197">
        <f ca="1">F584*$A$2</f>
        <v>-19.399163780486333</v>
      </c>
      <c r="J584" s="197" t="s">
        <v>80</v>
      </c>
      <c r="K584" s="197">
        <f>IF(LeagueInfo!$F$7="Yahoo",IFERROR(INDEX(DefaultAuctionValues!$B$2:$B$359,MATCH(A584,DefaultAuctionValues!$A$2:$A$359,0)),0),IF(LeagueInfo!$F$7="ESPN",IFERROR(INDEX(DefaultAuctionValues!$C$2:$C$359,MATCH(A584,DefaultAuctionValues!$A$2:$A$359,0)),0),IF(LeagueInfo!$F$7="FantasyPros",IFERROR(INDEX(DefaultAuctionValues!$D$2:$D$359,MATCH(A584,DefaultAuctionValues!$A$2:$A$359,0)),0))))</f>
        <v>0</v>
      </c>
      <c r="L584" s="197">
        <f ca="1">I584-K584</f>
        <v>-19.399163780486333</v>
      </c>
      <c r="M584" s="213"/>
      <c r="N584" s="208">
        <f ca="1">INDEX(INDIRECT(""&amp;$B584&amp;"!y2:y709"),MATCH($A584,INDIRECT(""&amp;$B584&amp;"!B2:B709"),0))</f>
        <v>-40.5</v>
      </c>
      <c r="O584" s="217" t="str">
        <f ca="1">IF(INDEX(INDIRECT(""&amp;$B584&amp;"!V2:V700"),MATCH($A584,INDIRECT(""&amp;$B584&amp;"!B2:B700"),0))=0,"",INDEX(INDIRECT(""&amp;$B584&amp;"!V2:V700"),MATCH($A584,INDIRECT(""&amp;$B584&amp;"!B2:B700"),0)))</f>
        <v/>
      </c>
    </row>
    <row r="585" spans="1:15" x14ac:dyDescent="0.25">
      <c r="A585" s="195" t="s">
        <v>664</v>
      </c>
      <c r="B585" s="195" t="s">
        <v>39</v>
      </c>
      <c r="C585" s="195">
        <f ca="1">IFERROR(INDEX(BYEs!$B$2:$B$33,MATCH(D585,BYEs!$A$2:$A$33,0)),"N/A")</f>
        <v>5</v>
      </c>
      <c r="D585" s="195" t="str">
        <f ca="1">INDEX(INDIRECT(""&amp;B585&amp;"!E2:E700"),MATCH(A585,INDIRECT(""&amp;B585&amp;"!B2:B700"),0))</f>
        <v>WAS</v>
      </c>
      <c r="E585" s="194" t="str">
        <f ca="1">INDEX(INDIRECT(""&amp;$B585&amp;"!Z2:Z709"),MATCH($A585,INDIRECT(""&amp;$B585&amp;"!B2:B709"),0))</f>
        <v>WR10</v>
      </c>
      <c r="F585" s="196">
        <f ca="1">IF(LeagueInfo!$H$7="Starter/Bench",INDEX(INDIRECT(""&amp;B585&amp;"!S2:S709"),MATCH(A585,INDIRECT(""&amp;B585&amp;"!B2:B709"),0)),INDEX(INDIRECT(""&amp;B585&amp;"!AA2:AA709"),MATCH(A585,INDIRECT(""&amp;B585&amp;"!B2:B709"),0)))</f>
        <v>-19.40395369746917</v>
      </c>
      <c r="G585" s="197">
        <f>IF(H585&gt;0,F585-H585,0)</f>
        <v>0</v>
      </c>
      <c r="H585" s="198"/>
      <c r="I585" s="197">
        <f ca="1">F585*$A$2</f>
        <v>-19.40395369746917</v>
      </c>
      <c r="J585" s="197" t="s">
        <v>80</v>
      </c>
      <c r="K585" s="197">
        <f>IF(LeagueInfo!$F$7="Yahoo",IFERROR(INDEX(DefaultAuctionValues!$B$2:$B$359,MATCH(A585,DefaultAuctionValues!$A$2:$A$359,0)),0),IF(LeagueInfo!$F$7="ESPN",IFERROR(INDEX(DefaultAuctionValues!$C$2:$C$359,MATCH(A585,DefaultAuctionValues!$A$2:$A$359,0)),0),IF(LeagueInfo!$F$7="FantasyPros",IFERROR(INDEX(DefaultAuctionValues!$D$2:$D$359,MATCH(A585,DefaultAuctionValues!$A$2:$A$359,0)),0))))</f>
        <v>0</v>
      </c>
      <c r="L585" s="197">
        <f ca="1">I585-K585</f>
        <v>-19.40395369746917</v>
      </c>
      <c r="M585" s="213"/>
      <c r="N585" s="208">
        <f ca="1">INDEX(INDIRECT(""&amp;$B585&amp;"!y2:y709"),MATCH($A585,INDIRECT(""&amp;$B585&amp;"!B2:B709"),0))</f>
        <v>-40.510000000000005</v>
      </c>
      <c r="O585" s="217" t="str">
        <f ca="1">IF(INDEX(INDIRECT(""&amp;$B585&amp;"!V2:V700"),MATCH($A585,INDIRECT(""&amp;$B585&amp;"!B2:B700"),0))=0,"",INDEX(INDIRECT(""&amp;$B585&amp;"!V2:V700"),MATCH($A585,INDIRECT(""&amp;$B585&amp;"!B2:B700"),0)))</f>
        <v/>
      </c>
    </row>
    <row r="586" spans="1:15" x14ac:dyDescent="0.25">
      <c r="A586" s="195" t="s">
        <v>646</v>
      </c>
      <c r="B586" s="195" t="s">
        <v>39</v>
      </c>
      <c r="C586" s="195">
        <f ca="1">IFERROR(INDEX(BYEs!$B$2:$B$33,MATCH(D586,BYEs!$A$2:$A$33,0)),"N/A")</f>
        <v>6</v>
      </c>
      <c r="D586" s="195" t="str">
        <f ca="1">INDEX(INDIRECT(""&amp;B586&amp;"!E2:E700"),MATCH(A586,INDIRECT(""&amp;B586&amp;"!B2:B700"),0))</f>
        <v>CIN</v>
      </c>
      <c r="E586" s="194" t="str">
        <f ca="1">INDEX(INDIRECT(""&amp;$B586&amp;"!Z2:Z709"),MATCH($A586,INDIRECT(""&amp;$B586&amp;"!B2:B709"),0))</f>
        <v>WR10</v>
      </c>
      <c r="F586" s="196">
        <f ca="1">IF(LeagueInfo!$H$7="Starter/Bench",INDEX(INDIRECT(""&amp;B586&amp;"!S2:S709"),MATCH(A586,INDIRECT(""&amp;B586&amp;"!B2:B709"),0)),INDEX(INDIRECT(""&amp;B586&amp;"!AA2:AA709"),MATCH(A586,INDIRECT(""&amp;B586&amp;"!B2:B709"),0)))</f>
        <v>-19.41353353143484</v>
      </c>
      <c r="G586" s="197">
        <f>IF(H586&gt;0,F586-H586,0)</f>
        <v>0</v>
      </c>
      <c r="H586" s="198"/>
      <c r="I586" s="197">
        <f ca="1">F586*$A$2</f>
        <v>-19.41353353143484</v>
      </c>
      <c r="J586" s="197" t="s">
        <v>80</v>
      </c>
      <c r="K586" s="197">
        <f>IF(LeagueInfo!$F$7="Yahoo",IFERROR(INDEX(DefaultAuctionValues!$B$2:$B$359,MATCH(A586,DefaultAuctionValues!$A$2:$A$359,0)),0),IF(LeagueInfo!$F$7="ESPN",IFERROR(INDEX(DefaultAuctionValues!$C$2:$C$359,MATCH(A586,DefaultAuctionValues!$A$2:$A$359,0)),0),IF(LeagueInfo!$F$7="FantasyPros",IFERROR(INDEX(DefaultAuctionValues!$D$2:$D$359,MATCH(A586,DefaultAuctionValues!$A$2:$A$359,0)),0))))</f>
        <v>0</v>
      </c>
      <c r="L586" s="197">
        <f ca="1">I586-K586</f>
        <v>-19.41353353143484</v>
      </c>
      <c r="M586" s="213"/>
      <c r="N586" s="208">
        <f ca="1">INDEX(INDIRECT(""&amp;$B586&amp;"!y2:y709"),MATCH($A586,INDIRECT(""&amp;$B586&amp;"!B2:B709"),0))</f>
        <v>-40.53</v>
      </c>
      <c r="O586" s="217" t="str">
        <f ca="1">IF(INDEX(INDIRECT(""&amp;$B586&amp;"!V2:V700"),MATCH($A586,INDIRECT(""&amp;$B586&amp;"!B2:B700"),0))=0,"",INDEX(INDIRECT(""&amp;$B586&amp;"!V2:V700"),MATCH($A586,INDIRECT(""&amp;$B586&amp;"!B2:B700"),0)))</f>
        <v/>
      </c>
    </row>
    <row r="587" spans="1:15" x14ac:dyDescent="0.25">
      <c r="A587" s="195" t="s">
        <v>707</v>
      </c>
      <c r="B587" s="195" t="s">
        <v>39</v>
      </c>
      <c r="C587" s="195">
        <f ca="1">IFERROR(INDEX(BYEs!$B$2:$B$33,MATCH(D587,BYEs!$A$2:$A$33,0)),"N/A")</f>
        <v>6</v>
      </c>
      <c r="D587" s="195" t="str">
        <f ca="1">INDEX(INDIRECT(""&amp;B587&amp;"!E2:E700"),MATCH(A587,INDIRECT(""&amp;B587&amp;"!B2:B700"),0))</f>
        <v>BUF</v>
      </c>
      <c r="E587" s="194" t="str">
        <f ca="1">INDEX(INDIRECT(""&amp;$B587&amp;"!Z2:Z709"),MATCH($A587,INDIRECT(""&amp;$B587&amp;"!B2:B709"),0))</f>
        <v>WR10</v>
      </c>
      <c r="F587" s="196">
        <f ca="1">IF(LeagueInfo!$H$7="Starter/Bench",INDEX(INDIRECT(""&amp;B587&amp;"!S2:S709"),MATCH(A587,INDIRECT(""&amp;B587&amp;"!B2:B709"),0)),INDEX(INDIRECT(""&amp;B587&amp;"!AA2:AA709"),MATCH(A587,INDIRECT(""&amp;B587&amp;"!B2:B709"),0)))</f>
        <v>-19.427903282383351</v>
      </c>
      <c r="G587" s="197">
        <f>IF(H587&gt;0,F587-H587,0)</f>
        <v>0</v>
      </c>
      <c r="H587" s="198"/>
      <c r="I587" s="197">
        <f ca="1">F587*$A$2</f>
        <v>-19.427903282383351</v>
      </c>
      <c r="J587" s="197" t="s">
        <v>80</v>
      </c>
      <c r="K587" s="197">
        <f>IF(LeagueInfo!$F$7="Yahoo",IFERROR(INDEX(DefaultAuctionValues!$B$2:$B$359,MATCH(A587,DefaultAuctionValues!$A$2:$A$359,0)),0),IF(LeagueInfo!$F$7="ESPN",IFERROR(INDEX(DefaultAuctionValues!$C$2:$C$359,MATCH(A587,DefaultAuctionValues!$A$2:$A$359,0)),0),IF(LeagueInfo!$F$7="FantasyPros",IFERROR(INDEX(DefaultAuctionValues!$D$2:$D$359,MATCH(A587,DefaultAuctionValues!$A$2:$A$359,0)),0))))</f>
        <v>0</v>
      </c>
      <c r="L587" s="197">
        <f ca="1">I587-K587</f>
        <v>-19.427903282383351</v>
      </c>
      <c r="M587" s="213"/>
      <c r="N587" s="208">
        <f ca="1">INDEX(INDIRECT(""&amp;$B587&amp;"!y2:y709"),MATCH($A587,INDIRECT(""&amp;$B587&amp;"!B2:B709"),0))</f>
        <v>-40.56</v>
      </c>
      <c r="O587" s="217" t="str">
        <f ca="1">IF(INDEX(INDIRECT(""&amp;$B587&amp;"!V2:V700"),MATCH($A587,INDIRECT(""&amp;$B587&amp;"!B2:B700"),0))=0,"",INDEX(INDIRECT(""&amp;$B587&amp;"!V2:V700"),MATCH($A587,INDIRECT(""&amp;$B587&amp;"!B2:B700"),0)))</f>
        <v/>
      </c>
    </row>
    <row r="588" spans="1:15" x14ac:dyDescent="0.25">
      <c r="A588" s="195" t="s">
        <v>927</v>
      </c>
      <c r="B588" s="195" t="s">
        <v>39</v>
      </c>
      <c r="C588" s="195">
        <f ca="1">IFERROR(INDEX(BYEs!$B$2:$B$33,MATCH(D588,BYEs!$A$2:$A$33,0)),"N/A")</f>
        <v>11</v>
      </c>
      <c r="D588" s="195" t="str">
        <f ca="1">INDEX(INDIRECT(""&amp;B588&amp;"!E2:E700"),MATCH(A588,INDIRECT(""&amp;B588&amp;"!B2:B700"),0))</f>
        <v>IND</v>
      </c>
      <c r="E588" s="194" t="str">
        <f ca="1">INDEX(INDIRECT(""&amp;$B588&amp;"!Z2:Z709"),MATCH($A588,INDIRECT(""&amp;$B588&amp;"!B2:B709"),0))</f>
        <v>WR10</v>
      </c>
      <c r="F588" s="196">
        <f ca="1">IF(LeagueInfo!$H$7="Starter/Bench",INDEX(INDIRECT(""&amp;B588&amp;"!S2:S709"),MATCH(A588,INDIRECT(""&amp;B588&amp;"!B2:B709"),0)),INDEX(INDIRECT(""&amp;B588&amp;"!AA2:AA709"),MATCH(A588,INDIRECT(""&amp;B588&amp;"!B2:B709"),0)))</f>
        <v>-19.427903282383351</v>
      </c>
      <c r="G588" s="197">
        <f>IF(H588&gt;0,F588-H588,0)</f>
        <v>0</v>
      </c>
      <c r="H588" s="198"/>
      <c r="I588" s="197">
        <f ca="1">F588*$A$2</f>
        <v>-19.427903282383351</v>
      </c>
      <c r="J588" s="197" t="s">
        <v>80</v>
      </c>
      <c r="K588" s="197">
        <f>IF(LeagueInfo!$F$7="Yahoo",IFERROR(INDEX(DefaultAuctionValues!$B$2:$B$359,MATCH(A588,DefaultAuctionValues!$A$2:$A$359,0)),0),IF(LeagueInfo!$F$7="ESPN",IFERROR(INDEX(DefaultAuctionValues!$C$2:$C$359,MATCH(A588,DefaultAuctionValues!$A$2:$A$359,0)),0),IF(LeagueInfo!$F$7="FantasyPros",IFERROR(INDEX(DefaultAuctionValues!$D$2:$D$359,MATCH(A588,DefaultAuctionValues!$A$2:$A$359,0)),0))))</f>
        <v>0</v>
      </c>
      <c r="L588" s="197">
        <f ca="1">I588-K588</f>
        <v>-19.427903282383351</v>
      </c>
      <c r="M588" s="213"/>
      <c r="N588" s="208">
        <f ca="1">INDEX(INDIRECT(""&amp;$B588&amp;"!y2:y709"),MATCH($A588,INDIRECT(""&amp;$B588&amp;"!B2:B709"),0))</f>
        <v>-40.56</v>
      </c>
      <c r="O588" s="217" t="str">
        <f ca="1">IF(INDEX(INDIRECT(""&amp;$B588&amp;"!V2:V700"),MATCH($A588,INDIRECT(""&amp;$B588&amp;"!B2:B700"),0))=0,"",INDEX(INDIRECT(""&amp;$B588&amp;"!V2:V700"),MATCH($A588,INDIRECT(""&amp;$B588&amp;"!B2:B700"),0)))</f>
        <v/>
      </c>
    </row>
    <row r="589" spans="1:15" x14ac:dyDescent="0.25">
      <c r="A589" s="195" t="s">
        <v>673</v>
      </c>
      <c r="B589" s="195" t="s">
        <v>39</v>
      </c>
      <c r="C589" s="195">
        <f ca="1">IFERROR(INDEX(BYEs!$B$2:$B$33,MATCH(D589,BYEs!$A$2:$A$33,0)),"N/A")</f>
        <v>11</v>
      </c>
      <c r="D589" s="195" t="str">
        <f ca="1">INDEX(INDIRECT(""&amp;B589&amp;"!E2:E700"),MATCH(A589,INDIRECT(""&amp;B589&amp;"!B2:B700"),0))</f>
        <v>TB</v>
      </c>
      <c r="E589" s="194" t="str">
        <f ca="1">INDEX(INDIRECT(""&amp;$B589&amp;"!Z2:Z709"),MATCH($A589,INDIRECT(""&amp;$B589&amp;"!B2:B709"),0))</f>
        <v>WR10</v>
      </c>
      <c r="F589" s="196">
        <f ca="1">IF(LeagueInfo!$H$7="Starter/Bench",INDEX(INDIRECT(""&amp;B589&amp;"!S2:S709"),MATCH(A589,INDIRECT(""&amp;B589&amp;"!B2:B709"),0)),INDEX(INDIRECT(""&amp;B589&amp;"!AA2:AA709"),MATCH(A589,INDIRECT(""&amp;B589&amp;"!B2:B709"),0)))</f>
        <v>-19.444667991823277</v>
      </c>
      <c r="G589" s="197">
        <f>IF(H589&gt;0,F589-H589,0)</f>
        <v>0</v>
      </c>
      <c r="H589" s="198"/>
      <c r="I589" s="197">
        <f ca="1">F589*$A$2</f>
        <v>-19.444667991823277</v>
      </c>
      <c r="J589" s="197" t="s">
        <v>80</v>
      </c>
      <c r="K589" s="197">
        <f>IF(LeagueInfo!$F$7="Yahoo",IFERROR(INDEX(DefaultAuctionValues!$B$2:$B$359,MATCH(A589,DefaultAuctionValues!$A$2:$A$359,0)),0),IF(LeagueInfo!$F$7="ESPN",IFERROR(INDEX(DefaultAuctionValues!$C$2:$C$359,MATCH(A589,DefaultAuctionValues!$A$2:$A$359,0)),0),IF(LeagueInfo!$F$7="FantasyPros",IFERROR(INDEX(DefaultAuctionValues!$D$2:$D$359,MATCH(A589,DefaultAuctionValues!$A$2:$A$359,0)),0))))</f>
        <v>0</v>
      </c>
      <c r="L589" s="197">
        <f ca="1">I589-K589</f>
        <v>-19.444667991823277</v>
      </c>
      <c r="M589" s="213"/>
      <c r="N589" s="208">
        <f ca="1">INDEX(INDIRECT(""&amp;$B589&amp;"!y2:y709"),MATCH($A589,INDIRECT(""&amp;$B589&amp;"!B2:B709"),0))</f>
        <v>-40.594999999999999</v>
      </c>
      <c r="O589" s="217" t="str">
        <f ca="1">IF(INDEX(INDIRECT(""&amp;$B589&amp;"!V2:V700"),MATCH($A589,INDIRECT(""&amp;$B589&amp;"!B2:B700"),0))=0,"",INDEX(INDIRECT(""&amp;$B589&amp;"!V2:V700"),MATCH($A589,INDIRECT(""&amp;$B589&amp;"!B2:B700"),0)))</f>
        <v/>
      </c>
    </row>
    <row r="590" spans="1:15" x14ac:dyDescent="0.25">
      <c r="A590" s="195" t="s">
        <v>632</v>
      </c>
      <c r="B590" s="195" t="s">
        <v>39</v>
      </c>
      <c r="C590" s="195">
        <f ca="1">IFERROR(INDEX(BYEs!$B$2:$B$33,MATCH(D590,BYEs!$A$2:$A$33,0)),"N/A")</f>
        <v>10</v>
      </c>
      <c r="D590" s="195" t="str">
        <f ca="1">INDEX(INDIRECT(""&amp;B590&amp;"!E2:E700"),MATCH(A590,INDIRECT(""&amp;B590&amp;"!B2:B700"),0))</f>
        <v>BAL</v>
      </c>
      <c r="E590" s="194" t="str">
        <f ca="1">INDEX(INDIRECT(""&amp;$B590&amp;"!Z2:Z709"),MATCH($A590,INDIRECT(""&amp;$B590&amp;"!B2:B709"),0))</f>
        <v>WR10</v>
      </c>
      <c r="F590" s="196">
        <f ca="1">IF(LeagueInfo!$H$7="Starter/Bench",INDEX(INDIRECT(""&amp;B590&amp;"!S2:S709"),MATCH(A590,INDIRECT(""&amp;B590&amp;"!B2:B709"),0)),INDEX(INDIRECT(""&amp;B590&amp;"!AA2:AA709"),MATCH(A590,INDIRECT(""&amp;B590&amp;"!B2:B709"),0)))</f>
        <v>-19.451852867297529</v>
      </c>
      <c r="G590" s="197">
        <f>IF(H590&gt;0,F590-H590,0)</f>
        <v>0</v>
      </c>
      <c r="H590" s="198"/>
      <c r="I590" s="197">
        <f ca="1">F590*$A$2</f>
        <v>-19.451852867297529</v>
      </c>
      <c r="J590" s="197" t="s">
        <v>80</v>
      </c>
      <c r="K590" s="197">
        <f>IF(LeagueInfo!$F$7="Yahoo",IFERROR(INDEX(DefaultAuctionValues!$B$2:$B$359,MATCH(A590,DefaultAuctionValues!$A$2:$A$359,0)),0),IF(LeagueInfo!$F$7="ESPN",IFERROR(INDEX(DefaultAuctionValues!$C$2:$C$359,MATCH(A590,DefaultAuctionValues!$A$2:$A$359,0)),0),IF(LeagueInfo!$F$7="FantasyPros",IFERROR(INDEX(DefaultAuctionValues!$D$2:$D$359,MATCH(A590,DefaultAuctionValues!$A$2:$A$359,0)),0))))</f>
        <v>0</v>
      </c>
      <c r="L590" s="197">
        <f ca="1">I590-K590</f>
        <v>-19.451852867297529</v>
      </c>
      <c r="M590" s="213"/>
      <c r="N590" s="208">
        <f ca="1">INDEX(INDIRECT(""&amp;$B590&amp;"!y2:y709"),MATCH($A590,INDIRECT(""&amp;$B590&amp;"!B2:B709"),0))</f>
        <v>-40.61</v>
      </c>
      <c r="O590" s="217" t="str">
        <f ca="1">IF(INDEX(INDIRECT(""&amp;$B590&amp;"!V2:V700"),MATCH($A590,INDIRECT(""&amp;$B590&amp;"!B2:B700"),0))=0,"",INDEX(INDIRECT(""&amp;$B590&amp;"!V2:V700"),MATCH($A590,INDIRECT(""&amp;$B590&amp;"!B2:B700"),0)))</f>
        <v/>
      </c>
    </row>
    <row r="591" spans="1:15" x14ac:dyDescent="0.25">
      <c r="A591" s="195" t="s">
        <v>674</v>
      </c>
      <c r="B591" s="195" t="s">
        <v>39</v>
      </c>
      <c r="C591" s="195">
        <f ca="1">IFERROR(INDEX(BYEs!$B$2:$B$33,MATCH(D591,BYEs!$A$2:$A$33,0)),"N/A")</f>
        <v>5</v>
      </c>
      <c r="D591" s="195" t="str">
        <f ca="1">INDEX(INDIRECT(""&amp;B591&amp;"!E2:E700"),MATCH(A591,INDIRECT(""&amp;B591&amp;"!B2:B700"),0))</f>
        <v>DEN</v>
      </c>
      <c r="E591" s="194" t="str">
        <f ca="1">INDEX(INDIRECT(""&amp;$B591&amp;"!Z2:Z709"),MATCH($A591,INDIRECT(""&amp;$B591&amp;"!B2:B709"),0))</f>
        <v>WR10</v>
      </c>
      <c r="F591" s="196">
        <f ca="1">IF(LeagueInfo!$H$7="Starter/Bench",INDEX(INDIRECT(""&amp;B591&amp;"!S2:S709"),MATCH(A591,INDIRECT(""&amp;B591&amp;"!B2:B709"),0)),INDEX(INDIRECT(""&amp;B591&amp;"!AA2:AA709"),MATCH(A591,INDIRECT(""&amp;B591&amp;"!B2:B709"),0)))</f>
        <v>-19.463827659754624</v>
      </c>
      <c r="G591" s="197">
        <f>IF(H591&gt;0,F591-H591,0)</f>
        <v>0</v>
      </c>
      <c r="H591" s="198"/>
      <c r="I591" s="197">
        <f ca="1">F591*$A$2</f>
        <v>-19.463827659754624</v>
      </c>
      <c r="J591" s="197" t="s">
        <v>80</v>
      </c>
      <c r="K591" s="197">
        <f>IF(LeagueInfo!$F$7="Yahoo",IFERROR(INDEX(DefaultAuctionValues!$B$2:$B$359,MATCH(A591,DefaultAuctionValues!$A$2:$A$359,0)),0),IF(LeagueInfo!$F$7="ESPN",IFERROR(INDEX(DefaultAuctionValues!$C$2:$C$359,MATCH(A591,DefaultAuctionValues!$A$2:$A$359,0)),0),IF(LeagueInfo!$F$7="FantasyPros",IFERROR(INDEX(DefaultAuctionValues!$D$2:$D$359,MATCH(A591,DefaultAuctionValues!$A$2:$A$359,0)),0))))</f>
        <v>0</v>
      </c>
      <c r="L591" s="197">
        <f ca="1">I591-K591</f>
        <v>-19.463827659754624</v>
      </c>
      <c r="M591" s="213"/>
      <c r="N591" s="208">
        <f ca="1">INDEX(INDIRECT(""&amp;$B591&amp;"!y2:y709"),MATCH($A591,INDIRECT(""&amp;$B591&amp;"!B2:B709"),0))</f>
        <v>-40.635000000000005</v>
      </c>
      <c r="O591" s="217" t="str">
        <f ca="1">IF(INDEX(INDIRECT(""&amp;$B591&amp;"!V2:V700"),MATCH($A591,INDIRECT(""&amp;$B591&amp;"!B2:B700"),0))=0,"",INDEX(INDIRECT(""&amp;$B591&amp;"!V2:V700"),MATCH($A591,INDIRECT(""&amp;$B591&amp;"!B2:B700"),0)))</f>
        <v/>
      </c>
    </row>
    <row r="592" spans="1:15" x14ac:dyDescent="0.25">
      <c r="A592" s="195" t="s">
        <v>675</v>
      </c>
      <c r="B592" s="195" t="s">
        <v>39</v>
      </c>
      <c r="C592" s="195">
        <f ca="1">IFERROR(INDEX(BYEs!$B$2:$B$33,MATCH(D592,BYEs!$A$2:$A$33,0)),"N/A")</f>
        <v>9</v>
      </c>
      <c r="D592" s="195" t="str">
        <f ca="1">INDEX(INDIRECT(""&amp;B592&amp;"!E2:E700"),MATCH(A592,INDIRECT(""&amp;B592&amp;"!B2:B700"),0))</f>
        <v>MIN</v>
      </c>
      <c r="E592" s="194" t="str">
        <f ca="1">INDEX(INDIRECT(""&amp;$B592&amp;"!Z2:Z709"),MATCH($A592,INDIRECT(""&amp;$B592&amp;"!B2:B709"),0))</f>
        <v>WR10</v>
      </c>
      <c r="F592" s="196">
        <f ca="1">IF(LeagueInfo!$H$7="Starter/Bench",INDEX(INDIRECT(""&amp;B592&amp;"!S2:S709"),MATCH(A592,INDIRECT(""&amp;B592&amp;"!B2:B709"),0)),INDEX(INDIRECT(""&amp;B592&amp;"!AA2:AA709"),MATCH(A592,INDIRECT(""&amp;B592&amp;"!B2:B709"),0)))</f>
        <v>-19.480592369194547</v>
      </c>
      <c r="G592" s="197">
        <f>IF(H592&gt;0,F592-H592,0)</f>
        <v>0</v>
      </c>
      <c r="H592" s="198"/>
      <c r="I592" s="197">
        <f ca="1">F592*$A$2</f>
        <v>-19.480592369194547</v>
      </c>
      <c r="J592" s="197" t="s">
        <v>80</v>
      </c>
      <c r="K592" s="197">
        <f>IF(LeagueInfo!$F$7="Yahoo",IFERROR(INDEX(DefaultAuctionValues!$B$2:$B$359,MATCH(A592,DefaultAuctionValues!$A$2:$A$359,0)),0),IF(LeagueInfo!$F$7="ESPN",IFERROR(INDEX(DefaultAuctionValues!$C$2:$C$359,MATCH(A592,DefaultAuctionValues!$A$2:$A$359,0)),0),IF(LeagueInfo!$F$7="FantasyPros",IFERROR(INDEX(DefaultAuctionValues!$D$2:$D$359,MATCH(A592,DefaultAuctionValues!$A$2:$A$359,0)),0))))</f>
        <v>0</v>
      </c>
      <c r="L592" s="197">
        <f ca="1">I592-K592</f>
        <v>-19.480592369194547</v>
      </c>
      <c r="M592" s="213"/>
      <c r="N592" s="208">
        <f ca="1">INDEX(INDIRECT(""&amp;$B592&amp;"!y2:y709"),MATCH($A592,INDIRECT(""&amp;$B592&amp;"!B2:B709"),0))</f>
        <v>-40.67</v>
      </c>
      <c r="O592" s="217" t="str">
        <f ca="1">IF(INDEX(INDIRECT(""&amp;$B592&amp;"!V2:V700"),MATCH($A592,INDIRECT(""&amp;$B592&amp;"!B2:B700"),0))=0,"",INDEX(INDIRECT(""&amp;$B592&amp;"!V2:V700"),MATCH($A592,INDIRECT(""&amp;$B592&amp;"!B2:B700"),0)))</f>
        <v/>
      </c>
    </row>
    <row r="593" spans="1:15" x14ac:dyDescent="0.25">
      <c r="A593" s="195" t="s">
        <v>677</v>
      </c>
      <c r="B593" s="195" t="s">
        <v>39</v>
      </c>
      <c r="C593" s="195">
        <f ca="1">IFERROR(INDEX(BYEs!$B$2:$B$33,MATCH(D593,BYEs!$A$2:$A$33,0)),"N/A")</f>
        <v>8</v>
      </c>
      <c r="D593" s="195" t="str">
        <f ca="1">INDEX(INDIRECT(""&amp;B593&amp;"!E2:E700"),MATCH(A593,INDIRECT(""&amp;B593&amp;"!B2:B700"),0))</f>
        <v>ARI</v>
      </c>
      <c r="E593" s="194" t="str">
        <f ca="1">INDEX(INDIRECT(""&amp;$B593&amp;"!Z2:Z709"),MATCH($A593,INDIRECT(""&amp;$B593&amp;"!B2:B709"),0))</f>
        <v>WR10</v>
      </c>
      <c r="F593" s="196">
        <f ca="1">IF(LeagueInfo!$H$7="Starter/Bench",INDEX(INDIRECT(""&amp;B593&amp;"!S2:S709"),MATCH(A593,INDIRECT(""&amp;B593&amp;"!B2:B709"),0)),INDEX(INDIRECT(""&amp;B593&amp;"!AA2:AA709"),MATCH(A593,INDIRECT(""&amp;B593&amp;"!B2:B709"),0)))</f>
        <v>-19.487777244668802</v>
      </c>
      <c r="G593" s="197">
        <f>IF(H593&gt;0,F593-H593,0)</f>
        <v>0</v>
      </c>
      <c r="H593" s="198"/>
      <c r="I593" s="197">
        <f ca="1">F593*$A$2</f>
        <v>-19.487777244668802</v>
      </c>
      <c r="J593" s="197" t="s">
        <v>80</v>
      </c>
      <c r="K593" s="197">
        <f>IF(LeagueInfo!$F$7="Yahoo",IFERROR(INDEX(DefaultAuctionValues!$B$2:$B$359,MATCH(A593,DefaultAuctionValues!$A$2:$A$359,0)),0),IF(LeagueInfo!$F$7="ESPN",IFERROR(INDEX(DefaultAuctionValues!$C$2:$C$359,MATCH(A593,DefaultAuctionValues!$A$2:$A$359,0)),0),IF(LeagueInfo!$F$7="FantasyPros",IFERROR(INDEX(DefaultAuctionValues!$D$2:$D$359,MATCH(A593,DefaultAuctionValues!$A$2:$A$359,0)),0))))</f>
        <v>0</v>
      </c>
      <c r="L593" s="197">
        <f ca="1">I593-K593</f>
        <v>-19.487777244668802</v>
      </c>
      <c r="M593" s="213"/>
      <c r="N593" s="208">
        <f ca="1">INDEX(INDIRECT(""&amp;$B593&amp;"!y2:y709"),MATCH($A593,INDIRECT(""&amp;$B593&amp;"!B2:B709"),0))</f>
        <v>-40.685000000000002</v>
      </c>
      <c r="O593" s="217" t="str">
        <f ca="1">IF(INDEX(INDIRECT(""&amp;$B593&amp;"!V2:V700"),MATCH($A593,INDIRECT(""&amp;$B593&amp;"!B2:B700"),0))=0,"",INDEX(INDIRECT(""&amp;$B593&amp;"!V2:V700"),MATCH($A593,INDIRECT(""&amp;$B593&amp;"!B2:B700"),0)))</f>
        <v/>
      </c>
    </row>
    <row r="594" spans="1:15" x14ac:dyDescent="0.25">
      <c r="A594" s="195" t="s">
        <v>666</v>
      </c>
      <c r="B594" s="195" t="s">
        <v>39</v>
      </c>
      <c r="C594" s="195">
        <f ca="1">IFERROR(INDEX(BYEs!$B$2:$B$33,MATCH(D594,BYEs!$A$2:$A$33,0)),"N/A")</f>
        <v>11</v>
      </c>
      <c r="D594" s="195" t="str">
        <f ca="1">INDEX(INDIRECT(""&amp;B594&amp;"!E2:E700"),MATCH(A594,INDIRECT(""&amp;B594&amp;"!B2:B700"),0))</f>
        <v>MIA</v>
      </c>
      <c r="E594" s="194" t="str">
        <f ca="1">INDEX(INDIRECT(""&amp;$B594&amp;"!Z2:Z709"),MATCH($A594,INDIRECT(""&amp;$B594&amp;"!B2:B709"),0))</f>
        <v>WR10</v>
      </c>
      <c r="F594" s="196">
        <f ca="1">IF(LeagueInfo!$H$7="Starter/Bench",INDEX(INDIRECT(""&amp;B594&amp;"!S2:S709"),MATCH(A594,INDIRECT(""&amp;B594&amp;"!B2:B709"),0)),INDEX(INDIRECT(""&amp;B594&amp;"!AA2:AA709"),MATCH(A594,INDIRECT(""&amp;B594&amp;"!B2:B709"),0)))</f>
        <v>-19.499752037125891</v>
      </c>
      <c r="G594" s="197">
        <f>IF(H594&gt;0,F594-H594,0)</f>
        <v>0</v>
      </c>
      <c r="H594" s="198"/>
      <c r="I594" s="197">
        <f ca="1">F594*$A$2</f>
        <v>-19.499752037125891</v>
      </c>
      <c r="J594" s="197" t="s">
        <v>80</v>
      </c>
      <c r="K594" s="197">
        <f>IF(LeagueInfo!$F$7="Yahoo",IFERROR(INDEX(DefaultAuctionValues!$B$2:$B$359,MATCH(A594,DefaultAuctionValues!$A$2:$A$359,0)),0),IF(LeagueInfo!$F$7="ESPN",IFERROR(INDEX(DefaultAuctionValues!$C$2:$C$359,MATCH(A594,DefaultAuctionValues!$A$2:$A$359,0)),0),IF(LeagueInfo!$F$7="FantasyPros",IFERROR(INDEX(DefaultAuctionValues!$D$2:$D$359,MATCH(A594,DefaultAuctionValues!$A$2:$A$359,0)),0))))</f>
        <v>0</v>
      </c>
      <c r="L594" s="197">
        <f ca="1">I594-K594</f>
        <v>-19.499752037125891</v>
      </c>
      <c r="M594" s="213"/>
      <c r="N594" s="208">
        <f ca="1">INDEX(INDIRECT(""&amp;$B594&amp;"!y2:y709"),MATCH($A594,INDIRECT(""&amp;$B594&amp;"!B2:B709"),0))</f>
        <v>-40.71</v>
      </c>
      <c r="O594" s="217" t="str">
        <f ca="1">IF(INDEX(INDIRECT(""&amp;$B594&amp;"!V2:V700"),MATCH($A594,INDIRECT(""&amp;$B594&amp;"!B2:B700"),0))=0,"",INDEX(INDIRECT(""&amp;$B594&amp;"!V2:V700"),MATCH($A594,INDIRECT(""&amp;$B594&amp;"!B2:B700"),0)))</f>
        <v/>
      </c>
    </row>
    <row r="595" spans="1:15" x14ac:dyDescent="0.25">
      <c r="A595" s="195" t="s">
        <v>683</v>
      </c>
      <c r="B595" s="195" t="s">
        <v>39</v>
      </c>
      <c r="C595" s="195">
        <f ca="1">IFERROR(INDEX(BYEs!$B$2:$B$33,MATCH(D595,BYEs!$A$2:$A$33,0)),"N/A")</f>
        <v>5</v>
      </c>
      <c r="D595" s="195" t="str">
        <f ca="1">INDEX(INDIRECT(""&amp;B595&amp;"!E2:E700"),MATCH(A595,INDIRECT(""&amp;B595&amp;"!B2:B700"),0))</f>
        <v>WAS</v>
      </c>
      <c r="E595" s="194" t="str">
        <f ca="1">INDEX(INDIRECT(""&amp;$B595&amp;"!Z2:Z709"),MATCH($A595,INDIRECT(""&amp;$B595&amp;"!B2:B709"),0))</f>
        <v>WR10</v>
      </c>
      <c r="F595" s="196">
        <f ca="1">IF(LeagueInfo!$H$7="Starter/Bench",INDEX(INDIRECT(""&amp;B595&amp;"!S2:S709"),MATCH(A595,INDIRECT(""&amp;B595&amp;"!B2:B709"),0)),INDEX(INDIRECT(""&amp;B595&amp;"!AA2:AA709"),MATCH(A595,INDIRECT(""&amp;B595&amp;"!B2:B709"),0)))</f>
        <v>-19.502146995617313</v>
      </c>
      <c r="G595" s="197">
        <f>IF(H595&gt;0,F595-H595,0)</f>
        <v>0</v>
      </c>
      <c r="H595" s="198"/>
      <c r="I595" s="197">
        <f ca="1">F595*$A$2</f>
        <v>-19.502146995617313</v>
      </c>
      <c r="J595" s="197" t="s">
        <v>80</v>
      </c>
      <c r="K595" s="197">
        <f>IF(LeagueInfo!$F$7="Yahoo",IFERROR(INDEX(DefaultAuctionValues!$B$2:$B$359,MATCH(A595,DefaultAuctionValues!$A$2:$A$359,0)),0),IF(LeagueInfo!$F$7="ESPN",IFERROR(INDEX(DefaultAuctionValues!$C$2:$C$359,MATCH(A595,DefaultAuctionValues!$A$2:$A$359,0)),0),IF(LeagueInfo!$F$7="FantasyPros",IFERROR(INDEX(DefaultAuctionValues!$D$2:$D$359,MATCH(A595,DefaultAuctionValues!$A$2:$A$359,0)),0))))</f>
        <v>0</v>
      </c>
      <c r="L595" s="197">
        <f ca="1">I595-K595</f>
        <v>-19.502146995617313</v>
      </c>
      <c r="M595" s="213"/>
      <c r="N595" s="208">
        <f ca="1">INDEX(INDIRECT(""&amp;$B595&amp;"!y2:y709"),MATCH($A595,INDIRECT(""&amp;$B595&amp;"!B2:B709"),0))</f>
        <v>-40.715000000000003</v>
      </c>
      <c r="O595" s="217" t="str">
        <f ca="1">IF(INDEX(INDIRECT(""&amp;$B595&amp;"!V2:V700"),MATCH($A595,INDIRECT(""&amp;$B595&amp;"!B2:B700"),0))=0,"",INDEX(INDIRECT(""&amp;$B595&amp;"!V2:V700"),MATCH($A595,INDIRECT(""&amp;$B595&amp;"!B2:B700"),0)))</f>
        <v/>
      </c>
    </row>
    <row r="596" spans="1:15" x14ac:dyDescent="0.25">
      <c r="A596" s="195" t="s">
        <v>678</v>
      </c>
      <c r="B596" s="195" t="s">
        <v>39</v>
      </c>
      <c r="C596" s="195">
        <f ca="1">IFERROR(INDEX(BYEs!$B$2:$B$33,MATCH(D596,BYEs!$A$2:$A$33,0)),"N/A")</f>
        <v>10</v>
      </c>
      <c r="D596" s="195" t="str">
        <f ca="1">INDEX(INDIRECT(""&amp;B596&amp;"!E2:E700"),MATCH(A596,INDIRECT(""&amp;B596&amp;"!B2:B700"),0))</f>
        <v>PHI</v>
      </c>
      <c r="E596" s="194" t="str">
        <f ca="1">INDEX(INDIRECT(""&amp;$B596&amp;"!Z2:Z709"),MATCH($A596,INDIRECT(""&amp;$B596&amp;"!B2:B709"),0))</f>
        <v>WR10</v>
      </c>
      <c r="F596" s="196">
        <f ca="1">IF(LeagueInfo!$H$7="Starter/Bench",INDEX(INDIRECT(""&amp;B596&amp;"!S2:S709"),MATCH(A596,INDIRECT(""&amp;B596&amp;"!B2:B709"),0)),INDEX(INDIRECT(""&amp;B596&amp;"!AA2:AA709"),MATCH(A596,INDIRECT(""&amp;B596&amp;"!B2:B709"),0)))</f>
        <v>-19.506936912600146</v>
      </c>
      <c r="G596" s="197">
        <f>IF(H596&gt;0,F596-H596,0)</f>
        <v>0</v>
      </c>
      <c r="H596" s="198"/>
      <c r="I596" s="197">
        <f ca="1">F596*$A$2</f>
        <v>-19.506936912600146</v>
      </c>
      <c r="J596" s="197" t="s">
        <v>80</v>
      </c>
      <c r="K596" s="197">
        <f>IF(LeagueInfo!$F$7="Yahoo",IFERROR(INDEX(DefaultAuctionValues!$B$2:$B$359,MATCH(A596,DefaultAuctionValues!$A$2:$A$359,0)),0),IF(LeagueInfo!$F$7="ESPN",IFERROR(INDEX(DefaultAuctionValues!$C$2:$C$359,MATCH(A596,DefaultAuctionValues!$A$2:$A$359,0)),0),IF(LeagueInfo!$F$7="FantasyPros",IFERROR(INDEX(DefaultAuctionValues!$D$2:$D$359,MATCH(A596,DefaultAuctionValues!$A$2:$A$359,0)),0))))</f>
        <v>0</v>
      </c>
      <c r="L596" s="197">
        <f ca="1">I596-K596</f>
        <v>-19.506936912600146</v>
      </c>
      <c r="M596" s="213"/>
      <c r="N596" s="208">
        <f ca="1">INDEX(INDIRECT(""&amp;$B596&amp;"!y2:y709"),MATCH($A596,INDIRECT(""&amp;$B596&amp;"!B2:B709"),0))</f>
        <v>-40.725000000000001</v>
      </c>
      <c r="O596" s="217" t="str">
        <f ca="1">IF(INDEX(INDIRECT(""&amp;$B596&amp;"!V2:V700"),MATCH($A596,INDIRECT(""&amp;$B596&amp;"!B2:B700"),0))=0,"",INDEX(INDIRECT(""&amp;$B596&amp;"!V2:V700"),MATCH($A596,INDIRECT(""&amp;$B596&amp;"!B2:B700"),0)))</f>
        <v/>
      </c>
    </row>
    <row r="597" spans="1:15" x14ac:dyDescent="0.25">
      <c r="A597" s="195" t="s">
        <v>621</v>
      </c>
      <c r="B597" s="195" t="s">
        <v>39</v>
      </c>
      <c r="C597" s="195">
        <f ca="1">IFERROR(INDEX(BYEs!$B$2:$B$33,MATCH(D597,BYEs!$A$2:$A$33,0)),"N/A")</f>
        <v>10</v>
      </c>
      <c r="D597" s="195" t="str">
        <f ca="1">INDEX(INDIRECT(""&amp;B597&amp;"!E2:E700"),MATCH(A597,INDIRECT(""&amp;B597&amp;"!B2:B700"),0))</f>
        <v>BAL</v>
      </c>
      <c r="E597" s="194" t="str">
        <f ca="1">INDEX(INDIRECT(""&amp;$B597&amp;"!Z2:Z709"),MATCH($A597,INDIRECT(""&amp;$B597&amp;"!B2:B709"),0))</f>
        <v>WR10</v>
      </c>
      <c r="F597" s="196">
        <f ca="1">IF(LeagueInfo!$H$7="Starter/Bench",INDEX(INDIRECT(""&amp;B597&amp;"!S2:S709"),MATCH(A597,INDIRECT(""&amp;B597&amp;"!B2:B709"),0)),INDEX(INDIRECT(""&amp;B597&amp;"!AA2:AA709"),MATCH(A597,INDIRECT(""&amp;B597&amp;"!B2:B709"),0)))</f>
        <v>-19.557231040919927</v>
      </c>
      <c r="G597" s="197">
        <f>IF(H597&gt;0,F597-H597,0)</f>
        <v>0</v>
      </c>
      <c r="H597" s="198"/>
      <c r="I597" s="197">
        <f ca="1">F597*$A$2</f>
        <v>-19.557231040919927</v>
      </c>
      <c r="J597" s="197" t="s">
        <v>80</v>
      </c>
      <c r="K597" s="197">
        <f>IF(LeagueInfo!$F$7="Yahoo",IFERROR(INDEX(DefaultAuctionValues!$B$2:$B$359,MATCH(A597,DefaultAuctionValues!$A$2:$A$359,0)),0),IF(LeagueInfo!$F$7="ESPN",IFERROR(INDEX(DefaultAuctionValues!$C$2:$C$359,MATCH(A597,DefaultAuctionValues!$A$2:$A$359,0)),0),IF(LeagueInfo!$F$7="FantasyPros",IFERROR(INDEX(DefaultAuctionValues!$D$2:$D$359,MATCH(A597,DefaultAuctionValues!$A$2:$A$359,0)),0))))</f>
        <v>0</v>
      </c>
      <c r="L597" s="197">
        <f ca="1">I597-K597</f>
        <v>-19.557231040919927</v>
      </c>
      <c r="M597" s="213"/>
      <c r="N597" s="208">
        <f ca="1">INDEX(INDIRECT(""&amp;$B597&amp;"!y2:y709"),MATCH($A597,INDIRECT(""&amp;$B597&amp;"!B2:B709"),0))</f>
        <v>-40.830000000000005</v>
      </c>
      <c r="O597" s="217" t="str">
        <f ca="1">IF(INDEX(INDIRECT(""&amp;$B597&amp;"!V2:V700"),MATCH($A597,INDIRECT(""&amp;$B597&amp;"!B2:B700"),0))=0,"",INDEX(INDIRECT(""&amp;$B597&amp;"!V2:V700"),MATCH($A597,INDIRECT(""&amp;$B597&amp;"!B2:B700"),0)))</f>
        <v/>
      </c>
    </row>
    <row r="598" spans="1:15" x14ac:dyDescent="0.25">
      <c r="A598" s="195" t="s">
        <v>652</v>
      </c>
      <c r="B598" s="195" t="s">
        <v>39</v>
      </c>
      <c r="C598" s="195">
        <f ca="1">IFERROR(INDEX(BYEs!$B$2:$B$33,MATCH(D598,BYEs!$A$2:$A$33,0)),"N/A")</f>
        <v>11</v>
      </c>
      <c r="D598" s="195" t="str">
        <f ca="1">INDEX(INDIRECT(""&amp;B598&amp;"!E2:E700"),MATCH(A598,INDIRECT(""&amp;B598&amp;"!B2:B700"),0))</f>
        <v>CAR</v>
      </c>
      <c r="E598" s="194" t="str">
        <f ca="1">INDEX(INDIRECT(""&amp;$B598&amp;"!Z2:Z709"),MATCH($A598,INDIRECT(""&amp;$B598&amp;"!B2:B709"),0))</f>
        <v>WR10</v>
      </c>
      <c r="F598" s="196">
        <f ca="1">IF(LeagueInfo!$H$7="Starter/Bench",INDEX(INDIRECT(""&amp;B598&amp;"!S2:S709"),MATCH(A598,INDIRECT(""&amp;B598&amp;"!B2:B709"),0)),INDEX(INDIRECT(""&amp;B598&amp;"!AA2:AA709"),MATCH(A598,INDIRECT(""&amp;B598&amp;"!B2:B709"),0)))</f>
        <v>-19.576390708851271</v>
      </c>
      <c r="G598" s="197">
        <f>IF(H598&gt;0,F598-H598,0)</f>
        <v>0</v>
      </c>
      <c r="H598" s="198"/>
      <c r="I598" s="197">
        <f ca="1">F598*$A$2</f>
        <v>-19.576390708851271</v>
      </c>
      <c r="J598" s="197" t="s">
        <v>80</v>
      </c>
      <c r="K598" s="197">
        <f>IF(LeagueInfo!$F$7="Yahoo",IFERROR(INDEX(DefaultAuctionValues!$B$2:$B$359,MATCH(A598,DefaultAuctionValues!$A$2:$A$359,0)),0),IF(LeagueInfo!$F$7="ESPN",IFERROR(INDEX(DefaultAuctionValues!$C$2:$C$359,MATCH(A598,DefaultAuctionValues!$A$2:$A$359,0)),0),IF(LeagueInfo!$F$7="FantasyPros",IFERROR(INDEX(DefaultAuctionValues!$D$2:$D$359,MATCH(A598,DefaultAuctionValues!$A$2:$A$359,0)),0))))</f>
        <v>0</v>
      </c>
      <c r="L598" s="197">
        <f ca="1">I598-K598</f>
        <v>-19.576390708851271</v>
      </c>
      <c r="M598" s="213"/>
      <c r="N598" s="208">
        <f ca="1">INDEX(INDIRECT(""&amp;$B598&amp;"!y2:y709"),MATCH($A598,INDIRECT(""&amp;$B598&amp;"!B2:B709"),0))</f>
        <v>-40.870000000000005</v>
      </c>
      <c r="O598" s="217" t="str">
        <f ca="1">IF(INDEX(INDIRECT(""&amp;$B598&amp;"!V2:V700"),MATCH($A598,INDIRECT(""&amp;$B598&amp;"!B2:B700"),0))=0,"",INDEX(INDIRECT(""&amp;$B598&amp;"!V2:V700"),MATCH($A598,INDIRECT(""&amp;$B598&amp;"!B2:B700"),0)))</f>
        <v/>
      </c>
    </row>
    <row r="599" spans="1:15" x14ac:dyDescent="0.25">
      <c r="A599" s="195" t="s">
        <v>690</v>
      </c>
      <c r="B599" s="195" t="s">
        <v>39</v>
      </c>
      <c r="C599" s="195">
        <f ca="1">IFERROR(INDEX(BYEs!$B$2:$B$33,MATCH(D599,BYEs!$A$2:$A$33,0)),"N/A")</f>
        <v>8</v>
      </c>
      <c r="D599" s="195" t="str">
        <f ca="1">INDEX(INDIRECT(""&amp;B599&amp;"!E2:E700"),MATCH(A599,INDIRECT(""&amp;B599&amp;"!B2:B700"),0))</f>
        <v>NYG</v>
      </c>
      <c r="E599" s="194" t="str">
        <f ca="1">INDEX(INDIRECT(""&amp;$B599&amp;"!Z2:Z709"),MATCH($A599,INDIRECT(""&amp;$B599&amp;"!B2:B709"),0))</f>
        <v>WR10</v>
      </c>
      <c r="F599" s="196">
        <f ca="1">IF(LeagueInfo!$H$7="Starter/Bench",INDEX(INDIRECT(""&amp;B599&amp;"!S2:S709"),MATCH(A599,INDIRECT(""&amp;B599&amp;"!B2:B709"),0)),INDEX(INDIRECT(""&amp;B599&amp;"!AA2:AA709"),MATCH(A599,INDIRECT(""&amp;B599&amp;"!B2:B709"),0)))</f>
        <v>-19.581180625834108</v>
      </c>
      <c r="G599" s="197">
        <f>IF(H599&gt;0,F599-H599,0)</f>
        <v>0</v>
      </c>
      <c r="H599" s="198"/>
      <c r="I599" s="197">
        <f ca="1">F599*$A$2</f>
        <v>-19.581180625834108</v>
      </c>
      <c r="J599" s="197" t="s">
        <v>80</v>
      </c>
      <c r="K599" s="197">
        <f>IF(LeagueInfo!$F$7="Yahoo",IFERROR(INDEX(DefaultAuctionValues!$B$2:$B$359,MATCH(A599,DefaultAuctionValues!$A$2:$A$359,0)),0),IF(LeagueInfo!$F$7="ESPN",IFERROR(INDEX(DefaultAuctionValues!$C$2:$C$359,MATCH(A599,DefaultAuctionValues!$A$2:$A$359,0)),0),IF(LeagueInfo!$F$7="FantasyPros",IFERROR(INDEX(DefaultAuctionValues!$D$2:$D$359,MATCH(A599,DefaultAuctionValues!$A$2:$A$359,0)),0))))</f>
        <v>0</v>
      </c>
      <c r="L599" s="197">
        <f ca="1">I599-K599</f>
        <v>-19.581180625834108</v>
      </c>
      <c r="M599" s="213"/>
      <c r="N599" s="208">
        <f ca="1">INDEX(INDIRECT(""&amp;$B599&amp;"!y2:y709"),MATCH($A599,INDIRECT(""&amp;$B599&amp;"!B2:B709"),0))</f>
        <v>-40.880000000000003</v>
      </c>
      <c r="O599" s="217" t="str">
        <f ca="1">IF(INDEX(INDIRECT(""&amp;$B599&amp;"!V2:V700"),MATCH($A599,INDIRECT(""&amp;$B599&amp;"!B2:B700"),0))=0,"",INDEX(INDIRECT(""&amp;$B599&amp;"!V2:V700"),MATCH($A599,INDIRECT(""&amp;$B599&amp;"!B2:B700"),0)))</f>
        <v/>
      </c>
    </row>
    <row r="600" spans="1:15" x14ac:dyDescent="0.25">
      <c r="A600" s="195" t="s">
        <v>680</v>
      </c>
      <c r="B600" s="195" t="s">
        <v>39</v>
      </c>
      <c r="C600" s="195">
        <f ca="1">IFERROR(INDEX(BYEs!$B$2:$B$33,MATCH(D600,BYEs!$A$2:$A$33,0)),"N/A")</f>
        <v>6</v>
      </c>
      <c r="D600" s="195" t="str">
        <f ca="1">INDEX(INDIRECT(""&amp;B600&amp;"!E2:E700"),MATCH(A600,INDIRECT(""&amp;B600&amp;"!B2:B700"),0))</f>
        <v>BUF</v>
      </c>
      <c r="E600" s="194" t="str">
        <f ca="1">INDEX(INDIRECT(""&amp;$B600&amp;"!Z2:Z709"),MATCH($A600,INDIRECT(""&amp;$B600&amp;"!B2:B709"),0))</f>
        <v>WR10</v>
      </c>
      <c r="F600" s="196">
        <f ca="1">IF(LeagueInfo!$H$7="Starter/Bench",INDEX(INDIRECT(""&amp;B600&amp;"!S2:S709"),MATCH(A600,INDIRECT(""&amp;B600&amp;"!B2:B709"),0)),INDEX(INDIRECT(""&amp;B600&amp;"!AA2:AA709"),MATCH(A600,INDIRECT(""&amp;B600&amp;"!B2:B709"),0)))</f>
        <v>-19.585970542816941</v>
      </c>
      <c r="G600" s="197">
        <f>IF(H600&gt;0,F600-H600,0)</f>
        <v>0</v>
      </c>
      <c r="H600" s="198"/>
      <c r="I600" s="197">
        <f ca="1">F600*$A$2</f>
        <v>-19.585970542816941</v>
      </c>
      <c r="J600" s="197" t="s">
        <v>80</v>
      </c>
      <c r="K600" s="197">
        <f>IF(LeagueInfo!$F$7="Yahoo",IFERROR(INDEX(DefaultAuctionValues!$B$2:$B$359,MATCH(A600,DefaultAuctionValues!$A$2:$A$359,0)),0),IF(LeagueInfo!$F$7="ESPN",IFERROR(INDEX(DefaultAuctionValues!$C$2:$C$359,MATCH(A600,DefaultAuctionValues!$A$2:$A$359,0)),0),IF(LeagueInfo!$F$7="FantasyPros",IFERROR(INDEX(DefaultAuctionValues!$D$2:$D$359,MATCH(A600,DefaultAuctionValues!$A$2:$A$359,0)),0))))</f>
        <v>0</v>
      </c>
      <c r="L600" s="197">
        <f ca="1">I600-K600</f>
        <v>-19.585970542816941</v>
      </c>
      <c r="M600" s="213"/>
      <c r="N600" s="208">
        <f ca="1">INDEX(INDIRECT(""&amp;$B600&amp;"!y2:y709"),MATCH($A600,INDIRECT(""&amp;$B600&amp;"!B2:B709"),0))</f>
        <v>-40.89</v>
      </c>
      <c r="O600" s="217" t="str">
        <f ca="1">IF(INDEX(INDIRECT(""&amp;$B600&amp;"!V2:V700"),MATCH($A600,INDIRECT(""&amp;$B600&amp;"!B2:B700"),0))=0,"",INDEX(INDIRECT(""&amp;$B600&amp;"!V2:V700"),MATCH($A600,INDIRECT(""&amp;$B600&amp;"!B2:B700"),0)))</f>
        <v/>
      </c>
    </row>
    <row r="601" spans="1:15" x14ac:dyDescent="0.25">
      <c r="A601" s="195" t="s">
        <v>682</v>
      </c>
      <c r="B601" s="195" t="s">
        <v>39</v>
      </c>
      <c r="C601" s="195">
        <f ca="1">IFERROR(INDEX(BYEs!$B$2:$B$33,MATCH(D601,BYEs!$A$2:$A$33,0)),"N/A")</f>
        <v>11</v>
      </c>
      <c r="D601" s="195" t="str">
        <f ca="1">INDEX(INDIRECT(""&amp;B601&amp;"!E2:E700"),MATCH(A601,INDIRECT(""&amp;B601&amp;"!B2:B700"),0))</f>
        <v>NYJ</v>
      </c>
      <c r="E601" s="194" t="str">
        <f ca="1">INDEX(INDIRECT(""&amp;$B601&amp;"!Z2:Z709"),MATCH($A601,INDIRECT(""&amp;$B601&amp;"!B2:B709"),0))</f>
        <v>WR10</v>
      </c>
      <c r="F601" s="196">
        <f ca="1">IF(LeagueInfo!$H$7="Starter/Bench",INDEX(INDIRECT(""&amp;B601&amp;"!S2:S709"),MATCH(A601,INDIRECT(""&amp;B601&amp;"!B2:B709"),0)),INDEX(INDIRECT(""&amp;B601&amp;"!AA2:AA709"),MATCH(A601,INDIRECT(""&amp;B601&amp;"!B2:B709"),0)))</f>
        <v>-19.585970542816941</v>
      </c>
      <c r="G601" s="197">
        <f>IF(H601&gt;0,F601-H601,0)</f>
        <v>0</v>
      </c>
      <c r="H601" s="198"/>
      <c r="I601" s="197">
        <f ca="1">F601*$A$2</f>
        <v>-19.585970542816941</v>
      </c>
      <c r="J601" s="197" t="s">
        <v>80</v>
      </c>
      <c r="K601" s="197">
        <f>IF(LeagueInfo!$F$7="Yahoo",IFERROR(INDEX(DefaultAuctionValues!$B$2:$B$359,MATCH(A601,DefaultAuctionValues!$A$2:$A$359,0)),0),IF(LeagueInfo!$F$7="ESPN",IFERROR(INDEX(DefaultAuctionValues!$C$2:$C$359,MATCH(A601,DefaultAuctionValues!$A$2:$A$359,0)),0),IF(LeagueInfo!$F$7="FantasyPros",IFERROR(INDEX(DefaultAuctionValues!$D$2:$D$359,MATCH(A601,DefaultAuctionValues!$A$2:$A$359,0)),0))))</f>
        <v>0</v>
      </c>
      <c r="L601" s="197">
        <f ca="1">I601-K601</f>
        <v>-19.585970542816941</v>
      </c>
      <c r="M601" s="213"/>
      <c r="N601" s="208">
        <f ca="1">INDEX(INDIRECT(""&amp;$B601&amp;"!y2:y709"),MATCH($A601,INDIRECT(""&amp;$B601&amp;"!B2:B709"),0))</f>
        <v>-40.89</v>
      </c>
      <c r="O601" s="217" t="str">
        <f ca="1">IF(INDEX(INDIRECT(""&amp;$B601&amp;"!V2:V700"),MATCH($A601,INDIRECT(""&amp;$B601&amp;"!B2:B700"),0))=0,"",INDEX(INDIRECT(""&amp;$B601&amp;"!V2:V700"),MATCH($A601,INDIRECT(""&amp;$B601&amp;"!B2:B700"),0)))</f>
        <v/>
      </c>
    </row>
    <row r="602" spans="1:15" x14ac:dyDescent="0.25">
      <c r="A602" s="195" t="s">
        <v>685</v>
      </c>
      <c r="B602" s="195" t="s">
        <v>39</v>
      </c>
      <c r="C602" s="195">
        <f ca="1">IFERROR(INDEX(BYEs!$B$2:$B$33,MATCH(D602,BYEs!$A$2:$A$33,0)),"N/A")</f>
        <v>9</v>
      </c>
      <c r="D602" s="195" t="str">
        <f ca="1">INDEX(INDIRECT(""&amp;B602&amp;"!E2:E700"),MATCH(A602,INDIRECT(""&amp;B602&amp;"!B2:B700"),0))</f>
        <v>PIT</v>
      </c>
      <c r="E602" s="194" t="str">
        <f ca="1">INDEX(INDIRECT(""&amp;$B602&amp;"!Z2:Z709"),MATCH($A602,INDIRECT(""&amp;$B602&amp;"!B2:B709"),0))</f>
        <v>WR10</v>
      </c>
      <c r="F602" s="196">
        <f ca="1">IF(LeagueInfo!$H$7="Starter/Bench",INDEX(INDIRECT(""&amp;B602&amp;"!S2:S709"),MATCH(A602,INDIRECT(""&amp;B602&amp;"!B2:B709"),0)),INDEX(INDIRECT(""&amp;B602&amp;"!AA2:AA709"),MATCH(A602,INDIRECT(""&amp;B602&amp;"!B2:B709"),0)))</f>
        <v>-19.617105003205374</v>
      </c>
      <c r="G602" s="197">
        <f>IF(H602&gt;0,F602-H602,0)</f>
        <v>0</v>
      </c>
      <c r="H602" s="198"/>
      <c r="I602" s="197">
        <f ca="1">F602*$A$2</f>
        <v>-19.617105003205374</v>
      </c>
      <c r="J602" s="197" t="s">
        <v>80</v>
      </c>
      <c r="K602" s="197">
        <f>IF(LeagueInfo!$F$7="Yahoo",IFERROR(INDEX(DefaultAuctionValues!$B$2:$B$359,MATCH(A602,DefaultAuctionValues!$A$2:$A$359,0)),0),IF(LeagueInfo!$F$7="ESPN",IFERROR(INDEX(DefaultAuctionValues!$C$2:$C$359,MATCH(A602,DefaultAuctionValues!$A$2:$A$359,0)),0),IF(LeagueInfo!$F$7="FantasyPros",IFERROR(INDEX(DefaultAuctionValues!$D$2:$D$359,MATCH(A602,DefaultAuctionValues!$A$2:$A$359,0)),0))))</f>
        <v>0</v>
      </c>
      <c r="L602" s="197">
        <f ca="1">I602-K602</f>
        <v>-19.617105003205374</v>
      </c>
      <c r="M602" s="213"/>
      <c r="N602" s="208">
        <f ca="1">INDEX(INDIRECT(""&amp;$B602&amp;"!y2:y709"),MATCH($A602,INDIRECT(""&amp;$B602&amp;"!B2:B709"),0))</f>
        <v>-40.954999999999998</v>
      </c>
      <c r="O602" s="217" t="str">
        <f ca="1">IF(INDEX(INDIRECT(""&amp;$B602&amp;"!V2:V700"),MATCH($A602,INDIRECT(""&amp;$B602&amp;"!B2:B700"),0))=0,"",INDEX(INDIRECT(""&amp;$B602&amp;"!V2:V700"),MATCH($A602,INDIRECT(""&amp;$B602&amp;"!B2:B700"),0)))</f>
        <v/>
      </c>
    </row>
    <row r="603" spans="1:15" x14ac:dyDescent="0.25">
      <c r="A603" s="195" t="s">
        <v>684</v>
      </c>
      <c r="B603" s="195" t="s">
        <v>39</v>
      </c>
      <c r="C603" s="195">
        <f ca="1">IFERROR(INDEX(BYEs!$B$2:$B$33,MATCH(D603,BYEs!$A$2:$A$33,0)),"N/A")</f>
        <v>9</v>
      </c>
      <c r="D603" s="195" t="str">
        <f ca="1">INDEX(INDIRECT(""&amp;B603&amp;"!E2:E700"),MATCH(A603,INDIRECT(""&amp;B603&amp;"!B2:B700"),0))</f>
        <v>CHI</v>
      </c>
      <c r="E603" s="194" t="str">
        <f ca="1">INDEX(INDIRECT(""&amp;$B603&amp;"!Z2:Z709"),MATCH($A603,INDIRECT(""&amp;$B603&amp;"!B2:B709"),0))</f>
        <v>WR10</v>
      </c>
      <c r="F603" s="196">
        <f ca="1">IF(LeagueInfo!$H$7="Starter/Bench",INDEX(INDIRECT(""&amp;B603&amp;"!S2:S709"),MATCH(A603,INDIRECT(""&amp;B603&amp;"!B2:B709"),0)),INDEX(INDIRECT(""&amp;B603&amp;"!AA2:AA709"),MATCH(A603,INDIRECT(""&amp;B603&amp;"!B2:B709"),0)))</f>
        <v>-19.619499961696796</v>
      </c>
      <c r="G603" s="197">
        <f>IF(H603&gt;0,F603-H603,0)</f>
        <v>0</v>
      </c>
      <c r="H603" s="198"/>
      <c r="I603" s="197">
        <f ca="1">F603*$A$2</f>
        <v>-19.619499961696796</v>
      </c>
      <c r="J603" s="197" t="s">
        <v>80</v>
      </c>
      <c r="K603" s="197">
        <f>IF(LeagueInfo!$F$7="Yahoo",IFERROR(INDEX(DefaultAuctionValues!$B$2:$B$359,MATCH(A603,DefaultAuctionValues!$A$2:$A$359,0)),0),IF(LeagueInfo!$F$7="ESPN",IFERROR(INDEX(DefaultAuctionValues!$C$2:$C$359,MATCH(A603,DefaultAuctionValues!$A$2:$A$359,0)),0),IF(LeagueInfo!$F$7="FantasyPros",IFERROR(INDEX(DefaultAuctionValues!$D$2:$D$359,MATCH(A603,DefaultAuctionValues!$A$2:$A$359,0)),0))))</f>
        <v>0</v>
      </c>
      <c r="L603" s="197">
        <f ca="1">I603-K603</f>
        <v>-19.619499961696796</v>
      </c>
      <c r="M603" s="213"/>
      <c r="N603" s="208">
        <f ca="1">INDEX(INDIRECT(""&amp;$B603&amp;"!y2:y709"),MATCH($A603,INDIRECT(""&amp;$B603&amp;"!B2:B709"),0))</f>
        <v>-40.96</v>
      </c>
      <c r="O603" s="217" t="str">
        <f ca="1">IF(INDEX(INDIRECT(""&amp;$B603&amp;"!V2:V700"),MATCH($A603,INDIRECT(""&amp;$B603&amp;"!B2:B700"),0))=0,"",INDEX(INDIRECT(""&amp;$B603&amp;"!V2:V700"),MATCH($A603,INDIRECT(""&amp;$B603&amp;"!B2:B700"),0)))</f>
        <v/>
      </c>
    </row>
    <row r="604" spans="1:15" x14ac:dyDescent="0.25">
      <c r="A604" s="195" t="s">
        <v>681</v>
      </c>
      <c r="B604" s="195" t="s">
        <v>39</v>
      </c>
      <c r="C604" s="195">
        <f ca="1">IFERROR(INDEX(BYEs!$B$2:$B$33,MATCH(D604,BYEs!$A$2:$A$33,0)),"N/A")</f>
        <v>6</v>
      </c>
      <c r="D604" s="195" t="str">
        <f ca="1">INDEX(INDIRECT(""&amp;B604&amp;"!E2:E700"),MATCH(A604,INDIRECT(""&amp;B604&amp;"!B2:B700"),0))</f>
        <v>DAL</v>
      </c>
      <c r="E604" s="194" t="str">
        <f ca="1">INDEX(INDIRECT(""&amp;$B604&amp;"!Z2:Z709"),MATCH($A604,INDIRECT(""&amp;$B604&amp;"!B2:B709"),0))</f>
        <v>WR10</v>
      </c>
      <c r="F604" s="196">
        <f ca="1">IF(LeagueInfo!$H$7="Starter/Bench",INDEX(INDIRECT(""&amp;B604&amp;"!S2:S709"),MATCH(A604,INDIRECT(""&amp;B604&amp;"!B2:B709"),0)),INDEX(INDIRECT(""&amp;B604&amp;"!AA2:AA709"),MATCH(A604,INDIRECT(""&amp;B604&amp;"!B2:B709"),0)))</f>
        <v>-19.619499961696796</v>
      </c>
      <c r="G604" s="197">
        <f>IF(H604&gt;0,F604-H604,0)</f>
        <v>0</v>
      </c>
      <c r="H604" s="198"/>
      <c r="I604" s="197">
        <f ca="1">F604*$A$2</f>
        <v>-19.619499961696796</v>
      </c>
      <c r="J604" s="197" t="s">
        <v>80</v>
      </c>
      <c r="K604" s="197">
        <f>IF(LeagueInfo!$F$7="Yahoo",IFERROR(INDEX(DefaultAuctionValues!$B$2:$B$359,MATCH(A604,DefaultAuctionValues!$A$2:$A$359,0)),0),IF(LeagueInfo!$F$7="ESPN",IFERROR(INDEX(DefaultAuctionValues!$C$2:$C$359,MATCH(A604,DefaultAuctionValues!$A$2:$A$359,0)),0),IF(LeagueInfo!$F$7="FantasyPros",IFERROR(INDEX(DefaultAuctionValues!$D$2:$D$359,MATCH(A604,DefaultAuctionValues!$A$2:$A$359,0)),0))))</f>
        <v>0</v>
      </c>
      <c r="L604" s="197">
        <f ca="1">I604-K604</f>
        <v>-19.619499961696796</v>
      </c>
      <c r="M604" s="213"/>
      <c r="N604" s="208">
        <f ca="1">INDEX(INDIRECT(""&amp;$B604&amp;"!y2:y709"),MATCH($A604,INDIRECT(""&amp;$B604&amp;"!B2:B709"),0))</f>
        <v>-40.96</v>
      </c>
      <c r="O604" s="217" t="str">
        <f ca="1">IF(INDEX(INDIRECT(""&amp;$B604&amp;"!V2:V700"),MATCH($A604,INDIRECT(""&amp;$B604&amp;"!B2:B700"),0))=0,"",INDEX(INDIRECT(""&amp;$B604&amp;"!V2:V700"),MATCH($A604,INDIRECT(""&amp;$B604&amp;"!B2:B700"),0)))</f>
        <v/>
      </c>
    </row>
    <row r="605" spans="1:15" x14ac:dyDescent="0.25">
      <c r="A605" s="195" t="s">
        <v>676</v>
      </c>
      <c r="B605" s="195" t="s">
        <v>39</v>
      </c>
      <c r="C605" s="195">
        <f ca="1">IFERROR(INDEX(BYEs!$B$2:$B$33,MATCH(D605,BYEs!$A$2:$A$33,0)),"N/A")</f>
        <v>11</v>
      </c>
      <c r="D605" s="195" t="str">
        <f ca="1">INDEX(INDIRECT(""&amp;B605&amp;"!E2:E700"),MATCH(A605,INDIRECT(""&amp;B605&amp;"!B2:B700"),0))</f>
        <v>TB</v>
      </c>
      <c r="E605" s="194" t="str">
        <f ca="1">INDEX(INDIRECT(""&amp;$B605&amp;"!Z2:Z709"),MATCH($A605,INDIRECT(""&amp;$B605&amp;"!B2:B709"),0))</f>
        <v>WR10</v>
      </c>
      <c r="F605" s="196">
        <f ca="1">IF(LeagueInfo!$H$7="Starter/Bench",INDEX(INDIRECT(""&amp;B605&amp;"!S2:S709"),MATCH(A605,INDIRECT(""&amp;B605&amp;"!B2:B709"),0)),INDEX(INDIRECT(""&amp;B605&amp;"!AA2:AA709"),MATCH(A605,INDIRECT(""&amp;B605&amp;"!B2:B709"),0)))</f>
        <v>-19.63865962962814</v>
      </c>
      <c r="G605" s="197">
        <f>IF(H605&gt;0,F605-H605,0)</f>
        <v>0</v>
      </c>
      <c r="H605" s="198"/>
      <c r="I605" s="197">
        <f ca="1">F605*$A$2</f>
        <v>-19.63865962962814</v>
      </c>
      <c r="J605" s="197" t="s">
        <v>80</v>
      </c>
      <c r="K605" s="197">
        <f>IF(LeagueInfo!$F$7="Yahoo",IFERROR(INDEX(DefaultAuctionValues!$B$2:$B$359,MATCH(A605,DefaultAuctionValues!$A$2:$A$359,0)),0),IF(LeagueInfo!$F$7="ESPN",IFERROR(INDEX(DefaultAuctionValues!$C$2:$C$359,MATCH(A605,DefaultAuctionValues!$A$2:$A$359,0)),0),IF(LeagueInfo!$F$7="FantasyPros",IFERROR(INDEX(DefaultAuctionValues!$D$2:$D$359,MATCH(A605,DefaultAuctionValues!$A$2:$A$359,0)),0))))</f>
        <v>0</v>
      </c>
      <c r="L605" s="197">
        <f ca="1">I605-K605</f>
        <v>-19.63865962962814</v>
      </c>
      <c r="M605" s="213"/>
      <c r="N605" s="208">
        <f ca="1">INDEX(INDIRECT(""&amp;$B605&amp;"!y2:y709"),MATCH($A605,INDIRECT(""&amp;$B605&amp;"!B2:B709"),0))</f>
        <v>-41</v>
      </c>
      <c r="O605" s="217" t="str">
        <f ca="1">IF(INDEX(INDIRECT(""&amp;$B605&amp;"!V2:V700"),MATCH($A605,INDIRECT(""&amp;$B605&amp;"!B2:B700"),0))=0,"",INDEX(INDIRECT(""&amp;$B605&amp;"!V2:V700"),MATCH($A605,INDIRECT(""&amp;$B605&amp;"!B2:B700"),0)))</f>
        <v/>
      </c>
    </row>
    <row r="606" spans="1:15" x14ac:dyDescent="0.25">
      <c r="A606" s="195" t="s">
        <v>638</v>
      </c>
      <c r="B606" s="195" t="s">
        <v>39</v>
      </c>
      <c r="C606" s="195">
        <f ca="1">IFERROR(INDEX(BYEs!$B$2:$B$33,MATCH(D606,BYEs!$A$2:$A$33,0)),"N/A")</f>
        <v>9</v>
      </c>
      <c r="D606" s="195" t="str">
        <f ca="1">INDEX(INDIRECT(""&amp;B606&amp;"!E2:E700"),MATCH(A606,INDIRECT(""&amp;B606&amp;"!B2:B700"),0))</f>
        <v>CLE</v>
      </c>
      <c r="E606" s="194" t="str">
        <f ca="1">INDEX(INDIRECT(""&amp;$B606&amp;"!Z2:Z709"),MATCH($A606,INDIRECT(""&amp;$B606&amp;"!B2:B709"),0))</f>
        <v>WR10</v>
      </c>
      <c r="F606" s="196">
        <f ca="1">IF(LeagueInfo!$H$7="Starter/Bench",INDEX(INDIRECT(""&amp;B606&amp;"!S2:S709"),MATCH(A606,INDIRECT(""&amp;B606&amp;"!B2:B709"),0)),INDEX(INDIRECT(""&amp;B606&amp;"!AA2:AA709"),MATCH(A606,INDIRECT(""&amp;B606&amp;"!B2:B709"),0)))</f>
        <v>-19.641054588119559</v>
      </c>
      <c r="G606" s="197">
        <f>IF(H606&gt;0,F606-H606,0)</f>
        <v>0</v>
      </c>
      <c r="H606" s="198"/>
      <c r="I606" s="197">
        <f ca="1">F606*$A$2</f>
        <v>-19.641054588119559</v>
      </c>
      <c r="J606" s="197" t="s">
        <v>80</v>
      </c>
      <c r="K606" s="197">
        <f>IF(LeagueInfo!$F$7="Yahoo",IFERROR(INDEX(DefaultAuctionValues!$B$2:$B$359,MATCH(A606,DefaultAuctionValues!$A$2:$A$359,0)),0),IF(LeagueInfo!$F$7="ESPN",IFERROR(INDEX(DefaultAuctionValues!$C$2:$C$359,MATCH(A606,DefaultAuctionValues!$A$2:$A$359,0)),0),IF(LeagueInfo!$F$7="FantasyPros",IFERROR(INDEX(DefaultAuctionValues!$D$2:$D$359,MATCH(A606,DefaultAuctionValues!$A$2:$A$359,0)),0))))</f>
        <v>0</v>
      </c>
      <c r="L606" s="197">
        <f ca="1">I606-K606</f>
        <v>-19.641054588119559</v>
      </c>
      <c r="M606" s="213"/>
      <c r="N606" s="208">
        <f ca="1">INDEX(INDIRECT(""&amp;$B606&amp;"!y2:y709"),MATCH($A606,INDIRECT(""&amp;$B606&amp;"!B2:B709"),0))</f>
        <v>-41.005000000000003</v>
      </c>
      <c r="O606" s="217" t="str">
        <f ca="1">IF(INDEX(INDIRECT(""&amp;$B606&amp;"!V2:V700"),MATCH($A606,INDIRECT(""&amp;$B606&amp;"!B2:B700"),0))=0,"",INDEX(INDIRECT(""&amp;$B606&amp;"!V2:V700"),MATCH($A606,INDIRECT(""&amp;$B606&amp;"!B2:B700"),0)))</f>
        <v/>
      </c>
    </row>
    <row r="607" spans="1:15" x14ac:dyDescent="0.25">
      <c r="A607" s="195" t="s">
        <v>661</v>
      </c>
      <c r="B607" s="195" t="s">
        <v>39</v>
      </c>
      <c r="C607" s="195">
        <f ca="1">IFERROR(INDEX(BYEs!$B$2:$B$33,MATCH(D607,BYEs!$A$2:$A$33,0)),"N/A")</f>
        <v>10</v>
      </c>
      <c r="D607" s="195" t="str">
        <f ca="1">INDEX(INDIRECT(""&amp;B607&amp;"!E2:E700"),MATCH(A607,INDIRECT(""&amp;B607&amp;"!B2:B700"),0))</f>
        <v>PHI</v>
      </c>
      <c r="E607" s="194" t="str">
        <f ca="1">INDEX(INDIRECT(""&amp;$B607&amp;"!Z2:Z709"),MATCH($A607,INDIRECT(""&amp;$B607&amp;"!B2:B709"),0))</f>
        <v>WR10</v>
      </c>
      <c r="F607" s="196">
        <f ca="1">IF(LeagueInfo!$H$7="Starter/Bench",INDEX(INDIRECT(""&amp;B607&amp;"!S2:S709"),MATCH(A607,INDIRECT(""&amp;B607&amp;"!B2:B709"),0)),INDEX(INDIRECT(""&amp;B607&amp;"!AA2:AA709"),MATCH(A607,INDIRECT(""&amp;B607&amp;"!B2:B709"),0)))</f>
        <v>-19.667399131525158</v>
      </c>
      <c r="G607" s="197">
        <f>IF(H607&gt;0,F607-H607,0)</f>
        <v>0</v>
      </c>
      <c r="H607" s="198"/>
      <c r="I607" s="197">
        <f ca="1">F607*$A$2</f>
        <v>-19.667399131525158</v>
      </c>
      <c r="J607" s="197" t="s">
        <v>80</v>
      </c>
      <c r="K607" s="197">
        <f>IF(LeagueInfo!$F$7="Yahoo",IFERROR(INDEX(DefaultAuctionValues!$B$2:$B$359,MATCH(A607,DefaultAuctionValues!$A$2:$A$359,0)),0),IF(LeagueInfo!$F$7="ESPN",IFERROR(INDEX(DefaultAuctionValues!$C$2:$C$359,MATCH(A607,DefaultAuctionValues!$A$2:$A$359,0)),0),IF(LeagueInfo!$F$7="FantasyPros",IFERROR(INDEX(DefaultAuctionValues!$D$2:$D$359,MATCH(A607,DefaultAuctionValues!$A$2:$A$359,0)),0))))</f>
        <v>0</v>
      </c>
      <c r="L607" s="197">
        <f ca="1">I607-K607</f>
        <v>-19.667399131525158</v>
      </c>
      <c r="M607" s="213"/>
      <c r="N607" s="208">
        <f ca="1">INDEX(INDIRECT(""&amp;$B607&amp;"!y2:y709"),MATCH($A607,INDIRECT(""&amp;$B607&amp;"!B2:B709"),0))</f>
        <v>-41.06</v>
      </c>
      <c r="O607" s="217" t="str">
        <f ca="1">IF(INDEX(INDIRECT(""&amp;$B607&amp;"!V2:V700"),MATCH($A607,INDIRECT(""&amp;$B607&amp;"!B2:B700"),0))=0,"",INDEX(INDIRECT(""&amp;$B607&amp;"!V2:V700"),MATCH($A607,INDIRECT(""&amp;$B607&amp;"!B2:B700"),0)))</f>
        <v/>
      </c>
    </row>
    <row r="608" spans="1:15" x14ac:dyDescent="0.25">
      <c r="A608" s="195" t="s">
        <v>691</v>
      </c>
      <c r="B608" s="195" t="s">
        <v>39</v>
      </c>
      <c r="C608" s="195">
        <f ca="1">IFERROR(INDEX(BYEs!$B$2:$B$33,MATCH(D608,BYEs!$A$2:$A$33,0)),"N/A")</f>
        <v>9</v>
      </c>
      <c r="D608" s="195" t="str">
        <f ca="1">INDEX(INDIRECT(""&amp;B608&amp;"!E2:E700"),MATCH(A608,INDIRECT(""&amp;B608&amp;"!B2:B700"),0))</f>
        <v>MIN</v>
      </c>
      <c r="E608" s="194" t="str">
        <f ca="1">INDEX(INDIRECT(""&amp;$B608&amp;"!Z2:Z709"),MATCH($A608,INDIRECT(""&amp;$B608&amp;"!B2:B709"),0))</f>
        <v>WR10</v>
      </c>
      <c r="F608" s="196">
        <f ca="1">IF(LeagueInfo!$H$7="Starter/Bench",INDEX(INDIRECT(""&amp;B608&amp;"!S2:S709"),MATCH(A608,INDIRECT(""&amp;B608&amp;"!B2:B709"),0)),INDEX(INDIRECT(""&amp;B608&amp;"!AA2:AA709"),MATCH(A608,INDIRECT(""&amp;B608&amp;"!B2:B709"),0)))</f>
        <v>-19.691348716439336</v>
      </c>
      <c r="G608" s="197">
        <f>IF(H608&gt;0,F608-H608,0)</f>
        <v>0</v>
      </c>
      <c r="H608" s="198"/>
      <c r="I608" s="197">
        <f ca="1">F608*$A$2</f>
        <v>-19.691348716439336</v>
      </c>
      <c r="J608" s="197" t="s">
        <v>80</v>
      </c>
      <c r="K608" s="197">
        <f>IF(LeagueInfo!$F$7="Yahoo",IFERROR(INDEX(DefaultAuctionValues!$B$2:$B$359,MATCH(A608,DefaultAuctionValues!$A$2:$A$359,0)),0),IF(LeagueInfo!$F$7="ESPN",IFERROR(INDEX(DefaultAuctionValues!$C$2:$C$359,MATCH(A608,DefaultAuctionValues!$A$2:$A$359,0)),0),IF(LeagueInfo!$F$7="FantasyPros",IFERROR(INDEX(DefaultAuctionValues!$D$2:$D$359,MATCH(A608,DefaultAuctionValues!$A$2:$A$359,0)),0))))</f>
        <v>0</v>
      </c>
      <c r="L608" s="197">
        <f ca="1">I608-K608</f>
        <v>-19.691348716439336</v>
      </c>
      <c r="M608" s="213"/>
      <c r="N608" s="208">
        <f ca="1">INDEX(INDIRECT(""&amp;$B608&amp;"!y2:y709"),MATCH($A608,INDIRECT(""&amp;$B608&amp;"!B2:B709"),0))</f>
        <v>-41.11</v>
      </c>
      <c r="O608" s="217" t="str">
        <f ca="1">IF(INDEX(INDIRECT(""&amp;$B608&amp;"!V2:V700"),MATCH($A608,INDIRECT(""&amp;$B608&amp;"!B2:B700"),0))=0,"",INDEX(INDIRECT(""&amp;$B608&amp;"!V2:V700"),MATCH($A608,INDIRECT(""&amp;$B608&amp;"!B2:B700"),0)))</f>
        <v/>
      </c>
    </row>
    <row r="609" spans="1:15" x14ac:dyDescent="0.25">
      <c r="A609" s="195" t="s">
        <v>692</v>
      </c>
      <c r="B609" s="195" t="s">
        <v>39</v>
      </c>
      <c r="C609" s="195">
        <f ca="1">IFERROR(INDEX(BYEs!$B$2:$B$33,MATCH(D609,BYEs!$A$2:$A$33,0)),"N/A")</f>
        <v>9</v>
      </c>
      <c r="D609" s="195" t="str">
        <f ca="1">INDEX(INDIRECT(""&amp;B609&amp;"!E2:E700"),MATCH(A609,INDIRECT(""&amp;B609&amp;"!B2:B700"),0))</f>
        <v>MIN</v>
      </c>
      <c r="E609" s="194" t="str">
        <f ca="1">INDEX(INDIRECT(""&amp;$B609&amp;"!Z2:Z709"),MATCH($A609,INDIRECT(""&amp;$B609&amp;"!B2:B709"),0))</f>
        <v>WR10</v>
      </c>
      <c r="F609" s="196">
        <f ca="1">IF(LeagueInfo!$H$7="Starter/Bench",INDEX(INDIRECT(""&amp;B609&amp;"!S2:S709"),MATCH(A609,INDIRECT(""&amp;B609&amp;"!B2:B709"),0)),INDEX(INDIRECT(""&amp;B609&amp;"!AA2:AA709"),MATCH(A609,INDIRECT(""&amp;B609&amp;"!B2:B709"),0)))</f>
        <v>-19.691348716439336</v>
      </c>
      <c r="G609" s="197">
        <f>IF(H609&gt;0,F609-H609,0)</f>
        <v>0</v>
      </c>
      <c r="H609" s="198"/>
      <c r="I609" s="197">
        <f ca="1">F609*$A$2</f>
        <v>-19.691348716439336</v>
      </c>
      <c r="J609" s="197" t="s">
        <v>80</v>
      </c>
      <c r="K609" s="197">
        <f>IF(LeagueInfo!$F$7="Yahoo",IFERROR(INDEX(DefaultAuctionValues!$B$2:$B$359,MATCH(A609,DefaultAuctionValues!$A$2:$A$359,0)),0),IF(LeagueInfo!$F$7="ESPN",IFERROR(INDEX(DefaultAuctionValues!$C$2:$C$359,MATCH(A609,DefaultAuctionValues!$A$2:$A$359,0)),0),IF(LeagueInfo!$F$7="FantasyPros",IFERROR(INDEX(DefaultAuctionValues!$D$2:$D$359,MATCH(A609,DefaultAuctionValues!$A$2:$A$359,0)),0))))</f>
        <v>0</v>
      </c>
      <c r="L609" s="197">
        <f ca="1">I609-K609</f>
        <v>-19.691348716439336</v>
      </c>
      <c r="M609" s="213"/>
      <c r="N609" s="208">
        <f ca="1">INDEX(INDIRECT(""&amp;$B609&amp;"!y2:y709"),MATCH($A609,INDIRECT(""&amp;$B609&amp;"!B2:B709"),0))</f>
        <v>-41.11</v>
      </c>
      <c r="O609" s="217" t="str">
        <f ca="1">IF(INDEX(INDIRECT(""&amp;$B609&amp;"!V2:V700"),MATCH($A609,INDIRECT(""&amp;$B609&amp;"!B2:B700"),0))=0,"",INDEX(INDIRECT(""&amp;$B609&amp;"!V2:V700"),MATCH($A609,INDIRECT(""&amp;$B609&amp;"!B2:B700"),0)))</f>
        <v/>
      </c>
    </row>
    <row r="610" spans="1:15" x14ac:dyDescent="0.25">
      <c r="A610" s="195" t="s">
        <v>644</v>
      </c>
      <c r="B610" s="195" t="s">
        <v>39</v>
      </c>
      <c r="C610" s="195">
        <f ca="1">IFERROR(INDEX(BYEs!$B$2:$B$33,MATCH(D610,BYEs!$A$2:$A$33,0)),"N/A")</f>
        <v>8</v>
      </c>
      <c r="D610" s="195" t="str">
        <f ca="1">INDEX(INDIRECT(""&amp;B610&amp;"!E2:E700"),MATCH(A610,INDIRECT(""&amp;B610&amp;"!B2:B700"),0))</f>
        <v>TEN</v>
      </c>
      <c r="E610" s="194" t="str">
        <f ca="1">INDEX(INDIRECT(""&amp;$B610&amp;"!Z2:Z709"),MATCH($A610,INDIRECT(""&amp;$B610&amp;"!B2:B709"),0))</f>
        <v>WR10</v>
      </c>
      <c r="F610" s="196">
        <f ca="1">IF(LeagueInfo!$H$7="Starter/Bench",INDEX(INDIRECT(""&amp;B610&amp;"!S2:S709"),MATCH(A610,INDIRECT(""&amp;B610&amp;"!B2:B709"),0)),INDEX(INDIRECT(""&amp;B610&amp;"!AA2:AA709"),MATCH(A610,INDIRECT(""&amp;B610&amp;"!B2:B709"),0)))</f>
        <v>-19.698533591913591</v>
      </c>
      <c r="G610" s="197">
        <f>IF(H610&gt;0,F610-H610,0)</f>
        <v>0</v>
      </c>
      <c r="H610" s="198"/>
      <c r="I610" s="197">
        <f ca="1">F610*$A$2</f>
        <v>-19.698533591913591</v>
      </c>
      <c r="J610" s="197" t="s">
        <v>80</v>
      </c>
      <c r="K610" s="197">
        <f>IF(LeagueInfo!$F$7="Yahoo",IFERROR(INDEX(DefaultAuctionValues!$B$2:$B$359,MATCH(A610,DefaultAuctionValues!$A$2:$A$359,0)),0),IF(LeagueInfo!$F$7="ESPN",IFERROR(INDEX(DefaultAuctionValues!$C$2:$C$359,MATCH(A610,DefaultAuctionValues!$A$2:$A$359,0)),0),IF(LeagueInfo!$F$7="FantasyPros",IFERROR(INDEX(DefaultAuctionValues!$D$2:$D$359,MATCH(A610,DefaultAuctionValues!$A$2:$A$359,0)),0))))</f>
        <v>0</v>
      </c>
      <c r="L610" s="197">
        <f ca="1">I610-K610</f>
        <v>-19.698533591913591</v>
      </c>
      <c r="M610" s="213"/>
      <c r="N610" s="208">
        <f ca="1">INDEX(INDIRECT(""&amp;$B610&amp;"!y2:y709"),MATCH($A610,INDIRECT(""&amp;$B610&amp;"!B2:B709"),0))</f>
        <v>-41.125</v>
      </c>
      <c r="O610" s="217" t="str">
        <f ca="1">IF(INDEX(INDIRECT(""&amp;$B610&amp;"!V2:V700"),MATCH($A610,INDIRECT(""&amp;$B610&amp;"!B2:B700"),0))=0,"",INDEX(INDIRECT(""&amp;$B610&amp;"!V2:V700"),MATCH($A610,INDIRECT(""&amp;$B610&amp;"!B2:B700"),0)))</f>
        <v/>
      </c>
    </row>
    <row r="611" spans="1:15" x14ac:dyDescent="0.25">
      <c r="A611" s="195" t="s">
        <v>696</v>
      </c>
      <c r="B611" s="195" t="s">
        <v>39</v>
      </c>
      <c r="C611" s="195">
        <f ca="1">IFERROR(INDEX(BYEs!$B$2:$B$33,MATCH(D611,BYEs!$A$2:$A$33,0)),"N/A")</f>
        <v>10</v>
      </c>
      <c r="D611" s="195" t="str">
        <f ca="1">INDEX(INDIRECT(""&amp;B611&amp;"!E2:E700"),MATCH(A611,INDIRECT(""&amp;B611&amp;"!B2:B700"),0))</f>
        <v>PHI</v>
      </c>
      <c r="E611" s="194" t="str">
        <f ca="1">INDEX(INDIRECT(""&amp;$B611&amp;"!Z2:Z709"),MATCH($A611,INDIRECT(""&amp;$B611&amp;"!B2:B709"),0))</f>
        <v>WR10</v>
      </c>
      <c r="F611" s="196">
        <f ca="1">IF(LeagueInfo!$H$7="Starter/Bench",INDEX(INDIRECT(""&amp;B611&amp;"!S2:S709"),MATCH(A611,INDIRECT(""&amp;B611&amp;"!B2:B709"),0)),INDEX(INDIRECT(""&amp;B611&amp;"!AA2:AA709"),MATCH(A611,INDIRECT(""&amp;B611&amp;"!B2:B709"),0)))</f>
        <v>-19.739247886267698</v>
      </c>
      <c r="G611" s="197">
        <f>IF(H611&gt;0,F611-H611,0)</f>
        <v>0</v>
      </c>
      <c r="H611" s="198"/>
      <c r="I611" s="197">
        <f ca="1">F611*$A$2</f>
        <v>-19.739247886267698</v>
      </c>
      <c r="J611" s="197" t="s">
        <v>80</v>
      </c>
      <c r="K611" s="197">
        <f>IF(LeagueInfo!$F$7="Yahoo",IFERROR(INDEX(DefaultAuctionValues!$B$2:$B$359,MATCH(A611,DefaultAuctionValues!$A$2:$A$359,0)),0),IF(LeagueInfo!$F$7="ESPN",IFERROR(INDEX(DefaultAuctionValues!$C$2:$C$359,MATCH(A611,DefaultAuctionValues!$A$2:$A$359,0)),0),IF(LeagueInfo!$F$7="FantasyPros",IFERROR(INDEX(DefaultAuctionValues!$D$2:$D$359,MATCH(A611,DefaultAuctionValues!$A$2:$A$359,0)),0))))</f>
        <v>0</v>
      </c>
      <c r="L611" s="197">
        <f ca="1">I611-K611</f>
        <v>-19.739247886267698</v>
      </c>
      <c r="M611" s="213"/>
      <c r="N611" s="208">
        <f ca="1">INDEX(INDIRECT(""&amp;$B611&amp;"!y2:y709"),MATCH($A611,INDIRECT(""&amp;$B611&amp;"!B2:B709"),0))</f>
        <v>-41.21</v>
      </c>
      <c r="O611" s="217" t="str">
        <f ca="1">IF(INDEX(INDIRECT(""&amp;$B611&amp;"!V2:V700"),MATCH($A611,INDIRECT(""&amp;$B611&amp;"!B2:B700"),0))=0,"",INDEX(INDIRECT(""&amp;$B611&amp;"!V2:V700"),MATCH($A611,INDIRECT(""&amp;$B611&amp;"!B2:B700"),0)))</f>
        <v/>
      </c>
    </row>
    <row r="612" spans="1:15" x14ac:dyDescent="0.25">
      <c r="A612" s="195" t="s">
        <v>693</v>
      </c>
      <c r="B612" s="195" t="s">
        <v>39</v>
      </c>
      <c r="C612" s="195">
        <f ca="1">IFERROR(INDEX(BYEs!$B$2:$B$33,MATCH(D612,BYEs!$A$2:$A$33,0)),"N/A")</f>
        <v>5</v>
      </c>
      <c r="D612" s="195" t="str">
        <f ca="1">INDEX(INDIRECT(""&amp;B612&amp;"!E2:E700"),MATCH(A612,INDIRECT(""&amp;B612&amp;"!B2:B700"),0))</f>
        <v>NO</v>
      </c>
      <c r="E612" s="194" t="str">
        <f ca="1">INDEX(INDIRECT(""&amp;$B612&amp;"!Z2:Z709"),MATCH($A612,INDIRECT(""&amp;$B612&amp;"!B2:B709"),0))</f>
        <v>WR10</v>
      </c>
      <c r="F612" s="196">
        <f ca="1">IF(LeagueInfo!$H$7="Starter/Bench",INDEX(INDIRECT(""&amp;B612&amp;"!S2:S709"),MATCH(A612,INDIRECT(""&amp;B612&amp;"!B2:B709"),0)),INDEX(INDIRECT(""&amp;B612&amp;"!AA2:AA709"),MATCH(A612,INDIRECT(""&amp;B612&amp;"!B2:B709"),0)))</f>
        <v>-19.770382346656131</v>
      </c>
      <c r="G612" s="197">
        <f>IF(H612&gt;0,F612-H612,0)</f>
        <v>0</v>
      </c>
      <c r="H612" s="198"/>
      <c r="I612" s="197">
        <f ca="1">F612*$A$2</f>
        <v>-19.770382346656131</v>
      </c>
      <c r="J612" s="197" t="s">
        <v>80</v>
      </c>
      <c r="K612" s="197">
        <f>IF(LeagueInfo!$F$7="Yahoo",IFERROR(INDEX(DefaultAuctionValues!$B$2:$B$359,MATCH(A612,DefaultAuctionValues!$A$2:$A$359,0)),0),IF(LeagueInfo!$F$7="ESPN",IFERROR(INDEX(DefaultAuctionValues!$C$2:$C$359,MATCH(A612,DefaultAuctionValues!$A$2:$A$359,0)),0),IF(LeagueInfo!$F$7="FantasyPros",IFERROR(INDEX(DefaultAuctionValues!$D$2:$D$359,MATCH(A612,DefaultAuctionValues!$A$2:$A$359,0)),0))))</f>
        <v>0</v>
      </c>
      <c r="L612" s="197">
        <f ca="1">I612-K612</f>
        <v>-19.770382346656131</v>
      </c>
      <c r="M612" s="213"/>
      <c r="N612" s="208">
        <f ca="1">INDEX(INDIRECT(""&amp;$B612&amp;"!y2:y709"),MATCH($A612,INDIRECT(""&amp;$B612&amp;"!B2:B709"),0))</f>
        <v>-41.274999999999999</v>
      </c>
      <c r="O612" s="217" t="str">
        <f ca="1">IF(INDEX(INDIRECT(""&amp;$B612&amp;"!V2:V700"),MATCH($A612,INDIRECT(""&amp;$B612&amp;"!B2:B700"),0))=0,"",INDEX(INDIRECT(""&amp;$B612&amp;"!V2:V700"),MATCH($A612,INDIRECT(""&amp;$B612&amp;"!B2:B700"),0)))</f>
        <v/>
      </c>
    </row>
    <row r="613" spans="1:15" x14ac:dyDescent="0.25">
      <c r="A613" s="195" t="s">
        <v>697</v>
      </c>
      <c r="B613" s="195" t="s">
        <v>39</v>
      </c>
      <c r="C613" s="195">
        <f ca="1">IFERROR(INDEX(BYEs!$B$2:$B$33,MATCH(D613,BYEs!$A$2:$A$33,0)),"N/A")</f>
        <v>8</v>
      </c>
      <c r="D613" s="195" t="str">
        <f ca="1">INDEX(INDIRECT(""&amp;B613&amp;"!E2:E700"),MATCH(A613,INDIRECT(""&amp;B613&amp;"!B2:B700"),0))</f>
        <v>ARI</v>
      </c>
      <c r="E613" s="194" t="str">
        <f ca="1">INDEX(INDIRECT(""&amp;$B613&amp;"!Z2:Z709"),MATCH($A613,INDIRECT(""&amp;$B613&amp;"!B2:B709"),0))</f>
        <v>WR10</v>
      </c>
      <c r="F613" s="196">
        <f ca="1">IF(LeagueInfo!$H$7="Starter/Bench",INDEX(INDIRECT(""&amp;B613&amp;"!S2:S709"),MATCH(A613,INDIRECT(""&amp;B613&amp;"!B2:B709"),0)),INDEX(INDIRECT(""&amp;B613&amp;"!AA2:AA709"),MATCH(A613,INDIRECT(""&amp;B613&amp;"!B2:B709"),0)))</f>
        <v>-19.775172263638972</v>
      </c>
      <c r="G613" s="197">
        <f>IF(H613&gt;0,F613-H613,0)</f>
        <v>0</v>
      </c>
      <c r="H613" s="198"/>
      <c r="I613" s="197">
        <f ca="1">F613*$A$2</f>
        <v>-19.775172263638972</v>
      </c>
      <c r="J613" s="197" t="s">
        <v>80</v>
      </c>
      <c r="K613" s="197">
        <f>IF(LeagueInfo!$F$7="Yahoo",IFERROR(INDEX(DefaultAuctionValues!$B$2:$B$359,MATCH(A613,DefaultAuctionValues!$A$2:$A$359,0)),0),IF(LeagueInfo!$F$7="ESPN",IFERROR(INDEX(DefaultAuctionValues!$C$2:$C$359,MATCH(A613,DefaultAuctionValues!$A$2:$A$359,0)),0),IF(LeagueInfo!$F$7="FantasyPros",IFERROR(INDEX(DefaultAuctionValues!$D$2:$D$359,MATCH(A613,DefaultAuctionValues!$A$2:$A$359,0)),0))))</f>
        <v>0</v>
      </c>
      <c r="L613" s="197">
        <f ca="1">I613-K613</f>
        <v>-19.775172263638972</v>
      </c>
      <c r="M613" s="213"/>
      <c r="N613" s="208">
        <f ca="1">INDEX(INDIRECT(""&amp;$B613&amp;"!y2:y709"),MATCH($A613,INDIRECT(""&amp;$B613&amp;"!B2:B709"),0))</f>
        <v>-41.285000000000004</v>
      </c>
      <c r="O613" s="217" t="str">
        <f ca="1">IF(INDEX(INDIRECT(""&amp;$B613&amp;"!V2:V700"),MATCH($A613,INDIRECT(""&amp;$B613&amp;"!B2:B700"),0))=0,"",INDEX(INDIRECT(""&amp;$B613&amp;"!V2:V700"),MATCH($A613,INDIRECT(""&amp;$B613&amp;"!B2:B700"),0)))</f>
        <v/>
      </c>
    </row>
    <row r="614" spans="1:15" x14ac:dyDescent="0.25">
      <c r="A614" s="195" t="s">
        <v>698</v>
      </c>
      <c r="B614" s="195" t="s">
        <v>39</v>
      </c>
      <c r="C614" s="195">
        <f ca="1">IFERROR(INDEX(BYEs!$B$2:$B$33,MATCH(D614,BYEs!$A$2:$A$33,0)),"N/A")</f>
        <v>10</v>
      </c>
      <c r="D614" s="195" t="str">
        <f ca="1">INDEX(INDIRECT(""&amp;B614&amp;"!E2:E700"),MATCH(A614,INDIRECT(""&amp;B614&amp;"!B2:B700"),0))</f>
        <v>KC</v>
      </c>
      <c r="E614" s="194" t="str">
        <f ca="1">INDEX(INDIRECT(""&amp;$B614&amp;"!Z2:Z709"),MATCH($A614,INDIRECT(""&amp;$B614&amp;"!B2:B709"),0))</f>
        <v>WR10</v>
      </c>
      <c r="F614" s="196">
        <f ca="1">IF(LeagueInfo!$H$7="Starter/Bench",INDEX(INDIRECT(""&amp;B614&amp;"!S2:S709"),MATCH(A614,INDIRECT(""&amp;B614&amp;"!B2:B709"),0)),INDEX(INDIRECT(""&amp;B614&amp;"!AA2:AA709"),MATCH(A614,INDIRECT(""&amp;B614&amp;"!B2:B709"),0)))</f>
        <v>-19.779962180621805</v>
      </c>
      <c r="G614" s="197">
        <f>IF(H614&gt;0,F614-H614,0)</f>
        <v>0</v>
      </c>
      <c r="H614" s="198"/>
      <c r="I614" s="197">
        <f ca="1">F614*$A$2</f>
        <v>-19.779962180621805</v>
      </c>
      <c r="J614" s="197" t="s">
        <v>80</v>
      </c>
      <c r="K614" s="197">
        <f>IF(LeagueInfo!$F$7="Yahoo",IFERROR(INDEX(DefaultAuctionValues!$B$2:$B$359,MATCH(A614,DefaultAuctionValues!$A$2:$A$359,0)),0),IF(LeagueInfo!$F$7="ESPN",IFERROR(INDEX(DefaultAuctionValues!$C$2:$C$359,MATCH(A614,DefaultAuctionValues!$A$2:$A$359,0)),0),IF(LeagueInfo!$F$7="FantasyPros",IFERROR(INDEX(DefaultAuctionValues!$D$2:$D$359,MATCH(A614,DefaultAuctionValues!$A$2:$A$359,0)),0))))</f>
        <v>0</v>
      </c>
      <c r="L614" s="197">
        <f ca="1">I614-K614</f>
        <v>-19.779962180621805</v>
      </c>
      <c r="M614" s="213"/>
      <c r="N614" s="208">
        <f ca="1">INDEX(INDIRECT(""&amp;$B614&amp;"!y2:y709"),MATCH($A614,INDIRECT(""&amp;$B614&amp;"!B2:B709"),0))</f>
        <v>-41.295000000000002</v>
      </c>
      <c r="O614" s="217" t="str">
        <f ca="1">IF(INDEX(INDIRECT(""&amp;$B614&amp;"!V2:V700"),MATCH($A614,INDIRECT(""&amp;$B614&amp;"!B2:B700"),0))=0,"",INDEX(INDIRECT(""&amp;$B614&amp;"!V2:V700"),MATCH($A614,INDIRECT(""&amp;$B614&amp;"!B2:B700"),0)))</f>
        <v/>
      </c>
    </row>
    <row r="615" spans="1:15" x14ac:dyDescent="0.25">
      <c r="A615" s="195" t="s">
        <v>688</v>
      </c>
      <c r="B615" s="195" t="s">
        <v>39</v>
      </c>
      <c r="C615" s="195">
        <f ca="1">IFERROR(INDEX(BYEs!$B$2:$B$33,MATCH(D615,BYEs!$A$2:$A$33,0)),"N/A")</f>
        <v>8</v>
      </c>
      <c r="D615" s="195" t="str">
        <f ca="1">INDEX(INDIRECT(""&amp;B615&amp;"!E2:E700"),MATCH(A615,INDIRECT(""&amp;B615&amp;"!B2:B700"),0))</f>
        <v>JAC</v>
      </c>
      <c r="E615" s="194" t="str">
        <f ca="1">INDEX(INDIRECT(""&amp;$B615&amp;"!Z2:Z709"),MATCH($A615,INDIRECT(""&amp;$B615&amp;"!B2:B709"),0))</f>
        <v>WR10</v>
      </c>
      <c r="F615" s="196">
        <f ca="1">IF(LeagueInfo!$H$7="Starter/Bench",INDEX(INDIRECT(""&amp;B615&amp;"!S2:S709"),MATCH(A615,INDIRECT(""&amp;B615&amp;"!B2:B709"),0)),INDEX(INDIRECT(""&amp;B615&amp;"!AA2:AA709"),MATCH(A615,INDIRECT(""&amp;B615&amp;"!B2:B709"),0)))</f>
        <v>-19.779962180621805</v>
      </c>
      <c r="G615" s="197">
        <f>IF(H615&gt;0,F615-H615,0)</f>
        <v>0</v>
      </c>
      <c r="H615" s="198"/>
      <c r="I615" s="197">
        <f ca="1">F615*$A$2</f>
        <v>-19.779962180621805</v>
      </c>
      <c r="J615" s="197" t="s">
        <v>80</v>
      </c>
      <c r="K615" s="197">
        <f>IF(LeagueInfo!$F$7="Yahoo",IFERROR(INDEX(DefaultAuctionValues!$B$2:$B$359,MATCH(A615,DefaultAuctionValues!$A$2:$A$359,0)),0),IF(LeagueInfo!$F$7="ESPN",IFERROR(INDEX(DefaultAuctionValues!$C$2:$C$359,MATCH(A615,DefaultAuctionValues!$A$2:$A$359,0)),0),IF(LeagueInfo!$F$7="FantasyPros",IFERROR(INDEX(DefaultAuctionValues!$D$2:$D$359,MATCH(A615,DefaultAuctionValues!$A$2:$A$359,0)),0))))</f>
        <v>0</v>
      </c>
      <c r="L615" s="197">
        <f ca="1">I615-K615</f>
        <v>-19.779962180621805</v>
      </c>
      <c r="M615" s="213"/>
      <c r="N615" s="208">
        <f ca="1">INDEX(INDIRECT(""&amp;$B615&amp;"!y2:y709"),MATCH($A615,INDIRECT(""&amp;$B615&amp;"!B2:B709"),0))</f>
        <v>-41.295000000000002</v>
      </c>
      <c r="O615" s="217" t="str">
        <f ca="1">IF(INDEX(INDIRECT(""&amp;$B615&amp;"!V2:V700"),MATCH($A615,INDIRECT(""&amp;$B615&amp;"!B2:B700"),0))=0,"",INDEX(INDIRECT(""&amp;$B615&amp;"!V2:V700"),MATCH($A615,INDIRECT(""&amp;$B615&amp;"!B2:B700"),0)))</f>
        <v/>
      </c>
    </row>
    <row r="616" spans="1:15" x14ac:dyDescent="0.25">
      <c r="A616" s="195" t="s">
        <v>663</v>
      </c>
      <c r="B616" s="195" t="s">
        <v>39</v>
      </c>
      <c r="C616" s="195">
        <f ca="1">IFERROR(INDEX(BYEs!$B$2:$B$33,MATCH(D616,BYEs!$A$2:$A$33,0)),"N/A")</f>
        <v>8</v>
      </c>
      <c r="D616" s="195" t="str">
        <f ca="1">INDEX(INDIRECT(""&amp;B616&amp;"!E2:E700"),MATCH(A616,INDIRECT(""&amp;B616&amp;"!B2:B700"),0))</f>
        <v>GB</v>
      </c>
      <c r="E616" s="194" t="str">
        <f ca="1">INDEX(INDIRECT(""&amp;$B616&amp;"!Z2:Z709"),MATCH($A616,INDIRECT(""&amp;$B616&amp;"!B2:B709"),0))</f>
        <v>WR10</v>
      </c>
      <c r="F616" s="196">
        <f ca="1">IF(LeagueInfo!$H$7="Starter/Bench",INDEX(INDIRECT(""&amp;B616&amp;"!S2:S709"),MATCH(A616,INDIRECT(""&amp;B616&amp;"!B2:B709"),0)),INDEX(INDIRECT(""&amp;B616&amp;"!AA2:AA709"),MATCH(A616,INDIRECT(""&amp;B616&amp;"!B2:B709"),0)))</f>
        <v>-19.791936973078897</v>
      </c>
      <c r="G616" s="197">
        <f>IF(H616&gt;0,F616-H616,0)</f>
        <v>0</v>
      </c>
      <c r="H616" s="198"/>
      <c r="I616" s="197">
        <f ca="1">F616*$A$2</f>
        <v>-19.791936973078897</v>
      </c>
      <c r="J616" s="197" t="s">
        <v>80</v>
      </c>
      <c r="K616" s="197">
        <f>IF(LeagueInfo!$F$7="Yahoo",IFERROR(INDEX(DefaultAuctionValues!$B$2:$B$359,MATCH(A616,DefaultAuctionValues!$A$2:$A$359,0)),0),IF(LeagueInfo!$F$7="ESPN",IFERROR(INDEX(DefaultAuctionValues!$C$2:$C$359,MATCH(A616,DefaultAuctionValues!$A$2:$A$359,0)),0),IF(LeagueInfo!$F$7="FantasyPros",IFERROR(INDEX(DefaultAuctionValues!$D$2:$D$359,MATCH(A616,DefaultAuctionValues!$A$2:$A$359,0)),0))))</f>
        <v>0</v>
      </c>
      <c r="L616" s="197">
        <f ca="1">I616-K616</f>
        <v>-19.791936973078897</v>
      </c>
      <c r="M616" s="213"/>
      <c r="N616" s="208">
        <f ca="1">INDEX(INDIRECT(""&amp;$B616&amp;"!y2:y709"),MATCH($A616,INDIRECT(""&amp;$B616&amp;"!B2:B709"),0))</f>
        <v>-41.32</v>
      </c>
      <c r="O616" s="217" t="str">
        <f ca="1">IF(INDEX(INDIRECT(""&amp;$B616&amp;"!V2:V700"),MATCH($A616,INDIRECT(""&amp;$B616&amp;"!B2:B700"),0))=0,"",INDEX(INDIRECT(""&amp;$B616&amp;"!V2:V700"),MATCH($A616,INDIRECT(""&amp;$B616&amp;"!B2:B700"),0)))</f>
        <v/>
      </c>
    </row>
    <row r="617" spans="1:15" x14ac:dyDescent="0.25">
      <c r="A617" s="195" t="s">
        <v>703</v>
      </c>
      <c r="B617" s="195" t="s">
        <v>39</v>
      </c>
      <c r="C617" s="195">
        <f ca="1">IFERROR(INDEX(BYEs!$B$2:$B$33,MATCH(D617,BYEs!$A$2:$A$33,0)),"N/A")</f>
        <v>11</v>
      </c>
      <c r="D617" s="195" t="str">
        <f ca="1">INDEX(INDIRECT(""&amp;B617&amp;"!E2:E700"),MATCH(A617,INDIRECT(""&amp;B617&amp;"!B2:B700"),0))</f>
        <v>SF</v>
      </c>
      <c r="E617" s="194" t="str">
        <f ca="1">INDEX(INDIRECT(""&amp;$B617&amp;"!Z2:Z709"),MATCH($A617,INDIRECT(""&amp;$B617&amp;"!B2:B709"),0))</f>
        <v>WR10</v>
      </c>
      <c r="F617" s="196">
        <f ca="1">IF(LeagueInfo!$H$7="Starter/Bench",INDEX(INDIRECT(""&amp;B617&amp;"!S2:S709"),MATCH(A617,INDIRECT(""&amp;B617&amp;"!B2:B709"),0)),INDEX(INDIRECT(""&amp;B617&amp;"!AA2:AA709"),MATCH(A617,INDIRECT(""&amp;B617&amp;"!B2:B709"),0)))</f>
        <v>-19.827861350450167</v>
      </c>
      <c r="G617" s="197">
        <f>IF(H617&gt;0,F617-H617,0)</f>
        <v>0</v>
      </c>
      <c r="H617" s="198"/>
      <c r="I617" s="197">
        <f ca="1">F617*$A$2</f>
        <v>-19.827861350450167</v>
      </c>
      <c r="J617" s="197" t="s">
        <v>80</v>
      </c>
      <c r="K617" s="197">
        <f>IF(LeagueInfo!$F$7="Yahoo",IFERROR(INDEX(DefaultAuctionValues!$B$2:$B$359,MATCH(A617,DefaultAuctionValues!$A$2:$A$359,0)),0),IF(LeagueInfo!$F$7="ESPN",IFERROR(INDEX(DefaultAuctionValues!$C$2:$C$359,MATCH(A617,DefaultAuctionValues!$A$2:$A$359,0)),0),IF(LeagueInfo!$F$7="FantasyPros",IFERROR(INDEX(DefaultAuctionValues!$D$2:$D$359,MATCH(A617,DefaultAuctionValues!$A$2:$A$359,0)),0))))</f>
        <v>0</v>
      </c>
      <c r="L617" s="197">
        <f ca="1">I617-K617</f>
        <v>-19.827861350450167</v>
      </c>
      <c r="M617" s="213"/>
      <c r="N617" s="208">
        <f ca="1">INDEX(INDIRECT(""&amp;$B617&amp;"!y2:y709"),MATCH($A617,INDIRECT(""&amp;$B617&amp;"!B2:B709"),0))</f>
        <v>-41.395000000000003</v>
      </c>
      <c r="O617" s="217" t="str">
        <f ca="1">IF(INDEX(INDIRECT(""&amp;$B617&amp;"!V2:V700"),MATCH($A617,INDIRECT(""&amp;$B617&amp;"!B2:B700"),0))=0,"",INDEX(INDIRECT(""&amp;$B617&amp;"!V2:V700"),MATCH($A617,INDIRECT(""&amp;$B617&amp;"!B2:B700"),0)))</f>
        <v/>
      </c>
    </row>
    <row r="618" spans="1:15" x14ac:dyDescent="0.25">
      <c r="A618" s="195" t="s">
        <v>645</v>
      </c>
      <c r="B618" s="195" t="s">
        <v>39</v>
      </c>
      <c r="C618" s="195">
        <f ca="1">IFERROR(INDEX(BYEs!$B$2:$B$33,MATCH(D618,BYEs!$A$2:$A$33,0)),"N/A")</f>
        <v>9</v>
      </c>
      <c r="D618" s="195" t="str">
        <f ca="1">INDEX(INDIRECT(""&amp;B618&amp;"!E2:E700"),MATCH(A618,INDIRECT(""&amp;B618&amp;"!B2:B700"),0))</f>
        <v>CLE</v>
      </c>
      <c r="E618" s="194" t="str">
        <f ca="1">INDEX(INDIRECT(""&amp;$B618&amp;"!Z2:Z709"),MATCH($A618,INDIRECT(""&amp;$B618&amp;"!B2:B709"),0))</f>
        <v>WR10</v>
      </c>
      <c r="F618" s="196">
        <f ca="1">IF(LeagueInfo!$H$7="Starter/Bench",INDEX(INDIRECT(""&amp;B618&amp;"!S2:S709"),MATCH(A618,INDIRECT(""&amp;B618&amp;"!B2:B709"),0)),INDEX(INDIRECT(""&amp;B618&amp;"!AA2:AA709"),MATCH(A618,INDIRECT(""&amp;B618&amp;"!B2:B709"),0)))</f>
        <v>-19.842231101398678</v>
      </c>
      <c r="G618" s="197">
        <f>IF(H618&gt;0,F618-H618,0)</f>
        <v>0</v>
      </c>
      <c r="H618" s="198"/>
      <c r="I618" s="197">
        <f ca="1">F618*$A$2</f>
        <v>-19.842231101398678</v>
      </c>
      <c r="J618" s="197" t="s">
        <v>80</v>
      </c>
      <c r="K618" s="197">
        <f>IF(LeagueInfo!$F$7="Yahoo",IFERROR(INDEX(DefaultAuctionValues!$B$2:$B$359,MATCH(A618,DefaultAuctionValues!$A$2:$A$359,0)),0),IF(LeagueInfo!$F$7="ESPN",IFERROR(INDEX(DefaultAuctionValues!$C$2:$C$359,MATCH(A618,DefaultAuctionValues!$A$2:$A$359,0)),0),IF(LeagueInfo!$F$7="FantasyPros",IFERROR(INDEX(DefaultAuctionValues!$D$2:$D$359,MATCH(A618,DefaultAuctionValues!$A$2:$A$359,0)),0))))</f>
        <v>0</v>
      </c>
      <c r="L618" s="197">
        <f ca="1">I618-K618</f>
        <v>-19.842231101398678</v>
      </c>
      <c r="M618" s="213"/>
      <c r="N618" s="208">
        <f ca="1">INDEX(INDIRECT(""&amp;$B618&amp;"!y2:y709"),MATCH($A618,INDIRECT(""&amp;$B618&amp;"!B2:B709"),0))</f>
        <v>-41.425000000000004</v>
      </c>
      <c r="O618" s="217" t="str">
        <f ca="1">IF(INDEX(INDIRECT(""&amp;$B618&amp;"!V2:V700"),MATCH($A618,INDIRECT(""&amp;$B618&amp;"!B2:B700"),0))=0,"",INDEX(INDIRECT(""&amp;$B618&amp;"!V2:V700"),MATCH($A618,INDIRECT(""&amp;$B618&amp;"!B2:B700"),0)))</f>
        <v/>
      </c>
    </row>
    <row r="619" spans="1:15" x14ac:dyDescent="0.25">
      <c r="A619" s="195" t="s">
        <v>705</v>
      </c>
      <c r="B619" s="195" t="s">
        <v>39</v>
      </c>
      <c r="C619" s="195">
        <f ca="1">IFERROR(INDEX(BYEs!$B$2:$B$33,MATCH(D619,BYEs!$A$2:$A$33,0)),"N/A")</f>
        <v>11</v>
      </c>
      <c r="D619" s="195" t="str">
        <f ca="1">INDEX(INDIRECT(""&amp;B619&amp;"!E2:E700"),MATCH(A619,INDIRECT(""&amp;B619&amp;"!B2:B700"),0))</f>
        <v>NYJ</v>
      </c>
      <c r="E619" s="194" t="str">
        <f ca="1">INDEX(INDIRECT(""&amp;$B619&amp;"!Z2:Z709"),MATCH($A619,INDIRECT(""&amp;$B619&amp;"!B2:B709"),0))</f>
        <v>WR10</v>
      </c>
      <c r="F619" s="196">
        <f ca="1">IF(LeagueInfo!$H$7="Starter/Bench",INDEX(INDIRECT(""&amp;B619&amp;"!S2:S709"),MATCH(A619,INDIRECT(""&amp;B619&amp;"!B2:B709"),0)),INDEX(INDIRECT(""&amp;B619&amp;"!AA2:AA709"),MATCH(A619,INDIRECT(""&amp;B619&amp;"!B2:B709"),0)))</f>
        <v>-19.856600852347182</v>
      </c>
      <c r="G619" s="197">
        <f>IF(H619&gt;0,F619-H619,0)</f>
        <v>0</v>
      </c>
      <c r="H619" s="198"/>
      <c r="I619" s="197">
        <f ca="1">F619*$A$2</f>
        <v>-19.856600852347182</v>
      </c>
      <c r="J619" s="197" t="s">
        <v>80</v>
      </c>
      <c r="K619" s="197">
        <f>IF(LeagueInfo!$F$7="Yahoo",IFERROR(INDEX(DefaultAuctionValues!$B$2:$B$359,MATCH(A619,DefaultAuctionValues!$A$2:$A$359,0)),0),IF(LeagueInfo!$F$7="ESPN",IFERROR(INDEX(DefaultAuctionValues!$C$2:$C$359,MATCH(A619,DefaultAuctionValues!$A$2:$A$359,0)),0),IF(LeagueInfo!$F$7="FantasyPros",IFERROR(INDEX(DefaultAuctionValues!$D$2:$D$359,MATCH(A619,DefaultAuctionValues!$A$2:$A$359,0)),0))))</f>
        <v>0</v>
      </c>
      <c r="L619" s="197">
        <f ca="1">I619-K619</f>
        <v>-19.856600852347182</v>
      </c>
      <c r="M619" s="213"/>
      <c r="N619" s="208">
        <f ca="1">INDEX(INDIRECT(""&amp;$B619&amp;"!y2:y709"),MATCH($A619,INDIRECT(""&amp;$B619&amp;"!B2:B709"),0))</f>
        <v>-41.454999999999998</v>
      </c>
      <c r="O619" s="217" t="str">
        <f ca="1">IF(INDEX(INDIRECT(""&amp;$B619&amp;"!V2:V700"),MATCH($A619,INDIRECT(""&amp;$B619&amp;"!B2:B700"),0))=0,"",INDEX(INDIRECT(""&amp;$B619&amp;"!V2:V700"),MATCH($A619,INDIRECT(""&amp;$B619&amp;"!B2:B700"),0)))</f>
        <v/>
      </c>
    </row>
    <row r="620" spans="1:15" x14ac:dyDescent="0.25">
      <c r="A620" s="195" t="s">
        <v>650</v>
      </c>
      <c r="B620" s="195" t="s">
        <v>39</v>
      </c>
      <c r="C620" s="195">
        <f ca="1">IFERROR(INDEX(BYEs!$B$2:$B$33,MATCH(D620,BYEs!$A$2:$A$33,0)),"N/A")</f>
        <v>11</v>
      </c>
      <c r="D620" s="195" t="str">
        <f ca="1">INDEX(INDIRECT(""&amp;B620&amp;"!E2:E700"),MATCH(A620,INDIRECT(""&amp;B620&amp;"!B2:B700"),0))</f>
        <v>SF</v>
      </c>
      <c r="E620" s="194" t="str">
        <f ca="1">INDEX(INDIRECT(""&amp;$B620&amp;"!Z2:Z709"),MATCH($A620,INDIRECT(""&amp;$B620&amp;"!B2:B709"),0))</f>
        <v>WR10</v>
      </c>
      <c r="F620" s="196">
        <f ca="1">IF(LeagueInfo!$H$7="Starter/Bench",INDEX(INDIRECT(""&amp;B620&amp;"!S2:S709"),MATCH(A620,INDIRECT(""&amp;B620&amp;"!B2:B709"),0)),INDEX(INDIRECT(""&amp;B620&amp;"!AA2:AA709"),MATCH(A620,INDIRECT(""&amp;B620&amp;"!B2:B709"),0)))</f>
        <v>-19.923659690106888</v>
      </c>
      <c r="G620" s="197">
        <f>IF(H620&gt;0,F620-H620,0)</f>
        <v>0</v>
      </c>
      <c r="H620" s="198"/>
      <c r="I620" s="197">
        <f ca="1">F620*$A$2</f>
        <v>-19.923659690106888</v>
      </c>
      <c r="J620" s="197" t="s">
        <v>80</v>
      </c>
      <c r="K620" s="197">
        <f>IF(LeagueInfo!$F$7="Yahoo",IFERROR(INDEX(DefaultAuctionValues!$B$2:$B$359,MATCH(A620,DefaultAuctionValues!$A$2:$A$359,0)),0),IF(LeagueInfo!$F$7="ESPN",IFERROR(INDEX(DefaultAuctionValues!$C$2:$C$359,MATCH(A620,DefaultAuctionValues!$A$2:$A$359,0)),0),IF(LeagueInfo!$F$7="FantasyPros",IFERROR(INDEX(DefaultAuctionValues!$D$2:$D$359,MATCH(A620,DefaultAuctionValues!$A$2:$A$359,0)),0))))</f>
        <v>0</v>
      </c>
      <c r="L620" s="197">
        <f ca="1">I620-K620</f>
        <v>-19.923659690106888</v>
      </c>
      <c r="M620" s="213"/>
      <c r="N620" s="208">
        <f ca="1">INDEX(INDIRECT(""&amp;$B620&amp;"!y2:y709"),MATCH($A620,INDIRECT(""&amp;$B620&amp;"!B2:B709"),0))</f>
        <v>-41.594999999999999</v>
      </c>
      <c r="O620" s="217" t="str">
        <f ca="1">IF(INDEX(INDIRECT(""&amp;$B620&amp;"!V2:V700"),MATCH($A620,INDIRECT(""&amp;$B620&amp;"!B2:B700"),0))=0,"",INDEX(INDIRECT(""&amp;$B620&amp;"!V2:V700"),MATCH($A620,INDIRECT(""&amp;$B620&amp;"!B2:B700"),0)))</f>
        <v/>
      </c>
    </row>
    <row r="621" spans="1:15" x14ac:dyDescent="0.25">
      <c r="A621" s="195" t="s">
        <v>637</v>
      </c>
      <c r="B621" s="195" t="s">
        <v>39</v>
      </c>
      <c r="C621" s="195">
        <f ca="1">IFERROR(INDEX(BYEs!$B$2:$B$33,MATCH(D621,BYEs!$A$2:$A$33,0)),"N/A")</f>
        <v>9</v>
      </c>
      <c r="D621" s="195" t="str">
        <f ca="1">INDEX(INDIRECT(""&amp;B621&amp;"!E2:E700"),MATCH(A621,INDIRECT(""&amp;B621&amp;"!B2:B700"),0))</f>
        <v>CHI</v>
      </c>
      <c r="E621" s="194" t="str">
        <f ca="1">INDEX(INDIRECT(""&amp;$B621&amp;"!Z2:Z709"),MATCH($A621,INDIRECT(""&amp;$B621&amp;"!B2:B709"),0))</f>
        <v>WR10</v>
      </c>
      <c r="F621" s="196">
        <f ca="1">IF(LeagueInfo!$H$7="Starter/Bench",INDEX(INDIRECT(""&amp;B621&amp;"!S2:S709"),MATCH(A621,INDIRECT(""&amp;B621&amp;"!B2:B709"),0)),INDEX(INDIRECT(""&amp;B621&amp;"!AA2:AA709"),MATCH(A621,INDIRECT(""&amp;B621&amp;"!B2:B709"),0)))</f>
        <v>-19.930844565581143</v>
      </c>
      <c r="G621" s="197">
        <f>IF(H621&gt;0,F621-H621,0)</f>
        <v>0</v>
      </c>
      <c r="H621" s="198"/>
      <c r="I621" s="197">
        <f ca="1">F621*$A$2</f>
        <v>-19.930844565581143</v>
      </c>
      <c r="J621" s="197" t="s">
        <v>80</v>
      </c>
      <c r="K621" s="197">
        <f>IF(LeagueInfo!$F$7="Yahoo",IFERROR(INDEX(DefaultAuctionValues!$B$2:$B$359,MATCH(A621,DefaultAuctionValues!$A$2:$A$359,0)),0),IF(LeagueInfo!$F$7="ESPN",IFERROR(INDEX(DefaultAuctionValues!$C$2:$C$359,MATCH(A621,DefaultAuctionValues!$A$2:$A$359,0)),0),IF(LeagueInfo!$F$7="FantasyPros",IFERROR(INDEX(DefaultAuctionValues!$D$2:$D$359,MATCH(A621,DefaultAuctionValues!$A$2:$A$359,0)),0))))</f>
        <v>0</v>
      </c>
      <c r="L621" s="197">
        <f ca="1">I621-K621</f>
        <v>-19.930844565581143</v>
      </c>
      <c r="M621" s="213"/>
      <c r="N621" s="208">
        <f ca="1">INDEX(INDIRECT(""&amp;$B621&amp;"!y2:y709"),MATCH($A621,INDIRECT(""&amp;$B621&amp;"!B2:B709"),0))</f>
        <v>-41.61</v>
      </c>
      <c r="O621" s="217" t="str">
        <f ca="1">IF(INDEX(INDIRECT(""&amp;$B621&amp;"!V2:V700"),MATCH($A621,INDIRECT(""&amp;$B621&amp;"!B2:B700"),0))=0,"",INDEX(INDIRECT(""&amp;$B621&amp;"!V2:V700"),MATCH($A621,INDIRECT(""&amp;$B621&amp;"!B2:B700"),0)))</f>
        <v/>
      </c>
    </row>
    <row r="622" spans="1:15" x14ac:dyDescent="0.25">
      <c r="A622" s="195" t="s">
        <v>700</v>
      </c>
      <c r="B622" s="195" t="s">
        <v>39</v>
      </c>
      <c r="C622" s="195">
        <f ca="1">IFERROR(INDEX(BYEs!$B$2:$B$33,MATCH(D622,BYEs!$A$2:$A$33,0)),"N/A")</f>
        <v>8</v>
      </c>
      <c r="D622" s="195" t="str">
        <f ca="1">INDEX(INDIRECT(""&amp;B622&amp;"!E2:E700"),MATCH(A622,INDIRECT(""&amp;B622&amp;"!B2:B700"),0))</f>
        <v>NYG</v>
      </c>
      <c r="E622" s="194" t="str">
        <f ca="1">INDEX(INDIRECT(""&amp;$B622&amp;"!Z2:Z709"),MATCH($A622,INDIRECT(""&amp;$B622&amp;"!B2:B709"),0))</f>
        <v>WR10</v>
      </c>
      <c r="F622" s="196">
        <f ca="1">IF(LeagueInfo!$H$7="Starter/Bench",INDEX(INDIRECT(""&amp;B622&amp;"!S2:S709"),MATCH(A622,INDIRECT(""&amp;B622&amp;"!B2:B709"),0)),INDEX(INDIRECT(""&amp;B622&amp;"!AA2:AA709"),MATCH(A622,INDIRECT(""&amp;B622&amp;"!B2:B709"),0)))</f>
        <v>-19.969163901443835</v>
      </c>
      <c r="G622" s="197">
        <f>IF(H622&gt;0,F622-H622,0)</f>
        <v>0</v>
      </c>
      <c r="H622" s="198"/>
      <c r="I622" s="197">
        <f ca="1">F622*$A$2</f>
        <v>-19.969163901443835</v>
      </c>
      <c r="J622" s="197" t="s">
        <v>80</v>
      </c>
      <c r="K622" s="197">
        <f>IF(LeagueInfo!$F$7="Yahoo",IFERROR(INDEX(DefaultAuctionValues!$B$2:$B$359,MATCH(A622,DefaultAuctionValues!$A$2:$A$359,0)),0),IF(LeagueInfo!$F$7="ESPN",IFERROR(INDEX(DefaultAuctionValues!$C$2:$C$359,MATCH(A622,DefaultAuctionValues!$A$2:$A$359,0)),0),IF(LeagueInfo!$F$7="FantasyPros",IFERROR(INDEX(DefaultAuctionValues!$D$2:$D$359,MATCH(A622,DefaultAuctionValues!$A$2:$A$359,0)),0))))</f>
        <v>0</v>
      </c>
      <c r="L622" s="197">
        <f ca="1">I622-K622</f>
        <v>-19.969163901443835</v>
      </c>
      <c r="M622" s="213"/>
      <c r="N622" s="208">
        <f ca="1">INDEX(INDIRECT(""&amp;$B622&amp;"!y2:y709"),MATCH($A622,INDIRECT(""&amp;$B622&amp;"!B2:B709"),0))</f>
        <v>-41.690000000000005</v>
      </c>
      <c r="O622" s="217" t="str">
        <f ca="1">IF(INDEX(INDIRECT(""&amp;$B622&amp;"!V2:V700"),MATCH($A622,INDIRECT(""&amp;$B622&amp;"!B2:B700"),0))=0,"",INDEX(INDIRECT(""&amp;$B622&amp;"!V2:V700"),MATCH($A622,INDIRECT(""&amp;$B622&amp;"!B2:B700"),0)))</f>
        <v/>
      </c>
    </row>
    <row r="623" spans="1:15" x14ac:dyDescent="0.25">
      <c r="A623" s="195" t="s">
        <v>701</v>
      </c>
      <c r="B623" s="195" t="s">
        <v>39</v>
      </c>
      <c r="C623" s="195">
        <f ca="1">IFERROR(INDEX(BYEs!$B$2:$B$33,MATCH(D623,BYEs!$A$2:$A$33,0)),"N/A")</f>
        <v>6</v>
      </c>
      <c r="D623" s="195" t="str">
        <f ca="1">INDEX(INDIRECT(""&amp;B623&amp;"!E2:E700"),MATCH(A623,INDIRECT(""&amp;B623&amp;"!B2:B700"),0))</f>
        <v>BUF</v>
      </c>
      <c r="E623" s="194" t="str">
        <f ca="1">INDEX(INDIRECT(""&amp;$B623&amp;"!Z2:Z709"),MATCH($A623,INDIRECT(""&amp;$B623&amp;"!B2:B709"),0))</f>
        <v>WR10</v>
      </c>
      <c r="F623" s="196">
        <f ca="1">IF(LeagueInfo!$H$7="Starter/Bench",INDEX(INDIRECT(""&amp;B623&amp;"!S2:S709"),MATCH(A623,INDIRECT(""&amp;B623&amp;"!B2:B709"),0)),INDEX(INDIRECT(""&amp;B623&amp;"!AA2:AA709"),MATCH(A623,INDIRECT(""&amp;B623&amp;"!B2:B709"),0)))</f>
        <v>-20.002693320323687</v>
      </c>
      <c r="G623" s="197">
        <f>IF(H623&gt;0,F623-H623,0)</f>
        <v>0</v>
      </c>
      <c r="H623" s="198"/>
      <c r="I623" s="197">
        <f ca="1">F623*$A$2</f>
        <v>-20.002693320323687</v>
      </c>
      <c r="J623" s="197" t="s">
        <v>80</v>
      </c>
      <c r="K623" s="197">
        <f>IF(LeagueInfo!$F$7="Yahoo",IFERROR(INDEX(DefaultAuctionValues!$B$2:$B$359,MATCH(A623,DefaultAuctionValues!$A$2:$A$359,0)),0),IF(LeagueInfo!$F$7="ESPN",IFERROR(INDEX(DefaultAuctionValues!$C$2:$C$359,MATCH(A623,DefaultAuctionValues!$A$2:$A$359,0)),0),IF(LeagueInfo!$F$7="FantasyPros",IFERROR(INDEX(DefaultAuctionValues!$D$2:$D$359,MATCH(A623,DefaultAuctionValues!$A$2:$A$359,0)),0))))</f>
        <v>0</v>
      </c>
      <c r="L623" s="197">
        <f ca="1">I623-K623</f>
        <v>-20.002693320323687</v>
      </c>
      <c r="M623" s="213"/>
      <c r="N623" s="208">
        <f ca="1">INDEX(INDIRECT(""&amp;$B623&amp;"!y2:y709"),MATCH($A623,INDIRECT(""&amp;$B623&amp;"!B2:B709"),0))</f>
        <v>-41.760000000000005</v>
      </c>
      <c r="O623" s="217" t="str">
        <f ca="1">IF(INDEX(INDIRECT(""&amp;$B623&amp;"!V2:V700"),MATCH($A623,INDIRECT(""&amp;$B623&amp;"!B2:B700"),0))=0,"",INDEX(INDIRECT(""&amp;$B623&amp;"!V2:V700"),MATCH($A623,INDIRECT(""&amp;$B623&amp;"!B2:B700"),0)))</f>
        <v/>
      </c>
    </row>
    <row r="624" spans="1:15" x14ac:dyDescent="0.25">
      <c r="A624" s="195" t="s">
        <v>622</v>
      </c>
      <c r="B624" s="195" t="s">
        <v>39</v>
      </c>
      <c r="C624" s="195">
        <f ca="1">IFERROR(INDEX(BYEs!$B$2:$B$33,MATCH(D624,BYEs!$A$2:$A$33,0)),"N/A")</f>
        <v>8</v>
      </c>
      <c r="D624" s="195" t="str">
        <f ca="1">INDEX(INDIRECT(""&amp;B624&amp;"!E2:E700"),MATCH(A624,INDIRECT(""&amp;B624&amp;"!B2:B700"),0))</f>
        <v>ARI</v>
      </c>
      <c r="E624" s="194" t="str">
        <f ca="1">INDEX(INDIRECT(""&amp;$B624&amp;"!Z2:Z709"),MATCH($A624,INDIRECT(""&amp;$B624&amp;"!B2:B709"),0))</f>
        <v>WR10</v>
      </c>
      <c r="F624" s="196">
        <f ca="1">IF(LeagueInfo!$H$7="Starter/Bench",INDEX(INDIRECT(""&amp;B624&amp;"!S2:S709"),MATCH(A624,INDIRECT(""&amp;B624&amp;"!B2:B709"),0)),INDEX(INDIRECT(""&amp;B624&amp;"!AA2:AA709"),MATCH(A624,INDIRECT(""&amp;B624&amp;"!B2:B709"),0)))</f>
        <v>-20.009878195797938</v>
      </c>
      <c r="G624" s="197">
        <f>IF(H624&gt;0,F624-H624,0)</f>
        <v>0</v>
      </c>
      <c r="H624" s="198"/>
      <c r="I624" s="197">
        <f ca="1">F624*$A$2</f>
        <v>-20.009878195797938</v>
      </c>
      <c r="J624" s="197" t="s">
        <v>80</v>
      </c>
      <c r="K624" s="197">
        <f>IF(LeagueInfo!$F$7="Yahoo",IFERROR(INDEX(DefaultAuctionValues!$B$2:$B$359,MATCH(A624,DefaultAuctionValues!$A$2:$A$359,0)),0),IF(LeagueInfo!$F$7="ESPN",IFERROR(INDEX(DefaultAuctionValues!$C$2:$C$359,MATCH(A624,DefaultAuctionValues!$A$2:$A$359,0)),0),IF(LeagueInfo!$F$7="FantasyPros",IFERROR(INDEX(DefaultAuctionValues!$D$2:$D$359,MATCH(A624,DefaultAuctionValues!$A$2:$A$359,0)),0))))</f>
        <v>0</v>
      </c>
      <c r="L624" s="197">
        <f ca="1">I624-K624</f>
        <v>-20.009878195797938</v>
      </c>
      <c r="M624" s="213"/>
      <c r="N624" s="208">
        <f ca="1">INDEX(INDIRECT(""&amp;$B624&amp;"!y2:y709"),MATCH($A624,INDIRECT(""&amp;$B624&amp;"!B2:B709"),0))</f>
        <v>-41.774999999999999</v>
      </c>
      <c r="O624" s="217" t="str">
        <f ca="1">IF(INDEX(INDIRECT(""&amp;$B624&amp;"!V2:V700"),MATCH($A624,INDIRECT(""&amp;$B624&amp;"!B2:B700"),0))=0,"",INDEX(INDIRECT(""&amp;$B624&amp;"!V2:V700"),MATCH($A624,INDIRECT(""&amp;$B624&amp;"!B2:B700"),0)))</f>
        <v/>
      </c>
    </row>
    <row r="625" spans="1:15" x14ac:dyDescent="0.25">
      <c r="A625" s="195" t="s">
        <v>686</v>
      </c>
      <c r="B625" s="195" t="s">
        <v>39</v>
      </c>
      <c r="C625" s="195">
        <f ca="1">IFERROR(INDEX(BYEs!$B$2:$B$33,MATCH(D625,BYEs!$A$2:$A$33,0)),"N/A")</f>
        <v>7</v>
      </c>
      <c r="D625" s="195" t="str">
        <f ca="1">INDEX(INDIRECT(""&amp;B625&amp;"!E2:E700"),MATCH(A625,INDIRECT(""&amp;B625&amp;"!B2:B700"),0))</f>
        <v>HOU</v>
      </c>
      <c r="E625" s="194" t="str">
        <f ca="1">INDEX(INDIRECT(""&amp;$B625&amp;"!Z2:Z709"),MATCH($A625,INDIRECT(""&amp;$B625&amp;"!B2:B709"),0))</f>
        <v>WR10</v>
      </c>
      <c r="F625" s="196">
        <f ca="1">IF(LeagueInfo!$H$7="Starter/Bench",INDEX(INDIRECT(""&amp;B625&amp;"!S2:S709"),MATCH(A625,INDIRECT(""&amp;B625&amp;"!B2:B709"),0)),INDEX(INDIRECT(""&amp;B625&amp;"!AA2:AA709"),MATCH(A625,INDIRECT(""&amp;B625&amp;"!B2:B709"),0)))</f>
        <v>-20.057777365626301</v>
      </c>
      <c r="G625" s="197">
        <f>IF(H625&gt;0,F625-H625,0)</f>
        <v>0</v>
      </c>
      <c r="H625" s="198"/>
      <c r="I625" s="197">
        <f ca="1">F625*$A$2</f>
        <v>-20.057777365626301</v>
      </c>
      <c r="J625" s="197" t="s">
        <v>80</v>
      </c>
      <c r="K625" s="197">
        <f>IF(LeagueInfo!$F$7="Yahoo",IFERROR(INDEX(DefaultAuctionValues!$B$2:$B$359,MATCH(A625,DefaultAuctionValues!$A$2:$A$359,0)),0),IF(LeagueInfo!$F$7="ESPN",IFERROR(INDEX(DefaultAuctionValues!$C$2:$C$359,MATCH(A625,DefaultAuctionValues!$A$2:$A$359,0)),0),IF(LeagueInfo!$F$7="FantasyPros",IFERROR(INDEX(DefaultAuctionValues!$D$2:$D$359,MATCH(A625,DefaultAuctionValues!$A$2:$A$359,0)),0))))</f>
        <v>0</v>
      </c>
      <c r="L625" s="197">
        <f ca="1">I625-K625</f>
        <v>-20.057777365626301</v>
      </c>
      <c r="M625" s="213"/>
      <c r="N625" s="208">
        <f ca="1">INDEX(INDIRECT(""&amp;$B625&amp;"!y2:y709"),MATCH($A625,INDIRECT(""&amp;$B625&amp;"!B2:B709"),0))</f>
        <v>-41.875</v>
      </c>
      <c r="O625" s="217" t="str">
        <f ca="1">IF(INDEX(INDIRECT(""&amp;$B625&amp;"!V2:V700"),MATCH($A625,INDIRECT(""&amp;$B625&amp;"!B2:B700"),0))=0,"",INDEX(INDIRECT(""&amp;$B625&amp;"!V2:V700"),MATCH($A625,INDIRECT(""&amp;$B625&amp;"!B2:B700"),0)))</f>
        <v/>
      </c>
    </row>
    <row r="626" spans="1:15" x14ac:dyDescent="0.25">
      <c r="A626" s="195" t="s">
        <v>659</v>
      </c>
      <c r="B626" s="195" t="s">
        <v>39</v>
      </c>
      <c r="C626" s="195">
        <f ca="1">IFERROR(INDEX(BYEs!$B$2:$B$33,MATCH(D626,BYEs!$A$2:$A$33,0)),"N/A")</f>
        <v>9</v>
      </c>
      <c r="D626" s="195" t="str">
        <f ca="1">INDEX(INDIRECT(""&amp;B626&amp;"!E2:E700"),MATCH(A626,INDIRECT(""&amp;B626&amp;"!B2:B700"),0))</f>
        <v>LAC</v>
      </c>
      <c r="E626" s="194" t="str">
        <f ca="1">INDEX(INDIRECT(""&amp;$B626&amp;"!Z2:Z709"),MATCH($A626,INDIRECT(""&amp;$B626&amp;"!B2:B709"),0))</f>
        <v>WR10</v>
      </c>
      <c r="F626" s="196">
        <f ca="1">IF(LeagueInfo!$H$7="Starter/Bench",INDEX(INDIRECT(""&amp;B626&amp;"!S2:S709"),MATCH(A626,INDIRECT(""&amp;B626&amp;"!B2:B709"),0)),INDEX(INDIRECT(""&amp;B626&amp;"!AA2:AA709"),MATCH(A626,INDIRECT(""&amp;B626&amp;"!B2:B709"),0)))</f>
        <v>-20.067357199591974</v>
      </c>
      <c r="G626" s="197">
        <f>IF(H626&gt;0,F626-H626,0)</f>
        <v>0</v>
      </c>
      <c r="H626" s="198"/>
      <c r="I626" s="197">
        <f ca="1">F626*$A$2</f>
        <v>-20.067357199591974</v>
      </c>
      <c r="J626" s="197" t="s">
        <v>80</v>
      </c>
      <c r="K626" s="197">
        <f>IF(LeagueInfo!$F$7="Yahoo",IFERROR(INDEX(DefaultAuctionValues!$B$2:$B$359,MATCH(A626,DefaultAuctionValues!$A$2:$A$359,0)),0),IF(LeagueInfo!$F$7="ESPN",IFERROR(INDEX(DefaultAuctionValues!$C$2:$C$359,MATCH(A626,DefaultAuctionValues!$A$2:$A$359,0)),0),IF(LeagueInfo!$F$7="FantasyPros",IFERROR(INDEX(DefaultAuctionValues!$D$2:$D$359,MATCH(A626,DefaultAuctionValues!$A$2:$A$359,0)),0))))</f>
        <v>0</v>
      </c>
      <c r="L626" s="197">
        <f ca="1">I626-K626</f>
        <v>-20.067357199591974</v>
      </c>
      <c r="M626" s="213"/>
      <c r="N626" s="208">
        <f ca="1">INDEX(INDIRECT(""&amp;$B626&amp;"!y2:y709"),MATCH($A626,INDIRECT(""&amp;$B626&amp;"!B2:B709"),0))</f>
        <v>-41.895000000000003</v>
      </c>
      <c r="O626" s="217" t="str">
        <f ca="1">IF(INDEX(INDIRECT(""&amp;$B626&amp;"!V2:V700"),MATCH($A626,INDIRECT(""&amp;$B626&amp;"!B2:B700"),0))=0,"",INDEX(INDIRECT(""&amp;$B626&amp;"!V2:V700"),MATCH($A626,INDIRECT(""&amp;$B626&amp;"!B2:B700"),0)))</f>
        <v/>
      </c>
    </row>
    <row r="627" spans="1:15" x14ac:dyDescent="0.25">
      <c r="A627" s="195" t="s">
        <v>702</v>
      </c>
      <c r="B627" s="195" t="s">
        <v>39</v>
      </c>
      <c r="C627" s="195">
        <f ca="1">IFERROR(INDEX(BYEs!$B$2:$B$33,MATCH(D627,BYEs!$A$2:$A$33,0)),"N/A")</f>
        <v>8</v>
      </c>
      <c r="D627" s="195" t="str">
        <f ca="1">INDEX(INDIRECT(""&amp;B627&amp;"!E2:E700"),MATCH(A627,INDIRECT(""&amp;B627&amp;"!B2:B700"),0))</f>
        <v>LAR</v>
      </c>
      <c r="E627" s="194" t="str">
        <f ca="1">INDEX(INDIRECT(""&amp;$B627&amp;"!Z2:Z709"),MATCH($A627,INDIRECT(""&amp;$B627&amp;"!B2:B709"),0))</f>
        <v>WR10</v>
      </c>
      <c r="F627" s="196">
        <f ca="1">IF(LeagueInfo!$H$7="Starter/Bench",INDEX(INDIRECT(""&amp;B627&amp;"!S2:S709"),MATCH(A627,INDIRECT(""&amp;B627&amp;"!B2:B709"),0)),INDEX(INDIRECT(""&amp;B627&amp;"!AA2:AA709"),MATCH(A627,INDIRECT(""&amp;B627&amp;"!B2:B709"),0)))</f>
        <v>-20.079331992049063</v>
      </c>
      <c r="G627" s="197">
        <f>IF(H627&gt;0,F627-H627,0)</f>
        <v>0</v>
      </c>
      <c r="H627" s="198"/>
      <c r="I627" s="197">
        <f ca="1">F627*$A$2</f>
        <v>-20.079331992049063</v>
      </c>
      <c r="J627" s="197" t="s">
        <v>80</v>
      </c>
      <c r="K627" s="197">
        <f>IF(LeagueInfo!$F$7="Yahoo",IFERROR(INDEX(DefaultAuctionValues!$B$2:$B$359,MATCH(A627,DefaultAuctionValues!$A$2:$A$359,0)),0),IF(LeagueInfo!$F$7="ESPN",IFERROR(INDEX(DefaultAuctionValues!$C$2:$C$359,MATCH(A627,DefaultAuctionValues!$A$2:$A$359,0)),0),IF(LeagueInfo!$F$7="FantasyPros",IFERROR(INDEX(DefaultAuctionValues!$D$2:$D$359,MATCH(A627,DefaultAuctionValues!$A$2:$A$359,0)),0))))</f>
        <v>0</v>
      </c>
      <c r="L627" s="197">
        <f ca="1">I627-K627</f>
        <v>-20.079331992049063</v>
      </c>
      <c r="M627" s="213"/>
      <c r="N627" s="208">
        <f ca="1">INDEX(INDIRECT(""&amp;$B627&amp;"!y2:y709"),MATCH($A627,INDIRECT(""&amp;$B627&amp;"!B2:B709"),0))</f>
        <v>-41.92</v>
      </c>
      <c r="O627" s="217" t="str">
        <f ca="1">IF(INDEX(INDIRECT(""&amp;$B627&amp;"!V2:V700"),MATCH($A627,INDIRECT(""&amp;$B627&amp;"!B2:B700"),0))=0,"",INDEX(INDIRECT(""&amp;$B627&amp;"!V2:V700"),MATCH($A627,INDIRECT(""&amp;$B627&amp;"!B2:B700"),0)))</f>
        <v/>
      </c>
    </row>
    <row r="628" spans="1:15" x14ac:dyDescent="0.25">
      <c r="A628" s="195" t="s">
        <v>694</v>
      </c>
      <c r="B628" s="195" t="s">
        <v>39</v>
      </c>
      <c r="C628" s="195">
        <f ca="1">IFERROR(INDEX(BYEs!$B$2:$B$33,MATCH(D628,BYEs!$A$2:$A$33,0)),"N/A")</f>
        <v>7</v>
      </c>
      <c r="D628" s="195" t="str">
        <f ca="1">INDEX(INDIRECT(""&amp;B628&amp;"!E2:E700"),MATCH(A628,INDIRECT(""&amp;B628&amp;"!B2:B700"),0))</f>
        <v>DET</v>
      </c>
      <c r="E628" s="194" t="str">
        <f ca="1">INDEX(INDIRECT(""&amp;$B628&amp;"!Z2:Z709"),MATCH($A628,INDIRECT(""&amp;$B628&amp;"!B2:B709"),0))</f>
        <v>WR10</v>
      </c>
      <c r="F628" s="196">
        <f ca="1">IF(LeagueInfo!$H$7="Starter/Bench",INDEX(INDIRECT(""&amp;B628&amp;"!S2:S709"),MATCH(A628,INDIRECT(""&amp;B628&amp;"!B2:B709"),0)),INDEX(INDIRECT(""&amp;B628&amp;"!AA2:AA709"),MATCH(A628,INDIRECT(""&amp;B628&amp;"!B2:B709"),0)))</f>
        <v>-20.122441244894592</v>
      </c>
      <c r="G628" s="197">
        <f>IF(H628&gt;0,F628-H628,0)</f>
        <v>0</v>
      </c>
      <c r="H628" s="198"/>
      <c r="I628" s="197">
        <f ca="1">F628*$A$2</f>
        <v>-20.122441244894592</v>
      </c>
      <c r="J628" s="197" t="s">
        <v>80</v>
      </c>
      <c r="K628" s="197">
        <f>IF(LeagueInfo!$F$7="Yahoo",IFERROR(INDEX(DefaultAuctionValues!$B$2:$B$359,MATCH(A628,DefaultAuctionValues!$A$2:$A$359,0)),0),IF(LeagueInfo!$F$7="ESPN",IFERROR(INDEX(DefaultAuctionValues!$C$2:$C$359,MATCH(A628,DefaultAuctionValues!$A$2:$A$359,0)),0),IF(LeagueInfo!$F$7="FantasyPros",IFERROR(INDEX(DefaultAuctionValues!$D$2:$D$359,MATCH(A628,DefaultAuctionValues!$A$2:$A$359,0)),0))))</f>
        <v>0</v>
      </c>
      <c r="L628" s="197">
        <f ca="1">I628-K628</f>
        <v>-20.122441244894592</v>
      </c>
      <c r="M628" s="213"/>
      <c r="N628" s="208">
        <f ca="1">INDEX(INDIRECT(""&amp;$B628&amp;"!y2:y709"),MATCH($A628,INDIRECT(""&amp;$B628&amp;"!B2:B709"),0))</f>
        <v>-42.010000000000005</v>
      </c>
      <c r="O628" s="217" t="str">
        <f ca="1">IF(INDEX(INDIRECT(""&amp;$B628&amp;"!V2:V700"),MATCH($A628,INDIRECT(""&amp;$B628&amp;"!B2:B700"),0))=0,"",INDEX(INDIRECT(""&amp;$B628&amp;"!V2:V700"),MATCH($A628,INDIRECT(""&amp;$B628&amp;"!B2:B700"),0)))</f>
        <v/>
      </c>
    </row>
    <row r="629" spans="1:15" x14ac:dyDescent="0.25">
      <c r="A629" s="195" t="s">
        <v>695</v>
      </c>
      <c r="B629" s="195" t="s">
        <v>39</v>
      </c>
      <c r="C629" s="195">
        <f ca="1">IFERROR(INDEX(BYEs!$B$2:$B$33,MATCH(D629,BYEs!$A$2:$A$33,0)),"N/A")</f>
        <v>5</v>
      </c>
      <c r="D629" s="195" t="str">
        <f ca="1">INDEX(INDIRECT(""&amp;B629&amp;"!E2:E700"),MATCH(A629,INDIRECT(""&amp;B629&amp;"!B2:B700"),0))</f>
        <v>DEN</v>
      </c>
      <c r="E629" s="194" t="str">
        <f ca="1">INDEX(INDIRECT(""&amp;$B629&amp;"!Z2:Z709"),MATCH($A629,INDIRECT(""&amp;$B629&amp;"!B2:B709"),0))</f>
        <v>WR10</v>
      </c>
      <c r="F629" s="196">
        <f ca="1">IF(LeagueInfo!$H$7="Starter/Bench",INDEX(INDIRECT(""&amp;B629&amp;"!S2:S709"),MATCH(A629,INDIRECT(""&amp;B629&amp;"!B2:B709"),0)),INDEX(INDIRECT(""&amp;B629&amp;"!AA2:AA709"),MATCH(A629,INDIRECT(""&amp;B629&amp;"!B2:B709"),0)))</f>
        <v>-20.158365622265858</v>
      </c>
      <c r="G629" s="197">
        <f>IF(H629&gt;0,F629-H629,0)</f>
        <v>0</v>
      </c>
      <c r="H629" s="198"/>
      <c r="I629" s="197">
        <f ca="1">F629*$A$2</f>
        <v>-20.158365622265858</v>
      </c>
      <c r="J629" s="197" t="s">
        <v>80</v>
      </c>
      <c r="K629" s="197">
        <f>IF(LeagueInfo!$F$7="Yahoo",IFERROR(INDEX(DefaultAuctionValues!$B$2:$B$359,MATCH(A629,DefaultAuctionValues!$A$2:$A$359,0)),0),IF(LeagueInfo!$F$7="ESPN",IFERROR(INDEX(DefaultAuctionValues!$C$2:$C$359,MATCH(A629,DefaultAuctionValues!$A$2:$A$359,0)),0),IF(LeagueInfo!$F$7="FantasyPros",IFERROR(INDEX(DefaultAuctionValues!$D$2:$D$359,MATCH(A629,DefaultAuctionValues!$A$2:$A$359,0)),0))))</f>
        <v>0</v>
      </c>
      <c r="L629" s="197">
        <f ca="1">I629-K629</f>
        <v>-20.158365622265858</v>
      </c>
      <c r="M629" s="213"/>
      <c r="N629" s="208">
        <f ca="1">INDEX(INDIRECT(""&amp;$B629&amp;"!y2:y709"),MATCH($A629,INDIRECT(""&amp;$B629&amp;"!B2:B709"),0))</f>
        <v>-42.085000000000001</v>
      </c>
      <c r="O629" s="217" t="str">
        <f ca="1">IF(INDEX(INDIRECT(""&amp;$B629&amp;"!V2:V700"),MATCH($A629,INDIRECT(""&amp;$B629&amp;"!B2:B700"),0))=0,"",INDEX(INDIRECT(""&amp;$B629&amp;"!V2:V700"),MATCH($A629,INDIRECT(""&amp;$B629&amp;"!B2:B700"),0)))</f>
        <v/>
      </c>
    </row>
    <row r="630" spans="1:15" x14ac:dyDescent="0.25">
      <c r="A630" s="195" t="s">
        <v>689</v>
      </c>
      <c r="B630" s="195" t="s">
        <v>39</v>
      </c>
      <c r="C630" s="195">
        <f ca="1">IFERROR(INDEX(BYEs!$B$2:$B$33,MATCH(D630,BYEs!$A$2:$A$33,0)),"N/A")</f>
        <v>6</v>
      </c>
      <c r="D630" s="195" t="str">
        <f ca="1">INDEX(INDIRECT(""&amp;B630&amp;"!E2:E700"),MATCH(A630,INDIRECT(""&amp;B630&amp;"!B2:B700"),0))</f>
        <v>CIN</v>
      </c>
      <c r="E630" s="194" t="str">
        <f ca="1">INDEX(INDIRECT(""&amp;$B630&amp;"!Z2:Z709"),MATCH($A630,INDIRECT(""&amp;$B630&amp;"!B2:B709"),0))</f>
        <v>WR10</v>
      </c>
      <c r="F630" s="196">
        <f ca="1">IF(LeagueInfo!$H$7="Starter/Bench",INDEX(INDIRECT(""&amp;B630&amp;"!S2:S709"),MATCH(A630,INDIRECT(""&amp;B630&amp;"!B2:B709"),0)),INDEX(INDIRECT(""&amp;B630&amp;"!AA2:AA709"),MATCH(A630,INDIRECT(""&amp;B630&amp;"!B2:B709"),0)))</f>
        <v>-20.20626479209422</v>
      </c>
      <c r="G630" s="197">
        <f>IF(H630&gt;0,F630-H630,0)</f>
        <v>0</v>
      </c>
      <c r="H630" s="198"/>
      <c r="I630" s="197">
        <f ca="1">F630*$A$2</f>
        <v>-20.20626479209422</v>
      </c>
      <c r="J630" s="197" t="s">
        <v>80</v>
      </c>
      <c r="K630" s="197">
        <f>IF(LeagueInfo!$F$7="Yahoo",IFERROR(INDEX(DefaultAuctionValues!$B$2:$B$359,MATCH(A630,DefaultAuctionValues!$A$2:$A$359,0)),0),IF(LeagueInfo!$F$7="ESPN",IFERROR(INDEX(DefaultAuctionValues!$C$2:$C$359,MATCH(A630,DefaultAuctionValues!$A$2:$A$359,0)),0),IF(LeagueInfo!$F$7="FantasyPros",IFERROR(INDEX(DefaultAuctionValues!$D$2:$D$359,MATCH(A630,DefaultAuctionValues!$A$2:$A$359,0)),0))))</f>
        <v>0</v>
      </c>
      <c r="L630" s="197">
        <f ca="1">I630-K630</f>
        <v>-20.20626479209422</v>
      </c>
      <c r="M630" s="213"/>
      <c r="N630" s="208">
        <f ca="1">INDEX(INDIRECT(""&amp;$B630&amp;"!y2:y709"),MATCH($A630,INDIRECT(""&amp;$B630&amp;"!B2:B709"),0))</f>
        <v>-42.185000000000002</v>
      </c>
      <c r="O630" s="217" t="str">
        <f ca="1">IF(INDEX(INDIRECT(""&amp;$B630&amp;"!V2:V700"),MATCH($A630,INDIRECT(""&amp;$B630&amp;"!B2:B700"),0))=0,"",INDEX(INDIRECT(""&amp;$B630&amp;"!V2:V700"),MATCH($A630,INDIRECT(""&amp;$B630&amp;"!B2:B700"),0)))</f>
        <v/>
      </c>
    </row>
    <row r="631" spans="1:15" x14ac:dyDescent="0.25">
      <c r="A631" s="195" t="s">
        <v>641</v>
      </c>
      <c r="B631" s="195" t="s">
        <v>39</v>
      </c>
      <c r="C631" s="195">
        <f ca="1">IFERROR(INDEX(BYEs!$B$2:$B$33,MATCH(D631,BYEs!$A$2:$A$33,0)),"N/A")</f>
        <v>6</v>
      </c>
      <c r="D631" s="195" t="str">
        <f ca="1">INDEX(INDIRECT(""&amp;B631&amp;"!E2:E700"),MATCH(A631,INDIRECT(""&amp;B631&amp;"!B2:B700"),0))</f>
        <v>CIN</v>
      </c>
      <c r="E631" s="194" t="str">
        <f ca="1">INDEX(INDIRECT(""&amp;$B631&amp;"!Z2:Z709"),MATCH($A631,INDIRECT(""&amp;$B631&amp;"!B2:B709"),0))</f>
        <v>WR10</v>
      </c>
      <c r="F631" s="196">
        <f ca="1">IF(LeagueInfo!$H$7="Starter/Bench",INDEX(INDIRECT(""&amp;B631&amp;"!S2:S709"),MATCH(A631,INDIRECT(""&amp;B631&amp;"!B2:B709"),0)),INDEX(INDIRECT(""&amp;B631&amp;"!AA2:AA709"),MATCH(A631,INDIRECT(""&amp;B631&amp;"!B2:B709"),0)))</f>
        <v>-20.242189169465494</v>
      </c>
      <c r="G631" s="197">
        <f>IF(H631&gt;0,F631-H631,0)</f>
        <v>0</v>
      </c>
      <c r="H631" s="198"/>
      <c r="I631" s="197">
        <f ca="1">F631*$A$2</f>
        <v>-20.242189169465494</v>
      </c>
      <c r="J631" s="197" t="s">
        <v>80</v>
      </c>
      <c r="K631" s="197">
        <f>IF(LeagueInfo!$F$7="Yahoo",IFERROR(INDEX(DefaultAuctionValues!$B$2:$B$359,MATCH(A631,DefaultAuctionValues!$A$2:$A$359,0)),0),IF(LeagueInfo!$F$7="ESPN",IFERROR(INDEX(DefaultAuctionValues!$C$2:$C$359,MATCH(A631,DefaultAuctionValues!$A$2:$A$359,0)),0),IF(LeagueInfo!$F$7="FantasyPros",IFERROR(INDEX(DefaultAuctionValues!$D$2:$D$359,MATCH(A631,DefaultAuctionValues!$A$2:$A$359,0)),0))))</f>
        <v>0</v>
      </c>
      <c r="L631" s="197">
        <f ca="1">I631-K631</f>
        <v>-20.242189169465494</v>
      </c>
      <c r="M631" s="213"/>
      <c r="N631" s="208">
        <f ca="1">INDEX(INDIRECT(""&amp;$B631&amp;"!y2:y709"),MATCH($A631,INDIRECT(""&amp;$B631&amp;"!B2:B709"),0))</f>
        <v>-42.260000000000005</v>
      </c>
      <c r="O631" s="217" t="str">
        <f ca="1">IF(INDEX(INDIRECT(""&amp;$B631&amp;"!V2:V700"),MATCH($A631,INDIRECT(""&amp;$B631&amp;"!B2:B700"),0))=0,"",INDEX(INDIRECT(""&amp;$B631&amp;"!V2:V700"),MATCH($A631,INDIRECT(""&amp;$B631&amp;"!B2:B700"),0)))</f>
        <v/>
      </c>
    </row>
    <row r="632" spans="1:15" x14ac:dyDescent="0.25">
      <c r="A632" s="195" t="s">
        <v>706</v>
      </c>
      <c r="B632" s="195" t="s">
        <v>39</v>
      </c>
      <c r="C632" s="195">
        <f ca="1">IFERROR(INDEX(BYEs!$B$2:$B$33,MATCH(D632,BYEs!$A$2:$A$33,0)),"N/A")</f>
        <v>9</v>
      </c>
      <c r="D632" s="195" t="str">
        <f ca="1">INDEX(INDIRECT(""&amp;B632&amp;"!E2:E700"),MATCH(A632,INDIRECT(""&amp;B632&amp;"!B2:B700"),0))</f>
        <v>LAC</v>
      </c>
      <c r="E632" s="194" t="str">
        <f ca="1">INDEX(INDIRECT(""&amp;$B632&amp;"!Z2:Z709"),MATCH($A632,INDIRECT(""&amp;$B632&amp;"!B2:B709"),0))</f>
        <v>WR10</v>
      </c>
      <c r="F632" s="196">
        <f ca="1">IF(LeagueInfo!$H$7="Starter/Bench",INDEX(INDIRECT(""&amp;B632&amp;"!S2:S709"),MATCH(A632,INDIRECT(""&amp;B632&amp;"!B2:B709"),0)),INDEX(INDIRECT(""&amp;B632&amp;"!AA2:AA709"),MATCH(A632,INDIRECT(""&amp;B632&amp;"!B2:B709"),0)))</f>
        <v>-20.256558920414001</v>
      </c>
      <c r="G632" s="197">
        <f>IF(H632&gt;0,F632-H632,0)</f>
        <v>0</v>
      </c>
      <c r="H632" s="198"/>
      <c r="I632" s="197">
        <f ca="1">F632*$A$2</f>
        <v>-20.256558920414001</v>
      </c>
      <c r="J632" s="197" t="s">
        <v>80</v>
      </c>
      <c r="K632" s="197">
        <f>IF(LeagueInfo!$F$7="Yahoo",IFERROR(INDEX(DefaultAuctionValues!$B$2:$B$359,MATCH(A632,DefaultAuctionValues!$A$2:$A$359,0)),0),IF(LeagueInfo!$F$7="ESPN",IFERROR(INDEX(DefaultAuctionValues!$C$2:$C$359,MATCH(A632,DefaultAuctionValues!$A$2:$A$359,0)),0),IF(LeagueInfo!$F$7="FantasyPros",IFERROR(INDEX(DefaultAuctionValues!$D$2:$D$359,MATCH(A632,DefaultAuctionValues!$A$2:$A$359,0)),0))))</f>
        <v>0</v>
      </c>
      <c r="L632" s="197">
        <f ca="1">I632-K632</f>
        <v>-20.256558920414001</v>
      </c>
      <c r="M632" s="213"/>
      <c r="N632" s="208">
        <f ca="1">INDEX(INDIRECT(""&amp;$B632&amp;"!y2:y709"),MATCH($A632,INDIRECT(""&amp;$B632&amp;"!B2:B709"),0))</f>
        <v>-42.29</v>
      </c>
      <c r="O632" s="217" t="str">
        <f ca="1">IF(INDEX(INDIRECT(""&amp;$B632&amp;"!V2:V700"),MATCH($A632,INDIRECT(""&amp;$B632&amp;"!B2:B700"),0))=0,"",INDEX(INDIRECT(""&amp;$B632&amp;"!V2:V700"),MATCH($A632,INDIRECT(""&amp;$B632&amp;"!B2:B700"),0)))</f>
        <v/>
      </c>
    </row>
    <row r="633" spans="1:15" x14ac:dyDescent="0.25">
      <c r="A633" s="195" t="s">
        <v>626</v>
      </c>
      <c r="B633" s="195" t="s">
        <v>39</v>
      </c>
      <c r="C633" s="195">
        <f ca="1">IFERROR(INDEX(BYEs!$B$2:$B$33,MATCH(D633,BYEs!$A$2:$A$33,0)),"N/A")</f>
        <v>6</v>
      </c>
      <c r="D633" s="195" t="str">
        <f ca="1">INDEX(INDIRECT(""&amp;B633&amp;"!E2:E700"),MATCH(A633,INDIRECT(""&amp;B633&amp;"!B2:B700"),0))</f>
        <v>SEA</v>
      </c>
      <c r="E633" s="194" t="str">
        <f ca="1">INDEX(INDIRECT(""&amp;$B633&amp;"!Z2:Z709"),MATCH($A633,INDIRECT(""&amp;$B633&amp;"!B2:B709"),0))</f>
        <v>WR10</v>
      </c>
      <c r="F633" s="196">
        <f ca="1">IF(LeagueInfo!$H$7="Starter/Bench",INDEX(INDIRECT(""&amp;B633&amp;"!S2:S709"),MATCH(A633,INDIRECT(""&amp;B633&amp;"!B2:B709"),0)),INDEX(INDIRECT(""&amp;B633&amp;"!AA2:AA709"),MATCH(A633,INDIRECT(""&amp;B633&amp;"!B2:B709"),0)))</f>
        <v>-20.273323629853927</v>
      </c>
      <c r="G633" s="197">
        <f>IF(H633&gt;0,F633-H633,0)</f>
        <v>0</v>
      </c>
      <c r="H633" s="198"/>
      <c r="I633" s="197">
        <f ca="1">F633*$A$2</f>
        <v>-20.273323629853927</v>
      </c>
      <c r="J633" s="197" t="s">
        <v>80</v>
      </c>
      <c r="K633" s="197">
        <f>IF(LeagueInfo!$F$7="Yahoo",IFERROR(INDEX(DefaultAuctionValues!$B$2:$B$359,MATCH(A633,DefaultAuctionValues!$A$2:$A$359,0)),0),IF(LeagueInfo!$F$7="ESPN",IFERROR(INDEX(DefaultAuctionValues!$C$2:$C$359,MATCH(A633,DefaultAuctionValues!$A$2:$A$359,0)),0),IF(LeagueInfo!$F$7="FantasyPros",IFERROR(INDEX(DefaultAuctionValues!$D$2:$D$359,MATCH(A633,DefaultAuctionValues!$A$2:$A$359,0)),0))))</f>
        <v>0</v>
      </c>
      <c r="L633" s="197">
        <f ca="1">I633-K633</f>
        <v>-20.273323629853927</v>
      </c>
      <c r="M633" s="213"/>
      <c r="N633" s="208">
        <f ca="1">INDEX(INDIRECT(""&amp;$B633&amp;"!y2:y709"),MATCH($A633,INDIRECT(""&amp;$B633&amp;"!B2:B709"),0))</f>
        <v>-42.325000000000003</v>
      </c>
      <c r="O633" s="217" t="str">
        <f ca="1">IF(INDEX(INDIRECT(""&amp;$B633&amp;"!V2:V700"),MATCH($A633,INDIRECT(""&amp;$B633&amp;"!B2:B700"),0))=0,"",INDEX(INDIRECT(""&amp;$B633&amp;"!V2:V700"),MATCH($A633,INDIRECT(""&amp;$B633&amp;"!B2:B700"),0)))</f>
        <v/>
      </c>
    </row>
    <row r="634" spans="1:15" x14ac:dyDescent="0.25">
      <c r="A634" s="195" t="s">
        <v>649</v>
      </c>
      <c r="B634" s="195" t="s">
        <v>39</v>
      </c>
      <c r="C634" s="195">
        <f ca="1">IFERROR(INDEX(BYEs!$B$2:$B$33,MATCH(D634,BYEs!$A$2:$A$33,0)),"N/A")</f>
        <v>11</v>
      </c>
      <c r="D634" s="195" t="str">
        <f ca="1">INDEX(INDIRECT(""&amp;B634&amp;"!E2:E700"),MATCH(A634,INDIRECT(""&amp;B634&amp;"!B2:B700"),0))</f>
        <v>MIA</v>
      </c>
      <c r="E634" s="194" t="str">
        <f ca="1">INDEX(INDIRECT(""&amp;$B634&amp;"!Z2:Z709"),MATCH($A634,INDIRECT(""&amp;$B634&amp;"!B2:B709"),0))</f>
        <v>WR10</v>
      </c>
      <c r="F634" s="196">
        <f ca="1">IF(LeagueInfo!$H$7="Starter/Bench",INDEX(INDIRECT(""&amp;B634&amp;"!S2:S709"),MATCH(A634,INDIRECT(""&amp;B634&amp;"!B2:B709"),0)),INDEX(INDIRECT(""&amp;B634&amp;"!AA2:AA709"),MATCH(A634,INDIRECT(""&amp;B634&amp;"!B2:B709"),0)))</f>
        <v>-20.395466512916247</v>
      </c>
      <c r="G634" s="197">
        <f>IF(H634&gt;0,F634-H634,0)</f>
        <v>0</v>
      </c>
      <c r="H634" s="198"/>
      <c r="I634" s="197">
        <f ca="1">F634*$A$2</f>
        <v>-20.395466512916247</v>
      </c>
      <c r="J634" s="197" t="s">
        <v>80</v>
      </c>
      <c r="K634" s="197">
        <f>IF(LeagueInfo!$F$7="Yahoo",IFERROR(INDEX(DefaultAuctionValues!$B$2:$B$359,MATCH(A634,DefaultAuctionValues!$A$2:$A$359,0)),0),IF(LeagueInfo!$F$7="ESPN",IFERROR(INDEX(DefaultAuctionValues!$C$2:$C$359,MATCH(A634,DefaultAuctionValues!$A$2:$A$359,0)),0),IF(LeagueInfo!$F$7="FantasyPros",IFERROR(INDEX(DefaultAuctionValues!$D$2:$D$359,MATCH(A634,DefaultAuctionValues!$A$2:$A$359,0)),0))))</f>
        <v>0</v>
      </c>
      <c r="L634" s="197">
        <f ca="1">I634-K634</f>
        <v>-20.395466512916247</v>
      </c>
      <c r="M634" s="213"/>
      <c r="N634" s="208">
        <f ca="1">INDEX(INDIRECT(""&amp;$B634&amp;"!y2:y709"),MATCH($A634,INDIRECT(""&amp;$B634&amp;"!B2:B709"),0))</f>
        <v>-42.58</v>
      </c>
      <c r="O634" s="217" t="str">
        <f ca="1">IF(INDEX(INDIRECT(""&amp;$B634&amp;"!V2:V700"),MATCH($A634,INDIRECT(""&amp;$B634&amp;"!B2:B700"),0))=0,"",INDEX(INDIRECT(""&amp;$B634&amp;"!V2:V700"),MATCH($A634,INDIRECT(""&amp;$B634&amp;"!B2:B700"),0)))</f>
        <v/>
      </c>
    </row>
    <row r="635" spans="1:15" x14ac:dyDescent="0.25">
      <c r="A635" s="195" t="s">
        <v>642</v>
      </c>
      <c r="B635" s="195" t="s">
        <v>39</v>
      </c>
      <c r="C635" s="195">
        <f ca="1">IFERROR(INDEX(BYEs!$B$2:$B$33,MATCH(D635,BYEs!$A$2:$A$33,0)),"N/A")</f>
        <v>10</v>
      </c>
      <c r="D635" s="195" t="str">
        <f ca="1">INDEX(INDIRECT(""&amp;B635&amp;"!E2:E700"),MATCH(A635,INDIRECT(""&amp;B635&amp;"!B2:B700"),0))</f>
        <v>OAK</v>
      </c>
      <c r="E635" s="194" t="str">
        <f ca="1">INDEX(INDIRECT(""&amp;$B635&amp;"!Z2:Z709"),MATCH($A635,INDIRECT(""&amp;$B635&amp;"!B2:B709"),0))</f>
        <v>WR10</v>
      </c>
      <c r="F635" s="196">
        <f ca="1">IF(LeagueInfo!$H$7="Starter/Bench",INDEX(INDIRECT(""&amp;B635&amp;"!S2:S709"),MATCH(A635,INDIRECT(""&amp;B635&amp;"!B2:B709"),0)),INDEX(INDIRECT(""&amp;B635&amp;"!AA2:AA709"),MATCH(A635,INDIRECT(""&amp;B635&amp;"!B2:B709"),0)))</f>
        <v>-20.405046346881921</v>
      </c>
      <c r="G635" s="197">
        <f>IF(H635&gt;0,F635-H635,0)</f>
        <v>0</v>
      </c>
      <c r="H635" s="198"/>
      <c r="I635" s="197">
        <f ca="1">F635*$A$2</f>
        <v>-20.405046346881921</v>
      </c>
      <c r="J635" s="197" t="s">
        <v>80</v>
      </c>
      <c r="K635" s="197">
        <f>IF(LeagueInfo!$F$7="Yahoo",IFERROR(INDEX(DefaultAuctionValues!$B$2:$B$359,MATCH(A635,DefaultAuctionValues!$A$2:$A$359,0)),0),IF(LeagueInfo!$F$7="ESPN",IFERROR(INDEX(DefaultAuctionValues!$C$2:$C$359,MATCH(A635,DefaultAuctionValues!$A$2:$A$359,0)),0),IF(LeagueInfo!$F$7="FantasyPros",IFERROR(INDEX(DefaultAuctionValues!$D$2:$D$359,MATCH(A635,DefaultAuctionValues!$A$2:$A$359,0)),0))))</f>
        <v>0</v>
      </c>
      <c r="L635" s="197">
        <f ca="1">I635-K635</f>
        <v>-20.405046346881921</v>
      </c>
      <c r="M635" s="213"/>
      <c r="N635" s="208">
        <f ca="1">INDEX(INDIRECT(""&amp;$B635&amp;"!y2:y709"),MATCH($A635,INDIRECT(""&amp;$B635&amp;"!B2:B709"),0))</f>
        <v>-42.6</v>
      </c>
      <c r="O635" s="217" t="str">
        <f ca="1">IF(INDEX(INDIRECT(""&amp;$B635&amp;"!V2:V700"),MATCH($A635,INDIRECT(""&amp;$B635&amp;"!B2:B700"),0))=0,"",INDEX(INDIRECT(""&amp;$B635&amp;"!V2:V700"),MATCH($A635,INDIRECT(""&amp;$B635&amp;"!B2:B700"),0)))</f>
        <v/>
      </c>
    </row>
    <row r="636" spans="1:15" x14ac:dyDescent="0.25">
      <c r="A636" s="195" t="s">
        <v>324</v>
      </c>
      <c r="B636" s="195" t="s">
        <v>39</v>
      </c>
      <c r="C636" s="195">
        <f ca="1">IFERROR(INDEX(BYEs!$B$2:$B$33,MATCH(D636,BYEs!$A$2:$A$33,0)),"N/A")</f>
        <v>10</v>
      </c>
      <c r="D636" s="195" t="str">
        <f ca="1">INDEX(INDIRECT(""&amp;B636&amp;"!E2:E700"),MATCH(A636,INDIRECT(""&amp;B636&amp;"!B2:B700"),0))</f>
        <v>KC</v>
      </c>
      <c r="E636" s="194" t="str">
        <f ca="1">INDEX(INDIRECT(""&amp;$B636&amp;"!Z2:Z709"),MATCH($A636,INDIRECT(""&amp;$B636&amp;"!B2:B709"),0))</f>
        <v>WR11</v>
      </c>
      <c r="F636" s="196">
        <f ca="1">IF(LeagueInfo!$H$7="Starter/Bench",INDEX(INDIRECT(""&amp;B636&amp;"!S2:S709"),MATCH(A636,INDIRECT(""&amp;B636&amp;"!B2:B709"),0)),INDEX(INDIRECT(""&amp;B636&amp;"!AA2:AA709"),MATCH(A636,INDIRECT(""&amp;B636&amp;"!B2:B709"),0)))</f>
        <v>-20.594248067703951</v>
      </c>
      <c r="G636" s="197">
        <f>IF(H636&gt;0,F636-H636,0)</f>
        <v>0</v>
      </c>
      <c r="H636" s="198"/>
      <c r="I636" s="197">
        <f ca="1">F636*$A$2</f>
        <v>-20.594248067703951</v>
      </c>
      <c r="J636" s="197" t="s">
        <v>80</v>
      </c>
      <c r="K636" s="197">
        <f>IF(LeagueInfo!$F$7="Yahoo",IFERROR(INDEX(DefaultAuctionValues!$B$2:$B$359,MATCH(A636,DefaultAuctionValues!$A$2:$A$359,0)),0),IF(LeagueInfo!$F$7="ESPN",IFERROR(INDEX(DefaultAuctionValues!$C$2:$C$359,MATCH(A636,DefaultAuctionValues!$A$2:$A$359,0)),0),IF(LeagueInfo!$F$7="FantasyPros",IFERROR(INDEX(DefaultAuctionValues!$D$2:$D$359,MATCH(A636,DefaultAuctionValues!$A$2:$A$359,0)),0))))</f>
        <v>0</v>
      </c>
      <c r="L636" s="197">
        <f ca="1">I636-K636</f>
        <v>-20.594248067703951</v>
      </c>
      <c r="M636" s="213"/>
      <c r="N636" s="208">
        <f ca="1">INDEX(INDIRECT(""&amp;$B636&amp;"!y2:y709"),MATCH($A636,INDIRECT(""&amp;$B636&amp;"!B2:B709"),0))</f>
        <v>-42.995000000000005</v>
      </c>
      <c r="O636" s="217" t="str">
        <f ca="1">IF(INDEX(INDIRECT(""&amp;$B636&amp;"!V2:V700"),MATCH($A636,INDIRECT(""&amp;$B636&amp;"!B2:B700"),0))=0,"",INDEX(INDIRECT(""&amp;$B636&amp;"!V2:V700"),MATCH($A636,INDIRECT(""&amp;$B636&amp;"!B2:B700"),0)))</f>
        <v/>
      </c>
    </row>
    <row r="637" spans="1:15" x14ac:dyDescent="0.25">
      <c r="A637" s="195" t="s">
        <v>261</v>
      </c>
      <c r="B637" s="195" t="s">
        <v>33</v>
      </c>
      <c r="C637" s="195">
        <f ca="1">IFERROR(INDEX(BYEs!$B$2:$B$33,MATCH(D637,BYEs!$A$2:$A$33,0)),"N/A")</f>
        <v>7</v>
      </c>
      <c r="D637" s="195" t="str">
        <f ca="1">INDEX(INDIRECT(""&amp;B637&amp;"!E2:E700"),MATCH(A637,INDIRECT(""&amp;B637&amp;"!B2:B700"),0))</f>
        <v>HOU</v>
      </c>
      <c r="E637" s="194" t="str">
        <f ca="1">INDEX(INDIRECT(""&amp;$B637&amp;"!Z2:Z709"),MATCH($A637,INDIRECT(""&amp;$B637&amp;"!B2:B709"),0))</f>
        <v>QB5</v>
      </c>
      <c r="F637" s="196">
        <f ca="1">IF(LeagueInfo!$H$7="Starter/Bench",INDEX(INDIRECT(""&amp;B637&amp;"!S2:S709"),MATCH(A637,INDIRECT(""&amp;B637&amp;"!B2:B709"),0)),INDEX(INDIRECT(""&amp;B637&amp;"!AA2:AA709"),MATCH(A637,INDIRECT(""&amp;B637&amp;"!B2:B709"),0)))</f>
        <v>-21.188197773575627</v>
      </c>
      <c r="G637" s="197">
        <f>IF(H637&gt;0,F637-H637,0)</f>
        <v>0</v>
      </c>
      <c r="H637" s="198"/>
      <c r="I637" s="197">
        <f ca="1">F637*$A$2</f>
        <v>-21.188197773575627</v>
      </c>
      <c r="J637" s="197" t="s">
        <v>80</v>
      </c>
      <c r="K637" s="197">
        <f>IF(LeagueInfo!$F$7="Yahoo",IFERROR(INDEX(DefaultAuctionValues!$B$2:$B$359,MATCH(A637,DefaultAuctionValues!$A$2:$A$359,0)),0),IF(LeagueInfo!$F$7="ESPN",IFERROR(INDEX(DefaultAuctionValues!$C$2:$C$359,MATCH(A637,DefaultAuctionValues!$A$2:$A$359,0)),0),IF(LeagueInfo!$F$7="FantasyPros",IFERROR(INDEX(DefaultAuctionValues!$D$2:$D$359,MATCH(A637,DefaultAuctionValues!$A$2:$A$359,0)),0))))</f>
        <v>1</v>
      </c>
      <c r="L637" s="197">
        <f ca="1">I637-K637</f>
        <v>-22.188197773575627</v>
      </c>
      <c r="M637" s="213"/>
      <c r="N637" s="208">
        <f ca="1">INDEX(INDIRECT(""&amp;$B637&amp;"!y2:y709"),MATCH($A637,INDIRECT(""&amp;$B637&amp;"!B2:B709"),0))</f>
        <v>-44.234999999999999</v>
      </c>
      <c r="O637" s="217" t="str">
        <f ca="1">IF(INDEX(INDIRECT(""&amp;$B637&amp;"!V2:V700"),MATCH($A637,INDIRECT(""&amp;$B637&amp;"!B2:B700"),0))=0,"",INDEX(INDIRECT(""&amp;$B637&amp;"!V2:V700"),MATCH($A637,INDIRECT(""&amp;$B637&amp;"!B2:B700"),0)))</f>
        <v/>
      </c>
    </row>
    <row r="638" spans="1:15" x14ac:dyDescent="0.25">
      <c r="A638" s="195" t="s">
        <v>545</v>
      </c>
      <c r="B638" s="195" t="s">
        <v>39</v>
      </c>
      <c r="C638" s="195">
        <f ca="1">IFERROR(INDEX(BYEs!$B$2:$B$33,MATCH(D638,BYEs!$A$2:$A$33,0)),"N/A")</f>
        <v>10</v>
      </c>
      <c r="D638" s="195" t="str">
        <f ca="1">INDEX(INDIRECT(""&amp;B638&amp;"!E2:E700"),MATCH(A638,INDIRECT(""&amp;B638&amp;"!B2:B700"),0))</f>
        <v>PHI</v>
      </c>
      <c r="E638" s="194" t="str">
        <f ca="1">INDEX(INDIRECT(""&amp;$B638&amp;"!Z2:Z709"),MATCH($A638,INDIRECT(""&amp;$B638&amp;"!B2:B709"),0))</f>
        <v>WR11</v>
      </c>
      <c r="F638" s="196">
        <f ca="1">IF(LeagueInfo!$H$7="Starter/Bench",INDEX(INDIRECT(""&amp;B638&amp;"!S2:S709"),MATCH(A638,INDIRECT(""&amp;B638&amp;"!B2:B709"),0)),INDEX(INDIRECT(""&amp;B638&amp;"!AA2:AA709"),MATCH(A638,INDIRECT(""&amp;B638&amp;"!B2:B709"),0)))</f>
        <v>-21.20017256603272</v>
      </c>
      <c r="G638" s="197">
        <f>IF(H638&gt;0,F638-H638,0)</f>
        <v>0</v>
      </c>
      <c r="H638" s="198"/>
      <c r="I638" s="197">
        <f ca="1">F638*$A$2</f>
        <v>-21.20017256603272</v>
      </c>
      <c r="J638" s="197" t="s">
        <v>80</v>
      </c>
      <c r="K638" s="197">
        <f>IF(LeagueInfo!$F$7="Yahoo",IFERROR(INDEX(DefaultAuctionValues!$B$2:$B$359,MATCH(A638,DefaultAuctionValues!$A$2:$A$359,0)),0),IF(LeagueInfo!$F$7="ESPN",IFERROR(INDEX(DefaultAuctionValues!$C$2:$C$359,MATCH(A638,DefaultAuctionValues!$A$2:$A$359,0)),0),IF(LeagueInfo!$F$7="FantasyPros",IFERROR(INDEX(DefaultAuctionValues!$D$2:$D$359,MATCH(A638,DefaultAuctionValues!$A$2:$A$359,0)),0))))</f>
        <v>0</v>
      </c>
      <c r="L638" s="197">
        <f ca="1">I638-K638</f>
        <v>-21.20017256603272</v>
      </c>
      <c r="M638" s="213"/>
      <c r="N638" s="208">
        <f ca="1">INDEX(INDIRECT(""&amp;$B638&amp;"!y2:y709"),MATCH($A638,INDIRECT(""&amp;$B638&amp;"!B2:B709"),0))</f>
        <v>-44.260000000000005</v>
      </c>
      <c r="O638" s="217" t="str">
        <f ca="1">IF(INDEX(INDIRECT(""&amp;$B638&amp;"!V2:V700"),MATCH($A638,INDIRECT(""&amp;$B638&amp;"!B2:B700"),0))=0,"",INDEX(INDIRECT(""&amp;$B638&amp;"!V2:V700"),MATCH($A638,INDIRECT(""&amp;$B638&amp;"!B2:B700"),0)))</f>
        <v/>
      </c>
    </row>
    <row r="639" spans="1:15" x14ac:dyDescent="0.25">
      <c r="A639" s="195" t="s">
        <v>928</v>
      </c>
      <c r="B639" s="195" t="s">
        <v>39</v>
      </c>
      <c r="C639" s="195">
        <f ca="1">IFERROR(INDEX(BYEs!$B$2:$B$33,MATCH(D639,BYEs!$A$2:$A$33,0)),"N/A")</f>
        <v>11</v>
      </c>
      <c r="D639" s="195" t="str">
        <f ca="1">INDEX(INDIRECT(""&amp;B639&amp;"!E2:E700"),MATCH(A639,INDIRECT(""&amp;B639&amp;"!B2:B700"),0))</f>
        <v>MIA</v>
      </c>
      <c r="E639" s="194" t="str">
        <f ca="1">INDEX(INDIRECT(""&amp;$B639&amp;"!Z2:Z709"),MATCH($A639,INDIRECT(""&amp;$B639&amp;"!B2:B709"),0))</f>
        <v>WR11</v>
      </c>
      <c r="F639" s="196">
        <f ca="1">IF(LeagueInfo!$H$7="Starter/Bench",INDEX(INDIRECT(""&amp;B639&amp;"!S2:S709"),MATCH(A639,INDIRECT(""&amp;B639&amp;"!B2:B709"),0)),INDEX(INDIRECT(""&amp;B639&amp;"!AA2:AA709"),MATCH(A639,INDIRECT(""&amp;B639&amp;"!B2:B709"),0)))</f>
        <v>-21.248071735861078</v>
      </c>
      <c r="G639" s="197">
        <f>IF(H639&gt;0,F639-H639,0)</f>
        <v>0</v>
      </c>
      <c r="H639" s="198"/>
      <c r="I639" s="197">
        <f ca="1">F639*$A$2</f>
        <v>-21.248071735861078</v>
      </c>
      <c r="J639" s="197" t="s">
        <v>80</v>
      </c>
      <c r="K639" s="197">
        <f>IF(LeagueInfo!$F$7="Yahoo",IFERROR(INDEX(DefaultAuctionValues!$B$2:$B$359,MATCH(A639,DefaultAuctionValues!$A$2:$A$359,0)),0),IF(LeagueInfo!$F$7="ESPN",IFERROR(INDEX(DefaultAuctionValues!$C$2:$C$359,MATCH(A639,DefaultAuctionValues!$A$2:$A$359,0)),0),IF(LeagueInfo!$F$7="FantasyPros",IFERROR(INDEX(DefaultAuctionValues!$D$2:$D$359,MATCH(A639,DefaultAuctionValues!$A$2:$A$359,0)),0))))</f>
        <v>0</v>
      </c>
      <c r="L639" s="197">
        <f ca="1">I639-K639</f>
        <v>-21.248071735861078</v>
      </c>
      <c r="M639" s="213"/>
      <c r="N639" s="208">
        <f ca="1">INDEX(INDIRECT(""&amp;$B639&amp;"!y2:y709"),MATCH($A639,INDIRECT(""&amp;$B639&amp;"!B2:B709"),0))</f>
        <v>-44.36</v>
      </c>
      <c r="O639" s="217" t="str">
        <f ca="1">IF(INDEX(INDIRECT(""&amp;$B639&amp;"!V2:V700"),MATCH($A639,INDIRECT(""&amp;$B639&amp;"!B2:B700"),0))=0,"",INDEX(INDIRECT(""&amp;$B639&amp;"!V2:V700"),MATCH($A639,INDIRECT(""&amp;$B639&amp;"!B2:B700"),0)))</f>
        <v/>
      </c>
    </row>
    <row r="640" spans="1:15" x14ac:dyDescent="0.25">
      <c r="A640" s="195" t="s">
        <v>708</v>
      </c>
      <c r="B640" s="195" t="s">
        <v>39</v>
      </c>
      <c r="C640" s="195">
        <f ca="1">IFERROR(INDEX(BYEs!$B$2:$B$33,MATCH(D640,BYEs!$A$2:$A$33,0)),"N/A")</f>
        <v>9</v>
      </c>
      <c r="D640" s="195" t="str">
        <f ca="1">INDEX(INDIRECT(""&amp;B640&amp;"!E2:E700"),MATCH(A640,INDIRECT(""&amp;B640&amp;"!B2:B700"),0))</f>
        <v>NE</v>
      </c>
      <c r="E640" s="194" t="str">
        <f ca="1">INDEX(INDIRECT(""&amp;$B640&amp;"!Z2:Z709"),MATCH($A640,INDIRECT(""&amp;$B640&amp;"!B2:B709"),0))</f>
        <v>WR11</v>
      </c>
      <c r="F640" s="196">
        <f ca="1">IF(LeagueInfo!$H$7="Starter/Bench",INDEX(INDIRECT(""&amp;B640&amp;"!S2:S709"),MATCH(A640,INDIRECT(""&amp;B640&amp;"!B2:B709"),0)),INDEX(INDIRECT(""&amp;B640&amp;"!AA2:AA709"),MATCH(A640,INDIRECT(""&amp;B640&amp;"!B2:B709"),0)))</f>
        <v>-21.413323871768927</v>
      </c>
      <c r="G640" s="197">
        <f>IF(H640&gt;0,F640-H640,0)</f>
        <v>0</v>
      </c>
      <c r="H640" s="198"/>
      <c r="I640" s="197">
        <f ca="1">F640*$A$2</f>
        <v>-21.413323871768927</v>
      </c>
      <c r="J640" s="197" t="s">
        <v>80</v>
      </c>
      <c r="K640" s="197">
        <f>IF(LeagueInfo!$F$7="Yahoo",IFERROR(INDEX(DefaultAuctionValues!$B$2:$B$359,MATCH(A640,DefaultAuctionValues!$A$2:$A$359,0)),0),IF(LeagueInfo!$F$7="ESPN",IFERROR(INDEX(DefaultAuctionValues!$C$2:$C$359,MATCH(A640,DefaultAuctionValues!$A$2:$A$359,0)),0),IF(LeagueInfo!$F$7="FantasyPros",IFERROR(INDEX(DefaultAuctionValues!$D$2:$D$359,MATCH(A640,DefaultAuctionValues!$A$2:$A$359,0)),0))))</f>
        <v>0</v>
      </c>
      <c r="L640" s="197">
        <f ca="1">I640-K640</f>
        <v>-21.413323871768927</v>
      </c>
      <c r="M640" s="213"/>
      <c r="N640" s="208">
        <f ca="1">INDEX(INDIRECT(""&amp;$B640&amp;"!y2:y709"),MATCH($A640,INDIRECT(""&amp;$B640&amp;"!B2:B709"),0))</f>
        <v>-44.705000000000005</v>
      </c>
      <c r="O640" s="217" t="str">
        <f ca="1">IF(INDEX(INDIRECT(""&amp;$B640&amp;"!V2:V700"),MATCH($A640,INDIRECT(""&amp;$B640&amp;"!B2:B700"),0))=0,"",INDEX(INDIRECT(""&amp;$B640&amp;"!V2:V700"),MATCH($A640,INDIRECT(""&amp;$B640&amp;"!B2:B700"),0)))</f>
        <v/>
      </c>
    </row>
    <row r="641" spans="1:15" x14ac:dyDescent="0.25">
      <c r="A641" s="195" t="s">
        <v>390</v>
      </c>
      <c r="B641" s="195" t="s">
        <v>33</v>
      </c>
      <c r="C641" s="195">
        <f ca="1">IFERROR(INDEX(BYEs!$B$2:$B$33,MATCH(D641,BYEs!$A$2:$A$33,0)),"N/A")</f>
        <v>7</v>
      </c>
      <c r="D641" s="195" t="str">
        <f ca="1">INDEX(INDIRECT(""&amp;B641&amp;"!E2:E700"),MATCH(A641,INDIRECT(""&amp;B641&amp;"!B2:B700"),0))</f>
        <v>HOU</v>
      </c>
      <c r="E641" s="194" t="str">
        <f ca="1">INDEX(INDIRECT(""&amp;$B641&amp;"!Z2:Z709"),MATCH($A641,INDIRECT(""&amp;$B641&amp;"!B2:B709"),0))</f>
        <v>QB6</v>
      </c>
      <c r="F641" s="196">
        <f ca="1">IF(LeagueInfo!$H$7="Starter/Bench",INDEX(INDIRECT(""&amp;B641&amp;"!S2:S709"),MATCH(A641,INDIRECT(""&amp;B641&amp;"!B2:B709"),0)),INDEX(INDIRECT(""&amp;B641&amp;"!AA2:AA709"),MATCH(A641,INDIRECT(""&amp;B641&amp;"!B2:B709"),0)))</f>
        <v>-32.696452316537716</v>
      </c>
      <c r="G641" s="197">
        <f>IF(H641&gt;0,F641-H641,0)</f>
        <v>0</v>
      </c>
      <c r="H641" s="198"/>
      <c r="I641" s="197">
        <f ca="1">F641*$A$2</f>
        <v>-32.696452316537716</v>
      </c>
      <c r="J641" s="197" t="s">
        <v>80</v>
      </c>
      <c r="K641" s="197">
        <f>IF(LeagueInfo!$F$7="Yahoo",IFERROR(INDEX(DefaultAuctionValues!$B$2:$B$359,MATCH(A641,DefaultAuctionValues!$A$2:$A$359,0)),0),IF(LeagueInfo!$F$7="ESPN",IFERROR(INDEX(DefaultAuctionValues!$C$2:$C$359,MATCH(A641,DefaultAuctionValues!$A$2:$A$359,0)),0),IF(LeagueInfo!$F$7="FantasyPros",IFERROR(INDEX(DefaultAuctionValues!$D$2:$D$359,MATCH(A641,DefaultAuctionValues!$A$2:$A$359,0)),0))))</f>
        <v>0</v>
      </c>
      <c r="L641" s="197">
        <f ca="1">I641-K641</f>
        <v>-32.696452316537716</v>
      </c>
      <c r="M641" s="213"/>
      <c r="N641" s="208">
        <f ca="1">INDEX(INDIRECT(""&amp;$B641&amp;"!y2:y709"),MATCH($A641,INDIRECT(""&amp;$B641&amp;"!B2:B709"),0))</f>
        <v>-68.260999999999996</v>
      </c>
      <c r="O641" s="217" t="str">
        <f ca="1">IF(INDEX(INDIRECT(""&amp;$B641&amp;"!V2:V700"),MATCH($A641,INDIRECT(""&amp;$B641&amp;"!B2:B700"),0))=0,"",INDEX(INDIRECT(""&amp;$B641&amp;"!V2:V700"),MATCH($A641,INDIRECT(""&amp;$B641&amp;"!B2:B700"),0)))</f>
        <v/>
      </c>
    </row>
    <row r="642" spans="1:15" x14ac:dyDescent="0.25">
      <c r="A642" s="195" t="s">
        <v>392</v>
      </c>
      <c r="B642" s="195" t="s">
        <v>33</v>
      </c>
      <c r="C642" s="195">
        <f ca="1">IFERROR(INDEX(BYEs!$B$2:$B$33,MATCH(D642,BYEs!$A$2:$A$33,0)),"N/A")</f>
        <v>9</v>
      </c>
      <c r="D642" s="195" t="str">
        <f ca="1">INDEX(INDIRECT(""&amp;B642&amp;"!E2:E700"),MATCH(A642,INDIRECT(""&amp;B642&amp;"!B2:B700"),0))</f>
        <v>CHI</v>
      </c>
      <c r="E642" s="194" t="str">
        <f ca="1">INDEX(INDIRECT(""&amp;$B642&amp;"!Z2:Z709"),MATCH($A642,INDIRECT(""&amp;$B642&amp;"!B2:B709"),0))</f>
        <v>QB7</v>
      </c>
      <c r="F642" s="196">
        <f ca="1">IF(LeagueInfo!$H$7="Starter/Bench",INDEX(INDIRECT(""&amp;B642&amp;"!S2:S709"),MATCH(A642,INDIRECT(""&amp;B642&amp;"!B2:B709"),0)),INDEX(INDIRECT(""&amp;B642&amp;"!AA2:AA709"),MATCH(A642,INDIRECT(""&amp;B642&amp;"!B2:B709"),0)))</f>
        <v>-41.270403715814396</v>
      </c>
      <c r="G642" s="197">
        <f>IF(H642&gt;0,F642-H642,0)</f>
        <v>0</v>
      </c>
      <c r="H642" s="198"/>
      <c r="I642" s="197">
        <f ca="1">F642*$A$2</f>
        <v>-41.270403715814396</v>
      </c>
      <c r="J642" s="197" t="s">
        <v>80</v>
      </c>
      <c r="K642" s="197">
        <f>IF(LeagueInfo!$F$7="Yahoo",IFERROR(INDEX(DefaultAuctionValues!$B$2:$B$359,MATCH(A642,DefaultAuctionValues!$A$2:$A$359,0)),0),IF(LeagueInfo!$F$7="ESPN",IFERROR(INDEX(DefaultAuctionValues!$C$2:$C$359,MATCH(A642,DefaultAuctionValues!$A$2:$A$359,0)),0),IF(LeagueInfo!$F$7="FantasyPros",IFERROR(INDEX(DefaultAuctionValues!$D$2:$D$359,MATCH(A642,DefaultAuctionValues!$A$2:$A$359,0)),0))))</f>
        <v>0</v>
      </c>
      <c r="L642" s="197">
        <f ca="1">I642-K642</f>
        <v>-41.270403715814396</v>
      </c>
      <c r="M642" s="213"/>
      <c r="N642" s="208">
        <f ca="1">INDEX(INDIRECT(""&amp;$B642&amp;"!y2:y709"),MATCH($A642,INDIRECT(""&amp;$B642&amp;"!B2:B709"),0))</f>
        <v>-86.161000000000001</v>
      </c>
      <c r="O642" s="217" t="str">
        <f ca="1">IF(INDEX(INDIRECT(""&amp;$B642&amp;"!V2:V700"),MATCH($A642,INDIRECT(""&amp;$B642&amp;"!B2:B700"),0))=0,"",INDEX(INDIRECT(""&amp;$B642&amp;"!V2:V700"),MATCH($A642,INDIRECT(""&amp;$B642&amp;"!B2:B700"),0)))</f>
        <v/>
      </c>
    </row>
    <row r="643" spans="1:15" x14ac:dyDescent="0.25">
      <c r="A643" s="195" t="s">
        <v>408</v>
      </c>
      <c r="B643" s="195" t="s">
        <v>33</v>
      </c>
      <c r="C643" s="195">
        <f ca="1">IFERROR(INDEX(BYEs!$B$2:$B$33,MATCH(D643,BYEs!$A$2:$A$33,0)),"N/A")</f>
        <v>8</v>
      </c>
      <c r="D643" s="195" t="str">
        <f ca="1">INDEX(INDIRECT(""&amp;B643&amp;"!E2:E700"),MATCH(A643,INDIRECT(""&amp;B643&amp;"!B2:B700"),0))</f>
        <v>JAC</v>
      </c>
      <c r="E643" s="194" t="str">
        <f ca="1">INDEX(INDIRECT(""&amp;$B643&amp;"!Z2:Z709"),MATCH($A643,INDIRECT(""&amp;$B643&amp;"!B2:B709"),0))</f>
        <v>QB7</v>
      </c>
      <c r="F643" s="196">
        <f ca="1">IF(LeagueInfo!$H$7="Starter/Bench",INDEX(INDIRECT(""&amp;B643&amp;"!S2:S709"),MATCH(A643,INDIRECT(""&amp;B643&amp;"!B2:B709"),0)),INDEX(INDIRECT(""&amp;B643&amp;"!AA2:AA709"),MATCH(A643,INDIRECT(""&amp;B643&amp;"!B2:B709"),0)))</f>
        <v>-43.39185794751252</v>
      </c>
      <c r="G643" s="197">
        <f>IF(H643&gt;0,F643-H643,0)</f>
        <v>0</v>
      </c>
      <c r="H643" s="198"/>
      <c r="I643" s="197">
        <f ca="1">F643*$A$2</f>
        <v>-43.39185794751252</v>
      </c>
      <c r="J643" s="197" t="s">
        <v>80</v>
      </c>
      <c r="K643" s="197">
        <f>IF(LeagueInfo!$F$7="Yahoo",IFERROR(INDEX(DefaultAuctionValues!$B$2:$B$359,MATCH(A643,DefaultAuctionValues!$A$2:$A$359,0)),0),IF(LeagueInfo!$F$7="ESPN",IFERROR(INDEX(DefaultAuctionValues!$C$2:$C$359,MATCH(A643,DefaultAuctionValues!$A$2:$A$359,0)),0),IF(LeagueInfo!$F$7="FantasyPros",IFERROR(INDEX(DefaultAuctionValues!$D$2:$D$359,MATCH(A643,DefaultAuctionValues!$A$2:$A$359,0)),0))))</f>
        <v>0</v>
      </c>
      <c r="L643" s="197">
        <f ca="1">I643-K643</f>
        <v>-43.39185794751252</v>
      </c>
      <c r="M643" s="213"/>
      <c r="N643" s="208">
        <f ca="1">INDEX(INDIRECT(""&amp;$B643&amp;"!y2:y709"),MATCH($A643,INDIRECT(""&amp;$B643&amp;"!B2:B709"),0))</f>
        <v>-90.59</v>
      </c>
      <c r="O643" s="217" t="str">
        <f ca="1">IF(INDEX(INDIRECT(""&amp;$B643&amp;"!V2:V700"),MATCH($A643,INDIRECT(""&amp;$B643&amp;"!B2:B700"),0))=0,"",INDEX(INDIRECT(""&amp;$B643&amp;"!V2:V700"),MATCH($A643,INDIRECT(""&amp;$B643&amp;"!B2:B700"),0)))</f>
        <v/>
      </c>
    </row>
    <row r="644" spans="1:15" x14ac:dyDescent="0.25">
      <c r="A644" s="195" t="s">
        <v>389</v>
      </c>
      <c r="B644" s="195" t="s">
        <v>33</v>
      </c>
      <c r="C644" s="195">
        <f ca="1">IFERROR(INDEX(BYEs!$B$2:$B$33,MATCH(D644,BYEs!$A$2:$A$33,0)),"N/A")</f>
        <v>5</v>
      </c>
      <c r="D644" s="195" t="str">
        <f ca="1">INDEX(INDIRECT(""&amp;B644&amp;"!E2:E700"),MATCH(A644,INDIRECT(""&amp;B644&amp;"!B2:B700"),0))</f>
        <v>DEN</v>
      </c>
      <c r="E644" s="194" t="str">
        <f ca="1">INDEX(INDIRECT(""&amp;$B644&amp;"!Z2:Z709"),MATCH($A644,INDIRECT(""&amp;$B644&amp;"!B2:B709"),0))</f>
        <v>QB7</v>
      </c>
      <c r="F644" s="196">
        <f ca="1">IF(LeagueInfo!$H$7="Starter/Bench",INDEX(INDIRECT(""&amp;B644&amp;"!S2:S709"),MATCH(A644,INDIRECT(""&amp;B644&amp;"!B2:B709"),0)),INDEX(INDIRECT(""&amp;B644&amp;"!AA2:AA709"),MATCH(A644,INDIRECT(""&amp;B644&amp;"!B2:B709"),0)))</f>
        <v>-44.45521951770214</v>
      </c>
      <c r="G644" s="197">
        <f>IF(H644&gt;0,F644-H644,0)</f>
        <v>0</v>
      </c>
      <c r="H644" s="198"/>
      <c r="I644" s="197">
        <f ca="1">F644*$A$2</f>
        <v>-44.45521951770214</v>
      </c>
      <c r="J644" s="197" t="s">
        <v>80</v>
      </c>
      <c r="K644" s="197">
        <f>IF(LeagueInfo!$F$7="Yahoo",IFERROR(INDEX(DefaultAuctionValues!$B$2:$B$359,MATCH(A644,DefaultAuctionValues!$A$2:$A$359,0)),0),IF(LeagueInfo!$F$7="ESPN",IFERROR(INDEX(DefaultAuctionValues!$C$2:$C$359,MATCH(A644,DefaultAuctionValues!$A$2:$A$359,0)),0),IF(LeagueInfo!$F$7="FantasyPros",IFERROR(INDEX(DefaultAuctionValues!$D$2:$D$359,MATCH(A644,DefaultAuctionValues!$A$2:$A$359,0)),0))))</f>
        <v>0</v>
      </c>
      <c r="L644" s="197">
        <f ca="1">I644-K644</f>
        <v>-44.45521951770214</v>
      </c>
      <c r="M644" s="213"/>
      <c r="N644" s="208">
        <f ca="1">INDEX(INDIRECT(""&amp;$B644&amp;"!y2:y709"),MATCH($A644,INDIRECT(""&amp;$B644&amp;"!B2:B709"),0))</f>
        <v>-92.81</v>
      </c>
      <c r="O644" s="217" t="str">
        <f ca="1">IF(INDEX(INDIRECT(""&amp;$B644&amp;"!V2:V700"),MATCH($A644,INDIRECT(""&amp;$B644&amp;"!B2:B700"),0))=0,"",INDEX(INDIRECT(""&amp;$B644&amp;"!V2:V700"),MATCH($A644,INDIRECT(""&amp;$B644&amp;"!B2:B700"),0)))</f>
        <v/>
      </c>
    </row>
    <row r="645" spans="1:15" x14ac:dyDescent="0.25">
      <c r="A645" s="195" t="s">
        <v>386</v>
      </c>
      <c r="B645" s="195" t="s">
        <v>33</v>
      </c>
      <c r="C645" s="195">
        <f ca="1">IFERROR(INDEX(BYEs!$B$2:$B$33,MATCH(D645,BYEs!$A$2:$A$33,0)),"N/A")</f>
        <v>9</v>
      </c>
      <c r="D645" s="195" t="str">
        <f ca="1">INDEX(INDIRECT(""&amp;B645&amp;"!E2:E700"),MATCH(A645,INDIRECT(""&amp;B645&amp;"!B2:B700"),0))</f>
        <v>CLE</v>
      </c>
      <c r="E645" s="194" t="str">
        <f ca="1">INDEX(INDIRECT(""&amp;$B645&amp;"!Z2:Z709"),MATCH($A645,INDIRECT(""&amp;$B645&amp;"!B2:B709"),0))</f>
        <v>QB7</v>
      </c>
      <c r="F645" s="196">
        <f ca="1">IF(LeagueInfo!$H$7="Starter/Bench",INDEX(INDIRECT(""&amp;B645&amp;"!S2:S709"),MATCH(A645,INDIRECT(""&amp;B645&amp;"!B2:B709"),0)),INDEX(INDIRECT(""&amp;B645&amp;"!AA2:AA709"),MATCH(A645,INDIRECT(""&amp;B645&amp;"!B2:B709"),0)))</f>
        <v>-44.722496885344391</v>
      </c>
      <c r="G645" s="197">
        <f>IF(H645&gt;0,F645-H645,0)</f>
        <v>0</v>
      </c>
      <c r="H645" s="198"/>
      <c r="I645" s="197">
        <f ca="1">F645*$A$2</f>
        <v>-44.722496885344391</v>
      </c>
      <c r="J645" s="197" t="s">
        <v>80</v>
      </c>
      <c r="K645" s="197">
        <f>IF(LeagueInfo!$F$7="Yahoo",IFERROR(INDEX(DefaultAuctionValues!$B$2:$B$359,MATCH(A645,DefaultAuctionValues!$A$2:$A$359,0)),0),IF(LeagueInfo!$F$7="ESPN",IFERROR(INDEX(DefaultAuctionValues!$C$2:$C$359,MATCH(A645,DefaultAuctionValues!$A$2:$A$359,0)),0),IF(LeagueInfo!$F$7="FantasyPros",IFERROR(INDEX(DefaultAuctionValues!$D$2:$D$359,MATCH(A645,DefaultAuctionValues!$A$2:$A$359,0)),0))))</f>
        <v>0</v>
      </c>
      <c r="L645" s="197">
        <f ca="1">I645-K645</f>
        <v>-44.722496885344391</v>
      </c>
      <c r="M645" s="213"/>
      <c r="N645" s="208">
        <f ca="1">INDEX(INDIRECT(""&amp;$B645&amp;"!y2:y709"),MATCH($A645,INDIRECT(""&amp;$B645&amp;"!B2:B709"),0))</f>
        <v>-93.367999999999995</v>
      </c>
      <c r="O645" s="217" t="str">
        <f ca="1">IF(INDEX(INDIRECT(""&amp;$B645&amp;"!V2:V700"),MATCH($A645,INDIRECT(""&amp;$B645&amp;"!B2:B700"),0))=0,"",INDEX(INDIRECT(""&amp;$B645&amp;"!V2:V700"),MATCH($A645,INDIRECT(""&amp;$B645&amp;"!B2:B700"),0)))</f>
        <v/>
      </c>
    </row>
    <row r="646" spans="1:15" x14ac:dyDescent="0.25">
      <c r="A646" s="195" t="s">
        <v>394</v>
      </c>
      <c r="B646" s="195" t="s">
        <v>33</v>
      </c>
      <c r="C646" s="195">
        <f ca="1">IFERROR(INDEX(BYEs!$B$2:$B$33,MATCH(D646,BYEs!$A$2:$A$33,0)),"N/A")</f>
        <v>11</v>
      </c>
      <c r="D646" s="195" t="str">
        <f ca="1">INDEX(INDIRECT(""&amp;B646&amp;"!E2:E700"),MATCH(A646,INDIRECT(""&amp;B646&amp;"!B2:B700"),0))</f>
        <v>NYJ</v>
      </c>
      <c r="E646" s="194" t="str">
        <f ca="1">INDEX(INDIRECT(""&amp;$B646&amp;"!Z2:Z709"),MATCH($A646,INDIRECT(""&amp;$B646&amp;"!B2:B709"),0))</f>
        <v>QB7</v>
      </c>
      <c r="F646" s="196">
        <f ca="1">IF(LeagueInfo!$H$7="Starter/Bench",INDEX(INDIRECT(""&amp;B646&amp;"!S2:S709"),MATCH(A646,INDIRECT(""&amp;B646&amp;"!B2:B709"),0)),INDEX(INDIRECT(""&amp;B646&amp;"!AA2:AA709"),MATCH(A646,INDIRECT(""&amp;B646&amp;"!B2:B709"),0)))</f>
        <v>-45.642639937747212</v>
      </c>
      <c r="G646" s="197">
        <f>IF(H646&gt;0,F646-H646,0)</f>
        <v>0</v>
      </c>
      <c r="H646" s="198"/>
      <c r="I646" s="197">
        <f ca="1">F646*$A$2</f>
        <v>-45.642639937747212</v>
      </c>
      <c r="J646" s="197" t="s">
        <v>80</v>
      </c>
      <c r="K646" s="197">
        <f>IF(LeagueInfo!$F$7="Yahoo",IFERROR(INDEX(DefaultAuctionValues!$B$2:$B$359,MATCH(A646,DefaultAuctionValues!$A$2:$A$359,0)),0),IF(LeagueInfo!$F$7="ESPN",IFERROR(INDEX(DefaultAuctionValues!$C$2:$C$359,MATCH(A646,DefaultAuctionValues!$A$2:$A$359,0)),0),IF(LeagueInfo!$F$7="FantasyPros",IFERROR(INDEX(DefaultAuctionValues!$D$2:$D$359,MATCH(A646,DefaultAuctionValues!$A$2:$A$359,0)),0))))</f>
        <v>0</v>
      </c>
      <c r="L646" s="197">
        <f ca="1">I646-K646</f>
        <v>-45.642639937747212</v>
      </c>
      <c r="M646" s="213"/>
      <c r="N646" s="208">
        <f ca="1">INDEX(INDIRECT(""&amp;$B646&amp;"!y2:y709"),MATCH($A646,INDIRECT(""&amp;$B646&amp;"!B2:B709"),0))</f>
        <v>-95.289000000000001</v>
      </c>
      <c r="O646" s="217" t="str">
        <f ca="1">IF(INDEX(INDIRECT(""&amp;$B646&amp;"!V2:V700"),MATCH($A646,INDIRECT(""&amp;$B646&amp;"!B2:B700"),0))=0,"",INDEX(INDIRECT(""&amp;$B646&amp;"!V2:V700"),MATCH($A646,INDIRECT(""&amp;$B646&amp;"!B2:B700"),0)))</f>
        <v/>
      </c>
    </row>
    <row r="647" spans="1:15" x14ac:dyDescent="0.25">
      <c r="A647" s="195" t="s">
        <v>396</v>
      </c>
      <c r="B647" s="195" t="s">
        <v>33</v>
      </c>
      <c r="C647" s="195">
        <f ca="1">IFERROR(INDEX(BYEs!$B$2:$B$33,MATCH(D647,BYEs!$A$2:$A$33,0)),"N/A")</f>
        <v>11</v>
      </c>
      <c r="D647" s="195" t="str">
        <f ca="1">INDEX(INDIRECT(""&amp;B647&amp;"!E2:E700"),MATCH(A647,INDIRECT(""&amp;B647&amp;"!B2:B700"),0))</f>
        <v>SF</v>
      </c>
      <c r="E647" s="194" t="str">
        <f ca="1">INDEX(INDIRECT(""&amp;$B647&amp;"!Z2:Z709"),MATCH($A647,INDIRECT(""&amp;$B647&amp;"!B2:B709"),0))</f>
        <v>QB7</v>
      </c>
      <c r="F647" s="196">
        <f ca="1">IF(LeagueInfo!$H$7="Starter/Bench",INDEX(INDIRECT(""&amp;B647&amp;"!S2:S709"),MATCH(A647,INDIRECT(""&amp;B647&amp;"!B2:B709"),0)),INDEX(INDIRECT(""&amp;B647&amp;"!AA2:AA709"),MATCH(A647,INDIRECT(""&amp;B647&amp;"!B2:B709"),0)))</f>
        <v>-47.915934537801242</v>
      </c>
      <c r="G647" s="197">
        <f>IF(H647&gt;0,F647-H647,0)</f>
        <v>0</v>
      </c>
      <c r="H647" s="198"/>
      <c r="I647" s="197">
        <f ca="1">F647*$A$2</f>
        <v>-47.915934537801242</v>
      </c>
      <c r="J647" s="197" t="s">
        <v>80</v>
      </c>
      <c r="K647" s="197">
        <f>IF(LeagueInfo!$F$7="Yahoo",IFERROR(INDEX(DefaultAuctionValues!$B$2:$B$359,MATCH(A647,DefaultAuctionValues!$A$2:$A$359,0)),0),IF(LeagueInfo!$F$7="ESPN",IFERROR(INDEX(DefaultAuctionValues!$C$2:$C$359,MATCH(A647,DefaultAuctionValues!$A$2:$A$359,0)),0),IF(LeagueInfo!$F$7="FantasyPros",IFERROR(INDEX(DefaultAuctionValues!$D$2:$D$359,MATCH(A647,DefaultAuctionValues!$A$2:$A$359,0)),0))))</f>
        <v>0</v>
      </c>
      <c r="L647" s="197">
        <f ca="1">I647-K647</f>
        <v>-47.915934537801242</v>
      </c>
      <c r="M647" s="213"/>
      <c r="N647" s="208">
        <f ca="1">INDEX(INDIRECT(""&amp;$B647&amp;"!y2:y709"),MATCH($A647,INDIRECT(""&amp;$B647&amp;"!B2:B709"),0))</f>
        <v>-100.035</v>
      </c>
      <c r="O647" s="217" t="str">
        <f ca="1">IF(INDEX(INDIRECT(""&amp;$B647&amp;"!V2:V700"),MATCH($A647,INDIRECT(""&amp;$B647&amp;"!B2:B700"),0))=0,"",INDEX(INDIRECT(""&amp;$B647&amp;"!V2:V700"),MATCH($A647,INDIRECT(""&amp;$B647&amp;"!B2:B700"),0)))</f>
        <v/>
      </c>
    </row>
    <row r="648" spans="1:15" x14ac:dyDescent="0.25">
      <c r="A648" s="195" t="s">
        <v>393</v>
      </c>
      <c r="B648" s="195" t="s">
        <v>33</v>
      </c>
      <c r="C648" s="195">
        <f ca="1">IFERROR(INDEX(BYEs!$B$2:$B$33,MATCH(D648,BYEs!$A$2:$A$33,0)),"N/A")</f>
        <v>11</v>
      </c>
      <c r="D648" s="195" t="str">
        <f ca="1">INDEX(INDIRECT(""&amp;B648&amp;"!E2:E700"),MATCH(A648,INDIRECT(""&amp;B648&amp;"!B2:B700"),0))</f>
        <v>NYJ</v>
      </c>
      <c r="E648" s="194" t="str">
        <f ca="1">INDEX(INDIRECT(""&amp;$B648&amp;"!Z2:Z709"),MATCH($A648,INDIRECT(""&amp;$B648&amp;"!B2:B709"),0))</f>
        <v>QB7</v>
      </c>
      <c r="F648" s="196">
        <f ca="1">IF(LeagueInfo!$H$7="Starter/Bench",INDEX(INDIRECT(""&amp;B648&amp;"!S2:S709"),MATCH(A648,INDIRECT(""&amp;B648&amp;"!B2:B709"),0)),INDEX(INDIRECT(""&amp;B648&amp;"!AA2:AA709"),MATCH(A648,INDIRECT(""&amp;B648&amp;"!B2:B709"),0)))</f>
        <v>-48.127169876744318</v>
      </c>
      <c r="G648" s="197">
        <f>IF(H648&gt;0,F648-H648,0)</f>
        <v>0</v>
      </c>
      <c r="H648" s="198"/>
      <c r="I648" s="197">
        <f ca="1">F648*$A$2</f>
        <v>-48.127169876744318</v>
      </c>
      <c r="J648" s="197" t="s">
        <v>80</v>
      </c>
      <c r="K648" s="197">
        <f>IF(LeagueInfo!$F$7="Yahoo",IFERROR(INDEX(DefaultAuctionValues!$B$2:$B$359,MATCH(A648,DefaultAuctionValues!$A$2:$A$359,0)),0),IF(LeagueInfo!$F$7="ESPN",IFERROR(INDEX(DefaultAuctionValues!$C$2:$C$359,MATCH(A648,DefaultAuctionValues!$A$2:$A$359,0)),0),IF(LeagueInfo!$F$7="FantasyPros",IFERROR(INDEX(DefaultAuctionValues!$D$2:$D$359,MATCH(A648,DefaultAuctionValues!$A$2:$A$359,0)),0))))</f>
        <v>0</v>
      </c>
      <c r="L648" s="197">
        <f ca="1">I648-K648</f>
        <v>-48.127169876744318</v>
      </c>
      <c r="M648" s="213"/>
      <c r="N648" s="208">
        <f ca="1">INDEX(INDIRECT(""&amp;$B648&amp;"!y2:y709"),MATCH($A648,INDIRECT(""&amp;$B648&amp;"!B2:B709"),0))</f>
        <v>-100.476</v>
      </c>
      <c r="O648" s="217" t="str">
        <f ca="1">IF(INDEX(INDIRECT(""&amp;$B648&amp;"!V2:V700"),MATCH($A648,INDIRECT(""&amp;$B648&amp;"!B2:B700"),0))=0,"",INDEX(INDIRECT(""&amp;$B648&amp;"!V2:V700"),MATCH($A648,INDIRECT(""&amp;$B648&amp;"!B2:B700"),0)))</f>
        <v/>
      </c>
    </row>
    <row r="649" spans="1:15" x14ac:dyDescent="0.25">
      <c r="A649" s="195" t="s">
        <v>406</v>
      </c>
      <c r="B649" s="195" t="s">
        <v>33</v>
      </c>
      <c r="C649" s="195">
        <f ca="1">IFERROR(INDEX(BYEs!$B$2:$B$33,MATCH(D649,BYEs!$A$2:$A$33,0)),"N/A")</f>
        <v>11</v>
      </c>
      <c r="D649" s="195" t="str">
        <f ca="1">INDEX(INDIRECT(""&amp;B649&amp;"!E2:E700"),MATCH(A649,INDIRECT(""&amp;B649&amp;"!B2:B700"),0))</f>
        <v>IND</v>
      </c>
      <c r="E649" s="194" t="str">
        <f ca="1">INDEX(INDIRECT(""&amp;$B649&amp;"!Z2:Z709"),MATCH($A649,INDIRECT(""&amp;$B649&amp;"!B2:B709"),0))</f>
        <v>QB7</v>
      </c>
      <c r="F649" s="196">
        <f ca="1">IF(LeagueInfo!$H$7="Starter/Bench",INDEX(INDIRECT(""&amp;B649&amp;"!S2:S709"),MATCH(A649,INDIRECT(""&amp;B649&amp;"!B2:B709"),0)),INDEX(INDIRECT(""&amp;B649&amp;"!AA2:AA709"),MATCH(A649,INDIRECT(""&amp;B649&amp;"!B2:B709"),0)))</f>
        <v>-48.510842227069489</v>
      </c>
      <c r="G649" s="197">
        <f>IF(H649&gt;0,F649-H649,0)</f>
        <v>0</v>
      </c>
      <c r="H649" s="198"/>
      <c r="I649" s="197">
        <f ca="1">F649*$A$2</f>
        <v>-48.510842227069489</v>
      </c>
      <c r="J649" s="197" t="s">
        <v>80</v>
      </c>
      <c r="K649" s="197">
        <f>IF(LeagueInfo!$F$7="Yahoo",IFERROR(INDEX(DefaultAuctionValues!$B$2:$B$359,MATCH(A649,DefaultAuctionValues!$A$2:$A$359,0)),0),IF(LeagueInfo!$F$7="ESPN",IFERROR(INDEX(DefaultAuctionValues!$C$2:$C$359,MATCH(A649,DefaultAuctionValues!$A$2:$A$359,0)),0),IF(LeagueInfo!$F$7="FantasyPros",IFERROR(INDEX(DefaultAuctionValues!$D$2:$D$359,MATCH(A649,DefaultAuctionValues!$A$2:$A$359,0)),0))))</f>
        <v>0</v>
      </c>
      <c r="L649" s="197">
        <f ca="1">I649-K649</f>
        <v>-48.510842227069489</v>
      </c>
      <c r="M649" s="213"/>
      <c r="N649" s="208">
        <f ca="1">INDEX(INDIRECT(""&amp;$B649&amp;"!y2:y709"),MATCH($A649,INDIRECT(""&amp;$B649&amp;"!B2:B709"),0))</f>
        <v>-101.277</v>
      </c>
      <c r="O649" s="217" t="str">
        <f ca="1">IF(INDEX(INDIRECT(""&amp;$B649&amp;"!V2:V700"),MATCH($A649,INDIRECT(""&amp;$B649&amp;"!B2:B700"),0))=0,"",INDEX(INDIRECT(""&amp;$B649&amp;"!V2:V700"),MATCH($A649,INDIRECT(""&amp;$B649&amp;"!B2:B700"),0)))</f>
        <v/>
      </c>
    </row>
    <row r="650" spans="1:15" x14ac:dyDescent="0.25">
      <c r="A650" s="195" t="s">
        <v>391</v>
      </c>
      <c r="B650" s="195" t="s">
        <v>33</v>
      </c>
      <c r="C650" s="195">
        <f ca="1">IFERROR(INDEX(BYEs!$B$2:$B$33,MATCH(D650,BYEs!$A$2:$A$33,0)),"N/A")</f>
        <v>11</v>
      </c>
      <c r="D650" s="195" t="str">
        <f ca="1">INDEX(INDIRECT(""&amp;B650&amp;"!E2:E700"),MATCH(A650,INDIRECT(""&amp;B650&amp;"!B2:B700"),0))</f>
        <v>MIA</v>
      </c>
      <c r="E650" s="194" t="str">
        <f ca="1">INDEX(INDIRECT(""&amp;$B650&amp;"!Z2:Z709"),MATCH($A650,INDIRECT(""&amp;$B650&amp;"!B2:B709"),0))</f>
        <v>QB7</v>
      </c>
      <c r="F650" s="196">
        <f ca="1">IF(LeagueInfo!$H$7="Starter/Bench",INDEX(INDIRECT(""&amp;B650&amp;"!S2:S709"),MATCH(A650,INDIRECT(""&amp;B650&amp;"!B2:B709"),0)),INDEX(INDIRECT(""&amp;B650&amp;"!AA2:AA709"),MATCH(A650,INDIRECT(""&amp;B650&amp;"!B2:B709"),0)))</f>
        <v>-49.590010523302468</v>
      </c>
      <c r="G650" s="197">
        <f>IF(H650&gt;0,F650-H650,0)</f>
        <v>0</v>
      </c>
      <c r="H650" s="198"/>
      <c r="I650" s="197">
        <f ca="1">F650*$A$2</f>
        <v>-49.590010523302468</v>
      </c>
      <c r="J650" s="197" t="s">
        <v>80</v>
      </c>
      <c r="K650" s="197">
        <f>IF(LeagueInfo!$F$7="Yahoo",IFERROR(INDEX(DefaultAuctionValues!$B$2:$B$359,MATCH(A650,DefaultAuctionValues!$A$2:$A$359,0)),0),IF(LeagueInfo!$F$7="ESPN",IFERROR(INDEX(DefaultAuctionValues!$C$2:$C$359,MATCH(A650,DefaultAuctionValues!$A$2:$A$359,0)),0),IF(LeagueInfo!$F$7="FantasyPros",IFERROR(INDEX(DefaultAuctionValues!$D$2:$D$359,MATCH(A650,DefaultAuctionValues!$A$2:$A$359,0)),0))))</f>
        <v>0</v>
      </c>
      <c r="L650" s="197">
        <f ca="1">I650-K650</f>
        <v>-49.590010523302468</v>
      </c>
      <c r="M650" s="213"/>
      <c r="N650" s="208">
        <f ca="1">INDEX(INDIRECT(""&amp;$B650&amp;"!y2:y709"),MATCH($A650,INDIRECT(""&amp;$B650&amp;"!B2:B709"),0))</f>
        <v>-103.53</v>
      </c>
      <c r="O650" s="217" t="str">
        <f ca="1">IF(INDEX(INDIRECT(""&amp;$B650&amp;"!V2:V700"),MATCH($A650,INDIRECT(""&amp;$B650&amp;"!B2:B700"),0))=0,"",INDEX(INDIRECT(""&amp;$B650&amp;"!V2:V700"),MATCH($A650,INDIRECT(""&amp;$B650&amp;"!B2:B700"),0)))</f>
        <v/>
      </c>
    </row>
    <row r="651" spans="1:15" x14ac:dyDescent="0.25">
      <c r="A651" s="195" t="s">
        <v>397</v>
      </c>
      <c r="B651" s="195" t="s">
        <v>33</v>
      </c>
      <c r="C651" s="195">
        <f ca="1">IFERROR(INDEX(BYEs!$B$2:$B$33,MATCH(D651,BYEs!$A$2:$A$33,0)),"N/A")</f>
        <v>8</v>
      </c>
      <c r="D651" s="195" t="str">
        <f ca="1">INDEX(INDIRECT(""&amp;B651&amp;"!E2:E700"),MATCH(A651,INDIRECT(""&amp;B651&amp;"!B2:B700"),0))</f>
        <v>LAR</v>
      </c>
      <c r="E651" s="194" t="str">
        <f ca="1">INDEX(INDIRECT(""&amp;$B651&amp;"!Z2:Z709"),MATCH($A651,INDIRECT(""&amp;$B651&amp;"!B2:B709"),0))</f>
        <v>QB7</v>
      </c>
      <c r="F651" s="196">
        <f ca="1">IF(LeagueInfo!$H$7="Starter/Bench",INDEX(INDIRECT(""&amp;B651&amp;"!S2:S709"),MATCH(A651,INDIRECT(""&amp;B651&amp;"!B2:B709"),0)),INDEX(INDIRECT(""&amp;B651&amp;"!AA2:AA709"),MATCH(A651,INDIRECT(""&amp;B651&amp;"!B2:B709"),0)))</f>
        <v>-50.171027453320498</v>
      </c>
      <c r="G651" s="197">
        <f>IF(H651&gt;0,F651-H651,0)</f>
        <v>0</v>
      </c>
      <c r="H651" s="198"/>
      <c r="I651" s="197">
        <f ca="1">F651*$A$2</f>
        <v>-50.171027453320498</v>
      </c>
      <c r="J651" s="197" t="s">
        <v>80</v>
      </c>
      <c r="K651" s="197">
        <f>IF(LeagueInfo!$F$7="Yahoo",IFERROR(INDEX(DefaultAuctionValues!$B$2:$B$359,MATCH(A651,DefaultAuctionValues!$A$2:$A$359,0)),0),IF(LeagueInfo!$F$7="ESPN",IFERROR(INDEX(DefaultAuctionValues!$C$2:$C$359,MATCH(A651,DefaultAuctionValues!$A$2:$A$359,0)),0),IF(LeagueInfo!$F$7="FantasyPros",IFERROR(INDEX(DefaultAuctionValues!$D$2:$D$359,MATCH(A651,DefaultAuctionValues!$A$2:$A$359,0)),0))))</f>
        <v>0</v>
      </c>
      <c r="L651" s="197">
        <f ca="1">I651-K651</f>
        <v>-50.171027453320498</v>
      </c>
      <c r="M651" s="213"/>
      <c r="N651" s="208">
        <f ca="1">INDEX(INDIRECT(""&amp;$B651&amp;"!y2:y709"),MATCH($A651,INDIRECT(""&amp;$B651&amp;"!B2:B709"),0))</f>
        <v>-104.74300000000001</v>
      </c>
      <c r="O651" s="217" t="str">
        <f ca="1">IF(INDEX(INDIRECT(""&amp;$B651&amp;"!V2:V700"),MATCH($A651,INDIRECT(""&amp;$B651&amp;"!B2:B700"),0))=0,"",INDEX(INDIRECT(""&amp;$B651&amp;"!V2:V700"),MATCH($A651,INDIRECT(""&amp;$B651&amp;"!B2:B700"),0)))</f>
        <v/>
      </c>
    </row>
    <row r="652" spans="1:15" x14ac:dyDescent="0.25">
      <c r="A652" s="195" t="s">
        <v>395</v>
      </c>
      <c r="B652" s="195" t="s">
        <v>33</v>
      </c>
      <c r="C652" s="195">
        <f ca="1">IFERROR(INDEX(BYEs!$B$2:$B$33,MATCH(D652,BYEs!$A$2:$A$33,0)),"N/A")</f>
        <v>9</v>
      </c>
      <c r="D652" s="195" t="str">
        <f ca="1">INDEX(INDIRECT(""&amp;B652&amp;"!E2:E700"),MATCH(A652,INDIRECT(""&amp;B652&amp;"!B2:B700"),0))</f>
        <v>CLE</v>
      </c>
      <c r="E652" s="194" t="str">
        <f ca="1">INDEX(INDIRECT(""&amp;$B652&amp;"!Z2:Z709"),MATCH($A652,INDIRECT(""&amp;$B652&amp;"!B2:B709"),0))</f>
        <v>QB7</v>
      </c>
      <c r="F652" s="196">
        <f ca="1">IF(LeagueInfo!$H$7="Starter/Bench",INDEX(INDIRECT(""&amp;B652&amp;"!S2:S709"),MATCH(A652,INDIRECT(""&amp;B652&amp;"!B2:B709"),0)),INDEX(INDIRECT(""&amp;B652&amp;"!AA2:AA709"),MATCH(A652,INDIRECT(""&amp;B652&amp;"!B2:B709"),0)))</f>
        <v>-50.344422448099159</v>
      </c>
      <c r="G652" s="197">
        <f>IF(H652&gt;0,F652-H652,0)</f>
        <v>0</v>
      </c>
      <c r="H652" s="198"/>
      <c r="I652" s="197">
        <f ca="1">F652*$A$2</f>
        <v>-50.344422448099159</v>
      </c>
      <c r="J652" s="197" t="s">
        <v>80</v>
      </c>
      <c r="K652" s="197">
        <f>IF(LeagueInfo!$F$7="Yahoo",IFERROR(INDEX(DefaultAuctionValues!$B$2:$B$359,MATCH(A652,DefaultAuctionValues!$A$2:$A$359,0)),0),IF(LeagueInfo!$F$7="ESPN",IFERROR(INDEX(DefaultAuctionValues!$C$2:$C$359,MATCH(A652,DefaultAuctionValues!$A$2:$A$359,0)),0),IF(LeagueInfo!$F$7="FantasyPros",IFERROR(INDEX(DefaultAuctionValues!$D$2:$D$359,MATCH(A652,DefaultAuctionValues!$A$2:$A$359,0)),0))))</f>
        <v>0</v>
      </c>
      <c r="L652" s="197">
        <f ca="1">I652-K652</f>
        <v>-50.344422448099159</v>
      </c>
      <c r="M652" s="213"/>
      <c r="N652" s="208">
        <f ca="1">INDEX(INDIRECT(""&amp;$B652&amp;"!y2:y709"),MATCH($A652,INDIRECT(""&amp;$B652&amp;"!B2:B709"),0))</f>
        <v>-105.105</v>
      </c>
      <c r="O652" s="217" t="str">
        <f ca="1">IF(INDEX(INDIRECT(""&amp;$B652&amp;"!V2:V700"),MATCH($A652,INDIRECT(""&amp;$B652&amp;"!B2:B700"),0))=0,"",INDEX(INDIRECT(""&amp;$B652&amp;"!V2:V700"),MATCH($A652,INDIRECT(""&amp;$B652&amp;"!B2:B700"),0)))</f>
        <v/>
      </c>
    </row>
    <row r="653" spans="1:15" x14ac:dyDescent="0.25">
      <c r="A653" s="195" t="s">
        <v>919</v>
      </c>
      <c r="B653" s="195" t="s">
        <v>33</v>
      </c>
      <c r="C653" s="195">
        <f ca="1">IFERROR(INDEX(BYEs!$B$2:$B$33,MATCH(D653,BYEs!$A$2:$A$33,0)),"N/A")</f>
        <v>6</v>
      </c>
      <c r="D653" s="195" t="str">
        <f ca="1">INDEX(INDIRECT(""&amp;B653&amp;"!E2:E700"),MATCH(A653,INDIRECT(""&amp;B653&amp;"!B2:B700"),0))</f>
        <v>BUF</v>
      </c>
      <c r="E653" s="194" t="str">
        <f ca="1">INDEX(INDIRECT(""&amp;$B653&amp;"!Z2:Z709"),MATCH($A653,INDIRECT(""&amp;$B653&amp;"!B2:B709"),0))</f>
        <v>QB7</v>
      </c>
      <c r="F653" s="196">
        <f ca="1">IF(LeagueInfo!$H$7="Starter/Bench",INDEX(INDIRECT(""&amp;B653&amp;"!S2:S709"),MATCH(A653,INDIRECT(""&amp;B653&amp;"!B2:B709"),0)),INDEX(INDIRECT(""&amp;B653&amp;"!AA2:AA709"),MATCH(A653,INDIRECT(""&amp;B653&amp;"!B2:B709"),0)))</f>
        <v>-50.382262792263568</v>
      </c>
      <c r="G653" s="197">
        <f>IF(H653&gt;0,F653-H653,0)</f>
        <v>0</v>
      </c>
      <c r="H653" s="198"/>
      <c r="I653" s="197">
        <f ca="1">F653*$A$2</f>
        <v>-50.382262792263568</v>
      </c>
      <c r="J653" s="197" t="s">
        <v>80</v>
      </c>
      <c r="K653" s="197">
        <f>IF(LeagueInfo!$F$7="Yahoo",IFERROR(INDEX(DefaultAuctionValues!$B$2:$B$359,MATCH(A653,DefaultAuctionValues!$A$2:$A$359,0)),0),IF(LeagueInfo!$F$7="ESPN",IFERROR(INDEX(DefaultAuctionValues!$C$2:$C$359,MATCH(A653,DefaultAuctionValues!$A$2:$A$359,0)),0),IF(LeagueInfo!$F$7="FantasyPros",IFERROR(INDEX(DefaultAuctionValues!$D$2:$D$359,MATCH(A653,DefaultAuctionValues!$A$2:$A$359,0)),0))))</f>
        <v>0</v>
      </c>
      <c r="L653" s="197">
        <f ca="1">I653-K653</f>
        <v>-50.382262792263568</v>
      </c>
      <c r="M653" s="213"/>
      <c r="N653" s="208">
        <f ca="1">INDEX(INDIRECT(""&amp;$B653&amp;"!y2:y709"),MATCH($A653,INDIRECT(""&amp;$B653&amp;"!B2:B709"),0))</f>
        <v>-105.184</v>
      </c>
      <c r="O653" s="217" t="str">
        <f ca="1">IF(INDEX(INDIRECT(""&amp;$B653&amp;"!V2:V700"),MATCH($A653,INDIRECT(""&amp;$B653&amp;"!B2:B700"),0))=0,"",INDEX(INDIRECT(""&amp;$B653&amp;"!V2:V700"),MATCH($A653,INDIRECT(""&amp;$B653&amp;"!B2:B700"),0)))</f>
        <v/>
      </c>
    </row>
    <row r="654" spans="1:15" x14ac:dyDescent="0.25">
      <c r="A654" s="195" t="s">
        <v>398</v>
      </c>
      <c r="B654" s="195" t="s">
        <v>33</v>
      </c>
      <c r="C654" s="195">
        <f ca="1">IFERROR(INDEX(BYEs!$B$2:$B$33,MATCH(D654,BYEs!$A$2:$A$33,0)),"N/A")</f>
        <v>10</v>
      </c>
      <c r="D654" s="195" t="str">
        <f ca="1">INDEX(INDIRECT(""&amp;B654&amp;"!E2:E700"),MATCH(A654,INDIRECT(""&amp;B654&amp;"!B2:B700"),0))</f>
        <v>KC</v>
      </c>
      <c r="E654" s="194" t="str">
        <f ca="1">INDEX(INDIRECT(""&amp;$B654&amp;"!Z2:Z709"),MATCH($A654,INDIRECT(""&amp;$B654&amp;"!B2:B709"),0))</f>
        <v>QB7</v>
      </c>
      <c r="F654" s="196">
        <f ca="1">IF(LeagueInfo!$H$7="Starter/Bench",INDEX(INDIRECT(""&amp;B654&amp;"!S2:S709"),MATCH(A654,INDIRECT(""&amp;B654&amp;"!B2:B709"),0)),INDEX(INDIRECT(""&amp;B654&amp;"!AA2:AA709"),MATCH(A654,INDIRECT(""&amp;B654&amp;"!B2:B709"),0)))</f>
        <v>-50.463212389273501</v>
      </c>
      <c r="G654" s="197">
        <f>IF(H654&gt;0,F654-H654,0)</f>
        <v>0</v>
      </c>
      <c r="H654" s="198"/>
      <c r="I654" s="197">
        <f ca="1">F654*$A$2</f>
        <v>-50.463212389273501</v>
      </c>
      <c r="J654" s="197" t="s">
        <v>80</v>
      </c>
      <c r="K654" s="197">
        <f>IF(LeagueInfo!$F$7="Yahoo",IFERROR(INDEX(DefaultAuctionValues!$B$2:$B$359,MATCH(A654,DefaultAuctionValues!$A$2:$A$359,0)),0),IF(LeagueInfo!$F$7="ESPN",IFERROR(INDEX(DefaultAuctionValues!$C$2:$C$359,MATCH(A654,DefaultAuctionValues!$A$2:$A$359,0)),0),IF(LeagueInfo!$F$7="FantasyPros",IFERROR(INDEX(DefaultAuctionValues!$D$2:$D$359,MATCH(A654,DefaultAuctionValues!$A$2:$A$359,0)),0))))</f>
        <v>0</v>
      </c>
      <c r="L654" s="197">
        <f ca="1">I654-K654</f>
        <v>-50.463212389273501</v>
      </c>
      <c r="M654" s="213"/>
      <c r="N654" s="208">
        <f ca="1">INDEX(INDIRECT(""&amp;$B654&amp;"!y2:y709"),MATCH($A654,INDIRECT(""&amp;$B654&amp;"!B2:B709"),0))</f>
        <v>-105.35300000000001</v>
      </c>
      <c r="O654" s="217" t="str">
        <f ca="1">IF(INDEX(INDIRECT(""&amp;$B654&amp;"!V2:V700"),MATCH($A654,INDIRECT(""&amp;$B654&amp;"!B2:B700"),0))=0,"",INDEX(INDIRECT(""&amp;$B654&amp;"!V2:V700"),MATCH($A654,INDIRECT(""&amp;$B654&amp;"!B2:B700"),0)))</f>
        <v/>
      </c>
    </row>
    <row r="655" spans="1:15" x14ac:dyDescent="0.25">
      <c r="A655" s="195" t="s">
        <v>399</v>
      </c>
      <c r="B655" s="195" t="s">
        <v>33</v>
      </c>
      <c r="C655" s="195">
        <f ca="1">IFERROR(INDEX(BYEs!$B$2:$B$33,MATCH(D655,BYEs!$A$2:$A$33,0)),"N/A")</f>
        <v>9</v>
      </c>
      <c r="D655" s="195" t="str">
        <f ca="1">INDEX(INDIRECT(""&amp;B655&amp;"!E2:E700"),MATCH(A655,INDIRECT(""&amp;B655&amp;"!B2:B700"),0))</f>
        <v>MIN</v>
      </c>
      <c r="E655" s="194" t="str">
        <f ca="1">INDEX(INDIRECT(""&amp;$B655&amp;"!Z2:Z709"),MATCH($A655,INDIRECT(""&amp;$B655&amp;"!B2:B709"),0))</f>
        <v>QB7</v>
      </c>
      <c r="F655" s="196">
        <f ca="1">IF(LeagueInfo!$H$7="Starter/Bench",INDEX(INDIRECT(""&amp;B655&amp;"!S2:S709"),MATCH(A655,INDIRECT(""&amp;B655&amp;"!B2:B709"),0)),INDEX(INDIRECT(""&amp;B655&amp;"!AA2:AA709"),MATCH(A655,INDIRECT(""&amp;B655&amp;"!B2:B709"),0)))</f>
        <v>-50.554220811947388</v>
      </c>
      <c r="G655" s="197">
        <f>IF(H655&gt;0,F655-H655,0)</f>
        <v>0</v>
      </c>
      <c r="H655" s="198"/>
      <c r="I655" s="197">
        <f ca="1">F655*$A$2</f>
        <v>-50.554220811947388</v>
      </c>
      <c r="J655" s="197" t="s">
        <v>80</v>
      </c>
      <c r="K655" s="197">
        <f>IF(LeagueInfo!$F$7="Yahoo",IFERROR(INDEX(DefaultAuctionValues!$B$2:$B$359,MATCH(A655,DefaultAuctionValues!$A$2:$A$359,0)),0),IF(LeagueInfo!$F$7="ESPN",IFERROR(INDEX(DefaultAuctionValues!$C$2:$C$359,MATCH(A655,DefaultAuctionValues!$A$2:$A$359,0)),0),IF(LeagueInfo!$F$7="FantasyPros",IFERROR(INDEX(DefaultAuctionValues!$D$2:$D$359,MATCH(A655,DefaultAuctionValues!$A$2:$A$359,0)),0))))</f>
        <v>0</v>
      </c>
      <c r="L655" s="197">
        <f ca="1">I655-K655</f>
        <v>-50.554220811947388</v>
      </c>
      <c r="M655" s="213"/>
      <c r="N655" s="208">
        <f ca="1">INDEX(INDIRECT(""&amp;$B655&amp;"!y2:y709"),MATCH($A655,INDIRECT(""&amp;$B655&amp;"!B2:B709"),0))</f>
        <v>-105.54300000000001</v>
      </c>
      <c r="O655" s="217" t="str">
        <f ca="1">IF(INDEX(INDIRECT(""&amp;$B655&amp;"!V2:V700"),MATCH($A655,INDIRECT(""&amp;$B655&amp;"!B2:B700"),0))=0,"",INDEX(INDIRECT(""&amp;$B655&amp;"!V2:V700"),MATCH($A655,INDIRECT(""&amp;$B655&amp;"!B2:B700"),0)))</f>
        <v/>
      </c>
    </row>
    <row r="656" spans="1:15" x14ac:dyDescent="0.25">
      <c r="A656" s="195" t="s">
        <v>920</v>
      </c>
      <c r="B656" s="195" t="s">
        <v>33</v>
      </c>
      <c r="C656" s="195">
        <f ca="1">IFERROR(INDEX(BYEs!$B$2:$B$33,MATCH(D656,BYEs!$A$2:$A$33,0)),"N/A")</f>
        <v>8</v>
      </c>
      <c r="D656" s="195" t="str">
        <f ca="1">INDEX(INDIRECT(""&amp;B656&amp;"!E2:E700"),MATCH(A656,INDIRECT(""&amp;B656&amp;"!B2:B700"),0))</f>
        <v>JAC</v>
      </c>
      <c r="E656" s="194" t="str">
        <f ca="1">INDEX(INDIRECT(""&amp;$B656&amp;"!Z2:Z709"),MATCH($A656,INDIRECT(""&amp;$B656&amp;"!B2:B709"),0))</f>
        <v>QB7</v>
      </c>
      <c r="F656" s="196">
        <f ca="1">IF(LeagueInfo!$H$7="Starter/Bench",INDEX(INDIRECT(""&amp;B656&amp;"!S2:S709"),MATCH(A656,INDIRECT(""&amp;B656&amp;"!B2:B709"),0)),INDEX(INDIRECT(""&amp;B656&amp;"!AA2:AA709"),MATCH(A656,INDIRECT(""&amp;B656&amp;"!B2:B709"),0)))</f>
        <v>-50.981481406816364</v>
      </c>
      <c r="G656" s="197">
        <f>IF(H656&gt;0,F656-H656,0)</f>
        <v>0</v>
      </c>
      <c r="H656" s="198"/>
      <c r="I656" s="197">
        <f ca="1">F656*$A$2</f>
        <v>-50.981481406816364</v>
      </c>
      <c r="J656" s="197" t="s">
        <v>80</v>
      </c>
      <c r="K656" s="197">
        <f>IF(LeagueInfo!$F$7="Yahoo",IFERROR(INDEX(DefaultAuctionValues!$B$2:$B$359,MATCH(A656,DefaultAuctionValues!$A$2:$A$359,0)),0),IF(LeagueInfo!$F$7="ESPN",IFERROR(INDEX(DefaultAuctionValues!$C$2:$C$359,MATCH(A656,DefaultAuctionValues!$A$2:$A$359,0)),0),IF(LeagueInfo!$F$7="FantasyPros",IFERROR(INDEX(DefaultAuctionValues!$D$2:$D$359,MATCH(A656,DefaultAuctionValues!$A$2:$A$359,0)),0))))</f>
        <v>0</v>
      </c>
      <c r="L656" s="197">
        <f ca="1">I656-K656</f>
        <v>-50.981481406816364</v>
      </c>
      <c r="M656" s="213"/>
      <c r="N656" s="208">
        <f ca="1">INDEX(INDIRECT(""&amp;$B656&amp;"!y2:y709"),MATCH($A656,INDIRECT(""&amp;$B656&amp;"!B2:B709"),0))</f>
        <v>-106.435</v>
      </c>
      <c r="O656" s="217" t="str">
        <f ca="1">IF(INDEX(INDIRECT(""&amp;$B656&amp;"!V2:V700"),MATCH($A656,INDIRECT(""&amp;$B656&amp;"!B2:B700"),0))=0,"",INDEX(INDIRECT(""&amp;$B656&amp;"!V2:V700"),MATCH($A656,INDIRECT(""&amp;$B656&amp;"!B2:B700"),0)))</f>
        <v/>
      </c>
    </row>
    <row r="657" spans="1:15" x14ac:dyDescent="0.25">
      <c r="A657" s="195" t="s">
        <v>401</v>
      </c>
      <c r="B657" s="195" t="s">
        <v>33</v>
      </c>
      <c r="C657" s="195">
        <f ca="1">IFERROR(INDEX(BYEs!$B$2:$B$33,MATCH(D657,BYEs!$A$2:$A$33,0)),"N/A")</f>
        <v>7</v>
      </c>
      <c r="D657" s="195" t="str">
        <f ca="1">INDEX(INDIRECT(""&amp;B657&amp;"!E2:E700"),MATCH(A657,INDIRECT(""&amp;B657&amp;"!B2:B700"),0))</f>
        <v>HOU</v>
      </c>
      <c r="E657" s="194" t="str">
        <f ca="1">INDEX(INDIRECT(""&amp;$B657&amp;"!Z2:Z709"),MATCH($A657,INDIRECT(""&amp;$B657&amp;"!B2:B709"),0))</f>
        <v>QB7</v>
      </c>
      <c r="F657" s="196">
        <f ca="1">IF(LeagueInfo!$H$7="Starter/Bench",INDEX(INDIRECT(""&amp;B657&amp;"!S2:S709"),MATCH(A657,INDIRECT(""&amp;B657&amp;"!B2:B709"),0)),INDEX(INDIRECT(""&amp;B657&amp;"!AA2:AA709"),MATCH(A657,INDIRECT(""&amp;B657&amp;"!B2:B709"),0)))</f>
        <v>-51.004473008333981</v>
      </c>
      <c r="G657" s="197">
        <f>IF(H657&gt;0,F657-H657,0)</f>
        <v>0</v>
      </c>
      <c r="H657" s="198"/>
      <c r="I657" s="197">
        <f ca="1">F657*$A$2</f>
        <v>-51.004473008333981</v>
      </c>
      <c r="J657" s="197" t="s">
        <v>80</v>
      </c>
      <c r="K657" s="197">
        <f>IF(LeagueInfo!$F$7="Yahoo",IFERROR(INDEX(DefaultAuctionValues!$B$2:$B$359,MATCH(A657,DefaultAuctionValues!$A$2:$A$359,0)),0),IF(LeagueInfo!$F$7="ESPN",IFERROR(INDEX(DefaultAuctionValues!$C$2:$C$359,MATCH(A657,DefaultAuctionValues!$A$2:$A$359,0)),0),IF(LeagueInfo!$F$7="FantasyPros",IFERROR(INDEX(DefaultAuctionValues!$D$2:$D$359,MATCH(A657,DefaultAuctionValues!$A$2:$A$359,0)),0))))</f>
        <v>0</v>
      </c>
      <c r="L657" s="197">
        <f ca="1">I657-K657</f>
        <v>-51.004473008333981</v>
      </c>
      <c r="M657" s="213"/>
      <c r="N657" s="208">
        <f ca="1">INDEX(INDIRECT(""&amp;$B657&amp;"!y2:y709"),MATCH($A657,INDIRECT(""&amp;$B657&amp;"!B2:B709"),0))</f>
        <v>-106.483</v>
      </c>
      <c r="O657" s="217" t="str">
        <f ca="1">IF(INDEX(INDIRECT(""&amp;$B657&amp;"!V2:V700"),MATCH($A657,INDIRECT(""&amp;$B657&amp;"!B2:B700"),0))=0,"",INDEX(INDIRECT(""&amp;$B657&amp;"!V2:V700"),MATCH($A657,INDIRECT(""&amp;$B657&amp;"!B2:B700"),0)))</f>
        <v/>
      </c>
    </row>
    <row r="658" spans="1:15" x14ac:dyDescent="0.25">
      <c r="A658" s="195" t="s">
        <v>404</v>
      </c>
      <c r="B658" s="195" t="s">
        <v>33</v>
      </c>
      <c r="C658" s="195">
        <f ca="1">IFERROR(INDEX(BYEs!$B$2:$B$33,MATCH(D658,BYEs!$A$2:$A$33,0)),"N/A")</f>
        <v>8</v>
      </c>
      <c r="D658" s="195" t="str">
        <f ca="1">INDEX(INDIRECT(""&amp;B658&amp;"!E2:E700"),MATCH(A658,INDIRECT(""&amp;B658&amp;"!B2:B700"),0))</f>
        <v>ARI</v>
      </c>
      <c r="E658" s="194" t="str">
        <f ca="1">INDEX(INDIRECT(""&amp;$B658&amp;"!Z2:Z709"),MATCH($A658,INDIRECT(""&amp;$B658&amp;"!B2:B709"),0))</f>
        <v>QB7</v>
      </c>
      <c r="F658" s="196">
        <f ca="1">IF(LeagueInfo!$H$7="Starter/Bench",INDEX(INDIRECT(""&amp;B658&amp;"!S2:S709"),MATCH(A658,INDIRECT(""&amp;B658&amp;"!B2:B709"),0)),INDEX(INDIRECT(""&amp;B658&amp;"!AA2:AA709"),MATCH(A658,INDIRECT(""&amp;B658&amp;"!B2:B709"),0)))</f>
        <v>-51.184573886888622</v>
      </c>
      <c r="G658" s="197">
        <f>IF(H658&gt;0,F658-H658,0)</f>
        <v>0</v>
      </c>
      <c r="H658" s="198"/>
      <c r="I658" s="197">
        <f ca="1">F658*$A$2</f>
        <v>-51.184573886888622</v>
      </c>
      <c r="J658" s="197" t="s">
        <v>80</v>
      </c>
      <c r="K658" s="197">
        <f>IF(LeagueInfo!$F$7="Yahoo",IFERROR(INDEX(DefaultAuctionValues!$B$2:$B$359,MATCH(A658,DefaultAuctionValues!$A$2:$A$359,0)),0),IF(LeagueInfo!$F$7="ESPN",IFERROR(INDEX(DefaultAuctionValues!$C$2:$C$359,MATCH(A658,DefaultAuctionValues!$A$2:$A$359,0)),0),IF(LeagueInfo!$F$7="FantasyPros",IFERROR(INDEX(DefaultAuctionValues!$D$2:$D$359,MATCH(A658,DefaultAuctionValues!$A$2:$A$359,0)),0))))</f>
        <v>0</v>
      </c>
      <c r="L658" s="197">
        <f ca="1">I658-K658</f>
        <v>-51.184573886888622</v>
      </c>
      <c r="M658" s="213"/>
      <c r="N658" s="208">
        <f ca="1">INDEX(INDIRECT(""&amp;$B658&amp;"!y2:y709"),MATCH($A658,INDIRECT(""&amp;$B658&amp;"!B2:B709"),0))</f>
        <v>-106.85900000000001</v>
      </c>
      <c r="O658" s="217" t="str">
        <f ca="1">IF(INDEX(INDIRECT(""&amp;$B658&amp;"!V2:V700"),MATCH($A658,INDIRECT(""&amp;$B658&amp;"!B2:B700"),0))=0,"",INDEX(INDIRECT(""&amp;$B658&amp;"!V2:V700"),MATCH($A658,INDIRECT(""&amp;$B658&amp;"!B2:B700"),0)))</f>
        <v/>
      </c>
    </row>
    <row r="659" spans="1:15" x14ac:dyDescent="0.25">
      <c r="A659" s="195" t="s">
        <v>403</v>
      </c>
      <c r="B659" s="195" t="s">
        <v>33</v>
      </c>
      <c r="C659" s="195">
        <f ca="1">IFERROR(INDEX(BYEs!$B$2:$B$33,MATCH(D659,BYEs!$A$2:$A$33,0)),"N/A")</f>
        <v>9</v>
      </c>
      <c r="D659" s="195" t="str">
        <f ca="1">INDEX(INDIRECT(""&amp;B659&amp;"!E2:E700"),MATCH(A659,INDIRECT(""&amp;B659&amp;"!B2:B700"),0))</f>
        <v>PIT</v>
      </c>
      <c r="E659" s="194" t="str">
        <f ca="1">INDEX(INDIRECT(""&amp;$B659&amp;"!Z2:Z709"),MATCH($A659,INDIRECT(""&amp;$B659&amp;"!B2:B709"),0))</f>
        <v>QB7</v>
      </c>
      <c r="F659" s="196">
        <f ca="1">IF(LeagueInfo!$H$7="Starter/Bench",INDEX(INDIRECT(""&amp;B659&amp;"!S2:S709"),MATCH(A659,INDIRECT(""&amp;B659&amp;"!B2:B709"),0)),INDEX(INDIRECT(""&amp;B659&amp;"!AA2:AA709"),MATCH(A659,INDIRECT(""&amp;B659&amp;"!B2:B709"),0)))</f>
        <v>-51.1999016212337</v>
      </c>
      <c r="G659" s="197">
        <f>IF(H659&gt;0,F659-H659,0)</f>
        <v>0</v>
      </c>
      <c r="H659" s="198"/>
      <c r="I659" s="197">
        <f ca="1">F659*$A$2</f>
        <v>-51.1999016212337</v>
      </c>
      <c r="J659" s="197" t="s">
        <v>80</v>
      </c>
      <c r="K659" s="197">
        <f>IF(LeagueInfo!$F$7="Yahoo",IFERROR(INDEX(DefaultAuctionValues!$B$2:$B$359,MATCH(A659,DefaultAuctionValues!$A$2:$A$359,0)),0),IF(LeagueInfo!$F$7="ESPN",IFERROR(INDEX(DefaultAuctionValues!$C$2:$C$359,MATCH(A659,DefaultAuctionValues!$A$2:$A$359,0)),0),IF(LeagueInfo!$F$7="FantasyPros",IFERROR(INDEX(DefaultAuctionValues!$D$2:$D$359,MATCH(A659,DefaultAuctionValues!$A$2:$A$359,0)),0))))</f>
        <v>0</v>
      </c>
      <c r="L659" s="197">
        <f ca="1">I659-K659</f>
        <v>-51.1999016212337</v>
      </c>
      <c r="M659" s="213"/>
      <c r="N659" s="208">
        <f ca="1">INDEX(INDIRECT(""&amp;$B659&amp;"!y2:y709"),MATCH($A659,INDIRECT(""&amp;$B659&amp;"!B2:B709"),0))</f>
        <v>-106.89100000000001</v>
      </c>
      <c r="O659" s="217" t="str">
        <f ca="1">IF(INDEX(INDIRECT(""&amp;$B659&amp;"!V2:V700"),MATCH($A659,INDIRECT(""&amp;$B659&amp;"!B2:B700"),0))=0,"",INDEX(INDIRECT(""&amp;$B659&amp;"!V2:V700"),MATCH($A659,INDIRECT(""&amp;$B659&amp;"!B2:B700"),0)))</f>
        <v/>
      </c>
    </row>
    <row r="660" spans="1:15" x14ac:dyDescent="0.25">
      <c r="A660" s="195" t="s">
        <v>402</v>
      </c>
      <c r="B660" s="195" t="s">
        <v>33</v>
      </c>
      <c r="C660" s="195">
        <f ca="1">IFERROR(INDEX(BYEs!$B$2:$B$33,MATCH(D660,BYEs!$A$2:$A$33,0)),"N/A")</f>
        <v>9</v>
      </c>
      <c r="D660" s="195" t="str">
        <f ca="1">INDEX(INDIRECT(""&amp;B660&amp;"!E2:E700"),MATCH(A660,INDIRECT(""&amp;B660&amp;"!B2:B700"),0))</f>
        <v>CLE</v>
      </c>
      <c r="E660" s="194" t="str">
        <f ca="1">INDEX(INDIRECT(""&amp;$B660&amp;"!Z2:Z709"),MATCH($A660,INDIRECT(""&amp;$B660&amp;"!B2:B709"),0))</f>
        <v>QB7</v>
      </c>
      <c r="F660" s="196">
        <f ca="1">IF(LeagueInfo!$H$7="Starter/Bench",INDEX(INDIRECT(""&amp;B660&amp;"!S2:S709"),MATCH(A660,INDIRECT(""&amp;B660&amp;"!B2:B709"),0)),INDEX(INDIRECT(""&amp;B660&amp;"!AA2:AA709"),MATCH(A660,INDIRECT(""&amp;B660&amp;"!B2:B709"),0)))</f>
        <v>-51.202775571423395</v>
      </c>
      <c r="G660" s="197">
        <f>IF(H660&gt;0,F660-H660,0)</f>
        <v>0</v>
      </c>
      <c r="H660" s="198"/>
      <c r="I660" s="197">
        <f ca="1">F660*$A$2</f>
        <v>-51.202775571423395</v>
      </c>
      <c r="J660" s="197" t="s">
        <v>80</v>
      </c>
      <c r="K660" s="197">
        <f>IF(LeagueInfo!$F$7="Yahoo",IFERROR(INDEX(DefaultAuctionValues!$B$2:$B$359,MATCH(A660,DefaultAuctionValues!$A$2:$A$359,0)),0),IF(LeagueInfo!$F$7="ESPN",IFERROR(INDEX(DefaultAuctionValues!$C$2:$C$359,MATCH(A660,DefaultAuctionValues!$A$2:$A$359,0)),0),IF(LeagueInfo!$F$7="FantasyPros",IFERROR(INDEX(DefaultAuctionValues!$D$2:$D$359,MATCH(A660,DefaultAuctionValues!$A$2:$A$359,0)),0))))</f>
        <v>0</v>
      </c>
      <c r="L660" s="197">
        <f ca="1">I660-K660</f>
        <v>-51.202775571423395</v>
      </c>
      <c r="M660" s="213"/>
      <c r="N660" s="208">
        <f ca="1">INDEX(INDIRECT(""&amp;$B660&amp;"!y2:y709"),MATCH($A660,INDIRECT(""&amp;$B660&amp;"!B2:B709"),0))</f>
        <v>-106.89700000000001</v>
      </c>
      <c r="O660" s="217" t="str">
        <f ca="1">IF(INDEX(INDIRECT(""&amp;$B660&amp;"!V2:V700"),MATCH($A660,INDIRECT(""&amp;$B660&amp;"!B2:B700"),0))=0,"",INDEX(INDIRECT(""&amp;$B660&amp;"!V2:V700"),MATCH($A660,INDIRECT(""&amp;$B660&amp;"!B2:B700"),0)))</f>
        <v/>
      </c>
    </row>
    <row r="661" spans="1:15" x14ac:dyDescent="0.25">
      <c r="A661" s="195" t="s">
        <v>410</v>
      </c>
      <c r="B661" s="195" t="s">
        <v>33</v>
      </c>
      <c r="C661" s="195"/>
      <c r="D661" s="195" t="str">
        <f ca="1">INDEX(INDIRECT(""&amp;B661&amp;"!E2:E700"),MATCH(A661,INDIRECT(""&amp;B661&amp;"!B2:B700"),0))</f>
        <v>BUF</v>
      </c>
      <c r="E661" s="194" t="str">
        <f ca="1">INDEX(INDIRECT(""&amp;$B661&amp;"!Z2:Z709"),MATCH($A661,INDIRECT(""&amp;$B661&amp;"!B2:B709"),0))</f>
        <v>QB7</v>
      </c>
      <c r="F661" s="196">
        <f ca="1">IF(LeagueInfo!$H$7="Starter/Bench",INDEX(INDIRECT(""&amp;B661&amp;"!S2:S709"),MATCH(A661,INDIRECT(""&amp;B661&amp;"!B2:B709"),0)),INDEX(INDIRECT(""&amp;B661&amp;"!AA2:AA709"),MATCH(A661,INDIRECT(""&amp;B661&amp;"!B2:B709"),0)))</f>
        <v>-52.069271553618456</v>
      </c>
      <c r="G661" s="197">
        <f>IF(H661&gt;0,F661-H661,0)</f>
        <v>0</v>
      </c>
      <c r="H661" s="198"/>
      <c r="I661" s="197">
        <f ca="1">F661*$A$2</f>
        <v>-52.069271553618456</v>
      </c>
      <c r="J661" s="197" t="s">
        <v>80</v>
      </c>
      <c r="K661" s="197">
        <f>IF(LeagueInfo!$F$7="Yahoo",IFERROR(INDEX(DefaultAuctionValues!$B$2:$B$359,MATCH(A661,DefaultAuctionValues!$A$2:$A$359,0)),0),IF(LeagueInfo!$F$7="ESPN",IFERROR(INDEX(DefaultAuctionValues!$C$2:$C$359,MATCH(A661,DefaultAuctionValues!$A$2:$A$359,0)),0),IF(LeagueInfo!$F$7="FantasyPros",IFERROR(INDEX(DefaultAuctionValues!$D$2:$D$359,MATCH(A661,DefaultAuctionValues!$A$2:$A$359,0)),0))))</f>
        <v>0</v>
      </c>
      <c r="L661" s="197">
        <f ca="1">I661-K661</f>
        <v>-52.069271553618456</v>
      </c>
      <c r="M661" s="213"/>
      <c r="N661" s="208">
        <f ca="1">INDEX(INDIRECT(""&amp;$B661&amp;"!y2:y709"),MATCH($A661,INDIRECT(""&amp;$B661&amp;"!B2:B709"),0))</f>
        <v>-108.706</v>
      </c>
      <c r="O661" s="217" t="str">
        <f ca="1">IF(INDEX(INDIRECT(""&amp;$B661&amp;"!V2:V700"),MATCH($A661,INDIRECT(""&amp;$B661&amp;"!B2:B700"),0))=0,"",INDEX(INDIRECT(""&amp;$B661&amp;"!V2:V700"),MATCH($A661,INDIRECT(""&amp;$B661&amp;"!B2:B700"),0)))</f>
        <v/>
      </c>
    </row>
    <row r="662" spans="1:15" x14ac:dyDescent="0.25">
      <c r="A662" s="195" t="s">
        <v>407</v>
      </c>
      <c r="B662" s="195" t="s">
        <v>33</v>
      </c>
      <c r="C662" s="195">
        <f ca="1">IFERROR(INDEX(BYEs!$B$2:$B$33,MATCH(D662,BYEs!$A$2:$A$33,0)),"N/A")</f>
        <v>11</v>
      </c>
      <c r="D662" s="195" t="str">
        <f ca="1">INDEX(INDIRECT(""&amp;B662&amp;"!E2:E700"),MATCH(A662,INDIRECT(""&amp;B662&amp;"!B2:B700"),0))</f>
        <v>CAR</v>
      </c>
      <c r="E662" s="194" t="str">
        <f ca="1">INDEX(INDIRECT(""&amp;$B662&amp;"!Z2:Z709"),MATCH($A662,INDIRECT(""&amp;$B662&amp;"!B2:B709"),0))</f>
        <v>QB7</v>
      </c>
      <c r="F662" s="196">
        <f ca="1">IF(LeagueInfo!$H$7="Starter/Bench",INDEX(INDIRECT(""&amp;B662&amp;"!S2:S709"),MATCH(A662,INDIRECT(""&amp;B662&amp;"!B2:B709"),0)),INDEX(INDIRECT(""&amp;B662&amp;"!AA2:AA709"),MATCH(A662,INDIRECT(""&amp;B662&amp;"!B2:B709"),0)))</f>
        <v>-52.10615391438629</v>
      </c>
      <c r="G662" s="197">
        <f>IF(H662&gt;0,F662-H662,0)</f>
        <v>0</v>
      </c>
      <c r="H662" s="198"/>
      <c r="I662" s="197">
        <f ca="1">F662*$A$2</f>
        <v>-52.10615391438629</v>
      </c>
      <c r="J662" s="197" t="s">
        <v>80</v>
      </c>
      <c r="K662" s="197">
        <f>IF(LeagueInfo!$F$7="Yahoo",IFERROR(INDEX(DefaultAuctionValues!$B$2:$B$359,MATCH(A662,DefaultAuctionValues!$A$2:$A$359,0)),0),IF(LeagueInfo!$F$7="ESPN",IFERROR(INDEX(DefaultAuctionValues!$C$2:$C$359,MATCH(A662,DefaultAuctionValues!$A$2:$A$359,0)),0),IF(LeagueInfo!$F$7="FantasyPros",IFERROR(INDEX(DefaultAuctionValues!$D$2:$D$359,MATCH(A662,DefaultAuctionValues!$A$2:$A$359,0)),0))))</f>
        <v>0</v>
      </c>
      <c r="L662" s="197">
        <f ca="1">I662-K662</f>
        <v>-52.10615391438629</v>
      </c>
      <c r="M662" s="213"/>
      <c r="N662" s="208">
        <f ca="1">INDEX(INDIRECT(""&amp;$B662&amp;"!y2:y709"),MATCH($A662,INDIRECT(""&amp;$B662&amp;"!B2:B709"),0))</f>
        <v>-108.783</v>
      </c>
      <c r="O662" s="217" t="str">
        <f ca="1">IF(INDEX(INDIRECT(""&amp;$B662&amp;"!V2:V700"),MATCH($A662,INDIRECT(""&amp;$B662&amp;"!B2:B700"),0))=0,"",INDEX(INDIRECT(""&amp;$B662&amp;"!V2:V700"),MATCH($A662,INDIRECT(""&amp;$B662&amp;"!B2:B700"),0)))</f>
        <v/>
      </c>
    </row>
    <row r="663" spans="1:15" x14ac:dyDescent="0.25">
      <c r="A663" s="195" t="s">
        <v>409</v>
      </c>
      <c r="B663" s="195" t="s">
        <v>33</v>
      </c>
      <c r="C663" s="195">
        <f ca="1">IFERROR(INDEX(BYEs!$B$2:$B$33,MATCH(D663,BYEs!$A$2:$A$33,0)),"N/A")</f>
        <v>8</v>
      </c>
      <c r="D663" s="195" t="str">
        <f ca="1">INDEX(INDIRECT(""&amp;B663&amp;"!E2:E700"),MATCH(A663,INDIRECT(""&amp;B663&amp;"!B2:B700"),0))</f>
        <v>TEN</v>
      </c>
      <c r="E663" s="194" t="str">
        <f ca="1">INDEX(INDIRECT(""&amp;$B663&amp;"!Z2:Z709"),MATCH($A663,INDIRECT(""&amp;$B663&amp;"!B2:B709"),0))</f>
        <v>QB7</v>
      </c>
      <c r="F663" s="196">
        <f ca="1">IF(LeagueInfo!$H$7="Starter/Bench",INDEX(INDIRECT(""&amp;B663&amp;"!S2:S709"),MATCH(A663,INDIRECT(""&amp;B663&amp;"!B2:B709"),0)),INDEX(INDIRECT(""&amp;B663&amp;"!AA2:AA709"),MATCH(A663,INDIRECT(""&amp;B663&amp;"!B2:B709"),0)))</f>
        <v>-52.351876655605786</v>
      </c>
      <c r="G663" s="197">
        <f>IF(H663&gt;0,F663-H663,0)</f>
        <v>0</v>
      </c>
      <c r="H663" s="198"/>
      <c r="I663" s="197">
        <f ca="1">F663*$A$2</f>
        <v>-52.351876655605786</v>
      </c>
      <c r="J663" s="197" t="s">
        <v>80</v>
      </c>
      <c r="K663" s="197">
        <f>IF(LeagueInfo!$F$7="Yahoo",IFERROR(INDEX(DefaultAuctionValues!$B$2:$B$359,MATCH(A663,DefaultAuctionValues!$A$2:$A$359,0)),0),IF(LeagueInfo!$F$7="ESPN",IFERROR(INDEX(DefaultAuctionValues!$C$2:$C$359,MATCH(A663,DefaultAuctionValues!$A$2:$A$359,0)),0),IF(LeagueInfo!$F$7="FantasyPros",IFERROR(INDEX(DefaultAuctionValues!$D$2:$D$359,MATCH(A663,DefaultAuctionValues!$A$2:$A$359,0)),0))))</f>
        <v>0</v>
      </c>
      <c r="L663" s="197">
        <f ca="1">I663-K663</f>
        <v>-52.351876655605786</v>
      </c>
      <c r="M663" s="213"/>
      <c r="N663" s="208">
        <f ca="1">INDEX(INDIRECT(""&amp;$B663&amp;"!y2:y709"),MATCH($A663,INDIRECT(""&amp;$B663&amp;"!B2:B709"),0))</f>
        <v>-109.29600000000001</v>
      </c>
      <c r="O663" s="217" t="str">
        <f ca="1">IF(INDEX(INDIRECT(""&amp;$B663&amp;"!V2:V700"),MATCH($A663,INDIRECT(""&amp;$B663&amp;"!B2:B700"),0))=0,"",INDEX(INDIRECT(""&amp;$B663&amp;"!V2:V700"),MATCH($A663,INDIRECT(""&amp;$B663&amp;"!B2:B700"),0)))</f>
        <v/>
      </c>
    </row>
    <row r="664" spans="1:15" x14ac:dyDescent="0.25">
      <c r="A664" s="195" t="s">
        <v>415</v>
      </c>
      <c r="B664" s="195" t="s">
        <v>33</v>
      </c>
      <c r="C664" s="195">
        <f ca="1">IFERROR(INDEX(BYEs!$B$2:$B$33,MATCH(D664,BYEs!$A$2:$A$33,0)),"N/A")</f>
        <v>9</v>
      </c>
      <c r="D664" s="195" t="str">
        <f ca="1">INDEX(INDIRECT(""&amp;B664&amp;"!E2:E700"),MATCH(A664,INDIRECT(""&amp;B664&amp;"!B2:B700"),0))</f>
        <v>MIN</v>
      </c>
      <c r="E664" s="194" t="str">
        <f ca="1">INDEX(INDIRECT(""&amp;$B664&amp;"!Z2:Z709"),MATCH($A664,INDIRECT(""&amp;$B664&amp;"!B2:B709"),0))</f>
        <v>QB7</v>
      </c>
      <c r="F664" s="196">
        <f ca="1">IF(LeagueInfo!$H$7="Starter/Bench",INDEX(INDIRECT(""&amp;B664&amp;"!S2:S709"),MATCH(A664,INDIRECT(""&amp;B664&amp;"!B2:B709"),0)),INDEX(INDIRECT(""&amp;B664&amp;"!AA2:AA709"),MATCH(A664,INDIRECT(""&amp;B664&amp;"!B2:B709"),0)))</f>
        <v>-52.375826240519963</v>
      </c>
      <c r="G664" s="197">
        <f>IF(H664&gt;0,F664-H664,0)</f>
        <v>0</v>
      </c>
      <c r="H664" s="198"/>
      <c r="I664" s="197">
        <f ca="1">F664*$A$2</f>
        <v>-52.375826240519963</v>
      </c>
      <c r="J664" s="197" t="s">
        <v>80</v>
      </c>
      <c r="K664" s="197">
        <f>IF(LeagueInfo!$F$7="Yahoo",IFERROR(INDEX(DefaultAuctionValues!$B$2:$B$359,MATCH(A664,DefaultAuctionValues!$A$2:$A$359,0)),0),IF(LeagueInfo!$F$7="ESPN",IFERROR(INDEX(DefaultAuctionValues!$C$2:$C$359,MATCH(A664,DefaultAuctionValues!$A$2:$A$359,0)),0),IF(LeagueInfo!$F$7="FantasyPros",IFERROR(INDEX(DefaultAuctionValues!$D$2:$D$359,MATCH(A664,DefaultAuctionValues!$A$2:$A$359,0)),0))))</f>
        <v>0</v>
      </c>
      <c r="L664" s="197">
        <f ca="1">I664-K664</f>
        <v>-52.375826240519963</v>
      </c>
      <c r="M664" s="213"/>
      <c r="N664" s="208">
        <f ca="1">INDEX(INDIRECT(""&amp;$B664&amp;"!y2:y709"),MATCH($A664,INDIRECT(""&amp;$B664&amp;"!B2:B709"),0))</f>
        <v>-109.346</v>
      </c>
      <c r="O664" s="217" t="str">
        <f ca="1">IF(INDEX(INDIRECT(""&amp;$B664&amp;"!V2:V700"),MATCH($A664,INDIRECT(""&amp;$B664&amp;"!B2:B700"),0))=0,"",INDEX(INDIRECT(""&amp;$B664&amp;"!V2:V700"),MATCH($A664,INDIRECT(""&amp;$B664&amp;"!B2:B700"),0)))</f>
        <v/>
      </c>
    </row>
    <row r="665" spans="1:15" x14ac:dyDescent="0.25">
      <c r="A665" s="195" t="s">
        <v>411</v>
      </c>
      <c r="B665" s="195" t="s">
        <v>33</v>
      </c>
      <c r="C665" s="195">
        <f ca="1">IFERROR(INDEX(BYEs!$B$2:$B$33,MATCH(D665,BYEs!$A$2:$A$33,0)),"N/A")</f>
        <v>10</v>
      </c>
      <c r="D665" s="195" t="str">
        <f ca="1">INDEX(INDIRECT(""&amp;B665&amp;"!E2:E700"),MATCH(A665,INDIRECT(""&amp;B665&amp;"!B2:B700"),0))</f>
        <v>PHI</v>
      </c>
      <c r="E665" s="194" t="str">
        <f ca="1">INDEX(INDIRECT(""&amp;$B665&amp;"!Z2:Z709"),MATCH($A665,INDIRECT(""&amp;$B665&amp;"!B2:B709"),0))</f>
        <v>QB7</v>
      </c>
      <c r="F665" s="196">
        <f ca="1">IF(LeagueInfo!$H$7="Starter/Bench",INDEX(INDIRECT(""&amp;B665&amp;"!S2:S709"),MATCH(A665,INDIRECT(""&amp;B665&amp;"!B2:B709"),0)),INDEX(INDIRECT(""&amp;B665&amp;"!AA2:AA709"),MATCH(A665,INDIRECT(""&amp;B665&amp;"!B2:B709"),0)))</f>
        <v>-52.522876691893039</v>
      </c>
      <c r="G665" s="197">
        <f>IF(H665&gt;0,F665-H665,0)</f>
        <v>0</v>
      </c>
      <c r="H665" s="198"/>
      <c r="I665" s="197">
        <f ca="1">F665*$A$2</f>
        <v>-52.522876691893039</v>
      </c>
      <c r="J665" s="197" t="s">
        <v>80</v>
      </c>
      <c r="K665" s="197">
        <f>IF(LeagueInfo!$F$7="Yahoo",IFERROR(INDEX(DefaultAuctionValues!$B$2:$B$359,MATCH(A665,DefaultAuctionValues!$A$2:$A$359,0)),0),IF(LeagueInfo!$F$7="ESPN",IFERROR(INDEX(DefaultAuctionValues!$C$2:$C$359,MATCH(A665,DefaultAuctionValues!$A$2:$A$359,0)),0),IF(LeagueInfo!$F$7="FantasyPros",IFERROR(INDEX(DefaultAuctionValues!$D$2:$D$359,MATCH(A665,DefaultAuctionValues!$A$2:$A$359,0)),0))))</f>
        <v>0</v>
      </c>
      <c r="L665" s="197">
        <f ca="1">I665-K665</f>
        <v>-52.522876691893039</v>
      </c>
      <c r="M665" s="213"/>
      <c r="N665" s="208">
        <f ca="1">INDEX(INDIRECT(""&amp;$B665&amp;"!y2:y709"),MATCH($A665,INDIRECT(""&amp;$B665&amp;"!B2:B709"),0))</f>
        <v>-109.65300000000001</v>
      </c>
      <c r="O665" s="217" t="str">
        <f ca="1">IF(INDEX(INDIRECT(""&amp;$B665&amp;"!V2:V700"),MATCH($A665,INDIRECT(""&amp;$B665&amp;"!B2:B700"),0))=0,"",INDEX(INDIRECT(""&amp;$B665&amp;"!V2:V700"),MATCH($A665,INDIRECT(""&amp;$B665&amp;"!B2:B700"),0)))</f>
        <v/>
      </c>
    </row>
    <row r="666" spans="1:15" x14ac:dyDescent="0.25">
      <c r="A666" s="195" t="s">
        <v>412</v>
      </c>
      <c r="B666" s="195" t="s">
        <v>33</v>
      </c>
      <c r="C666" s="195">
        <f ca="1">IFERROR(INDEX(BYEs!$B$2:$B$33,MATCH(D666,BYEs!$A$2:$A$33,0)),"N/A")</f>
        <v>8</v>
      </c>
      <c r="D666" s="195" t="str">
        <f ca="1">INDEX(INDIRECT(""&amp;B666&amp;"!E2:E700"),MATCH(A666,INDIRECT(""&amp;B666&amp;"!B2:B700"),0))</f>
        <v>GB</v>
      </c>
      <c r="E666" s="194" t="str">
        <f ca="1">INDEX(INDIRECT(""&amp;$B666&amp;"!Z2:Z709"),MATCH($A666,INDIRECT(""&amp;$B666&amp;"!B2:B709"),0))</f>
        <v>QB7</v>
      </c>
      <c r="F666" s="196">
        <f ca="1">IF(LeagueInfo!$H$7="Starter/Bench",INDEX(INDIRECT(""&amp;B666&amp;"!S2:S709"),MATCH(A666,INDIRECT(""&amp;B666&amp;"!B2:B709"),0)),INDEX(INDIRECT(""&amp;B666&amp;"!AA2:AA709"),MATCH(A666,INDIRECT(""&amp;B666&amp;"!B2:B709"),0)))</f>
        <v>-52.567901911531692</v>
      </c>
      <c r="G666" s="197">
        <f>IF(H666&gt;0,F666-H666,0)</f>
        <v>0</v>
      </c>
      <c r="H666" s="198"/>
      <c r="I666" s="197">
        <f ca="1">F666*$A$2</f>
        <v>-52.567901911531692</v>
      </c>
      <c r="J666" s="197" t="s">
        <v>80</v>
      </c>
      <c r="K666" s="197">
        <f>IF(LeagueInfo!$F$7="Yahoo",IFERROR(INDEX(DefaultAuctionValues!$B$2:$B$359,MATCH(A666,DefaultAuctionValues!$A$2:$A$359,0)),0),IF(LeagueInfo!$F$7="ESPN",IFERROR(INDEX(DefaultAuctionValues!$C$2:$C$359,MATCH(A666,DefaultAuctionValues!$A$2:$A$359,0)),0),IF(LeagueInfo!$F$7="FantasyPros",IFERROR(INDEX(DefaultAuctionValues!$D$2:$D$359,MATCH(A666,DefaultAuctionValues!$A$2:$A$359,0)),0))))</f>
        <v>0</v>
      </c>
      <c r="L666" s="197">
        <f ca="1">I666-K666</f>
        <v>-52.567901911531692</v>
      </c>
      <c r="M666" s="213"/>
      <c r="N666" s="208">
        <f ca="1">INDEX(INDIRECT(""&amp;$B666&amp;"!y2:y709"),MATCH($A666,INDIRECT(""&amp;$B666&amp;"!B2:B709"),0))</f>
        <v>-109.747</v>
      </c>
      <c r="O666" s="217" t="str">
        <f ca="1">IF(INDEX(INDIRECT(""&amp;$B666&amp;"!V2:V700"),MATCH($A666,INDIRECT(""&amp;$B666&amp;"!B2:B700"),0))=0,"",INDEX(INDIRECT(""&amp;$B666&amp;"!V2:V700"),MATCH($A666,INDIRECT(""&amp;$B666&amp;"!B2:B700"),0)))</f>
        <v/>
      </c>
    </row>
    <row r="667" spans="1:15" x14ac:dyDescent="0.25">
      <c r="A667" s="195" t="s">
        <v>414</v>
      </c>
      <c r="B667" s="195" t="s">
        <v>33</v>
      </c>
      <c r="C667" s="195">
        <f ca="1">IFERROR(INDEX(BYEs!$B$2:$B$33,MATCH(D667,BYEs!$A$2:$A$33,0)),"N/A")</f>
        <v>8</v>
      </c>
      <c r="D667" s="195" t="str">
        <f ca="1">INDEX(INDIRECT(""&amp;B667&amp;"!E2:E700"),MATCH(A667,INDIRECT(""&amp;B667&amp;"!B2:B700"),0))</f>
        <v>NYG</v>
      </c>
      <c r="E667" s="194" t="str">
        <f ca="1">INDEX(INDIRECT(""&amp;$B667&amp;"!Z2:Z709"),MATCH($A667,INDIRECT(""&amp;$B667&amp;"!B2:B709"),0))</f>
        <v>QB7</v>
      </c>
      <c r="F667" s="196">
        <f ca="1">IF(LeagueInfo!$H$7="Starter/Bench",INDEX(INDIRECT(""&amp;B667&amp;"!S2:S709"),MATCH(A667,INDIRECT(""&amp;B667&amp;"!B2:B709"),0)),INDEX(INDIRECT(""&amp;B667&amp;"!AA2:AA709"),MATCH(A667,INDIRECT(""&amp;B667&amp;"!B2:B709"),0)))</f>
        <v>-52.585624604368192</v>
      </c>
      <c r="G667" s="197">
        <f>IF(H667&gt;0,F667-H667,0)</f>
        <v>0</v>
      </c>
      <c r="H667" s="198"/>
      <c r="I667" s="197">
        <f ca="1">F667*$A$2</f>
        <v>-52.585624604368192</v>
      </c>
      <c r="J667" s="197" t="s">
        <v>80</v>
      </c>
      <c r="K667" s="197">
        <f>IF(LeagueInfo!$F$7="Yahoo",IFERROR(INDEX(DefaultAuctionValues!$B$2:$B$359,MATCH(A667,DefaultAuctionValues!$A$2:$A$359,0)),0),IF(LeagueInfo!$F$7="ESPN",IFERROR(INDEX(DefaultAuctionValues!$C$2:$C$359,MATCH(A667,DefaultAuctionValues!$A$2:$A$359,0)),0),IF(LeagueInfo!$F$7="FantasyPros",IFERROR(INDEX(DefaultAuctionValues!$D$2:$D$359,MATCH(A667,DefaultAuctionValues!$A$2:$A$359,0)),0))))</f>
        <v>0</v>
      </c>
      <c r="L667" s="197">
        <f ca="1">I667-K667</f>
        <v>-52.585624604368192</v>
      </c>
      <c r="M667" s="213"/>
      <c r="N667" s="208">
        <f ca="1">INDEX(INDIRECT(""&amp;$B667&amp;"!y2:y709"),MATCH($A667,INDIRECT(""&amp;$B667&amp;"!B2:B709"),0))</f>
        <v>-109.78400000000001</v>
      </c>
      <c r="O667" s="217" t="str">
        <f ca="1">IF(INDEX(INDIRECT(""&amp;$B667&amp;"!V2:V700"),MATCH($A667,INDIRECT(""&amp;$B667&amp;"!B2:B700"),0))=0,"",INDEX(INDIRECT(""&amp;$B667&amp;"!V2:V700"),MATCH($A667,INDIRECT(""&amp;$B667&amp;"!B2:B700"),0)))</f>
        <v/>
      </c>
    </row>
    <row r="668" spans="1:15" x14ac:dyDescent="0.25">
      <c r="A668" s="195" t="s">
        <v>413</v>
      </c>
      <c r="B668" s="195" t="s">
        <v>33</v>
      </c>
      <c r="C668" s="195">
        <f ca="1">IFERROR(INDEX(BYEs!$B$2:$B$33,MATCH(D668,BYEs!$A$2:$A$33,0)),"N/A")</f>
        <v>6</v>
      </c>
      <c r="D668" s="195" t="str">
        <f ca="1">INDEX(INDIRECT(""&amp;B668&amp;"!E2:E700"),MATCH(A668,INDIRECT(""&amp;B668&amp;"!B2:B700"),0))</f>
        <v>CIN</v>
      </c>
      <c r="E668" s="194" t="str">
        <f ca="1">INDEX(INDIRECT(""&amp;$B668&amp;"!Z2:Z709"),MATCH($A668,INDIRECT(""&amp;$B668&amp;"!B2:B709"),0))</f>
        <v>QB7</v>
      </c>
      <c r="F668" s="196">
        <f ca="1">IF(LeagueInfo!$H$7="Starter/Bench",INDEX(INDIRECT(""&amp;B668&amp;"!S2:S709"),MATCH(A668,INDIRECT(""&amp;B668&amp;"!B2:B709"),0)),INDEX(INDIRECT(""&amp;B668&amp;"!AA2:AA709"),MATCH(A668,INDIRECT(""&amp;B668&amp;"!B2:B709"),0)))</f>
        <v>-52.622506965136026</v>
      </c>
      <c r="G668" s="197">
        <f>IF(H668&gt;0,F668-H668,0)</f>
        <v>0</v>
      </c>
      <c r="H668" s="198"/>
      <c r="I668" s="197">
        <f ca="1">F668*$A$2</f>
        <v>-52.622506965136026</v>
      </c>
      <c r="J668" s="197" t="s">
        <v>80</v>
      </c>
      <c r="K668" s="197">
        <f>IF(LeagueInfo!$F$7="Yahoo",IFERROR(INDEX(DefaultAuctionValues!$B$2:$B$359,MATCH(A668,DefaultAuctionValues!$A$2:$A$359,0)),0),IF(LeagueInfo!$F$7="ESPN",IFERROR(INDEX(DefaultAuctionValues!$C$2:$C$359,MATCH(A668,DefaultAuctionValues!$A$2:$A$359,0)),0),IF(LeagueInfo!$F$7="FantasyPros",IFERROR(INDEX(DefaultAuctionValues!$D$2:$D$359,MATCH(A668,DefaultAuctionValues!$A$2:$A$359,0)),0))))</f>
        <v>0</v>
      </c>
      <c r="L668" s="197">
        <f ca="1">I668-K668</f>
        <v>-52.622506965136026</v>
      </c>
      <c r="M668" s="213"/>
      <c r="N668" s="208">
        <f ca="1">INDEX(INDIRECT(""&amp;$B668&amp;"!y2:y709"),MATCH($A668,INDIRECT(""&amp;$B668&amp;"!B2:B709"),0))</f>
        <v>-109.861</v>
      </c>
      <c r="O668" s="217" t="str">
        <f ca="1">IF(INDEX(INDIRECT(""&amp;$B668&amp;"!V2:V700"),MATCH($A668,INDIRECT(""&amp;$B668&amp;"!B2:B700"),0))=0,"",INDEX(INDIRECT(""&amp;$B668&amp;"!V2:V700"),MATCH($A668,INDIRECT(""&amp;$B668&amp;"!B2:B700"),0)))</f>
        <v/>
      </c>
    </row>
    <row r="669" spans="1:15" x14ac:dyDescent="0.25">
      <c r="A669" s="195" t="s">
        <v>416</v>
      </c>
      <c r="B669" s="195" t="s">
        <v>33</v>
      </c>
      <c r="C669" s="195">
        <f ca="1">IFERROR(INDEX(BYEs!$B$2:$B$33,MATCH(D669,BYEs!$A$2:$A$33,0)),"N/A")</f>
        <v>9</v>
      </c>
      <c r="D669" s="195" t="str">
        <f ca="1">INDEX(INDIRECT(""&amp;B669&amp;"!E2:E700"),MATCH(A669,INDIRECT(""&amp;B669&amp;"!B2:B700"),0))</f>
        <v>NE</v>
      </c>
      <c r="E669" s="194" t="str">
        <f ca="1">INDEX(INDIRECT(""&amp;$B669&amp;"!Z2:Z709"),MATCH($A669,INDIRECT(""&amp;$B669&amp;"!B2:B709"),0))</f>
        <v>QB7</v>
      </c>
      <c r="F669" s="196">
        <f ca="1">IF(LeagueInfo!$H$7="Starter/Bench",INDEX(INDIRECT(""&amp;B669&amp;"!S2:S709"),MATCH(A669,INDIRECT(""&amp;B669&amp;"!B2:B709"),0)),INDEX(INDIRECT(""&amp;B669&amp;"!AA2:AA709"),MATCH(A669,INDIRECT(""&amp;B669&amp;"!B2:B709"),0)))</f>
        <v>-52.667053193076406</v>
      </c>
      <c r="G669" s="197">
        <f>IF(H669&gt;0,F669-H669,0)</f>
        <v>0</v>
      </c>
      <c r="H669" s="198"/>
      <c r="I669" s="197">
        <f ca="1">F669*$A$2</f>
        <v>-52.667053193076406</v>
      </c>
      <c r="J669" s="197" t="s">
        <v>80</v>
      </c>
      <c r="K669" s="197">
        <f>IF(LeagueInfo!$F$7="Yahoo",IFERROR(INDEX(DefaultAuctionValues!$B$2:$B$359,MATCH(A669,DefaultAuctionValues!$A$2:$A$359,0)),0),IF(LeagueInfo!$F$7="ESPN",IFERROR(INDEX(DefaultAuctionValues!$C$2:$C$359,MATCH(A669,DefaultAuctionValues!$A$2:$A$359,0)),0),IF(LeagueInfo!$F$7="FantasyPros",IFERROR(INDEX(DefaultAuctionValues!$D$2:$D$359,MATCH(A669,DefaultAuctionValues!$A$2:$A$359,0)),0))))</f>
        <v>0</v>
      </c>
      <c r="L669" s="197">
        <f ca="1">I669-K669</f>
        <v>-52.667053193076406</v>
      </c>
      <c r="M669" s="213"/>
      <c r="N669" s="208">
        <f ca="1">INDEX(INDIRECT(""&amp;$B669&amp;"!y2:y709"),MATCH($A669,INDIRECT(""&amp;$B669&amp;"!B2:B709"),0))</f>
        <v>-109.95400000000001</v>
      </c>
      <c r="O669" s="217" t="str">
        <f ca="1">IF(INDEX(INDIRECT(""&amp;$B669&amp;"!V2:V700"),MATCH($A669,INDIRECT(""&amp;$B669&amp;"!B2:B700"),0))=0,"",INDEX(INDIRECT(""&amp;$B669&amp;"!V2:V700"),MATCH($A669,INDIRECT(""&amp;$B669&amp;"!B2:B700"),0)))</f>
        <v/>
      </c>
    </row>
    <row r="670" spans="1:15" x14ac:dyDescent="0.25">
      <c r="A670" s="195" t="s">
        <v>419</v>
      </c>
      <c r="B670" s="195" t="s">
        <v>33</v>
      </c>
      <c r="C670" s="195">
        <f ca="1">IFERROR(INDEX(BYEs!$B$2:$B$33,MATCH(D670,BYEs!$A$2:$A$33,0)),"N/A")</f>
        <v>6</v>
      </c>
      <c r="D670" s="195" t="str">
        <f ca="1">INDEX(INDIRECT(""&amp;B670&amp;"!E2:E700"),MATCH(A670,INDIRECT(""&amp;B670&amp;"!B2:B700"),0))</f>
        <v>SEA</v>
      </c>
      <c r="E670" s="194" t="str">
        <f ca="1">INDEX(INDIRECT(""&amp;$B670&amp;"!Z2:Z709"),MATCH($A670,INDIRECT(""&amp;$B670&amp;"!B2:B709"),0))</f>
        <v>QB7</v>
      </c>
      <c r="F670" s="196">
        <f ca="1">IF(LeagueInfo!$H$7="Starter/Bench",INDEX(INDIRECT(""&amp;B670&amp;"!S2:S709"),MATCH(A670,INDIRECT(""&amp;B670&amp;"!B2:B709"),0)),INDEX(INDIRECT(""&amp;B670&amp;"!AA2:AA709"),MATCH(A670,INDIRECT(""&amp;B670&amp;"!B2:B709"),0)))</f>
        <v>-52.703935553844239</v>
      </c>
      <c r="G670" s="197">
        <f>IF(H670&gt;0,F670-H670,0)</f>
        <v>0</v>
      </c>
      <c r="H670" s="198"/>
      <c r="I670" s="197">
        <f ca="1">F670*$A$2</f>
        <v>-52.703935553844239</v>
      </c>
      <c r="J670" s="197" t="s">
        <v>80</v>
      </c>
      <c r="K670" s="197">
        <f>IF(LeagueInfo!$F$7="Yahoo",IFERROR(INDEX(DefaultAuctionValues!$B$2:$B$359,MATCH(A670,DefaultAuctionValues!$A$2:$A$359,0)),0),IF(LeagueInfo!$F$7="ESPN",IFERROR(INDEX(DefaultAuctionValues!$C$2:$C$359,MATCH(A670,DefaultAuctionValues!$A$2:$A$359,0)),0),IF(LeagueInfo!$F$7="FantasyPros",IFERROR(INDEX(DefaultAuctionValues!$D$2:$D$359,MATCH(A670,DefaultAuctionValues!$A$2:$A$359,0)),0))))</f>
        <v>0</v>
      </c>
      <c r="L670" s="197">
        <f ca="1">I670-K670</f>
        <v>-52.703935553844239</v>
      </c>
      <c r="M670" s="213"/>
      <c r="N670" s="208">
        <f ca="1">INDEX(INDIRECT(""&amp;$B670&amp;"!y2:y709"),MATCH($A670,INDIRECT(""&amp;$B670&amp;"!B2:B709"),0))</f>
        <v>-110.03100000000001</v>
      </c>
      <c r="O670" s="217" t="str">
        <f ca="1">IF(INDEX(INDIRECT(""&amp;$B670&amp;"!V2:V700"),MATCH($A670,INDIRECT(""&amp;$B670&amp;"!B2:B700"),0))=0,"",INDEX(INDIRECT(""&amp;$B670&amp;"!V2:V700"),MATCH($A670,INDIRECT(""&amp;$B670&amp;"!B2:B700"),0)))</f>
        <v/>
      </c>
    </row>
    <row r="671" spans="1:15" x14ac:dyDescent="0.25">
      <c r="A671" s="195" t="s">
        <v>418</v>
      </c>
      <c r="B671" s="195" t="s">
        <v>33</v>
      </c>
      <c r="C671" s="195">
        <f ca="1">IFERROR(INDEX(BYEs!$B$2:$B$33,MATCH(D671,BYEs!$A$2:$A$33,0)),"N/A")</f>
        <v>9</v>
      </c>
      <c r="D671" s="195" t="str">
        <f ca="1">INDEX(INDIRECT(""&amp;B671&amp;"!E2:E700"),MATCH(A671,INDIRECT(""&amp;B671&amp;"!B2:B700"),0))</f>
        <v>LAC</v>
      </c>
      <c r="E671" s="194" t="str">
        <f ca="1">INDEX(INDIRECT(""&amp;$B671&amp;"!Z2:Z709"),MATCH($A671,INDIRECT(""&amp;$B671&amp;"!B2:B709"),0))</f>
        <v>QB7</v>
      </c>
      <c r="F671" s="196">
        <f ca="1">IF(LeagueInfo!$H$7="Starter/Bench",INDEX(INDIRECT(""&amp;B671&amp;"!S2:S709"),MATCH(A671,INDIRECT(""&amp;B671&amp;"!B2:B709"),0)),INDEX(INDIRECT(""&amp;B671&amp;"!AA2:AA709"),MATCH(A671,INDIRECT(""&amp;B671&amp;"!B2:B709"),0)))</f>
        <v>-52.758061615750293</v>
      </c>
      <c r="G671" s="197">
        <f>IF(H671&gt;0,F671-H671,0)</f>
        <v>0</v>
      </c>
      <c r="H671" s="198"/>
      <c r="I671" s="197">
        <f ca="1">F671*$A$2</f>
        <v>-52.758061615750293</v>
      </c>
      <c r="J671" s="197" t="s">
        <v>80</v>
      </c>
      <c r="K671" s="197">
        <f>IF(LeagueInfo!$F$7="Yahoo",IFERROR(INDEX(DefaultAuctionValues!$B$2:$B$359,MATCH(A671,DefaultAuctionValues!$A$2:$A$359,0)),0),IF(LeagueInfo!$F$7="ESPN",IFERROR(INDEX(DefaultAuctionValues!$C$2:$C$359,MATCH(A671,DefaultAuctionValues!$A$2:$A$359,0)),0),IF(LeagueInfo!$F$7="FantasyPros",IFERROR(INDEX(DefaultAuctionValues!$D$2:$D$359,MATCH(A671,DefaultAuctionValues!$A$2:$A$359,0)),0))))</f>
        <v>0</v>
      </c>
      <c r="L671" s="197">
        <f ca="1">I671-K671</f>
        <v>-52.758061615750293</v>
      </c>
      <c r="M671" s="213"/>
      <c r="N671" s="208">
        <f ca="1">INDEX(INDIRECT(""&amp;$B671&amp;"!y2:y709"),MATCH($A671,INDIRECT(""&amp;$B671&amp;"!B2:B709"),0))</f>
        <v>-110.14400000000001</v>
      </c>
      <c r="O671" s="217" t="str">
        <f ca="1">IF(INDEX(INDIRECT(""&amp;$B671&amp;"!V2:V700"),MATCH($A671,INDIRECT(""&amp;$B671&amp;"!B2:B700"),0))=0,"",INDEX(INDIRECT(""&amp;$B671&amp;"!V2:V700"),MATCH($A671,INDIRECT(""&amp;$B671&amp;"!B2:B700"),0)))</f>
        <v/>
      </c>
    </row>
    <row r="672" spans="1:15" x14ac:dyDescent="0.25">
      <c r="A672" s="195" t="s">
        <v>420</v>
      </c>
      <c r="B672" s="195" t="s">
        <v>33</v>
      </c>
      <c r="C672" s="195">
        <f ca="1">IFERROR(INDEX(BYEs!$B$2:$B$33,MATCH(D672,BYEs!$A$2:$A$33,0)),"N/A")</f>
        <v>5</v>
      </c>
      <c r="D672" s="195" t="str">
        <f ca="1">INDEX(INDIRECT(""&amp;B672&amp;"!E2:E700"),MATCH(A672,INDIRECT(""&amp;B672&amp;"!B2:B700"),0))</f>
        <v>WAS</v>
      </c>
      <c r="E672" s="194" t="str">
        <f ca="1">INDEX(INDIRECT(""&amp;$B672&amp;"!Z2:Z709"),MATCH($A672,INDIRECT(""&amp;$B672&amp;"!B2:B709"),0))</f>
        <v>QB7</v>
      </c>
      <c r="F672" s="196">
        <f ca="1">IF(LeagueInfo!$H$7="Starter/Bench",INDEX(INDIRECT(""&amp;B672&amp;"!S2:S709"),MATCH(A672,INDIRECT(""&amp;B672&amp;"!B2:B709"),0)),INDEX(INDIRECT(""&amp;B672&amp;"!AA2:AA709"),MATCH(A672,INDIRECT(""&amp;B672&amp;"!B2:B709"),0)))</f>
        <v>-52.830389362191113</v>
      </c>
      <c r="G672" s="197">
        <f>IF(H672&gt;0,F672-H672,0)</f>
        <v>0</v>
      </c>
      <c r="H672" s="198"/>
      <c r="I672" s="197">
        <f ca="1">F672*$A$2</f>
        <v>-52.830389362191113</v>
      </c>
      <c r="J672" s="197" t="s">
        <v>80</v>
      </c>
      <c r="K672" s="197">
        <f>IF(LeagueInfo!$F$7="Yahoo",IFERROR(INDEX(DefaultAuctionValues!$B$2:$B$359,MATCH(A672,DefaultAuctionValues!$A$2:$A$359,0)),0),IF(LeagueInfo!$F$7="ESPN",IFERROR(INDEX(DefaultAuctionValues!$C$2:$C$359,MATCH(A672,DefaultAuctionValues!$A$2:$A$359,0)),0),IF(LeagueInfo!$F$7="FantasyPros",IFERROR(INDEX(DefaultAuctionValues!$D$2:$D$359,MATCH(A672,DefaultAuctionValues!$A$2:$A$359,0)),0))))</f>
        <v>0</v>
      </c>
      <c r="L672" s="197">
        <f ca="1">I672-K672</f>
        <v>-52.830389362191113</v>
      </c>
      <c r="M672" s="213"/>
      <c r="N672" s="208">
        <f ca="1">INDEX(INDIRECT(""&amp;$B672&amp;"!y2:y709"),MATCH($A672,INDIRECT(""&amp;$B672&amp;"!B2:B709"),0))</f>
        <v>-110.295</v>
      </c>
      <c r="O672" s="217" t="str">
        <f ca="1">IF(INDEX(INDIRECT(""&amp;$B672&amp;"!V2:V700"),MATCH($A672,INDIRECT(""&amp;$B672&amp;"!B2:B700"),0))=0,"",INDEX(INDIRECT(""&amp;$B672&amp;"!V2:V700"),MATCH($A672,INDIRECT(""&amp;$B672&amp;"!B2:B700"),0)))</f>
        <v/>
      </c>
    </row>
    <row r="673" spans="1:15" x14ac:dyDescent="0.25">
      <c r="A673" s="195" t="s">
        <v>417</v>
      </c>
      <c r="B673" s="195" t="s">
        <v>33</v>
      </c>
      <c r="C673" s="195">
        <f ca="1">IFERROR(INDEX(BYEs!$B$2:$B$33,MATCH(D673,BYEs!$A$2:$A$33,0)),"N/A")</f>
        <v>10</v>
      </c>
      <c r="D673" s="195" t="str">
        <f ca="1">INDEX(INDIRECT(""&amp;B673&amp;"!E2:E700"),MATCH(A673,INDIRECT(""&amp;B673&amp;"!B2:B700"),0))</f>
        <v>BAL</v>
      </c>
      <c r="E673" s="194" t="str">
        <f ca="1">INDEX(INDIRECT(""&amp;$B673&amp;"!Z2:Z709"),MATCH($A673,INDIRECT(""&amp;$B673&amp;"!B2:B709"),0))</f>
        <v>QB7</v>
      </c>
      <c r="F673" s="196">
        <f ca="1">IF(LeagueInfo!$H$7="Starter/Bench",INDEX(INDIRECT(""&amp;B673&amp;"!S2:S709"),MATCH(A673,INDIRECT(""&amp;B673&amp;"!B2:B709"),0)),INDEX(INDIRECT(""&amp;B673&amp;"!AA2:AA709"),MATCH(A673,INDIRECT(""&amp;B673&amp;"!B2:B709"),0)))</f>
        <v>-52.928582660339252</v>
      </c>
      <c r="G673" s="197">
        <f>IF(H673&gt;0,F673-H673,0)</f>
        <v>0</v>
      </c>
      <c r="H673" s="198"/>
      <c r="I673" s="197">
        <f ca="1">F673*$A$2</f>
        <v>-52.928582660339252</v>
      </c>
      <c r="J673" s="197" t="s">
        <v>80</v>
      </c>
      <c r="K673" s="197">
        <f>IF(LeagueInfo!$F$7="Yahoo",IFERROR(INDEX(DefaultAuctionValues!$B$2:$B$359,MATCH(A673,DefaultAuctionValues!$A$2:$A$359,0)),0),IF(LeagueInfo!$F$7="ESPN",IFERROR(INDEX(DefaultAuctionValues!$C$2:$C$359,MATCH(A673,DefaultAuctionValues!$A$2:$A$359,0)),0),IF(LeagueInfo!$F$7="FantasyPros",IFERROR(INDEX(DefaultAuctionValues!$D$2:$D$359,MATCH(A673,DefaultAuctionValues!$A$2:$A$359,0)),0))))</f>
        <v>0</v>
      </c>
      <c r="L673" s="197">
        <f ca="1">I673-K673</f>
        <v>-52.928582660339252</v>
      </c>
      <c r="M673" s="213"/>
      <c r="N673" s="208">
        <f ca="1">INDEX(INDIRECT(""&amp;$B673&amp;"!y2:y709"),MATCH($A673,INDIRECT(""&amp;$B673&amp;"!B2:B709"),0))</f>
        <v>-110.5</v>
      </c>
      <c r="O673" s="217" t="str">
        <f ca="1">IF(INDEX(INDIRECT(""&amp;$B673&amp;"!V2:V700"),MATCH($A673,INDIRECT(""&amp;$B673&amp;"!B2:B700"),0))=0,"",INDEX(INDIRECT(""&amp;$B673&amp;"!V2:V700"),MATCH($A673,INDIRECT(""&amp;$B673&amp;"!B2:B700"),0)))</f>
        <v/>
      </c>
    </row>
    <row r="674" spans="1:15" x14ac:dyDescent="0.25">
      <c r="A674" s="195" t="s">
        <v>426</v>
      </c>
      <c r="B674" s="195" t="s">
        <v>33</v>
      </c>
      <c r="C674" s="195">
        <f ca="1">IFERROR(INDEX(BYEs!$B$2:$B$33,MATCH(D674,BYEs!$A$2:$A$33,0)),"N/A")</f>
        <v>11</v>
      </c>
      <c r="D674" s="195" t="str">
        <f ca="1">INDEX(INDIRECT(""&amp;B674&amp;"!E2:E700"),MATCH(A674,INDIRECT(""&amp;B674&amp;"!B2:B700"),0))</f>
        <v>TB</v>
      </c>
      <c r="E674" s="194" t="str">
        <f ca="1">INDEX(INDIRECT(""&amp;$B674&amp;"!Z2:Z709"),MATCH($A674,INDIRECT(""&amp;$B674&amp;"!B2:B709"),0))</f>
        <v>QB7</v>
      </c>
      <c r="F674" s="196">
        <f ca="1">IF(LeagueInfo!$H$7="Starter/Bench",INDEX(INDIRECT(""&amp;B674&amp;"!S2:S709"),MATCH(A674,INDIRECT(""&amp;B674&amp;"!B2:B709"),0)),INDEX(INDIRECT(""&amp;B674&amp;"!AA2:AA709"),MATCH(A674,INDIRECT(""&amp;B674&amp;"!B2:B709"),0)))</f>
        <v>-53.052641510194711</v>
      </c>
      <c r="G674" s="197">
        <f>IF(H674&gt;0,F674-H674,0)</f>
        <v>0</v>
      </c>
      <c r="H674" s="198"/>
      <c r="I674" s="197">
        <f ca="1">F674*$A$2</f>
        <v>-53.052641510194711</v>
      </c>
      <c r="J674" s="197" t="s">
        <v>80</v>
      </c>
      <c r="K674" s="197">
        <f>IF(LeagueInfo!$F$7="Yahoo",IFERROR(INDEX(DefaultAuctionValues!$B$2:$B$359,MATCH(A674,DefaultAuctionValues!$A$2:$A$359,0)),0),IF(LeagueInfo!$F$7="ESPN",IFERROR(INDEX(DefaultAuctionValues!$C$2:$C$359,MATCH(A674,DefaultAuctionValues!$A$2:$A$359,0)),0),IF(LeagueInfo!$F$7="FantasyPros",IFERROR(INDEX(DefaultAuctionValues!$D$2:$D$359,MATCH(A674,DefaultAuctionValues!$A$2:$A$359,0)),0))))</f>
        <v>0</v>
      </c>
      <c r="L674" s="197">
        <f ca="1">I674-K674</f>
        <v>-53.052641510194711</v>
      </c>
      <c r="M674" s="213"/>
      <c r="N674" s="208">
        <f ca="1">INDEX(INDIRECT(""&amp;$B674&amp;"!y2:y709"),MATCH($A674,INDIRECT(""&amp;$B674&amp;"!B2:B709"),0))</f>
        <v>-110.759</v>
      </c>
      <c r="O674" s="217" t="str">
        <f ca="1">IF(INDEX(INDIRECT(""&amp;$B674&amp;"!V2:V700"),MATCH($A674,INDIRECT(""&amp;$B674&amp;"!B2:B700"),0))=0,"",INDEX(INDIRECT(""&amp;$B674&amp;"!V2:V700"),MATCH($A674,INDIRECT(""&amp;$B674&amp;"!B2:B700"),0)))</f>
        <v/>
      </c>
    </row>
    <row r="675" spans="1:15" x14ac:dyDescent="0.25">
      <c r="A675" s="195" t="s">
        <v>424</v>
      </c>
      <c r="B675" s="195" t="s">
        <v>33</v>
      </c>
      <c r="C675" s="195">
        <f ca="1">IFERROR(INDEX(BYEs!$B$2:$B$33,MATCH(D675,BYEs!$A$2:$A$33,0)),"N/A")</f>
        <v>9</v>
      </c>
      <c r="D675" s="195" t="str">
        <f ca="1">INDEX(INDIRECT(""&amp;B675&amp;"!E2:E700"),MATCH(A675,INDIRECT(""&amp;B675&amp;"!B2:B700"),0))</f>
        <v>LAC</v>
      </c>
      <c r="E675" s="194" t="str">
        <f ca="1">INDEX(INDIRECT(""&amp;$B675&amp;"!Z2:Z709"),MATCH($A675,INDIRECT(""&amp;$B675&amp;"!B2:B709"),0))</f>
        <v>QB7</v>
      </c>
      <c r="F675" s="196">
        <f ca="1">IF(LeagueInfo!$H$7="Starter/Bench",INDEX(INDIRECT(""&amp;B675&amp;"!S2:S709"),MATCH(A675,INDIRECT(""&amp;B675&amp;"!B2:B709"),0)),INDEX(INDIRECT(""&amp;B675&amp;"!AA2:AA709"),MATCH(A675,INDIRECT(""&amp;B675&amp;"!B2:B709"),0)))</f>
        <v>-53.072759161522619</v>
      </c>
      <c r="G675" s="197">
        <f>IF(H675&gt;0,F675-H675,0)</f>
        <v>0</v>
      </c>
      <c r="H675" s="198"/>
      <c r="I675" s="197">
        <f ca="1">F675*$A$2</f>
        <v>-53.072759161522619</v>
      </c>
      <c r="J675" s="197" t="s">
        <v>80</v>
      </c>
      <c r="K675" s="197">
        <f>IF(LeagueInfo!$F$7="Yahoo",IFERROR(INDEX(DefaultAuctionValues!$B$2:$B$359,MATCH(A675,DefaultAuctionValues!$A$2:$A$359,0)),0),IF(LeagueInfo!$F$7="ESPN",IFERROR(INDEX(DefaultAuctionValues!$C$2:$C$359,MATCH(A675,DefaultAuctionValues!$A$2:$A$359,0)),0),IF(LeagueInfo!$F$7="FantasyPros",IFERROR(INDEX(DefaultAuctionValues!$D$2:$D$359,MATCH(A675,DefaultAuctionValues!$A$2:$A$359,0)),0))))</f>
        <v>0</v>
      </c>
      <c r="L675" s="197">
        <f ca="1">I675-K675</f>
        <v>-53.072759161522619</v>
      </c>
      <c r="M675" s="213"/>
      <c r="N675" s="208">
        <f ca="1">INDEX(INDIRECT(""&amp;$B675&amp;"!y2:y709"),MATCH($A675,INDIRECT(""&amp;$B675&amp;"!B2:B709"),0))</f>
        <v>-110.801</v>
      </c>
      <c r="O675" s="217" t="str">
        <f ca="1">IF(INDEX(INDIRECT(""&amp;$B675&amp;"!V2:V700"),MATCH($A675,INDIRECT(""&amp;$B675&amp;"!B2:B700"),0))=0,"",INDEX(INDIRECT(""&amp;$B675&amp;"!V2:V700"),MATCH($A675,INDIRECT(""&amp;$B675&amp;"!B2:B700"),0)))</f>
        <v/>
      </c>
    </row>
    <row r="676" spans="1:15" x14ac:dyDescent="0.25">
      <c r="A676" s="195" t="s">
        <v>425</v>
      </c>
      <c r="B676" s="195" t="s">
        <v>33</v>
      </c>
      <c r="C676" s="195">
        <f ca="1">IFERROR(INDEX(BYEs!$B$2:$B$33,MATCH(D676,BYEs!$A$2:$A$33,0)),"N/A")</f>
        <v>6</v>
      </c>
      <c r="D676" s="195" t="str">
        <f ca="1">INDEX(INDIRECT(""&amp;B676&amp;"!E2:E700"),MATCH(A676,INDIRECT(""&amp;B676&amp;"!B2:B700"),0))</f>
        <v>DAL</v>
      </c>
      <c r="E676" s="194" t="str">
        <f ca="1">INDEX(INDIRECT(""&amp;$B676&amp;"!Z2:Z709"),MATCH($A676,INDIRECT(""&amp;$B676&amp;"!B2:B709"),0))</f>
        <v>QB7</v>
      </c>
      <c r="F676" s="196">
        <f ca="1">IF(LeagueInfo!$H$7="Starter/Bench",INDEX(INDIRECT(""&amp;B676&amp;"!S2:S709"),MATCH(A676,INDIRECT(""&amp;B676&amp;"!B2:B709"),0)),INDEX(INDIRECT(""&amp;B676&amp;"!AA2:AA709"),MATCH(A676,INDIRECT(""&amp;B676&amp;"!B2:B709"),0)))</f>
        <v>-53.113473455876736</v>
      </c>
      <c r="G676" s="197">
        <f>IF(H676&gt;0,F676-H676,0)</f>
        <v>0</v>
      </c>
      <c r="H676" s="198"/>
      <c r="I676" s="197">
        <f ca="1">F676*$A$2</f>
        <v>-53.113473455876736</v>
      </c>
      <c r="J676" s="197" t="s">
        <v>80</v>
      </c>
      <c r="K676" s="197">
        <f>IF(LeagueInfo!$F$7="Yahoo",IFERROR(INDEX(DefaultAuctionValues!$B$2:$B$359,MATCH(A676,DefaultAuctionValues!$A$2:$A$359,0)),0),IF(LeagueInfo!$F$7="ESPN",IFERROR(INDEX(DefaultAuctionValues!$C$2:$C$359,MATCH(A676,DefaultAuctionValues!$A$2:$A$359,0)),0),IF(LeagueInfo!$F$7="FantasyPros",IFERROR(INDEX(DefaultAuctionValues!$D$2:$D$359,MATCH(A676,DefaultAuctionValues!$A$2:$A$359,0)),0))))</f>
        <v>0</v>
      </c>
      <c r="L676" s="197">
        <f ca="1">I676-K676</f>
        <v>-53.113473455876736</v>
      </c>
      <c r="M676" s="213"/>
      <c r="N676" s="208">
        <f ca="1">INDEX(INDIRECT(""&amp;$B676&amp;"!y2:y709"),MATCH($A676,INDIRECT(""&amp;$B676&amp;"!B2:B709"),0))</f>
        <v>-110.88600000000001</v>
      </c>
      <c r="O676" s="217" t="str">
        <f ca="1">IF(INDEX(INDIRECT(""&amp;$B676&amp;"!V2:V700"),MATCH($A676,INDIRECT(""&amp;$B676&amp;"!B2:B700"),0))=0,"",INDEX(INDIRECT(""&amp;$B676&amp;"!V2:V700"),MATCH($A676,INDIRECT(""&amp;$B676&amp;"!B2:B700"),0)))</f>
        <v/>
      </c>
    </row>
    <row r="677" spans="1:15" x14ac:dyDescent="0.25">
      <c r="A677" s="195" t="s">
        <v>421</v>
      </c>
      <c r="B677" s="195" t="s">
        <v>33</v>
      </c>
      <c r="C677" s="195">
        <f ca="1">IFERROR(INDEX(BYEs!$B$2:$B$33,MATCH(D677,BYEs!$A$2:$A$33,0)),"N/A")</f>
        <v>10</v>
      </c>
      <c r="D677" s="195" t="str">
        <f ca="1">INDEX(INDIRECT(""&amp;B677&amp;"!E2:E700"),MATCH(A677,INDIRECT(""&amp;B677&amp;"!B2:B700"),0))</f>
        <v>OAK</v>
      </c>
      <c r="E677" s="194" t="str">
        <f ca="1">INDEX(INDIRECT(""&amp;$B677&amp;"!Z2:Z709"),MATCH($A677,INDIRECT(""&amp;$B677&amp;"!B2:B709"),0))</f>
        <v>QB7</v>
      </c>
      <c r="F677" s="196">
        <f ca="1">IF(LeagueInfo!$H$7="Starter/Bench",INDEX(INDIRECT(""&amp;B677&amp;"!S2:S709"),MATCH(A677,INDIRECT(""&amp;B677&amp;"!B2:B709"),0)),INDEX(INDIRECT(""&amp;B677&amp;"!AA2:AA709"),MATCH(A677,INDIRECT(""&amp;B677&amp;"!B2:B709"),0)))</f>
        <v>-53.144607916265166</v>
      </c>
      <c r="G677" s="197">
        <f>IF(H677&gt;0,F677-H677,0)</f>
        <v>0</v>
      </c>
      <c r="H677" s="198"/>
      <c r="I677" s="197">
        <f ca="1">F677*$A$2</f>
        <v>-53.144607916265166</v>
      </c>
      <c r="J677" s="197" t="s">
        <v>80</v>
      </c>
      <c r="K677" s="197">
        <f>IF(LeagueInfo!$F$7="Yahoo",IFERROR(INDEX(DefaultAuctionValues!$B$2:$B$359,MATCH(A677,DefaultAuctionValues!$A$2:$A$359,0)),0),IF(LeagueInfo!$F$7="ESPN",IFERROR(INDEX(DefaultAuctionValues!$C$2:$C$359,MATCH(A677,DefaultAuctionValues!$A$2:$A$359,0)),0),IF(LeagueInfo!$F$7="FantasyPros",IFERROR(INDEX(DefaultAuctionValues!$D$2:$D$359,MATCH(A677,DefaultAuctionValues!$A$2:$A$359,0)),0))))</f>
        <v>0</v>
      </c>
      <c r="L677" s="197">
        <f ca="1">I677-K677</f>
        <v>-53.144607916265166</v>
      </c>
      <c r="M677" s="213"/>
      <c r="N677" s="208">
        <f ca="1">INDEX(INDIRECT(""&amp;$B677&amp;"!y2:y709"),MATCH($A677,INDIRECT(""&amp;$B677&amp;"!B2:B709"),0))</f>
        <v>-110.95100000000001</v>
      </c>
      <c r="O677" s="217" t="str">
        <f ca="1">IF(INDEX(INDIRECT(""&amp;$B677&amp;"!V2:V700"),MATCH($A677,INDIRECT(""&amp;$B677&amp;"!B2:B700"),0))=0,"",INDEX(INDIRECT(""&amp;$B677&amp;"!V2:V700"),MATCH($A677,INDIRECT(""&amp;$B677&amp;"!B2:B700"),0)))</f>
        <v/>
      </c>
    </row>
    <row r="678" spans="1:15" x14ac:dyDescent="0.25">
      <c r="A678" s="195" t="s">
        <v>422</v>
      </c>
      <c r="B678" s="195" t="s">
        <v>33</v>
      </c>
      <c r="C678" s="195">
        <f ca="1">IFERROR(INDEX(BYEs!$B$2:$B$33,MATCH(D678,BYEs!$A$2:$A$33,0)),"N/A")</f>
        <v>7</v>
      </c>
      <c r="D678" s="195" t="str">
        <f ca="1">INDEX(INDIRECT(""&amp;B678&amp;"!E2:E700"),MATCH(A678,INDIRECT(""&amp;B678&amp;"!B2:B700"),0))</f>
        <v>DET</v>
      </c>
      <c r="E678" s="194" t="str">
        <f ca="1">INDEX(INDIRECT(""&amp;$B678&amp;"!Z2:Z709"),MATCH($A678,INDIRECT(""&amp;$B678&amp;"!B2:B709"),0))</f>
        <v>QB7</v>
      </c>
      <c r="F678" s="196">
        <f ca="1">IF(LeagueInfo!$H$7="Starter/Bench",INDEX(INDIRECT(""&amp;B678&amp;"!S2:S709"),MATCH(A678,INDIRECT(""&amp;B678&amp;"!B2:B709"),0)),INDEX(INDIRECT(""&amp;B678&amp;"!AA2:AA709"),MATCH(A678,INDIRECT(""&amp;B678&amp;"!B2:B709"),0)))</f>
        <v>-53.209271795533454</v>
      </c>
      <c r="G678" s="197">
        <f>IF(H678&gt;0,F678-H678,0)</f>
        <v>0</v>
      </c>
      <c r="H678" s="198"/>
      <c r="I678" s="197">
        <f ca="1">F678*$A$2</f>
        <v>-53.209271795533454</v>
      </c>
      <c r="J678" s="197" t="s">
        <v>80</v>
      </c>
      <c r="K678" s="197">
        <f>IF(LeagueInfo!$F$7="Yahoo",IFERROR(INDEX(DefaultAuctionValues!$B$2:$B$359,MATCH(A678,DefaultAuctionValues!$A$2:$A$359,0)),0),IF(LeagueInfo!$F$7="ESPN",IFERROR(INDEX(DefaultAuctionValues!$C$2:$C$359,MATCH(A678,DefaultAuctionValues!$A$2:$A$359,0)),0),IF(LeagueInfo!$F$7="FantasyPros",IFERROR(INDEX(DefaultAuctionValues!$D$2:$D$359,MATCH(A678,DefaultAuctionValues!$A$2:$A$359,0)),0))))</f>
        <v>0</v>
      </c>
      <c r="L678" s="197">
        <f ca="1">I678-K678</f>
        <v>-53.209271795533454</v>
      </c>
      <c r="M678" s="213"/>
      <c r="N678" s="208">
        <f ca="1">INDEX(INDIRECT(""&amp;$B678&amp;"!y2:y709"),MATCH($A678,INDIRECT(""&amp;$B678&amp;"!B2:B709"),0))</f>
        <v>-111.086</v>
      </c>
      <c r="O678" s="217" t="str">
        <f ca="1">IF(INDEX(INDIRECT(""&amp;$B678&amp;"!V2:V700"),MATCH($A678,INDIRECT(""&amp;$B678&amp;"!B2:B700"),0))=0,"",INDEX(INDIRECT(""&amp;$B678&amp;"!V2:V700"),MATCH($A678,INDIRECT(""&amp;$B678&amp;"!B2:B700"),0)))</f>
        <v/>
      </c>
    </row>
    <row r="679" spans="1:15" x14ac:dyDescent="0.25">
      <c r="A679" s="195" t="s">
        <v>427</v>
      </c>
      <c r="B679" s="195" t="s">
        <v>33</v>
      </c>
      <c r="C679" s="195">
        <f ca="1">IFERROR(INDEX(BYEs!$B$2:$B$33,MATCH(D679,BYEs!$A$2:$A$33,0)),"N/A")</f>
        <v>5</v>
      </c>
      <c r="D679" s="195" t="str">
        <f ca="1">INDEX(INDIRECT(""&amp;B679&amp;"!E2:E700"),MATCH(A679,INDIRECT(""&amp;B679&amp;"!B2:B700"),0))</f>
        <v>ATL</v>
      </c>
      <c r="E679" s="194" t="str">
        <f ca="1">INDEX(INDIRECT(""&amp;$B679&amp;"!Z2:Z709"),MATCH($A679,INDIRECT(""&amp;$B679&amp;"!B2:B709"),0))</f>
        <v>QB7</v>
      </c>
      <c r="F679" s="196">
        <f ca="1">IF(LeagueInfo!$H$7="Starter/Bench",INDEX(INDIRECT(""&amp;B679&amp;"!S2:S709"),MATCH(A679,INDIRECT(""&amp;B679&amp;"!B2:B709"),0)),INDEX(INDIRECT(""&amp;B679&amp;"!AA2:AA709"),MATCH(A679,INDIRECT(""&amp;B679&amp;"!B2:B709"),0)))</f>
        <v>-53.262439874042933</v>
      </c>
      <c r="G679" s="197">
        <f>IF(H679&gt;0,F679-H679,0)</f>
        <v>0</v>
      </c>
      <c r="H679" s="198"/>
      <c r="I679" s="197">
        <f ca="1">F679*$A$2</f>
        <v>-53.262439874042933</v>
      </c>
      <c r="J679" s="197" t="s">
        <v>80</v>
      </c>
      <c r="K679" s="197">
        <f>IF(LeagueInfo!$F$7="Yahoo",IFERROR(INDEX(DefaultAuctionValues!$B$2:$B$359,MATCH(A679,DefaultAuctionValues!$A$2:$A$359,0)),0),IF(LeagueInfo!$F$7="ESPN",IFERROR(INDEX(DefaultAuctionValues!$C$2:$C$359,MATCH(A679,DefaultAuctionValues!$A$2:$A$359,0)),0),IF(LeagueInfo!$F$7="FantasyPros",IFERROR(INDEX(DefaultAuctionValues!$D$2:$D$359,MATCH(A679,DefaultAuctionValues!$A$2:$A$359,0)),0))))</f>
        <v>0</v>
      </c>
      <c r="L679" s="197">
        <f ca="1">I679-K679</f>
        <v>-53.262439874042933</v>
      </c>
      <c r="M679" s="213"/>
      <c r="N679" s="208">
        <f ca="1">INDEX(INDIRECT(""&amp;$B679&amp;"!y2:y709"),MATCH($A679,INDIRECT(""&amp;$B679&amp;"!B2:B709"),0))</f>
        <v>-111.197</v>
      </c>
      <c r="O679" s="217" t="str">
        <f ca="1">IF(INDEX(INDIRECT(""&amp;$B679&amp;"!V2:V700"),MATCH($A679,INDIRECT(""&amp;$B679&amp;"!B2:B700"),0))=0,"",INDEX(INDIRECT(""&amp;$B679&amp;"!V2:V700"),MATCH($A679,INDIRECT(""&amp;$B679&amp;"!B2:B700"),0)))</f>
        <v/>
      </c>
    </row>
    <row r="680" spans="1:15" x14ac:dyDescent="0.25">
      <c r="A680" s="195" t="s">
        <v>428</v>
      </c>
      <c r="B680" s="195" t="s">
        <v>33</v>
      </c>
      <c r="C680" s="195">
        <f ca="1">IFERROR(INDEX(BYEs!$B$2:$B$33,MATCH(D680,BYEs!$A$2:$A$33,0)),"N/A")</f>
        <v>5</v>
      </c>
      <c r="D680" s="195" t="str">
        <f ca="1">INDEX(INDIRECT(""&amp;B680&amp;"!E2:E700"),MATCH(A680,INDIRECT(""&amp;B680&amp;"!B2:B700"),0))</f>
        <v>NO</v>
      </c>
      <c r="E680" s="194" t="str">
        <f ca="1">INDEX(INDIRECT(""&amp;$B680&amp;"!Z2:Z709"),MATCH($A680,INDIRECT(""&amp;$B680&amp;"!B2:B709"),0))</f>
        <v>QB7</v>
      </c>
      <c r="F680" s="196">
        <f ca="1">IF(LeagueInfo!$H$7="Starter/Bench",INDEX(INDIRECT(""&amp;B680&amp;"!S2:S709"),MATCH(A680,INDIRECT(""&amp;B680&amp;"!B2:B709"),0)),INDEX(INDIRECT(""&amp;B680&amp;"!AA2:AA709"),MATCH(A680,INDIRECT(""&amp;B680&amp;"!B2:B709"),0)))</f>
        <v>-53.679641643247955</v>
      </c>
      <c r="G680" s="197">
        <f>IF(H680&gt;0,F680-H680,0)</f>
        <v>0</v>
      </c>
      <c r="H680" s="198"/>
      <c r="I680" s="197">
        <f ca="1">F680*$A$2</f>
        <v>-53.679641643247955</v>
      </c>
      <c r="J680" s="197" t="s">
        <v>80</v>
      </c>
      <c r="K680" s="197">
        <f>IF(LeagueInfo!$F$7="Yahoo",IFERROR(INDEX(DefaultAuctionValues!$B$2:$B$359,MATCH(A680,DefaultAuctionValues!$A$2:$A$359,0)),0),IF(LeagueInfo!$F$7="ESPN",IFERROR(INDEX(DefaultAuctionValues!$C$2:$C$359,MATCH(A680,DefaultAuctionValues!$A$2:$A$359,0)),0),IF(LeagueInfo!$F$7="FantasyPros",IFERROR(INDEX(DefaultAuctionValues!$D$2:$D$359,MATCH(A680,DefaultAuctionValues!$A$2:$A$359,0)),0))))</f>
        <v>0</v>
      </c>
      <c r="L680" s="197">
        <f ca="1">I680-K680</f>
        <v>-53.679641643247955</v>
      </c>
      <c r="M680" s="213"/>
      <c r="N680" s="208">
        <f ca="1">INDEX(INDIRECT(""&amp;$B680&amp;"!y2:y709"),MATCH($A680,INDIRECT(""&amp;$B680&amp;"!B2:B709"),0))</f>
        <v>-112.068</v>
      </c>
      <c r="O680" s="217" t="str">
        <f ca="1">IF(INDEX(INDIRECT(""&amp;$B680&amp;"!V2:V700"),MATCH($A680,INDIRECT(""&amp;$B680&amp;"!B2:B700"),0))=0,"",INDEX(INDIRECT(""&amp;$B680&amp;"!V2:V700"),MATCH($A680,INDIRECT(""&amp;$B680&amp;"!B2:B700"),0)))</f>
        <v/>
      </c>
    </row>
    <row r="681" spans="1:15" x14ac:dyDescent="0.25">
      <c r="A681" s="195" t="s">
        <v>400</v>
      </c>
      <c r="B681" s="195" t="s">
        <v>33</v>
      </c>
      <c r="C681" s="195">
        <f ca="1">IFERROR(INDEX(BYEs!$B$2:$B$33,MATCH(D681,BYEs!$A$2:$A$33,0)),"N/A")</f>
        <v>8</v>
      </c>
      <c r="D681" s="195" t="str">
        <f ca="1">INDEX(INDIRECT(""&amp;B681&amp;"!E2:E700"),MATCH(A681,INDIRECT(""&amp;B681&amp;"!B2:B700"),0))</f>
        <v>ARI</v>
      </c>
      <c r="E681" s="194" t="str">
        <f ca="1">INDEX(INDIRECT(""&amp;$B681&amp;"!Z2:Z709"),MATCH($A681,INDIRECT(""&amp;$B681&amp;"!B2:B709"),0))</f>
        <v>QB8</v>
      </c>
      <c r="F681" s="196">
        <f ca="1">IF(LeagueInfo!$H$7="Starter/Bench",INDEX(INDIRECT(""&amp;B681&amp;"!S2:S709"),MATCH(A681,INDIRECT(""&amp;B681&amp;"!B2:B709"),0)),INDEX(INDIRECT(""&amp;B681&amp;"!AA2:AA709"),MATCH(A681,INDIRECT(""&amp;B681&amp;"!B2:B709"),0)))</f>
        <v>-54.018288773934479</v>
      </c>
      <c r="G681" s="197">
        <f>IF(H681&gt;0,F681-H681,0)</f>
        <v>0</v>
      </c>
      <c r="H681" s="198"/>
      <c r="I681" s="197">
        <f ca="1">F681*$A$2</f>
        <v>-54.018288773934479</v>
      </c>
      <c r="J681" s="197" t="s">
        <v>80</v>
      </c>
      <c r="K681" s="197">
        <f>IF(LeagueInfo!$F$7="Yahoo",IFERROR(INDEX(DefaultAuctionValues!$B$2:$B$359,MATCH(A681,DefaultAuctionValues!$A$2:$A$359,0)),0),IF(LeagueInfo!$F$7="ESPN",IFERROR(INDEX(DefaultAuctionValues!$C$2:$C$359,MATCH(A681,DefaultAuctionValues!$A$2:$A$359,0)),0),IF(LeagueInfo!$F$7="FantasyPros",IFERROR(INDEX(DefaultAuctionValues!$D$2:$D$359,MATCH(A681,DefaultAuctionValues!$A$2:$A$359,0)),0))))</f>
        <v>0</v>
      </c>
      <c r="L681" s="197">
        <f ca="1">I681-K681</f>
        <v>-54.018288773934479</v>
      </c>
      <c r="M681" s="213"/>
      <c r="N681" s="208">
        <f ca="1">INDEX(INDIRECT(""&amp;$B681&amp;"!y2:y709"),MATCH($A681,INDIRECT(""&amp;$B681&amp;"!B2:B709"),0))</f>
        <v>-112.77500000000001</v>
      </c>
      <c r="O681" s="217" t="str">
        <f ca="1">IF(INDEX(INDIRECT(""&amp;$B681&amp;"!V2:V700"),MATCH($A681,INDIRECT(""&amp;$B681&amp;"!B2:B700"),0))=0,"",INDEX(INDIRECT(""&amp;$B681&amp;"!V2:V700"),MATCH($A681,INDIRECT(""&amp;$B681&amp;"!B2:B700"),0)))</f>
        <v/>
      </c>
    </row>
    <row r="682" spans="1:15" x14ac:dyDescent="0.25">
      <c r="A682" s="195" t="s">
        <v>405</v>
      </c>
      <c r="B682" s="195" t="s">
        <v>33</v>
      </c>
      <c r="C682" s="195">
        <f ca="1">IFERROR(INDEX(BYEs!$B$2:$B$33,MATCH(D682,BYEs!$A$2:$A$33,0)),"N/A")</f>
        <v>11</v>
      </c>
      <c r="D682" s="195" t="str">
        <f ca="1">INDEX(INDIRECT(""&amp;B682&amp;"!E2:E700"),MATCH(A682,INDIRECT(""&amp;B682&amp;"!B2:B700"),0))</f>
        <v>SF</v>
      </c>
      <c r="E682" s="194" t="str">
        <f ca="1">INDEX(INDIRECT(""&amp;$B682&amp;"!Z2:Z709"),MATCH($A682,INDIRECT(""&amp;$B682&amp;"!B2:B709"),0))</f>
        <v>QB8</v>
      </c>
      <c r="F682" s="196">
        <f ca="1">IF(LeagueInfo!$H$7="Starter/Bench",INDEX(INDIRECT(""&amp;B682&amp;"!S2:S709"),MATCH(A682,INDIRECT(""&amp;B682&amp;"!B2:B709"),0)),INDEX(INDIRECT(""&amp;B682&amp;"!AA2:AA709"),MATCH(A682,INDIRECT(""&amp;B682&amp;"!B2:B709"),0)))</f>
        <v>-54.155759391341867</v>
      </c>
      <c r="G682" s="197">
        <f>IF(H682&gt;0,F682-H682,0)</f>
        <v>0</v>
      </c>
      <c r="H682" s="198"/>
      <c r="I682" s="197">
        <f ca="1">F682*$A$2</f>
        <v>-54.155759391341867</v>
      </c>
      <c r="J682" s="197" t="s">
        <v>80</v>
      </c>
      <c r="K682" s="197">
        <f>IF(LeagueInfo!$F$7="Yahoo",IFERROR(INDEX(DefaultAuctionValues!$B$2:$B$359,MATCH(A682,DefaultAuctionValues!$A$2:$A$359,0)),0),IF(LeagueInfo!$F$7="ESPN",IFERROR(INDEX(DefaultAuctionValues!$C$2:$C$359,MATCH(A682,DefaultAuctionValues!$A$2:$A$359,0)),0),IF(LeagueInfo!$F$7="FantasyPros",IFERROR(INDEX(DefaultAuctionValues!$D$2:$D$359,MATCH(A682,DefaultAuctionValues!$A$2:$A$359,0)),0))))</f>
        <v>0</v>
      </c>
      <c r="L682" s="197">
        <f ca="1">I682-K682</f>
        <v>-54.155759391341867</v>
      </c>
      <c r="M682" s="213"/>
      <c r="N682" s="208">
        <f ca="1">INDEX(INDIRECT(""&amp;$B682&amp;"!y2:y709"),MATCH($A682,INDIRECT(""&amp;$B682&amp;"!B2:B709"),0))</f>
        <v>-113.062</v>
      </c>
      <c r="O682" s="217" t="str">
        <f ca="1">IF(INDEX(INDIRECT(""&amp;$B682&amp;"!V2:V700"),MATCH($A682,INDIRECT(""&amp;$B682&amp;"!B2:B700"),0))=0,"",INDEX(INDIRECT(""&amp;$B682&amp;"!V2:V700"),MATCH($A682,INDIRECT(""&amp;$B682&amp;"!B2:B700"),0)))</f>
        <v/>
      </c>
    </row>
    <row r="683" spans="1:15" x14ac:dyDescent="0.25">
      <c r="A683" s="195" t="s">
        <v>429</v>
      </c>
      <c r="B683" s="195" t="s">
        <v>33</v>
      </c>
      <c r="C683" s="195">
        <f ca="1">IFERROR(INDEX(BYEs!$B$2:$B$33,MATCH(D683,BYEs!$A$2:$A$33,0)),"N/A")</f>
        <v>9</v>
      </c>
      <c r="D683" s="195" t="str">
        <f ca="1">INDEX(INDIRECT(""&amp;B683&amp;"!E2:E700"),MATCH(A683,INDIRECT(""&amp;B683&amp;"!B2:B700"),0))</f>
        <v>CHI</v>
      </c>
      <c r="E683" s="194" t="str">
        <f ca="1">INDEX(INDIRECT(""&amp;$B683&amp;"!Z2:Z709"),MATCH($A683,INDIRECT(""&amp;$B683&amp;"!B2:B709"),0))</f>
        <v>QB8</v>
      </c>
      <c r="F683" s="196">
        <f ca="1">IF(LeagueInfo!$H$7="Starter/Bench",INDEX(INDIRECT(""&amp;B683&amp;"!S2:S709"),MATCH(A683,INDIRECT(""&amp;B683&amp;"!B2:B709"),0)),INDEX(INDIRECT(""&amp;B683&amp;"!AA2:AA709"),MATCH(A683,INDIRECT(""&amp;B683&amp;"!B2:B709"),0)))</f>
        <v>-54.478120804286739</v>
      </c>
      <c r="G683" s="197">
        <f>IF(H683&gt;0,F683-H683,0)</f>
        <v>0</v>
      </c>
      <c r="H683" s="198"/>
      <c r="I683" s="197">
        <f ca="1">F683*$A$2</f>
        <v>-54.478120804286739</v>
      </c>
      <c r="J683" s="197" t="s">
        <v>80</v>
      </c>
      <c r="K683" s="197">
        <f>IF(LeagueInfo!$F$7="Yahoo",IFERROR(INDEX(DefaultAuctionValues!$B$2:$B$359,MATCH(A683,DefaultAuctionValues!$A$2:$A$359,0)),0),IF(LeagueInfo!$F$7="ESPN",IFERROR(INDEX(DefaultAuctionValues!$C$2:$C$359,MATCH(A683,DefaultAuctionValues!$A$2:$A$359,0)),0),IF(LeagueInfo!$F$7="FantasyPros",IFERROR(INDEX(DefaultAuctionValues!$D$2:$D$359,MATCH(A683,DefaultAuctionValues!$A$2:$A$359,0)),0))))</f>
        <v>0</v>
      </c>
      <c r="L683" s="197">
        <f ca="1">I683-K683</f>
        <v>-54.478120804286739</v>
      </c>
      <c r="M683" s="213"/>
      <c r="N683" s="208">
        <f ca="1">INDEX(INDIRECT(""&amp;$B683&amp;"!y2:y709"),MATCH($A683,INDIRECT(""&amp;$B683&amp;"!B2:B709"),0))</f>
        <v>-113.735</v>
      </c>
      <c r="O683" s="217" t="str">
        <f ca="1">IF(INDEX(INDIRECT(""&amp;$B683&amp;"!V2:V700"),MATCH($A683,INDIRECT(""&amp;$B683&amp;"!B2:B700"),0))=0,"",INDEX(INDIRECT(""&amp;$B683&amp;"!V2:V700"),MATCH($A683,INDIRECT(""&amp;$B683&amp;"!B2:B700"),0)))</f>
        <v/>
      </c>
    </row>
  </sheetData>
  <autoFilter ref="A12:O683">
    <sortState ref="A13:O683">
      <sortCondition descending="1" ref="I13:I650"/>
      <sortCondition descending="1" ref="N13:N650"/>
    </sortState>
  </autoFilter>
  <sortState ref="A13:O750">
    <sortCondition descending="1" ref="F13"/>
  </sortState>
  <mergeCells count="4">
    <mergeCell ref="C2:D2"/>
    <mergeCell ref="C4:D4"/>
    <mergeCell ref="C6:D6"/>
    <mergeCell ref="C8:D8"/>
  </mergeCells>
  <conditionalFormatting sqref="G13:G683">
    <cfRule type="expression" dxfId="41" priority="98">
      <formula>$G13&lt;0</formula>
    </cfRule>
    <cfRule type="expression" dxfId="40" priority="100">
      <formula>$G13&gt;0</formula>
    </cfRule>
  </conditionalFormatting>
  <conditionalFormatting sqref="L13:L683">
    <cfRule type="expression" dxfId="39" priority="7">
      <formula>$L13&lt;0</formula>
    </cfRule>
    <cfRule type="expression" dxfId="38" priority="123">
      <formula>$L13&gt;0</formula>
    </cfRule>
  </conditionalFormatting>
  <conditionalFormatting sqref="C492:C683 A13:C491 D13:O683">
    <cfRule type="expression" dxfId="37" priority="251">
      <formula>$H13&gt;0</formula>
    </cfRule>
    <cfRule type="expression" dxfId="36" priority="254">
      <formula>IF($O13="Upside",TRUE,FALSE)</formula>
    </cfRule>
    <cfRule type="expression" dxfId="35" priority="255">
      <formula>IF($O13="Sleeper",TRUE,FALSE)</formula>
    </cfRule>
    <cfRule type="expression" dxfId="34" priority="256">
      <formula>IF($O13="Target",TRUE,FALSE)</formula>
    </cfRule>
    <cfRule type="expression" dxfId="33" priority="257">
      <formula>IF($O13="Avoid",TRUE,FALSE)</formula>
    </cfRule>
  </conditionalFormatting>
  <conditionalFormatting sqref="A492:B552 A681:B683">
    <cfRule type="expression" dxfId="32" priority="12">
      <formula>$H492&gt;0</formula>
    </cfRule>
  </conditionalFormatting>
  <conditionalFormatting sqref="K2:K8">
    <cfRule type="expression" dxfId="31" priority="8">
      <formula>$K2&gt;0.2</formula>
    </cfRule>
  </conditionalFormatting>
  <conditionalFormatting sqref="A553:B672">
    <cfRule type="expression" dxfId="30" priority="5">
      <formula>$H553&gt;0</formula>
    </cfRule>
  </conditionalFormatting>
  <conditionalFormatting sqref="A673:B680">
    <cfRule type="expression" dxfId="29" priority="4">
      <formula>$H673&gt;0</formula>
    </cfRule>
  </conditionalFormatting>
  <dataValidations count="1">
    <dataValidation type="list" allowBlank="1" showInputMessage="1" showErrorMessage="1" sqref="M13:M683">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9525</xdr:colOff>
                    <xdr:row>8</xdr:row>
                    <xdr:rowOff>180975</xdr:rowOff>
                  </from>
                  <to>
                    <xdr:col>2</xdr:col>
                    <xdr:colOff>19050</xdr:colOff>
                    <xdr:row>9</xdr:row>
                    <xdr:rowOff>180975</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28575</xdr:colOff>
                    <xdr:row>8</xdr:row>
                    <xdr:rowOff>28575</xdr:rowOff>
                  </from>
                  <to>
                    <xdr:col>6</xdr:col>
                    <xdr:colOff>257175</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28575</xdr:colOff>
                    <xdr:row>9</xdr:row>
                    <xdr:rowOff>9525</xdr:rowOff>
                  </from>
                  <to>
                    <xdr:col>6</xdr:col>
                    <xdr:colOff>257175</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28575</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57150</xdr:colOff>
                    <xdr:row>8</xdr:row>
                    <xdr:rowOff>0</xdr:rowOff>
                  </from>
                  <to>
                    <xdr:col>10</xdr:col>
                    <xdr:colOff>238125</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57150</xdr:colOff>
                    <xdr:row>9</xdr:row>
                    <xdr:rowOff>9525</xdr:rowOff>
                  </from>
                  <to>
                    <xdr:col>10</xdr:col>
                    <xdr:colOff>238125</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476250</xdr:colOff>
                    <xdr:row>8</xdr:row>
                    <xdr:rowOff>0</xdr:rowOff>
                  </from>
                  <to>
                    <xdr:col>15</xdr:col>
                    <xdr:colOff>57150</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485775</xdr:colOff>
                    <xdr:row>9</xdr:row>
                    <xdr:rowOff>0</xdr:rowOff>
                  </from>
                  <to>
                    <xdr:col>12</xdr:col>
                    <xdr:colOff>523875</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552450</xdr:colOff>
                    <xdr:row>9</xdr:row>
                    <xdr:rowOff>9525</xdr:rowOff>
                  </from>
                  <to>
                    <xdr:col>15</xdr:col>
                    <xdr:colOff>57150</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523875</xdr:colOff>
                    <xdr:row>9</xdr:row>
                    <xdr:rowOff>0</xdr:rowOff>
                  </from>
                  <to>
                    <xdr:col>13</xdr:col>
                    <xdr:colOff>533400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LeagueInfo!$I$89:$I$90</xm:f>
          </x14:formula1>
          <xm:sqref>J13:J683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265"/>
  <sheetViews>
    <sheetView topLeftCell="M1" workbookViewId="0">
      <selection activeCell="X7" sqref="X7"/>
    </sheetView>
  </sheetViews>
  <sheetFormatPr defaultColWidth="8.85546875" defaultRowHeight="15" x14ac:dyDescent="0.25"/>
  <cols>
    <col min="2" max="2" width="27.42578125" customWidth="1"/>
    <col min="3" max="3" width="11.140625" bestFit="1" customWidth="1"/>
    <col min="4" max="4" width="9.140625" bestFit="1" customWidth="1"/>
    <col min="5" max="5" width="9.140625" customWidth="1"/>
    <col min="6" max="6" width="1.42578125" customWidth="1"/>
    <col min="8" max="8" width="21.42578125" customWidth="1"/>
    <col min="9" max="9" width="15.42578125" bestFit="1" customWidth="1"/>
    <col min="10" max="10" width="7.140625" bestFit="1" customWidth="1"/>
    <col min="11" max="11" width="11.42578125" bestFit="1" customWidth="1"/>
    <col min="12" max="14" width="4.42578125" customWidth="1"/>
    <col min="15" max="15" width="4" customWidth="1"/>
    <col min="16" max="16" width="3.42578125" customWidth="1"/>
    <col min="17" max="17" width="3.85546875" bestFit="1" customWidth="1"/>
    <col min="18" max="19" width="8.42578125" style="1" bestFit="1" customWidth="1"/>
    <col min="20" max="20" width="9" style="1" bestFit="1" customWidth="1"/>
    <col min="21" max="21" width="8" style="1" bestFit="1" customWidth="1"/>
    <col min="22" max="22" width="1.42578125" customWidth="1"/>
    <col min="25" max="25" width="11.140625" bestFit="1" customWidth="1"/>
  </cols>
  <sheetData>
    <row r="1" spans="1:26" s="1" customFormat="1" x14ac:dyDescent="0.25">
      <c r="A1" s="280" t="s">
        <v>872</v>
      </c>
      <c r="B1" s="281"/>
      <c r="C1" s="281"/>
      <c r="D1" s="281"/>
      <c r="E1" s="282"/>
      <c r="G1" s="280" t="s">
        <v>27</v>
      </c>
      <c r="H1" s="281"/>
      <c r="I1" s="281"/>
      <c r="J1" s="281"/>
      <c r="K1" s="281"/>
      <c r="L1" s="281"/>
      <c r="M1" s="281"/>
      <c r="N1" s="281"/>
      <c r="O1" s="281"/>
      <c r="P1" s="281"/>
      <c r="Q1" s="282"/>
      <c r="R1" s="283" t="s">
        <v>873</v>
      </c>
      <c r="S1" s="284"/>
      <c r="T1" s="284"/>
      <c r="U1" s="285"/>
      <c r="W1" s="280" t="s">
        <v>874</v>
      </c>
      <c r="X1" s="281"/>
      <c r="Y1" s="281"/>
      <c r="Z1" s="282"/>
    </row>
    <row r="2" spans="1:26" x14ac:dyDescent="0.25">
      <c r="A2" s="174" t="s">
        <v>875</v>
      </c>
      <c r="B2" s="182" t="s">
        <v>89</v>
      </c>
      <c r="C2" s="164" t="s">
        <v>876</v>
      </c>
      <c r="D2" s="164" t="s">
        <v>877</v>
      </c>
      <c r="E2" s="175" t="s">
        <v>808</v>
      </c>
      <c r="F2" s="1"/>
      <c r="G2" s="163" t="s">
        <v>878</v>
      </c>
      <c r="H2" s="164" t="s">
        <v>710</v>
      </c>
      <c r="I2" s="165" t="s">
        <v>850</v>
      </c>
      <c r="J2" s="165" t="s">
        <v>879</v>
      </c>
      <c r="K2" s="165" t="s">
        <v>880</v>
      </c>
      <c r="L2" s="165" t="s">
        <v>33</v>
      </c>
      <c r="M2" s="165" t="s">
        <v>32</v>
      </c>
      <c r="N2" s="165" t="s">
        <v>39</v>
      </c>
      <c r="O2" s="165" t="s">
        <v>47</v>
      </c>
      <c r="P2" s="165" t="s">
        <v>52</v>
      </c>
      <c r="Q2" s="166" t="s">
        <v>58</v>
      </c>
      <c r="R2" s="235" t="s">
        <v>881</v>
      </c>
      <c r="S2" s="165" t="s">
        <v>882</v>
      </c>
      <c r="T2" s="165" t="s">
        <v>883</v>
      </c>
      <c r="U2" s="166" t="s">
        <v>884</v>
      </c>
      <c r="V2" s="1"/>
      <c r="W2" s="174" t="s">
        <v>875</v>
      </c>
      <c r="X2" s="164" t="s">
        <v>885</v>
      </c>
      <c r="Y2" s="164" t="s">
        <v>886</v>
      </c>
      <c r="Z2" s="175" t="s">
        <v>887</v>
      </c>
    </row>
    <row r="3" spans="1:26" x14ac:dyDescent="0.25">
      <c r="A3" s="167" t="str">
        <f>IFERROR(INDEX(Auction!$B$13:$B$672,MATCH(B3,Auction!$A$13:$A$672,0)),"")</f>
        <v/>
      </c>
      <c r="B3" s="255" t="str">
        <f t="array" ref="B3">IFERROR(INDEX(Auction!$A$13:$M$672,SMALL(IF(Auction!$M$13:$M$672=$H$3,(ROW(Auction!$M$13:$M$672)-MIN(ROW(Auction!$M$13:$M$672))+1),""),ROW(C1)),1),"")</f>
        <v/>
      </c>
      <c r="C3" s="176">
        <f>IF(ISERROR(VLOOKUP(B3,Auction!$A$13:$I$672,7,FALSE)),0,VLOOKUP(B3,Auction!$A$13:$I$672,8,FALSE))</f>
        <v>0</v>
      </c>
      <c r="D3" s="177">
        <f>IFERROR(VLOOKUP(B3,Auction!$A$13:$I$672,9,FALSE)-C3,0)</f>
        <v>0</v>
      </c>
      <c r="E3" s="183" t="str">
        <f>IFERROR(INDEX(Auction!$C$13:$C$672,MATCH(B3,Auction!$A$13:$A$672,0)),"")</f>
        <v/>
      </c>
      <c r="F3" s="1"/>
      <c r="G3" s="167">
        <v>1</v>
      </c>
      <c r="H3" s="154" t="s">
        <v>872</v>
      </c>
      <c r="I3" s="155">
        <f>LeagueInfo!$F$3-SUMIF(Auction!$M$13:$M$672,$H3,Auction!$H$13:$H$672)</f>
        <v>200</v>
      </c>
      <c r="J3" s="156">
        <f>I3-(LeagueInfo!$F$4-COUNTIF(Auction!$M$13:$M$672,$H3))+1</f>
        <v>186</v>
      </c>
      <c r="K3" s="157">
        <f>SUM(L3:Q3)</f>
        <v>0</v>
      </c>
      <c r="L3" s="157">
        <f>COUNTIFS(Auction!$M$13:$M$672,Teams!$H3,Auction!$H$13:$H$672,"&gt;0",Auction!$B$13:$B$672,L$2)</f>
        <v>0</v>
      </c>
      <c r="M3" s="157">
        <f>COUNTIFS(Auction!$M$13:$M$672,Teams!$H3,Auction!$H$13:$H$672,"&gt;0",Auction!$B$13:$B$672,M$2)</f>
        <v>0</v>
      </c>
      <c r="N3" s="157">
        <f>COUNTIFS(Auction!$M$13:$M$672,Teams!$H3,Auction!$H$13:$H$672,"&gt;0",Auction!$B$13:$B$672,N$2)</f>
        <v>0</v>
      </c>
      <c r="O3" s="157">
        <f>COUNTIFS(Auction!$M$13:$M$672,Teams!$H3,Auction!$H$13:$H$672,"&gt;0",Auction!$B$13:$B$672,O$2)</f>
        <v>0</v>
      </c>
      <c r="P3" s="157">
        <f>COUNTIFS(Auction!$M$13:$M$672,Teams!$H3,Auction!$H$13:$H$672,"&gt;0",Auction!$B$13:$B$672,P$2)</f>
        <v>0</v>
      </c>
      <c r="Q3" s="168">
        <f>COUNTIFS(Auction!$M$13:$M$672,Teams!$H3,Auction!$H$13:$H$672,"&gt;0",Auction!$B$13:$B$672,Q$2)</f>
        <v>0</v>
      </c>
      <c r="R3" s="236">
        <f>SUMIFS(Auction!$H$13:$H$672,Auction!$M$13:$M$672,Teams!$H3,Auction!$B$13:$B$672,LEFT(R$2,2))</f>
        <v>0</v>
      </c>
      <c r="S3" s="232">
        <f>SUMIFS(Auction!$H$13:$H$672,Auction!$M$13:$M$672,Teams!$H3,Auction!$B$13:$B$672,LEFT(S$2,2))</f>
        <v>0</v>
      </c>
      <c r="T3" s="232">
        <f>SUMIFS(Auction!$H$13:$H$672,Auction!$M$13:$M$672,Teams!$H3,Auction!$B$13:$B$672,LEFT(T$2,2))</f>
        <v>0</v>
      </c>
      <c r="U3" s="237">
        <f>SUMIFS(Auction!$H$13:$H$672,Auction!$M$13:$M$672,Teams!$H3,Auction!$B$13:$B$672,LEFT(U$2,2))</f>
        <v>0</v>
      </c>
      <c r="V3" s="1"/>
      <c r="W3" s="167" t="s">
        <v>33</v>
      </c>
      <c r="X3" s="230">
        <v>8</v>
      </c>
      <c r="Y3" s="229">
        <f>SUMIF($A$3:$A$22,W3,$C$3:$C$22)</f>
        <v>0</v>
      </c>
      <c r="Z3" s="231">
        <f>X3-Y3</f>
        <v>8</v>
      </c>
    </row>
    <row r="4" spans="1:26" x14ac:dyDescent="0.25">
      <c r="A4" s="167" t="str">
        <f>IFERROR(INDEX(Auction!$B$13:$B$672,MATCH(B4,Auction!$A$13:$A$672,0)),"")</f>
        <v/>
      </c>
      <c r="B4" s="255" t="str">
        <f t="array" ref="B4">IFERROR(INDEX(Auction!$A$13:$M$672,SMALL(IF(Auction!$M$13:$M$672=$H$3,(ROW(Auction!$M$13:$M$672)-MIN(ROW(Auction!$M$13:$M$672))+1),""),ROW(C2)),1),"")</f>
        <v/>
      </c>
      <c r="C4" s="176">
        <f>IF(ISERROR(VLOOKUP(B4,Auction!$A$13:$I$672,7,FALSE)),0,VLOOKUP(B4,Auction!$A$13:$I$672,8,FALSE))</f>
        <v>0</v>
      </c>
      <c r="D4" s="177">
        <f>IFERROR(VLOOKUP(B4,Auction!$A$13:$I$672,9,FALSE)-C4,0)</f>
        <v>0</v>
      </c>
      <c r="E4" s="183" t="str">
        <f>IFERROR(INDEX(Auction!$C$13:$C$672,MATCH(B4,Auction!$A$13:$A$672,0)),"")</f>
        <v/>
      </c>
      <c r="F4" s="1"/>
      <c r="G4" s="167">
        <v>2</v>
      </c>
      <c r="H4" s="146" t="s">
        <v>931</v>
      </c>
      <c r="I4" s="150">
        <f>LeagueInfo!$F$3-SUMIF(Auction!$M$13:$M$672,H4,Auction!$H$13:$H$672)</f>
        <v>200</v>
      </c>
      <c r="J4" s="151">
        <f>I4-(LeagueInfo!$F$4-COUNTIF(Auction!$M$13:$M$672,$H4))+1</f>
        <v>186</v>
      </c>
      <c r="K4" s="148">
        <f t="shared" ref="K4:K18" si="0">SUM(L4:Q4)</f>
        <v>0</v>
      </c>
      <c r="L4" s="148">
        <f>COUNTIFS(Auction!$M$13:$M$672,Teams!$H4,Auction!$H$13:$H$672,"&gt;0",Auction!$B$13:$B$672,L$2)</f>
        <v>0</v>
      </c>
      <c r="M4" s="148">
        <f>COUNTIFS(Auction!$M$13:$M$672,Teams!$H4,Auction!$H$13:$H$672,"&gt;0",Auction!$B$13:$B$672,M$2)</f>
        <v>0</v>
      </c>
      <c r="N4" s="148">
        <f>COUNTIFS(Auction!$M$13:$M$672,Teams!$H4,Auction!$H$13:$H$672,"&gt;0",Auction!$B$13:$B$672,N$2)</f>
        <v>0</v>
      </c>
      <c r="O4" s="148">
        <f>COUNTIFS(Auction!$M$13:$M$672,Teams!$H4,Auction!$H$13:$H$672,"&gt;0",Auction!$B$13:$B$672,O$2)</f>
        <v>0</v>
      </c>
      <c r="P4" s="148">
        <f>COUNTIFS(Auction!$M$13:$M$672,Teams!$H4,Auction!$H$13:$H$672,"&gt;0",Auction!$B$13:$B$672,P$2)</f>
        <v>0</v>
      </c>
      <c r="Q4" s="169">
        <f>COUNTIFS(Auction!$M$13:$M$672,Teams!$H4,Auction!$H$13:$H$672,"&gt;0",Auction!$B$13:$B$672,Q$2)</f>
        <v>0</v>
      </c>
      <c r="R4" s="238">
        <f>SUMIFS(Auction!$H$13:$H$672,Auction!$M$13:$M$672,Teams!$H4,Auction!$B$13:$B$672,LEFT(R$2,2))</f>
        <v>0</v>
      </c>
      <c r="S4" s="233">
        <f>SUMIFS(Auction!$H$13:$H$672,Auction!$M$13:$M$672,Teams!$H4,Auction!$B$13:$B$672,LEFT(S$2,2))</f>
        <v>0</v>
      </c>
      <c r="T4" s="233">
        <f>SUMIFS(Auction!$H$13:$H$672,Auction!$M$13:$M$672,Teams!$H4,Auction!$B$13:$B$672,LEFT(T$2,2))</f>
        <v>0</v>
      </c>
      <c r="U4" s="239">
        <f>SUMIFS(Auction!$H$13:$H$672,Auction!$M$13:$M$672,Teams!$H4,Auction!$B$13:$B$672,LEFT(U$2,2))</f>
        <v>0</v>
      </c>
      <c r="V4" s="1"/>
      <c r="W4" s="167" t="s">
        <v>32</v>
      </c>
      <c r="X4" s="230">
        <v>100</v>
      </c>
      <c r="Y4" s="229">
        <f t="shared" ref="Y4:Y8" si="1">SUMIF($A$3:$A$22,W4,$C$3:$C$22)</f>
        <v>0</v>
      </c>
      <c r="Z4" s="231">
        <f t="shared" ref="Z4:Z8" si="2">X4-Y4</f>
        <v>100</v>
      </c>
    </row>
    <row r="5" spans="1:26" x14ac:dyDescent="0.25">
      <c r="A5" s="167" t="str">
        <f>IFERROR(INDEX(Auction!$B$13:$B$672,MATCH(B5,Auction!$A$13:$A$672,0)),"")</f>
        <v/>
      </c>
      <c r="B5" s="255" t="str">
        <f t="array" ref="B5">IFERROR(INDEX(Auction!$A$13:$M$672,SMALL(IF(Auction!$M$13:$M$672=$H$3,(ROW(Auction!$M$13:$M$672)-MIN(ROW(Auction!$M$13:$M$672))+1),""),ROW(C3)),1),"")</f>
        <v/>
      </c>
      <c r="C5" s="176">
        <f>IF(ISERROR(VLOOKUP(B5,Auction!$A$13:$I$672,7,FALSE)),0,VLOOKUP(B5,Auction!$A$13:$I$672,8,FALSE))</f>
        <v>0</v>
      </c>
      <c r="D5" s="177">
        <f>IFERROR(VLOOKUP(B5,Auction!$A$13:$I$672,9,FALSE)-C5,0)</f>
        <v>0</v>
      </c>
      <c r="E5" s="183" t="str">
        <f>IFERROR(INDEX(Auction!$C$13:$C$672,MATCH(B5,Auction!$A$13:$A$672,0)),"")</f>
        <v/>
      </c>
      <c r="F5" s="1"/>
      <c r="G5" s="167">
        <v>3</v>
      </c>
      <c r="H5" s="158" t="s">
        <v>934</v>
      </c>
      <c r="I5" s="159">
        <f>LeagueInfo!$F$3-SUMIF(Auction!$M$13:$M$672,H5,Auction!$H$13:$H$672)</f>
        <v>200</v>
      </c>
      <c r="J5" s="160">
        <f>I5-(LeagueInfo!$F$4-COUNTIF(Auction!$M$13:$M$672,$H5))+1</f>
        <v>186</v>
      </c>
      <c r="K5" s="161">
        <f t="shared" si="0"/>
        <v>0</v>
      </c>
      <c r="L5" s="161">
        <f>COUNTIFS(Auction!$M$13:$M$672,Teams!$H5,Auction!$H$13:$H$672,"&gt;0",Auction!$B$13:$B$672,L$2)</f>
        <v>0</v>
      </c>
      <c r="M5" s="161">
        <f>COUNTIFS(Auction!$M$13:$M$672,Teams!$H5,Auction!$H$13:$H$672,"&gt;0",Auction!$B$13:$B$672,M$2)</f>
        <v>0</v>
      </c>
      <c r="N5" s="161">
        <f>COUNTIFS(Auction!$M$13:$M$672,Teams!$H5,Auction!$H$13:$H$672,"&gt;0",Auction!$B$13:$B$672,N$2)</f>
        <v>0</v>
      </c>
      <c r="O5" s="161">
        <f>COUNTIFS(Auction!$M$13:$M$672,Teams!$H5,Auction!$H$13:$H$672,"&gt;0",Auction!$B$13:$B$672,O$2)</f>
        <v>0</v>
      </c>
      <c r="P5" s="161">
        <f>COUNTIFS(Auction!$M$13:$M$672,Teams!$H5,Auction!$H$13:$H$672,"&gt;0",Auction!$B$13:$B$672,P$2)</f>
        <v>0</v>
      </c>
      <c r="Q5" s="170">
        <f>COUNTIFS(Auction!$M$13:$M$672,Teams!$H5,Auction!$H$13:$H$672,"&gt;0",Auction!$B$13:$B$672,Q$2)</f>
        <v>0</v>
      </c>
      <c r="R5" s="236">
        <f>SUMIFS(Auction!$H$13:$H$672,Auction!$M$13:$M$672,Teams!$H5,Auction!$B$13:$B$672,LEFT(R$2,2))</f>
        <v>0</v>
      </c>
      <c r="S5" s="232">
        <f>SUMIFS(Auction!$H$13:$H$672,Auction!$M$13:$M$672,Teams!$H5,Auction!$B$13:$B$672,LEFT(S$2,2))</f>
        <v>0</v>
      </c>
      <c r="T5" s="232">
        <f>SUMIFS(Auction!$H$13:$H$672,Auction!$M$13:$M$672,Teams!$H5,Auction!$B$13:$B$672,LEFT(T$2,2))</f>
        <v>0</v>
      </c>
      <c r="U5" s="237">
        <f>SUMIFS(Auction!$H$13:$H$672,Auction!$M$13:$M$672,Teams!$H5,Auction!$B$13:$B$672,LEFT(U$2,2))</f>
        <v>0</v>
      </c>
      <c r="V5" s="1"/>
      <c r="W5" s="167" t="s">
        <v>39</v>
      </c>
      <c r="X5" s="230">
        <v>82</v>
      </c>
      <c r="Y5" s="229">
        <f t="shared" si="1"/>
        <v>0</v>
      </c>
      <c r="Z5" s="231">
        <f t="shared" si="2"/>
        <v>82</v>
      </c>
    </row>
    <row r="6" spans="1:26" x14ac:dyDescent="0.25">
      <c r="A6" s="167" t="str">
        <f>IFERROR(INDEX(Auction!$B$13:$B$672,MATCH(B6,Auction!$A$13:$A$672,0)),"")</f>
        <v/>
      </c>
      <c r="B6" s="255" t="str">
        <f t="array" ref="B6">IFERROR(INDEX(Auction!$A$13:$M$672,SMALL(IF(Auction!$M$13:$M$672=$H$3,(ROW(Auction!$M$13:$M$672)-MIN(ROW(Auction!$M$13:$M$672))+1),""),ROW(C4)),1),"")</f>
        <v/>
      </c>
      <c r="C6" s="176">
        <f>IF(ISERROR(VLOOKUP(B6,Auction!$A$13:$I$672,7,FALSE)),0,VLOOKUP(B6,Auction!$A$13:$I$672,8,FALSE))</f>
        <v>0</v>
      </c>
      <c r="D6" s="177">
        <f>IFERROR(VLOOKUP(B6,Auction!$A$13:$I$672,9,FALSE)-C6,0)</f>
        <v>0</v>
      </c>
      <c r="E6" s="183" t="str">
        <f>IFERROR(INDEX(Auction!$C$13:$C$672,MATCH(B6,Auction!$A$13:$A$672,0)),"")</f>
        <v/>
      </c>
      <c r="F6" s="1"/>
      <c r="G6" s="167">
        <v>4</v>
      </c>
      <c r="H6" s="146" t="s">
        <v>935</v>
      </c>
      <c r="I6" s="150">
        <f>LeagueInfo!$F$3-SUMIF(Auction!$M$13:$M$672,H6,Auction!$H$13:$H$672)</f>
        <v>200</v>
      </c>
      <c r="J6" s="151">
        <f>I6-(LeagueInfo!$F$4-COUNTIF(Auction!$M$13:$M$672,$H6))+1</f>
        <v>186</v>
      </c>
      <c r="K6" s="148">
        <f t="shared" si="0"/>
        <v>0</v>
      </c>
      <c r="L6" s="148">
        <f>COUNTIFS(Auction!$M$13:$M$672,Teams!$H6,Auction!$H$13:$H$672,"&gt;0",Auction!$B$13:$B$672,L$2)</f>
        <v>0</v>
      </c>
      <c r="M6" s="148">
        <f>COUNTIFS(Auction!$M$13:$M$672,Teams!$H6,Auction!$H$13:$H$672,"&gt;0",Auction!$B$13:$B$672,M$2)</f>
        <v>0</v>
      </c>
      <c r="N6" s="148">
        <f>COUNTIFS(Auction!$M$13:$M$672,Teams!$H6,Auction!$H$13:$H$672,"&gt;0",Auction!$B$13:$B$672,N$2)</f>
        <v>0</v>
      </c>
      <c r="O6" s="148">
        <f>COUNTIFS(Auction!$M$13:$M$672,Teams!$H6,Auction!$H$13:$H$672,"&gt;0",Auction!$B$13:$B$672,O$2)</f>
        <v>0</v>
      </c>
      <c r="P6" s="148">
        <f>COUNTIFS(Auction!$M$13:$M$672,Teams!$H6,Auction!$H$13:$H$672,"&gt;0",Auction!$B$13:$B$672,P$2)</f>
        <v>0</v>
      </c>
      <c r="Q6" s="169">
        <f>COUNTIFS(Auction!$M$13:$M$672,Teams!$H6,Auction!$H$13:$H$672,"&gt;0",Auction!$B$13:$B$672,Q$2)</f>
        <v>0</v>
      </c>
      <c r="R6" s="238">
        <f>SUMIFS(Auction!$H$13:$H$672,Auction!$M$13:$M$672,Teams!$H6,Auction!$B$13:$B$672,LEFT(R$2,2))</f>
        <v>0</v>
      </c>
      <c r="S6" s="233">
        <f>SUMIFS(Auction!$H$13:$H$672,Auction!$M$13:$M$672,Teams!$H6,Auction!$B$13:$B$672,LEFT(S$2,2))</f>
        <v>0</v>
      </c>
      <c r="T6" s="233">
        <f>SUMIFS(Auction!$H$13:$H$672,Auction!$M$13:$M$672,Teams!$H6,Auction!$B$13:$B$672,LEFT(T$2,2))</f>
        <v>0</v>
      </c>
      <c r="U6" s="239">
        <f>SUMIFS(Auction!$H$13:$H$672,Auction!$M$13:$M$672,Teams!$H6,Auction!$B$13:$B$672,LEFT(U$2,2))</f>
        <v>0</v>
      </c>
      <c r="V6" s="1"/>
      <c r="W6" s="167" t="s">
        <v>47</v>
      </c>
      <c r="X6" s="230">
        <v>8</v>
      </c>
      <c r="Y6" s="229">
        <f t="shared" si="1"/>
        <v>0</v>
      </c>
      <c r="Z6" s="231">
        <f t="shared" si="2"/>
        <v>8</v>
      </c>
    </row>
    <row r="7" spans="1:26" x14ac:dyDescent="0.25">
      <c r="A7" s="167" t="str">
        <f>IFERROR(INDEX(Auction!$B$13:$B$672,MATCH(B7,Auction!$A$13:$A$672,0)),"")</f>
        <v/>
      </c>
      <c r="B7" s="255" t="str">
        <f t="array" ref="B7">IFERROR(INDEX(Auction!$A$13:$M$672,SMALL(IF(Auction!$M$13:$M$672=$H$3,(ROW(Auction!$M$13:$M$672)-MIN(ROW(Auction!$M$13:$M$672))+1),""),ROW(C5)),1),"")</f>
        <v/>
      </c>
      <c r="C7" s="176">
        <f>IF(ISERROR(VLOOKUP(B7,Auction!$A$13:$I$672,7,FALSE)),0,VLOOKUP(B7,Auction!$A$13:$I$672,8,FALSE))</f>
        <v>0</v>
      </c>
      <c r="D7" s="177">
        <f>IFERROR(VLOOKUP(B7,Auction!$A$13:$I$672,9,FALSE)-C7,0)</f>
        <v>0</v>
      </c>
      <c r="E7" s="183" t="str">
        <f>IFERROR(INDEX(Auction!$C$13:$C$672,MATCH(B7,Auction!$A$13:$A$672,0)),"")</f>
        <v/>
      </c>
      <c r="F7" s="1"/>
      <c r="G7" s="167">
        <v>5</v>
      </c>
      <c r="H7" s="158" t="s">
        <v>937</v>
      </c>
      <c r="I7" s="159">
        <f>LeagueInfo!$F$3-SUMIF(Auction!$M$13:$M$672,H7,Auction!$H$13:$H$672)</f>
        <v>200</v>
      </c>
      <c r="J7" s="160">
        <f>I7-(LeagueInfo!$F$4-COUNTIF(Auction!$M$13:$M$672,$H7))+1</f>
        <v>186</v>
      </c>
      <c r="K7" s="161">
        <f t="shared" si="0"/>
        <v>0</v>
      </c>
      <c r="L7" s="161">
        <f>COUNTIFS(Auction!$M$13:$M$672,Teams!$H7,Auction!$H$13:$H$672,"&gt;0",Auction!$B$13:$B$672,L$2)</f>
        <v>0</v>
      </c>
      <c r="M7" s="161">
        <f>COUNTIFS(Auction!$M$13:$M$672,Teams!$H7,Auction!$H$13:$H$672,"&gt;0",Auction!$B$13:$B$672,M$2)</f>
        <v>0</v>
      </c>
      <c r="N7" s="161">
        <f>COUNTIFS(Auction!$M$13:$M$672,Teams!$H7,Auction!$H$13:$H$672,"&gt;0",Auction!$B$13:$B$672,N$2)</f>
        <v>0</v>
      </c>
      <c r="O7" s="161">
        <f>COUNTIFS(Auction!$M$13:$M$672,Teams!$H7,Auction!$H$13:$H$672,"&gt;0",Auction!$B$13:$B$672,O$2)</f>
        <v>0</v>
      </c>
      <c r="P7" s="161">
        <f>COUNTIFS(Auction!$M$13:$M$672,Teams!$H7,Auction!$H$13:$H$672,"&gt;0",Auction!$B$13:$B$672,P$2)</f>
        <v>0</v>
      </c>
      <c r="Q7" s="170">
        <f>COUNTIFS(Auction!$M$13:$M$672,Teams!$H7,Auction!$H$13:$H$672,"&gt;0",Auction!$B$13:$B$672,Q$2)</f>
        <v>0</v>
      </c>
      <c r="R7" s="236">
        <f>SUMIFS(Auction!$H$13:$H$672,Auction!$M$13:$M$672,Teams!$H7,Auction!$B$13:$B$672,LEFT(R$2,2))</f>
        <v>0</v>
      </c>
      <c r="S7" s="232">
        <f>SUMIFS(Auction!$H$13:$H$672,Auction!$M$13:$M$672,Teams!$H7,Auction!$B$13:$B$672,LEFT(S$2,2))</f>
        <v>0</v>
      </c>
      <c r="T7" s="232">
        <f>SUMIFS(Auction!$H$13:$H$672,Auction!$M$13:$M$672,Teams!$H7,Auction!$B$13:$B$672,LEFT(T$2,2))</f>
        <v>0</v>
      </c>
      <c r="U7" s="237">
        <f>SUMIFS(Auction!$H$13:$H$672,Auction!$M$13:$M$672,Teams!$H7,Auction!$B$13:$B$672,LEFT(U$2,2))</f>
        <v>0</v>
      </c>
      <c r="V7" s="1"/>
      <c r="W7" s="167" t="s">
        <v>52</v>
      </c>
      <c r="X7" s="230">
        <v>1</v>
      </c>
      <c r="Y7" s="229">
        <f t="shared" si="1"/>
        <v>0</v>
      </c>
      <c r="Z7" s="231">
        <f t="shared" si="2"/>
        <v>1</v>
      </c>
    </row>
    <row r="8" spans="1:26" x14ac:dyDescent="0.25">
      <c r="A8" s="167" t="str">
        <f>IFERROR(INDEX(Auction!$B$13:$B$672,MATCH(B8,Auction!$A$13:$A$672,0)),"")</f>
        <v/>
      </c>
      <c r="B8" s="255" t="str">
        <f t="array" ref="B8">IFERROR(INDEX(Auction!$A$13:$M$672,SMALL(IF(Auction!$M$13:$M$672=$H$3,(ROW(Auction!$M$13:$M$672)-MIN(ROW(Auction!$M$13:$M$672))+1),""),ROW(C6)),1),"")</f>
        <v/>
      </c>
      <c r="C8" s="176">
        <f>IF(ISERROR(VLOOKUP(B8,Auction!$A$13:$I$672,7,FALSE)),0,VLOOKUP(B8,Auction!$A$13:$I$672,8,FALSE))</f>
        <v>0</v>
      </c>
      <c r="D8" s="177">
        <f>IFERROR(VLOOKUP(B8,Auction!$A$13:$I$672,9,FALSE)-C8,0)</f>
        <v>0</v>
      </c>
      <c r="E8" s="183" t="str">
        <f>IFERROR(INDEX(Auction!$C$13:$C$672,MATCH(B8,Auction!$A$13:$A$672,0)),"")</f>
        <v/>
      </c>
      <c r="F8" s="1"/>
      <c r="G8" s="167">
        <v>6</v>
      </c>
      <c r="H8" s="146" t="s">
        <v>936</v>
      </c>
      <c r="I8" s="150">
        <f>LeagueInfo!$F$3-SUMIF(Auction!$M$13:$M$672,H8,Auction!$H$13:$H$672)</f>
        <v>200</v>
      </c>
      <c r="J8" s="151">
        <f>I8-(LeagueInfo!$F$4-COUNTIF(Auction!$M$13:$M$672,$H8))+1</f>
        <v>186</v>
      </c>
      <c r="K8" s="148">
        <f t="shared" si="0"/>
        <v>0</v>
      </c>
      <c r="L8" s="148">
        <f>COUNTIFS(Auction!$M$13:$M$672,Teams!$H8,Auction!$H$13:$H$672,"&gt;0",Auction!$B$13:$B$672,L$2)</f>
        <v>0</v>
      </c>
      <c r="M8" s="148">
        <f>COUNTIFS(Auction!$M$13:$M$672,Teams!$H8,Auction!$H$13:$H$672,"&gt;0",Auction!$B$13:$B$672,M$2)</f>
        <v>0</v>
      </c>
      <c r="N8" s="148">
        <f>COUNTIFS(Auction!$M$13:$M$672,Teams!$H8,Auction!$H$13:$H$672,"&gt;0",Auction!$B$13:$B$672,N$2)</f>
        <v>0</v>
      </c>
      <c r="O8" s="148">
        <f>COUNTIFS(Auction!$M$13:$M$672,Teams!$H8,Auction!$H$13:$H$672,"&gt;0",Auction!$B$13:$B$672,O$2)</f>
        <v>0</v>
      </c>
      <c r="P8" s="148">
        <f>COUNTIFS(Auction!$M$13:$M$672,Teams!$H8,Auction!$H$13:$H$672,"&gt;0",Auction!$B$13:$B$672,P$2)</f>
        <v>0</v>
      </c>
      <c r="Q8" s="169">
        <f>COUNTIFS(Auction!$M$13:$M$672,Teams!$H8,Auction!$H$13:$H$672,"&gt;0",Auction!$B$13:$B$672,Q$2)</f>
        <v>0</v>
      </c>
      <c r="R8" s="238">
        <f>SUMIFS(Auction!$H$13:$H$672,Auction!$M$13:$M$672,Teams!$H8,Auction!$B$13:$B$672,LEFT(R$2,2))</f>
        <v>0</v>
      </c>
      <c r="S8" s="233">
        <f>SUMIFS(Auction!$H$13:$H$672,Auction!$M$13:$M$672,Teams!$H8,Auction!$B$13:$B$672,LEFT(S$2,2))</f>
        <v>0</v>
      </c>
      <c r="T8" s="233">
        <f>SUMIFS(Auction!$H$13:$H$672,Auction!$M$13:$M$672,Teams!$H8,Auction!$B$13:$B$672,LEFT(T$2,2))</f>
        <v>0</v>
      </c>
      <c r="U8" s="239">
        <f>SUMIFS(Auction!$H$13:$H$672,Auction!$M$13:$M$672,Teams!$H8,Auction!$B$13:$B$672,LEFT(U$2,2))</f>
        <v>0</v>
      </c>
      <c r="V8" s="1"/>
      <c r="W8" s="167" t="s">
        <v>58</v>
      </c>
      <c r="X8" s="230">
        <v>1</v>
      </c>
      <c r="Y8" s="229">
        <f t="shared" si="1"/>
        <v>0</v>
      </c>
      <c r="Z8" s="231">
        <f t="shared" si="2"/>
        <v>1</v>
      </c>
    </row>
    <row r="9" spans="1:26" x14ac:dyDescent="0.25">
      <c r="A9" s="167" t="str">
        <f>IFERROR(INDEX(Auction!$B$13:$B$672,MATCH(B9,Auction!$A$13:$A$672,0)),"")</f>
        <v/>
      </c>
      <c r="B9" s="255" t="str">
        <f t="array" ref="B9">IFERROR(INDEX(Auction!$A$13:$M$672,SMALL(IF(Auction!$M$13:$M$672=$H$3,(ROW(Auction!$M$13:$M$672)-MIN(ROW(Auction!$M$13:$M$672))+1),""),ROW(C7)),1),"")</f>
        <v/>
      </c>
      <c r="C9" s="176">
        <f>IF(ISERROR(VLOOKUP(B9,Auction!$A$13:$I$672,7,FALSE)),0,VLOOKUP(B9,Auction!$A$13:$I$672,8,FALSE))</f>
        <v>0</v>
      </c>
      <c r="D9" s="177">
        <f>IFERROR(VLOOKUP(B9,Auction!$A$13:$I$672,9,FALSE)-C9,0)</f>
        <v>0</v>
      </c>
      <c r="E9" s="183" t="str">
        <f>IFERROR(INDEX(Auction!$C$13:$C$672,MATCH(B9,Auction!$A$13:$A$672,0)),"")</f>
        <v/>
      </c>
      <c r="F9" s="1"/>
      <c r="G9" s="167">
        <v>7</v>
      </c>
      <c r="H9" s="158" t="s">
        <v>938</v>
      </c>
      <c r="I9" s="159">
        <f>LeagueInfo!$F$3-SUMIF(Auction!$M$13:$M$672,H9,Auction!$H$13:$H$672)</f>
        <v>200</v>
      </c>
      <c r="J9" s="160">
        <f>I9-(LeagueInfo!$F$4-COUNTIF(Auction!$M$13:$M$672,$H9))+1</f>
        <v>186</v>
      </c>
      <c r="K9" s="161">
        <f t="shared" si="0"/>
        <v>0</v>
      </c>
      <c r="L9" s="161">
        <f>COUNTIFS(Auction!$M$13:$M$672,Teams!$H9,Auction!$H$13:$H$672,"&gt;0",Auction!$B$13:$B$672,L$2)</f>
        <v>0</v>
      </c>
      <c r="M9" s="161">
        <f>COUNTIFS(Auction!$M$13:$M$672,Teams!$H9,Auction!$H$13:$H$672,"&gt;0",Auction!$B$13:$B$672,M$2)</f>
        <v>0</v>
      </c>
      <c r="N9" s="161">
        <f>COUNTIFS(Auction!$M$13:$M$672,Teams!$H9,Auction!$H$13:$H$672,"&gt;0",Auction!$B$13:$B$672,N$2)</f>
        <v>0</v>
      </c>
      <c r="O9" s="161">
        <f>COUNTIFS(Auction!$M$13:$M$672,Teams!$H9,Auction!$H$13:$H$672,"&gt;0",Auction!$B$13:$B$672,O$2)</f>
        <v>0</v>
      </c>
      <c r="P9" s="161">
        <f>COUNTIFS(Auction!$M$13:$M$672,Teams!$H9,Auction!$H$13:$H$672,"&gt;0",Auction!$B$13:$B$672,P$2)</f>
        <v>0</v>
      </c>
      <c r="Q9" s="170">
        <f>COUNTIFS(Auction!$M$13:$M$672,Teams!$H9,Auction!$H$13:$H$672,"&gt;0",Auction!$B$13:$B$672,Q$2)</f>
        <v>0</v>
      </c>
      <c r="R9" s="236">
        <f>SUMIFS(Auction!$H$13:$H$672,Auction!$M$13:$M$672,Teams!$H9,Auction!$B$13:$B$672,LEFT(R$2,2))</f>
        <v>0</v>
      </c>
      <c r="S9" s="232">
        <f>SUMIFS(Auction!$H$13:$H$672,Auction!$M$13:$M$672,Teams!$H9,Auction!$B$13:$B$672,LEFT(S$2,2))</f>
        <v>0</v>
      </c>
      <c r="T9" s="232">
        <f>SUMIFS(Auction!$H$13:$H$672,Auction!$M$13:$M$672,Teams!$H9,Auction!$B$13:$B$672,LEFT(T$2,2))</f>
        <v>0</v>
      </c>
      <c r="U9" s="237">
        <f>SUMIFS(Auction!$H$13:$H$672,Auction!$M$13:$M$672,Teams!$H9,Auction!$B$13:$B$672,LEFT(U$2,2))</f>
        <v>0</v>
      </c>
      <c r="V9" s="1"/>
      <c r="W9" s="178"/>
      <c r="X9" s="179">
        <f>SUM(X3:X8)</f>
        <v>200</v>
      </c>
      <c r="Y9" s="179">
        <f>SUM(Y3:Y8)</f>
        <v>0</v>
      </c>
      <c r="Z9" s="180">
        <f>SUM(Z3:Z8)</f>
        <v>200</v>
      </c>
    </row>
    <row r="10" spans="1:26" x14ac:dyDescent="0.25">
      <c r="A10" s="167" t="str">
        <f>IFERROR(INDEX(Auction!$B$13:$B$672,MATCH(B10,Auction!$A$13:$A$672,0)),"")</f>
        <v/>
      </c>
      <c r="B10" s="255" t="str">
        <f t="array" ref="B10">IFERROR(INDEX(Auction!$A$13:$M$672,SMALL(IF(Auction!$M$13:$M$672=$H$3,(ROW(Auction!$M$13:$M$672)-MIN(ROW(Auction!$M$13:$M$672))+1),""),ROW(C8)),1),"")</f>
        <v/>
      </c>
      <c r="C10" s="176">
        <f>IF(ISERROR(VLOOKUP(B10,Auction!$A$13:$I$672,7,FALSE)),0,VLOOKUP(B10,Auction!$A$13:$I$672,8,FALSE))</f>
        <v>0</v>
      </c>
      <c r="D10" s="177">
        <f>IFERROR(VLOOKUP(B10,Auction!$A$13:$I$672,9,FALSE)-C10,0)</f>
        <v>0</v>
      </c>
      <c r="E10" s="183" t="str">
        <f>IFERROR(INDEX(Auction!$C$13:$C$672,MATCH(B10,Auction!$A$13:$A$672,0)),"")</f>
        <v/>
      </c>
      <c r="F10" s="1"/>
      <c r="G10" s="167">
        <v>8</v>
      </c>
      <c r="H10" s="146" t="s">
        <v>939</v>
      </c>
      <c r="I10" s="150">
        <f>LeagueInfo!$F$3-SUMIF(Auction!$M$13:$M$672,H10,Auction!$H$13:$H$672)</f>
        <v>200</v>
      </c>
      <c r="J10" s="151">
        <f>I10-(LeagueInfo!$F$4-COUNTIF(Auction!$M$13:$M$672,$H10))+1</f>
        <v>186</v>
      </c>
      <c r="K10" s="148">
        <f t="shared" si="0"/>
        <v>0</v>
      </c>
      <c r="L10" s="148">
        <f>COUNTIFS(Auction!$M$13:$M$672,Teams!$H10,Auction!$H$13:$H$672,"&gt;0",Auction!$B$13:$B$672,L$2)</f>
        <v>0</v>
      </c>
      <c r="M10" s="148">
        <f>COUNTIFS(Auction!$M$13:$M$672,Teams!$H10,Auction!$H$13:$H$672,"&gt;0",Auction!$B$13:$B$672,M$2)</f>
        <v>0</v>
      </c>
      <c r="N10" s="148">
        <f>COUNTIFS(Auction!$M$13:$M$672,Teams!$H10,Auction!$H$13:$H$672,"&gt;0",Auction!$B$13:$B$672,N$2)</f>
        <v>0</v>
      </c>
      <c r="O10" s="148">
        <f>COUNTIFS(Auction!$M$13:$M$672,Teams!$H10,Auction!$H$13:$H$672,"&gt;0",Auction!$B$13:$B$672,O$2)</f>
        <v>0</v>
      </c>
      <c r="P10" s="148">
        <f>COUNTIFS(Auction!$M$13:$M$672,Teams!$H10,Auction!$H$13:$H$672,"&gt;0",Auction!$B$13:$B$672,P$2)</f>
        <v>0</v>
      </c>
      <c r="Q10" s="169">
        <f>COUNTIFS(Auction!$M$13:$M$672,Teams!$H10,Auction!$H$13:$H$672,"&gt;0",Auction!$B$13:$B$672,Q$2)</f>
        <v>0</v>
      </c>
      <c r="R10" s="238">
        <f>SUMIFS(Auction!$H$13:$H$672,Auction!$M$13:$M$672,Teams!$H10,Auction!$B$13:$B$672,LEFT(R$2,2))</f>
        <v>0</v>
      </c>
      <c r="S10" s="233">
        <f>SUMIFS(Auction!$H$13:$H$672,Auction!$M$13:$M$672,Teams!$H10,Auction!$B$13:$B$672,LEFT(S$2,2))</f>
        <v>0</v>
      </c>
      <c r="T10" s="233">
        <f>SUMIFS(Auction!$H$13:$H$672,Auction!$M$13:$M$672,Teams!$H10,Auction!$B$13:$B$672,LEFT(T$2,2))</f>
        <v>0</v>
      </c>
      <c r="U10" s="239">
        <f>SUMIFS(Auction!$H$13:$H$672,Auction!$M$13:$M$672,Teams!$H10,Auction!$B$13:$B$672,LEFT(U$2,2))</f>
        <v>0</v>
      </c>
      <c r="V10" s="1"/>
      <c r="W10" s="181"/>
      <c r="X10" s="15" t="str">
        <f>IF(X9=LeagueInfo!$F$3,"Goal OK",IF(X9&gt;LeagueInfo!$F$3,"Goal over budget","Goal under budget"))</f>
        <v>Goal OK</v>
      </c>
      <c r="Y10" s="15"/>
      <c r="Z10" s="16"/>
    </row>
    <row r="11" spans="1:26" x14ac:dyDescent="0.25">
      <c r="A11" s="167" t="str">
        <f>IFERROR(INDEX(Auction!$B$13:$B$672,MATCH(B11,Auction!$A$13:$A$672,0)),"")</f>
        <v/>
      </c>
      <c r="B11" s="255" t="str">
        <f t="array" ref="B11">IFERROR(INDEX(Auction!$A$13:$M$672,SMALL(IF(Auction!$M$13:$M$672=$H$3,(ROW(Auction!$M$13:$M$672)-MIN(ROW(Auction!$M$13:$M$672))+1),""),ROW(C9)),1),"")</f>
        <v/>
      </c>
      <c r="C11" s="176">
        <f>IF(ISERROR(VLOOKUP(B11,Auction!$A$13:$I$672,7,FALSE)),0,VLOOKUP(B11,Auction!$A$13:$I$672,8,FALSE))</f>
        <v>0</v>
      </c>
      <c r="D11" s="177">
        <f>IFERROR(VLOOKUP(B11,Auction!$A$13:$I$672,9,FALSE)-C11,0)</f>
        <v>0</v>
      </c>
      <c r="E11" s="184" t="str">
        <f>IFERROR(INDEX(Auction!$C$13:$C$672,MATCH(B11,Auction!$A$13:$A$672,0)),"")</f>
        <v/>
      </c>
      <c r="F11" s="1"/>
      <c r="G11" s="167">
        <v>9</v>
      </c>
      <c r="H11" s="158" t="s">
        <v>940</v>
      </c>
      <c r="I11" s="159">
        <f>LeagueInfo!$F$3-SUMIF(Auction!$M$13:$M$672,H11,Auction!$H$13:$H$672)</f>
        <v>200</v>
      </c>
      <c r="J11" s="160">
        <f>I11-(LeagueInfo!$F$4-COUNTIF(Auction!$M$13:$M$672,$H11))+1</f>
        <v>186</v>
      </c>
      <c r="K11" s="161">
        <f t="shared" si="0"/>
        <v>0</v>
      </c>
      <c r="L11" s="161">
        <f>COUNTIFS(Auction!$M$13:$M$672,Teams!$H11,Auction!$H$13:$H$672,"&gt;0",Auction!$B$13:$B$672,L$2)</f>
        <v>0</v>
      </c>
      <c r="M11" s="161">
        <f>COUNTIFS(Auction!$M$13:$M$672,Teams!$H11,Auction!$H$13:$H$672,"&gt;0",Auction!$B$13:$B$672,M$2)</f>
        <v>0</v>
      </c>
      <c r="N11" s="161">
        <f>COUNTIFS(Auction!$M$13:$M$672,Teams!$H11,Auction!$H$13:$H$672,"&gt;0",Auction!$B$13:$B$672,N$2)</f>
        <v>0</v>
      </c>
      <c r="O11" s="161">
        <f>COUNTIFS(Auction!$M$13:$M$672,Teams!$H11,Auction!$H$13:$H$672,"&gt;0",Auction!$B$13:$B$672,O$2)</f>
        <v>0</v>
      </c>
      <c r="P11" s="161">
        <f>COUNTIFS(Auction!$M$13:$M$672,Teams!$H11,Auction!$H$13:$H$672,"&gt;0",Auction!$B$13:$B$672,P$2)</f>
        <v>0</v>
      </c>
      <c r="Q11" s="170">
        <f>COUNTIFS(Auction!$M$13:$M$672,Teams!$H11,Auction!$H$13:$H$672,"&gt;0",Auction!$B$13:$B$672,Q$2)</f>
        <v>0</v>
      </c>
      <c r="R11" s="236">
        <f>SUMIFS(Auction!$H$13:$H$672,Auction!$M$13:$M$672,Teams!$H11,Auction!$B$13:$B$672,LEFT(R$2,2))</f>
        <v>0</v>
      </c>
      <c r="S11" s="232">
        <f>SUMIFS(Auction!$H$13:$H$672,Auction!$M$13:$M$672,Teams!$H11,Auction!$B$13:$B$672,LEFT(S$2,2))</f>
        <v>0</v>
      </c>
      <c r="T11" s="232">
        <f>SUMIFS(Auction!$H$13:$H$672,Auction!$M$13:$M$672,Teams!$H11,Auction!$B$13:$B$672,LEFT(T$2,2))</f>
        <v>0</v>
      </c>
      <c r="U11" s="237">
        <f>SUMIFS(Auction!$H$13:$H$672,Auction!$M$13:$M$672,Teams!$H11,Auction!$B$13:$B$672,LEFT(U$2,2))</f>
        <v>0</v>
      </c>
      <c r="V11" s="1"/>
      <c r="W11" s="1"/>
      <c r="X11" s="1"/>
      <c r="Y11" s="1"/>
      <c r="Z11" s="1"/>
    </row>
    <row r="12" spans="1:26" x14ac:dyDescent="0.25">
      <c r="A12" s="167" t="str">
        <f>IFERROR(INDEX(Auction!$B$13:$B$672,MATCH(B12,Auction!$A$13:$A$672,0)),"")</f>
        <v/>
      </c>
      <c r="B12" s="255" t="str">
        <f t="array" ref="B12">IFERROR(INDEX(Auction!$A$13:$M$672,SMALL(IF(Auction!$M$13:$M$672=$H$3,(ROW(Auction!$M$13:$M$672)-MIN(ROW(Auction!$M$13:$M$672))+1),""),ROW(C10)),1),"")</f>
        <v/>
      </c>
      <c r="C12" s="176">
        <f>IF(ISERROR(VLOOKUP(B12,Auction!$A$13:$I$672,7,FALSE)),0,VLOOKUP(B12,Auction!$A$13:$I$672,8,FALSE))</f>
        <v>0</v>
      </c>
      <c r="D12" s="177">
        <f>IFERROR(VLOOKUP(B12,Auction!$A$13:$I$672,9,FALSE)-C12,0)</f>
        <v>0</v>
      </c>
      <c r="E12" s="184" t="str">
        <f>IFERROR(INDEX(Auction!$C$13:$C$672,MATCH(B12,Auction!$A$13:$A$672,0)),"")</f>
        <v/>
      </c>
      <c r="F12" s="1"/>
      <c r="G12" s="167">
        <v>10</v>
      </c>
      <c r="H12" s="146" t="s">
        <v>941</v>
      </c>
      <c r="I12" s="150">
        <f>LeagueInfo!$F$3-SUMIF(Auction!$M$13:$M$672,H12,Auction!$H$13:$H$672)</f>
        <v>200</v>
      </c>
      <c r="J12" s="151">
        <f>I12-(LeagueInfo!$F$4-COUNTIF(Auction!$M$13:$M$672,$H12))+1</f>
        <v>186</v>
      </c>
      <c r="K12" s="148">
        <f t="shared" si="0"/>
        <v>0</v>
      </c>
      <c r="L12" s="148">
        <f>COUNTIFS(Auction!$M$13:$M$672,Teams!$H12,Auction!$H$13:$H$672,"&gt;0",Auction!$B$13:$B$672,L$2)</f>
        <v>0</v>
      </c>
      <c r="M12" s="148">
        <f>COUNTIFS(Auction!$M$13:$M$672,Teams!$H12,Auction!$H$13:$H$672,"&gt;0",Auction!$B$13:$B$672,M$2)</f>
        <v>0</v>
      </c>
      <c r="N12" s="148">
        <f>COUNTIFS(Auction!$M$13:$M$672,Teams!$H12,Auction!$H$13:$H$672,"&gt;0",Auction!$B$13:$B$672,N$2)</f>
        <v>0</v>
      </c>
      <c r="O12" s="148">
        <f>COUNTIFS(Auction!$M$13:$M$672,Teams!$H12,Auction!$H$13:$H$672,"&gt;0",Auction!$B$13:$B$672,O$2)</f>
        <v>0</v>
      </c>
      <c r="P12" s="148">
        <f>COUNTIFS(Auction!$M$13:$M$672,Teams!$H12,Auction!$H$13:$H$672,"&gt;0",Auction!$B$13:$B$672,P$2)</f>
        <v>0</v>
      </c>
      <c r="Q12" s="169">
        <f>COUNTIFS(Auction!$M$13:$M$672,Teams!$H12,Auction!$H$13:$H$672,"&gt;0",Auction!$B$13:$B$672,Q$2)</f>
        <v>0</v>
      </c>
      <c r="R12" s="238">
        <f>SUMIFS(Auction!$H$13:$H$672,Auction!$M$13:$M$672,Teams!$H12,Auction!$B$13:$B$672,LEFT(R$2,2))</f>
        <v>0</v>
      </c>
      <c r="S12" s="233">
        <f>SUMIFS(Auction!$H$13:$H$672,Auction!$M$13:$M$672,Teams!$H12,Auction!$B$13:$B$672,LEFT(S$2,2))</f>
        <v>0</v>
      </c>
      <c r="T12" s="233">
        <f>SUMIFS(Auction!$H$13:$H$672,Auction!$M$13:$M$672,Teams!$H12,Auction!$B$13:$B$672,LEFT(T$2,2))</f>
        <v>0</v>
      </c>
      <c r="U12" s="239">
        <f>SUMIFS(Auction!$H$13:$H$672,Auction!$M$13:$M$672,Teams!$H12,Auction!$B$13:$B$672,LEFT(U$2,2))</f>
        <v>0</v>
      </c>
      <c r="V12" s="1"/>
      <c r="W12" s="1"/>
      <c r="X12" s="1"/>
      <c r="Y12" s="1"/>
      <c r="Z12" s="1"/>
    </row>
    <row r="13" spans="1:26" x14ac:dyDescent="0.25">
      <c r="A13" s="167" t="str">
        <f>IFERROR(INDEX(Auction!$B$13:$B$672,MATCH(B13,Auction!$A$13:$A$672,0)),"")</f>
        <v/>
      </c>
      <c r="B13" s="255" t="str">
        <f t="array" ref="B13">IFERROR(INDEX(Auction!$A$13:$M$672,SMALL(IF(Auction!$M$13:$M$672=$H$3,(ROW(Auction!$M$13:$M$672)-MIN(ROW(Auction!$M$13:$M$672))+1),""),ROW(C11)),1),"")</f>
        <v/>
      </c>
      <c r="C13" s="176">
        <f>IF(ISERROR(VLOOKUP(B13,Auction!$A$13:$I$672,7,FALSE)),0,VLOOKUP(B13,Auction!$A$13:$I$672,8,FALSE))</f>
        <v>0</v>
      </c>
      <c r="D13" s="177">
        <f>IFERROR(VLOOKUP(B13,Auction!$A$13:$I$672,9,FALSE)-C13,0)</f>
        <v>0</v>
      </c>
      <c r="E13" s="184" t="str">
        <f>IFERROR(INDEX(Auction!$C$13:$C$672,MATCH(B13,Auction!$A$13:$A$672,0)),"")</f>
        <v/>
      </c>
      <c r="F13" s="1"/>
      <c r="G13" s="167">
        <v>11</v>
      </c>
      <c r="H13" s="158" t="s">
        <v>932</v>
      </c>
      <c r="I13" s="159">
        <f>LeagueInfo!$F$3-SUMIF(Auction!$M$13:$M$672,H13,Auction!$H$13:$H$672)</f>
        <v>200</v>
      </c>
      <c r="J13" s="160">
        <f>I13-(LeagueInfo!$F$4-COUNTIF(Auction!$M$13:$M$672,$H13))+1</f>
        <v>186</v>
      </c>
      <c r="K13" s="161">
        <f t="shared" si="0"/>
        <v>0</v>
      </c>
      <c r="L13" s="161">
        <f>COUNTIFS(Auction!$M$13:$M$672,Teams!$H13,Auction!$H$13:$H$672,"&gt;0",Auction!$B$13:$B$672,L$2)</f>
        <v>0</v>
      </c>
      <c r="M13" s="161">
        <f>COUNTIFS(Auction!$M$13:$M$672,Teams!$H13,Auction!$H$13:$H$672,"&gt;0",Auction!$B$13:$B$672,M$2)</f>
        <v>0</v>
      </c>
      <c r="N13" s="161">
        <f>COUNTIFS(Auction!$M$13:$M$672,Teams!$H13,Auction!$H$13:$H$672,"&gt;0",Auction!$B$13:$B$672,N$2)</f>
        <v>0</v>
      </c>
      <c r="O13" s="161">
        <f>COUNTIFS(Auction!$M$13:$M$672,Teams!$H13,Auction!$H$13:$H$672,"&gt;0",Auction!$B$13:$B$672,O$2)</f>
        <v>0</v>
      </c>
      <c r="P13" s="161">
        <f>COUNTIFS(Auction!$M$13:$M$672,Teams!$H13,Auction!$H$13:$H$672,"&gt;0",Auction!$B$13:$B$672,P$2)</f>
        <v>0</v>
      </c>
      <c r="Q13" s="170">
        <f>COUNTIFS(Auction!$M$13:$M$672,Teams!$H13,Auction!$H$13:$H$672,"&gt;0",Auction!$B$13:$B$672,Q$2)</f>
        <v>0</v>
      </c>
      <c r="R13" s="236">
        <f>SUMIFS(Auction!$H$13:$H$672,Auction!$M$13:$M$672,Teams!$H13,Auction!$B$13:$B$672,LEFT(R$2,2))</f>
        <v>0</v>
      </c>
      <c r="S13" s="232">
        <f>SUMIFS(Auction!$H$13:$H$672,Auction!$M$13:$M$672,Teams!$H13,Auction!$B$13:$B$672,LEFT(S$2,2))</f>
        <v>0</v>
      </c>
      <c r="T13" s="232">
        <f>SUMIFS(Auction!$H$13:$H$672,Auction!$M$13:$M$672,Teams!$H13,Auction!$B$13:$B$672,LEFT(T$2,2))</f>
        <v>0</v>
      </c>
      <c r="U13" s="237">
        <f>SUMIFS(Auction!$H$13:$H$672,Auction!$M$13:$M$672,Teams!$H13,Auction!$B$13:$B$672,LEFT(U$2,2))</f>
        <v>0</v>
      </c>
      <c r="V13" s="1"/>
      <c r="W13" s="1"/>
      <c r="X13" s="1"/>
      <c r="Y13" s="1"/>
      <c r="Z13" s="1"/>
    </row>
    <row r="14" spans="1:26" x14ac:dyDescent="0.25">
      <c r="A14" s="167" t="str">
        <f>IFERROR(INDEX(Auction!$B$13:$B$672,MATCH(B14,Auction!$A$13:$A$672,0)),"")</f>
        <v/>
      </c>
      <c r="B14" s="255" t="str">
        <f t="array" ref="B14">IFERROR(INDEX(Auction!$A$13:$M$672,SMALL(IF(Auction!$M$13:$M$672=$H$3,(ROW(Auction!$M$13:$M$672)-MIN(ROW(Auction!$M$13:$M$672))+1),""),ROW(C12)),1),"")</f>
        <v/>
      </c>
      <c r="C14" s="176">
        <f>IF(ISERROR(VLOOKUP(B14,Auction!$A$13:$I$672,7,FALSE)),0,VLOOKUP(B14,Auction!$A$13:$I$672,8,FALSE))</f>
        <v>0</v>
      </c>
      <c r="D14" s="177">
        <f>IFERROR(VLOOKUP(B14,Auction!$A$13:$I$672,9,FALSE)-C14,0)</f>
        <v>0</v>
      </c>
      <c r="E14" s="184" t="str">
        <f>IFERROR(INDEX(Auction!$C$13:$C$672,MATCH(B14,Auction!$A$13:$A$672,0)),"")</f>
        <v/>
      </c>
      <c r="F14" s="1"/>
      <c r="G14" s="167">
        <v>12</v>
      </c>
      <c r="H14" s="146" t="s">
        <v>933</v>
      </c>
      <c r="I14" s="150">
        <f>LeagueInfo!$F$3-SUMIF(Auction!$M$13:$M$672,H14,Auction!$H$13:$H$672)</f>
        <v>200</v>
      </c>
      <c r="J14" s="151">
        <f>I14-(LeagueInfo!$F$4-COUNTIF(Auction!$M$13:$M$672,$H14))+1</f>
        <v>186</v>
      </c>
      <c r="K14" s="148">
        <f t="shared" si="0"/>
        <v>0</v>
      </c>
      <c r="L14" s="148">
        <f>COUNTIFS(Auction!$M$13:$M$672,Teams!$H14,Auction!$H$13:$H$672,"&gt;0",Auction!$B$13:$B$672,L$2)</f>
        <v>0</v>
      </c>
      <c r="M14" s="148">
        <f>COUNTIFS(Auction!$M$13:$M$672,Teams!$H14,Auction!$H$13:$H$672,"&gt;0",Auction!$B$13:$B$672,M$2)</f>
        <v>0</v>
      </c>
      <c r="N14" s="148">
        <f>COUNTIFS(Auction!$M$13:$M$672,Teams!$H14,Auction!$H$13:$H$672,"&gt;0",Auction!$B$13:$B$672,N$2)</f>
        <v>0</v>
      </c>
      <c r="O14" s="148">
        <f>COUNTIFS(Auction!$M$13:$M$672,Teams!$H14,Auction!$H$13:$H$672,"&gt;0",Auction!$B$13:$B$672,O$2)</f>
        <v>0</v>
      </c>
      <c r="P14" s="148">
        <f>COUNTIFS(Auction!$M$13:$M$672,Teams!$H14,Auction!$H$13:$H$672,"&gt;0",Auction!$B$13:$B$672,P$2)</f>
        <v>0</v>
      </c>
      <c r="Q14" s="169">
        <f>COUNTIFS(Auction!$M$13:$M$672,Teams!$H14,Auction!$H$13:$H$672,"&gt;0",Auction!$B$13:$B$672,Q$2)</f>
        <v>0</v>
      </c>
      <c r="R14" s="238">
        <f>SUMIFS(Auction!$H$13:$H$672,Auction!$M$13:$M$672,Teams!$H14,Auction!$B$13:$B$672,LEFT(R$2,2))</f>
        <v>0</v>
      </c>
      <c r="S14" s="233">
        <f>SUMIFS(Auction!$H$13:$H$672,Auction!$M$13:$M$672,Teams!$H14,Auction!$B$13:$B$672,LEFT(S$2,2))</f>
        <v>0</v>
      </c>
      <c r="T14" s="233">
        <f>SUMIFS(Auction!$H$13:$H$672,Auction!$M$13:$M$672,Teams!$H14,Auction!$B$13:$B$672,LEFT(T$2,2))</f>
        <v>0</v>
      </c>
      <c r="U14" s="239">
        <f>SUMIFS(Auction!$H$13:$H$672,Auction!$M$13:$M$672,Teams!$H14,Auction!$B$13:$B$672,LEFT(U$2,2))</f>
        <v>0</v>
      </c>
      <c r="V14" s="1"/>
      <c r="W14" s="1"/>
      <c r="X14" s="1"/>
      <c r="Y14" s="1"/>
      <c r="Z14" s="1"/>
    </row>
    <row r="15" spans="1:26" x14ac:dyDescent="0.25">
      <c r="A15" s="167" t="str">
        <f>IFERROR(INDEX(Auction!$B$13:$B$672,MATCH(B15,Auction!$A$13:$A$672,0)),"")</f>
        <v/>
      </c>
      <c r="B15" s="255" t="str">
        <f t="array" ref="B15">IFERROR(INDEX(Auction!$A$13:$M$672,SMALL(IF(Auction!$M$13:$M$672=$H$3,(ROW(Auction!$M$13:$M$672)-MIN(ROW(Auction!$M$13:$M$672))+1),""),ROW(C13)),1),"")</f>
        <v/>
      </c>
      <c r="C15" s="176">
        <f>IF(ISERROR(VLOOKUP(B15,Auction!$A$13:$I$672,7,FALSE)),0,VLOOKUP(B15,Auction!$A$13:$I$672,8,FALSE))</f>
        <v>0</v>
      </c>
      <c r="D15" s="177">
        <f>IFERROR(VLOOKUP(B15,Auction!$A$13:$I$672,9,FALSE)-C15,0)</f>
        <v>0</v>
      </c>
      <c r="E15" s="184" t="str">
        <f>IFERROR(INDEX(Auction!$C$13:$C$672,MATCH(B15,Auction!$A$13:$A$672,0)),"")</f>
        <v/>
      </c>
      <c r="F15" s="1"/>
      <c r="G15" s="167">
        <v>13</v>
      </c>
      <c r="H15" s="158"/>
      <c r="I15" s="159">
        <f>LeagueInfo!$F$3-SUMIF(Auction!$M$13:$M$672,H15,Auction!$H$13:$H$672)</f>
        <v>200</v>
      </c>
      <c r="J15" s="160">
        <f>I15-(LeagueInfo!$F$4-COUNTIF(Auction!$M$13:$M$672,$H15))+1</f>
        <v>186</v>
      </c>
      <c r="K15" s="161">
        <f t="shared" si="0"/>
        <v>0</v>
      </c>
      <c r="L15" s="161">
        <f>COUNTIFS(Auction!$M$13:$M$672,Teams!$H15,Auction!$H$13:$H$672,"&gt;0",Auction!$B$13:$B$672,L$2)</f>
        <v>0</v>
      </c>
      <c r="M15" s="161">
        <f>COUNTIFS(Auction!$M$13:$M$672,Teams!$H15,Auction!$H$13:$H$672,"&gt;0",Auction!$B$13:$B$672,M$2)</f>
        <v>0</v>
      </c>
      <c r="N15" s="161">
        <f>COUNTIFS(Auction!$M$13:$M$672,Teams!$H15,Auction!$H$13:$H$672,"&gt;0",Auction!$B$13:$B$672,N$2)</f>
        <v>0</v>
      </c>
      <c r="O15" s="161">
        <f>COUNTIFS(Auction!$M$13:$M$672,Teams!$H15,Auction!$H$13:$H$672,"&gt;0",Auction!$B$13:$B$672,O$2)</f>
        <v>0</v>
      </c>
      <c r="P15" s="161">
        <f>COUNTIFS(Auction!$M$13:$M$672,Teams!$H15,Auction!$H$13:$H$672,"&gt;0",Auction!$B$13:$B$672,P$2)</f>
        <v>0</v>
      </c>
      <c r="Q15" s="170">
        <f>COUNTIFS(Auction!$M$13:$M$672,Teams!$H15,Auction!$H$13:$H$672,"&gt;0",Auction!$B$13:$B$672,Q$2)</f>
        <v>0</v>
      </c>
      <c r="R15" s="236">
        <f>SUMIFS(Auction!$H$13:$H$672,Auction!$M$13:$M$672,Teams!$H15,Auction!$B$13:$B$672,LEFT(R$2,2))</f>
        <v>0</v>
      </c>
      <c r="S15" s="232">
        <f>SUMIFS(Auction!$H$13:$H$672,Auction!$M$13:$M$672,Teams!$H15,Auction!$B$13:$B$672,LEFT(S$2,2))</f>
        <v>0</v>
      </c>
      <c r="T15" s="232">
        <f>SUMIFS(Auction!$H$13:$H$672,Auction!$M$13:$M$672,Teams!$H15,Auction!$B$13:$B$672,LEFT(T$2,2))</f>
        <v>0</v>
      </c>
      <c r="U15" s="237">
        <f>SUMIFS(Auction!$H$13:$H$672,Auction!$M$13:$M$672,Teams!$H15,Auction!$B$13:$B$672,LEFT(U$2,2))</f>
        <v>0</v>
      </c>
      <c r="V15" s="1"/>
      <c r="W15" s="1"/>
      <c r="X15" s="1"/>
      <c r="Y15" s="1"/>
      <c r="Z15" s="1"/>
    </row>
    <row r="16" spans="1:26" x14ac:dyDescent="0.25">
      <c r="A16" s="167" t="str">
        <f>IFERROR(INDEX(Auction!$B$13:$B$672,MATCH(B16,Auction!$A$13:$A$672,0)),"")</f>
        <v/>
      </c>
      <c r="B16" s="255" t="str">
        <f t="array" ref="B16">IFERROR(INDEX(Auction!$A$13:$M$672,SMALL(IF(Auction!$M$13:$M$672=$H$3,(ROW(Auction!$M$13:$M$672)-MIN(ROW(Auction!$M$13:$M$672))+1),""),ROW(C14)),1),"")</f>
        <v/>
      </c>
      <c r="C16" s="176">
        <f>IF(ISERROR(VLOOKUP(B16,Auction!$A$13:$I$672,7,FALSE)),0,VLOOKUP(B16,Auction!$A$13:$I$672,8,FALSE))</f>
        <v>0</v>
      </c>
      <c r="D16" s="177">
        <f>IFERROR(VLOOKUP(B16,Auction!$A$13:$I$672,9,FALSE)-C16,0)</f>
        <v>0</v>
      </c>
      <c r="E16" s="184" t="str">
        <f>IFERROR(INDEX(Auction!$C$13:$C$672,MATCH(B16,Auction!$A$13:$A$672,0)),"")</f>
        <v/>
      </c>
      <c r="F16" s="1"/>
      <c r="G16" s="167">
        <v>14</v>
      </c>
      <c r="H16" s="146"/>
      <c r="I16" s="150">
        <f>LeagueInfo!$F$3-SUMIF(Auction!$M$13:$M$672,H16,Auction!$H$13:$H$672)</f>
        <v>200</v>
      </c>
      <c r="J16" s="151">
        <f>I16-(LeagueInfo!$F$4-COUNTIF(Auction!$M$13:$M$672,$H16))+1</f>
        <v>186</v>
      </c>
      <c r="K16" s="148">
        <f t="shared" si="0"/>
        <v>0</v>
      </c>
      <c r="L16" s="148">
        <f>COUNTIFS(Auction!$M$13:$M$672,Teams!$H16,Auction!$H$13:$H$672,"&gt;0",Auction!$B$13:$B$672,L$2)</f>
        <v>0</v>
      </c>
      <c r="M16" s="148">
        <f>COUNTIFS(Auction!$M$13:$M$672,Teams!$H16,Auction!$H$13:$H$672,"&gt;0",Auction!$B$13:$B$672,M$2)</f>
        <v>0</v>
      </c>
      <c r="N16" s="148">
        <f>COUNTIFS(Auction!$M$13:$M$672,Teams!$H16,Auction!$H$13:$H$672,"&gt;0",Auction!$B$13:$B$672,N$2)</f>
        <v>0</v>
      </c>
      <c r="O16" s="148">
        <f>COUNTIFS(Auction!$M$13:$M$672,Teams!$H16,Auction!$H$13:$H$672,"&gt;0",Auction!$B$13:$B$672,O$2)</f>
        <v>0</v>
      </c>
      <c r="P16" s="148">
        <f>COUNTIFS(Auction!$M$13:$M$672,Teams!$H16,Auction!$H$13:$H$672,"&gt;0",Auction!$B$13:$B$672,P$2)</f>
        <v>0</v>
      </c>
      <c r="Q16" s="169">
        <f>COUNTIFS(Auction!$M$13:$M$672,Teams!$H16,Auction!$H$13:$H$672,"&gt;0",Auction!$B$13:$B$672,Q$2)</f>
        <v>0</v>
      </c>
      <c r="R16" s="238">
        <f>SUMIFS(Auction!$H$13:$H$672,Auction!$M$13:$M$672,Teams!$H16,Auction!$B$13:$B$672,LEFT(R$2,2))</f>
        <v>0</v>
      </c>
      <c r="S16" s="233">
        <f>SUMIFS(Auction!$H$13:$H$672,Auction!$M$13:$M$672,Teams!$H16,Auction!$B$13:$B$672,LEFT(S$2,2))</f>
        <v>0</v>
      </c>
      <c r="T16" s="233">
        <f>SUMIFS(Auction!$H$13:$H$672,Auction!$M$13:$M$672,Teams!$H16,Auction!$B$13:$B$672,LEFT(T$2,2))</f>
        <v>0</v>
      </c>
      <c r="U16" s="239">
        <f>SUMIFS(Auction!$H$13:$H$672,Auction!$M$13:$M$672,Teams!$H16,Auction!$B$13:$B$672,LEFT(U$2,2))</f>
        <v>0</v>
      </c>
      <c r="V16" s="1"/>
      <c r="W16" s="1"/>
      <c r="X16" s="1"/>
      <c r="Y16" s="1"/>
      <c r="Z16" s="1"/>
    </row>
    <row r="17" spans="1:21" x14ac:dyDescent="0.25">
      <c r="A17" s="167" t="str">
        <f>IFERROR(INDEX(Auction!$B$13:$B$672,MATCH(B17,Auction!$A$13:$A$672,0)),"")</f>
        <v/>
      </c>
      <c r="B17" s="255" t="str">
        <f t="array" ref="B17">IFERROR(INDEX(Auction!$A$13:$M$672,SMALL(IF(Auction!$M$13:$M$672=$H$3,(ROW(Auction!$M$13:$M$672)-MIN(ROW(Auction!$M$13:$M$672))+1),""),ROW(C15)),1),"")</f>
        <v/>
      </c>
      <c r="C17" s="176">
        <f>IF(ISERROR(VLOOKUP(B17,Auction!$A$13:$I$672,7,FALSE)),0,VLOOKUP(B17,Auction!$A$13:$I$672,8,FALSE))</f>
        <v>0</v>
      </c>
      <c r="D17" s="177">
        <f>IFERROR(VLOOKUP(B17,Auction!$A$13:$I$672,9,FALSE)-C17,0)</f>
        <v>0</v>
      </c>
      <c r="E17" s="184" t="str">
        <f>IFERROR(INDEX(Auction!$C$13:$C$672,MATCH(B17,Auction!$A$13:$A$672,0)),"")</f>
        <v/>
      </c>
      <c r="F17" s="1"/>
      <c r="G17" s="167">
        <v>15</v>
      </c>
      <c r="H17" s="158"/>
      <c r="I17" s="159">
        <f>LeagueInfo!$F$3-SUMIF(Auction!$M$13:$M$672,H17,Auction!$H$13:$H$672)</f>
        <v>200</v>
      </c>
      <c r="J17" s="160">
        <f>I17-(LeagueInfo!$F$4-COUNTIF(Auction!$M$13:$M$672,$H17))+1</f>
        <v>186</v>
      </c>
      <c r="K17" s="161">
        <f t="shared" si="0"/>
        <v>0</v>
      </c>
      <c r="L17" s="161">
        <f>COUNTIFS(Auction!$M$13:$M$672,Teams!$H17,Auction!$H$13:$H$672,"&gt;0",Auction!$B$13:$B$672,L$2)</f>
        <v>0</v>
      </c>
      <c r="M17" s="161">
        <f>COUNTIFS(Auction!$M$13:$M$672,Teams!$H17,Auction!$H$13:$H$672,"&gt;0",Auction!$B$13:$B$672,M$2)</f>
        <v>0</v>
      </c>
      <c r="N17" s="161">
        <f>COUNTIFS(Auction!$M$13:$M$672,Teams!$H17,Auction!$H$13:$H$672,"&gt;0",Auction!$B$13:$B$672,N$2)</f>
        <v>0</v>
      </c>
      <c r="O17" s="161">
        <f>COUNTIFS(Auction!$M$13:$M$672,Teams!$H17,Auction!$H$13:$H$672,"&gt;0",Auction!$B$13:$B$672,O$2)</f>
        <v>0</v>
      </c>
      <c r="P17" s="161">
        <f>COUNTIFS(Auction!$M$13:$M$672,Teams!$H17,Auction!$H$13:$H$672,"&gt;0",Auction!$B$13:$B$672,P$2)</f>
        <v>0</v>
      </c>
      <c r="Q17" s="170">
        <f>COUNTIFS(Auction!$M$13:$M$672,Teams!$H17,Auction!$H$13:$H$672,"&gt;0",Auction!$B$13:$B$672,Q$2)</f>
        <v>0</v>
      </c>
      <c r="R17" s="236">
        <f>SUMIFS(Auction!$H$13:$H$672,Auction!$M$13:$M$672,Teams!$H17,Auction!$B$13:$B$672,LEFT(R$2,2))</f>
        <v>0</v>
      </c>
      <c r="S17" s="232">
        <f>SUMIFS(Auction!$H$13:$H$672,Auction!$M$13:$M$672,Teams!$H17,Auction!$B$13:$B$672,LEFT(S$2,2))</f>
        <v>0</v>
      </c>
      <c r="T17" s="232">
        <f>SUMIFS(Auction!$H$13:$H$672,Auction!$M$13:$M$672,Teams!$H17,Auction!$B$13:$B$672,LEFT(T$2,2))</f>
        <v>0</v>
      </c>
      <c r="U17" s="237">
        <f>SUMIFS(Auction!$H$13:$H$672,Auction!$M$13:$M$672,Teams!$H17,Auction!$B$13:$B$672,LEFT(U$2,2))</f>
        <v>0</v>
      </c>
    </row>
    <row r="18" spans="1:21" x14ac:dyDescent="0.25">
      <c r="A18" s="167" t="str">
        <f>IFERROR(INDEX(Auction!$B$13:$B$672,MATCH(B18,Auction!$A$13:$A$672,0)),"")</f>
        <v/>
      </c>
      <c r="B18" s="255" t="str">
        <f t="array" ref="B18">IFERROR(INDEX(Auction!$A$13:$M$672,SMALL(IF(Auction!$M$13:$M$672=$H$3,(ROW(Auction!$M$13:$M$672)-MIN(ROW(Auction!$M$13:$M$672))+1),""),ROW(C16)),1),"")</f>
        <v/>
      </c>
      <c r="C18" s="176">
        <f>IF(ISERROR(VLOOKUP(B18,Auction!$A$13:$I$672,7,FALSE)),0,VLOOKUP(B18,Auction!$A$13:$I$672,8,FALSE))</f>
        <v>0</v>
      </c>
      <c r="D18" s="177">
        <f>IFERROR(VLOOKUP(B18,Auction!$A$13:$I$672,9,FALSE)-C18,0)</f>
        <v>0</v>
      </c>
      <c r="E18" s="184" t="str">
        <f>IFERROR(INDEX(Auction!$C$13:$C$672,MATCH(B18,Auction!$A$13:$A$672,0)),"")</f>
        <v/>
      </c>
      <c r="F18" s="1"/>
      <c r="G18" s="167">
        <v>16</v>
      </c>
      <c r="H18" s="146"/>
      <c r="I18" s="150">
        <f>LeagueInfo!$F$3-SUMIF(Auction!$M$13:$M$672,H18,Auction!$H$13:$H$672)</f>
        <v>200</v>
      </c>
      <c r="J18" s="151">
        <f>I18-(LeagueInfo!$F$4-COUNTIF(Auction!$M$13:$M$672,$H18))+1</f>
        <v>186</v>
      </c>
      <c r="K18" s="148">
        <f t="shared" si="0"/>
        <v>0</v>
      </c>
      <c r="L18" s="148">
        <f>COUNTIFS(Auction!$M$13:$M$672,Teams!$H18,Auction!$H$13:$H$672,"&gt;0",Auction!$B$13:$B$672,L$2)</f>
        <v>0</v>
      </c>
      <c r="M18" s="148">
        <f>COUNTIFS(Auction!$M$13:$M$672,Teams!$H18,Auction!$H$13:$H$672,"&gt;0",Auction!$B$13:$B$672,M$2)</f>
        <v>0</v>
      </c>
      <c r="N18" s="148">
        <f>COUNTIFS(Auction!$M$13:$M$672,Teams!$H18,Auction!$H$13:$H$672,"&gt;0",Auction!$B$13:$B$672,N$2)</f>
        <v>0</v>
      </c>
      <c r="O18" s="148">
        <f>COUNTIFS(Auction!$M$13:$M$672,Teams!$H18,Auction!$H$13:$H$672,"&gt;0",Auction!$B$13:$B$672,O$2)</f>
        <v>0</v>
      </c>
      <c r="P18" s="148">
        <f>COUNTIFS(Auction!$M$13:$M$672,Teams!$H18,Auction!$H$13:$H$672,"&gt;0",Auction!$B$13:$B$672,P$2)</f>
        <v>0</v>
      </c>
      <c r="Q18" s="169">
        <f>COUNTIFS(Auction!$M$13:$M$672,Teams!$H18,Auction!$H$13:$H$672,"&gt;0",Auction!$B$13:$B$672,Q$2)</f>
        <v>0</v>
      </c>
      <c r="R18" s="238">
        <f>SUMIFS(Auction!$H$13:$H$672,Auction!$M$13:$M$672,Teams!$H18,Auction!$B$13:$B$672,LEFT(R$2,2))</f>
        <v>0</v>
      </c>
      <c r="S18" s="233">
        <f>SUMIFS(Auction!$H$13:$H$672,Auction!$M$13:$M$672,Teams!$H18,Auction!$B$13:$B$672,LEFT(S$2,2))</f>
        <v>0</v>
      </c>
      <c r="T18" s="233">
        <f>SUMIFS(Auction!$H$13:$H$672,Auction!$M$13:$M$672,Teams!$H18,Auction!$B$13:$B$672,LEFT(T$2,2))</f>
        <v>0</v>
      </c>
      <c r="U18" s="239">
        <f>SUMIFS(Auction!$H$13:$H$672,Auction!$M$13:$M$672,Teams!$H18,Auction!$B$13:$B$672,LEFT(U$2,2))</f>
        <v>0</v>
      </c>
    </row>
    <row r="19" spans="1:21" x14ac:dyDescent="0.25">
      <c r="A19" s="167" t="str">
        <f>IFERROR(INDEX(Auction!$B$13:$B$672,MATCH(B19,Auction!$A$13:$A$672,0)),"")</f>
        <v/>
      </c>
      <c r="B19" s="255" t="str">
        <f t="array" ref="B19">IFERROR(INDEX(Auction!$A$13:$M$672,SMALL(IF(Auction!$M$13:$M$672=$H$3,(ROW(Auction!$M$13:$M$672)-MIN(ROW(Auction!$M$13:$M$672))+1),""),ROW(C17)),1),"")</f>
        <v/>
      </c>
      <c r="C19" s="176">
        <f>IF(ISERROR(VLOOKUP(B19,Auction!$A$13:$I$672,7,FALSE)),0,VLOOKUP(B19,Auction!$A$13:$I$672,8,FALSE))</f>
        <v>0</v>
      </c>
      <c r="D19" s="177">
        <f>IFERROR(VLOOKUP(B19,Auction!$A$13:$I$672,9,FALSE)-C19,0)</f>
        <v>0</v>
      </c>
      <c r="E19" s="184" t="str">
        <f>IFERROR(INDEX(Auction!$C$13:$C$672,MATCH(B19,Auction!$A$13:$A$672,0)),"")</f>
        <v/>
      </c>
      <c r="F19" s="1"/>
      <c r="G19" s="167">
        <v>17</v>
      </c>
      <c r="H19" s="158"/>
      <c r="I19" s="159">
        <f>LeagueInfo!$F$3-SUMIF(Auction!$M$13:$M$672,H19,Auction!$H$13:$H$672)</f>
        <v>200</v>
      </c>
      <c r="J19" s="160">
        <f>I19-(LeagueInfo!$F$4-COUNTIF(Auction!$M$13:$M$672,$H19))+1</f>
        <v>186</v>
      </c>
      <c r="K19" s="161">
        <f t="shared" ref="K19:K22" si="3">SUM(L19:Q19)</f>
        <v>0</v>
      </c>
      <c r="L19" s="161">
        <f>COUNTIFS(Auction!$M$13:$M$672,Teams!$H19,Auction!$H$13:$H$672,"&gt;0",Auction!$B$13:$B$672,L$2)</f>
        <v>0</v>
      </c>
      <c r="M19" s="161">
        <f>COUNTIFS(Auction!$M$13:$M$672,Teams!$H19,Auction!$H$13:$H$672,"&gt;0",Auction!$B$13:$B$672,M$2)</f>
        <v>0</v>
      </c>
      <c r="N19" s="161">
        <f>COUNTIFS(Auction!$M$13:$M$672,Teams!$H19,Auction!$H$13:$H$672,"&gt;0",Auction!$B$13:$B$672,N$2)</f>
        <v>0</v>
      </c>
      <c r="O19" s="161">
        <f>COUNTIFS(Auction!$M$13:$M$672,Teams!$H19,Auction!$H$13:$H$672,"&gt;0",Auction!$B$13:$B$672,O$2)</f>
        <v>0</v>
      </c>
      <c r="P19" s="161">
        <f>COUNTIFS(Auction!$M$13:$M$672,Teams!$H19,Auction!$H$13:$H$672,"&gt;0",Auction!$B$13:$B$672,P$2)</f>
        <v>0</v>
      </c>
      <c r="Q19" s="170">
        <f>COUNTIFS(Auction!$M$13:$M$672,Teams!$H19,Auction!$H$13:$H$672,"&gt;0",Auction!$B$13:$B$672,Q$2)</f>
        <v>0</v>
      </c>
      <c r="R19" s="236">
        <f>SUMIFS(Auction!$H$13:$H$672,Auction!$M$13:$M$672,Teams!$H19,Auction!$B$13:$B$672,LEFT(R$2,2))</f>
        <v>0</v>
      </c>
      <c r="S19" s="232">
        <f>SUMIFS(Auction!$H$13:$H$672,Auction!$M$13:$M$672,Teams!$H19,Auction!$B$13:$B$672,LEFT(S$2,2))</f>
        <v>0</v>
      </c>
      <c r="T19" s="232">
        <f>SUMIFS(Auction!$H$13:$H$672,Auction!$M$13:$M$672,Teams!$H19,Auction!$B$13:$B$672,LEFT(T$2,2))</f>
        <v>0</v>
      </c>
      <c r="U19" s="237">
        <f>SUMIFS(Auction!$H$13:$H$672,Auction!$M$13:$M$672,Teams!$H19,Auction!$B$13:$B$672,LEFT(U$2,2))</f>
        <v>0</v>
      </c>
    </row>
    <row r="20" spans="1:21" x14ac:dyDescent="0.25">
      <c r="A20" s="167" t="str">
        <f>IFERROR(INDEX(Auction!$B$13:$B$672,MATCH(B20,Auction!$A$13:$A$672,0)),"")</f>
        <v/>
      </c>
      <c r="B20" s="255" t="str">
        <f t="array" ref="B20">IFERROR(INDEX(Auction!$A$13:$M$672,SMALL(IF(Auction!$M$13:$M$672=$H$3,(ROW(Auction!$M$13:$M$672)-MIN(ROW(Auction!$M$13:$M$672))+1),""),ROW(C18)),1),"")</f>
        <v/>
      </c>
      <c r="C20" s="176">
        <f>IF(ISERROR(VLOOKUP(B20,Auction!$A$13:$I$672,7,FALSE)),0,VLOOKUP(B20,Auction!$A$13:$I$672,8,FALSE))</f>
        <v>0</v>
      </c>
      <c r="D20" s="177">
        <f>IFERROR(VLOOKUP(B20,Auction!$A$13:$I$672,9,FALSE)-C20,0)</f>
        <v>0</v>
      </c>
      <c r="E20" s="184" t="str">
        <f>IFERROR(INDEX(Auction!$C$13:$C$672,MATCH(B20,Auction!$A$13:$A$672,0)),"")</f>
        <v/>
      </c>
      <c r="F20" s="1"/>
      <c r="G20" s="167">
        <v>18</v>
      </c>
      <c r="H20" s="146"/>
      <c r="I20" s="150">
        <f>LeagueInfo!$F$3-SUMIF(Auction!$M$13:$M$672,H20,Auction!$H$13:$H$672)</f>
        <v>200</v>
      </c>
      <c r="J20" s="151">
        <f>I20-(LeagueInfo!$F$4-COUNTIF(Auction!$M$13:$M$672,$H20))+1</f>
        <v>186</v>
      </c>
      <c r="K20" s="148">
        <f t="shared" si="3"/>
        <v>0</v>
      </c>
      <c r="L20" s="148">
        <f>COUNTIFS(Auction!$M$13:$M$672,Teams!$H20,Auction!$H$13:$H$672,"&gt;0",Auction!$B$13:$B$672,L$2)</f>
        <v>0</v>
      </c>
      <c r="M20" s="148">
        <f>COUNTIFS(Auction!$M$13:$M$672,Teams!$H20,Auction!$H$13:$H$672,"&gt;0",Auction!$B$13:$B$672,M$2)</f>
        <v>0</v>
      </c>
      <c r="N20" s="148">
        <f>COUNTIFS(Auction!$M$13:$M$672,Teams!$H20,Auction!$H$13:$H$672,"&gt;0",Auction!$B$13:$B$672,N$2)</f>
        <v>0</v>
      </c>
      <c r="O20" s="148">
        <f>COUNTIFS(Auction!$M$13:$M$672,Teams!$H20,Auction!$H$13:$H$672,"&gt;0",Auction!$B$13:$B$672,O$2)</f>
        <v>0</v>
      </c>
      <c r="P20" s="148">
        <f>COUNTIFS(Auction!$M$13:$M$672,Teams!$H20,Auction!$H$13:$H$672,"&gt;0",Auction!$B$13:$B$672,P$2)</f>
        <v>0</v>
      </c>
      <c r="Q20" s="169">
        <f>COUNTIFS(Auction!$M$13:$M$672,Teams!$H20,Auction!$H$13:$H$672,"&gt;0",Auction!$B$13:$B$672,Q$2)</f>
        <v>0</v>
      </c>
      <c r="R20" s="238">
        <f>SUMIFS(Auction!$H$13:$H$672,Auction!$M$13:$M$672,Teams!$H20,Auction!$B$13:$B$672,LEFT(R$2,2))</f>
        <v>0</v>
      </c>
      <c r="S20" s="233">
        <f>SUMIFS(Auction!$H$13:$H$672,Auction!$M$13:$M$672,Teams!$H20,Auction!$B$13:$B$672,LEFT(S$2,2))</f>
        <v>0</v>
      </c>
      <c r="T20" s="233">
        <f>SUMIFS(Auction!$H$13:$H$672,Auction!$M$13:$M$672,Teams!$H20,Auction!$B$13:$B$672,LEFT(T$2,2))</f>
        <v>0</v>
      </c>
      <c r="U20" s="239">
        <f>SUMIFS(Auction!$H$13:$H$672,Auction!$M$13:$M$672,Teams!$H20,Auction!$B$13:$B$672,LEFT(U$2,2))</f>
        <v>0</v>
      </c>
    </row>
    <row r="21" spans="1:21" x14ac:dyDescent="0.25">
      <c r="A21" s="167" t="str">
        <f>IFERROR(INDEX(Auction!$B$13:$B$672,MATCH(B21,Auction!$A$13:$A$672,0)),"")</f>
        <v/>
      </c>
      <c r="B21" s="255" t="str">
        <f t="array" ref="B21">IFERROR(INDEX(Auction!$A$13:$M$672,SMALL(IF(Auction!$M$13:$M$672=$H$3,(ROW(Auction!$M$13:$M$672)-MIN(ROW(Auction!$M$13:$M$672))+1),""),ROW(C19)),1),"")</f>
        <v/>
      </c>
      <c r="C21" s="176">
        <f>IF(ISERROR(VLOOKUP(B21,Auction!$A$13:$I$672,7,FALSE)),0,VLOOKUP(B21,Auction!$A$13:$I$672,8,FALSE))</f>
        <v>0</v>
      </c>
      <c r="D21" s="177">
        <f>IFERROR(VLOOKUP(B21,Auction!$A$13:$I$672,9,FALSE)-C21,0)</f>
        <v>0</v>
      </c>
      <c r="E21" s="184" t="str">
        <f>IFERROR(INDEX(Auction!$C$13:$C$672,MATCH(B21,Auction!$A$13:$A$672,0)),"")</f>
        <v/>
      </c>
      <c r="F21" s="1"/>
      <c r="G21" s="167">
        <v>19</v>
      </c>
      <c r="H21" s="158"/>
      <c r="I21" s="159">
        <f>LeagueInfo!$F$3-SUMIF(Auction!$M$13:$M$672,H21,Auction!$H$13:$H$672)</f>
        <v>200</v>
      </c>
      <c r="J21" s="160">
        <f>I21-(LeagueInfo!$F$4-COUNTIF(Auction!$M$13:$M$672,$H21))+1</f>
        <v>186</v>
      </c>
      <c r="K21" s="161">
        <f t="shared" si="3"/>
        <v>0</v>
      </c>
      <c r="L21" s="161">
        <f>COUNTIFS(Auction!$M$13:$M$672,Teams!$H21,Auction!$H$13:$H$672,"&gt;0",Auction!$B$13:$B$672,L$2)</f>
        <v>0</v>
      </c>
      <c r="M21" s="161">
        <f>COUNTIFS(Auction!$M$13:$M$672,Teams!$H21,Auction!$H$13:$H$672,"&gt;0",Auction!$B$13:$B$672,M$2)</f>
        <v>0</v>
      </c>
      <c r="N21" s="161">
        <f>COUNTIFS(Auction!$M$13:$M$672,Teams!$H21,Auction!$H$13:$H$672,"&gt;0",Auction!$B$13:$B$672,N$2)</f>
        <v>0</v>
      </c>
      <c r="O21" s="161">
        <f>COUNTIFS(Auction!$M$13:$M$672,Teams!$H21,Auction!$H$13:$H$672,"&gt;0",Auction!$B$13:$B$672,O$2)</f>
        <v>0</v>
      </c>
      <c r="P21" s="161">
        <f>COUNTIFS(Auction!$M$13:$M$672,Teams!$H21,Auction!$H$13:$H$672,"&gt;0",Auction!$B$13:$B$672,P$2)</f>
        <v>0</v>
      </c>
      <c r="Q21" s="170">
        <f>COUNTIFS(Auction!$M$13:$M$672,Teams!$H21,Auction!$H$13:$H$672,"&gt;0",Auction!$B$13:$B$672,Q$2)</f>
        <v>0</v>
      </c>
      <c r="R21" s="236">
        <f>SUMIFS(Auction!$H$13:$H$672,Auction!$M$13:$M$672,Teams!$H21,Auction!$B$13:$B$672,LEFT(R$2,2))</f>
        <v>0</v>
      </c>
      <c r="S21" s="232">
        <f>SUMIFS(Auction!$H$13:$H$672,Auction!$M$13:$M$672,Teams!$H21,Auction!$B$13:$B$672,LEFT(S$2,2))</f>
        <v>0</v>
      </c>
      <c r="T21" s="232">
        <f>SUMIFS(Auction!$H$13:$H$672,Auction!$M$13:$M$672,Teams!$H21,Auction!$B$13:$B$672,LEFT(T$2,2))</f>
        <v>0</v>
      </c>
      <c r="U21" s="237">
        <f>SUMIFS(Auction!$H$13:$H$672,Auction!$M$13:$M$672,Teams!$H21,Auction!$B$13:$B$672,LEFT(U$2,2))</f>
        <v>0</v>
      </c>
    </row>
    <row r="22" spans="1:21" x14ac:dyDescent="0.25">
      <c r="A22" s="167" t="str">
        <f>IFERROR(INDEX(Auction!$B$13:$B$672,MATCH(B22,Auction!$A$13:$A$672,0)),"")</f>
        <v/>
      </c>
      <c r="B22" s="255" t="str">
        <f t="array" ref="B22">IFERROR(INDEX(Auction!$A$13:$M$672,SMALL(IF(Auction!$M$13:$M$672=$H$3,(ROW(Auction!$M$13:$M$672)-MIN(ROW(Auction!$M$13:$M$672))+1),""),ROW(C20)),1),"")</f>
        <v/>
      </c>
      <c r="C22" s="176">
        <f>IF(ISERROR(VLOOKUP(B22,Auction!$A$13:$I$672,7,FALSE)),0,VLOOKUP(B22,Auction!$A$13:$I$672,8,FALSE))</f>
        <v>0</v>
      </c>
      <c r="D22" s="177">
        <f>IFERROR(VLOOKUP(B22,Auction!$A$13:$I$672,9,FALSE)-C22,0)</f>
        <v>0</v>
      </c>
      <c r="E22" s="184" t="str">
        <f>IFERROR(INDEX(Auction!$C$13:$C$672,MATCH(B22,Auction!$A$13:$A$672,0)),"")</f>
        <v/>
      </c>
      <c r="F22" s="1"/>
      <c r="G22" s="167">
        <v>20</v>
      </c>
      <c r="H22" s="147"/>
      <c r="I22" s="152">
        <f>LeagueInfo!$F$3-SUMIF(Auction!$M$13:$M$672,H22,Auction!$H$13:$H$672)</f>
        <v>200</v>
      </c>
      <c r="J22" s="153">
        <f>I22-(LeagueInfo!$F$4-COUNTIF(Auction!$M$13:$M$672,$H22))+1</f>
        <v>186</v>
      </c>
      <c r="K22" s="149">
        <f t="shared" si="3"/>
        <v>0</v>
      </c>
      <c r="L22" s="149">
        <f>COUNTIFS(Auction!$M$13:$M$672,Teams!$H22,Auction!$H$13:$H$672,"&gt;0",Auction!$B$13:$B$672,L$2)</f>
        <v>0</v>
      </c>
      <c r="M22" s="149">
        <f>COUNTIFS(Auction!$M$13:$M$672,Teams!$H22,Auction!$H$13:$H$672,"&gt;0",Auction!$B$13:$B$672,M$2)</f>
        <v>0</v>
      </c>
      <c r="N22" s="149">
        <f>COUNTIFS(Auction!$M$13:$M$672,Teams!$H22,Auction!$H$13:$H$672,"&gt;0",Auction!$B$13:$B$672,N$2)</f>
        <v>0</v>
      </c>
      <c r="O22" s="149">
        <f>COUNTIFS(Auction!$M$13:$M$672,Teams!$H22,Auction!$H$13:$H$672,"&gt;0",Auction!$B$13:$B$672,O$2)</f>
        <v>0</v>
      </c>
      <c r="P22" s="149">
        <f>COUNTIFS(Auction!$M$13:$M$672,Teams!$H22,Auction!$H$13:$H$672,"&gt;0",Auction!$B$13:$B$672,P$2)</f>
        <v>0</v>
      </c>
      <c r="Q22" s="171">
        <f>COUNTIFS(Auction!$M$13:$M$672,Teams!$H22,Auction!$H$13:$H$672,"&gt;0",Auction!$B$13:$B$672,Q$2)</f>
        <v>0</v>
      </c>
      <c r="R22" s="238">
        <f>SUMIFS(Auction!$H$13:$H$672,Auction!$M$13:$M$672,Teams!$H22,Auction!$B$13:$B$672,LEFT(R$2,2))</f>
        <v>0</v>
      </c>
      <c r="S22" s="233">
        <f>SUMIFS(Auction!$H$13:$H$672,Auction!$M$13:$M$672,Teams!$H22,Auction!$B$13:$B$672,LEFT(S$2,2))</f>
        <v>0</v>
      </c>
      <c r="T22" s="233">
        <f>SUMIFS(Auction!$H$13:$H$672,Auction!$M$13:$M$672,Teams!$H22,Auction!$B$13:$B$672,LEFT(T$2,2))</f>
        <v>0</v>
      </c>
      <c r="U22" s="239">
        <f>SUMIFS(Auction!$H$13:$H$672,Auction!$M$13:$M$672,Teams!$H22,Auction!$B$13:$B$672,LEFT(U$2,2))</f>
        <v>0</v>
      </c>
    </row>
    <row r="23" spans="1:21" x14ac:dyDescent="0.25">
      <c r="A23" s="185"/>
      <c r="B23" s="186"/>
      <c r="C23" s="187">
        <f>SUM(C3:C22)</f>
        <v>0</v>
      </c>
      <c r="D23" s="187">
        <f>SUM(D3:D22)</f>
        <v>0</v>
      </c>
      <c r="E23" s="188"/>
      <c r="F23" s="1"/>
      <c r="G23" s="172" t="s">
        <v>62</v>
      </c>
      <c r="H23" s="173"/>
      <c r="I23" s="173"/>
      <c r="J23" s="173"/>
      <c r="K23" s="212">
        <f>SUM(K3:K22)</f>
        <v>0</v>
      </c>
      <c r="L23" s="212">
        <f t="shared" ref="L23:Q23" si="4">SUM(L3:L22)</f>
        <v>0</v>
      </c>
      <c r="M23" s="212">
        <f t="shared" si="4"/>
        <v>0</v>
      </c>
      <c r="N23" s="212">
        <f t="shared" si="4"/>
        <v>0</v>
      </c>
      <c r="O23" s="212">
        <f t="shared" si="4"/>
        <v>0</v>
      </c>
      <c r="P23" s="212">
        <f t="shared" si="4"/>
        <v>0</v>
      </c>
      <c r="Q23" s="212">
        <f t="shared" si="4"/>
        <v>0</v>
      </c>
      <c r="R23" s="234">
        <f>SUM(R3:R22)</f>
        <v>0</v>
      </c>
      <c r="S23" s="234">
        <f>SUM(S3:S22)</f>
        <v>0</v>
      </c>
      <c r="T23" s="234">
        <f>SUM(T3:T22)</f>
        <v>0</v>
      </c>
      <c r="U23" s="234">
        <f>SUM(U3:U22)</f>
        <v>0</v>
      </c>
    </row>
    <row r="24" spans="1:21" x14ac:dyDescent="0.25">
      <c r="A24" s="190" t="str">
        <f>CONCATENATE("This column will fill in when 'Drafted By' column in Auction sheet is set to '",H3,"'")</f>
        <v>This column will fill in when 'Drafted By' column in Auction sheet is set to 'My Team'</v>
      </c>
      <c r="B24" s="1"/>
      <c r="C24" s="1"/>
      <c r="D24" s="1"/>
      <c r="E24" s="1"/>
      <c r="F24" s="1"/>
      <c r="G24" s="190" t="s">
        <v>888</v>
      </c>
      <c r="H24" s="189"/>
      <c r="I24" s="189"/>
      <c r="J24" s="189"/>
      <c r="K24" s="1"/>
      <c r="L24" s="1"/>
      <c r="M24" s="1"/>
      <c r="N24" s="1"/>
      <c r="O24" s="1"/>
      <c r="P24" s="1"/>
      <c r="Q24" s="1"/>
    </row>
    <row r="25" spans="1:21" x14ac:dyDescent="0.25">
      <c r="A25" s="1"/>
      <c r="B25" s="1"/>
      <c r="C25" s="1"/>
      <c r="D25" s="1"/>
      <c r="E25" s="162"/>
      <c r="F25" s="1"/>
      <c r="G25" s="190" t="s">
        <v>889</v>
      </c>
      <c r="H25" s="1"/>
      <c r="I25" s="1"/>
      <c r="J25" s="1"/>
      <c r="K25" s="1"/>
      <c r="L25" s="1"/>
      <c r="M25" s="1"/>
      <c r="N25" s="1"/>
      <c r="O25" s="1"/>
      <c r="P25" s="1"/>
      <c r="Q25" s="1"/>
    </row>
    <row r="27" spans="1:21" x14ac:dyDescent="0.25">
      <c r="A27" s="280" t="str">
        <f>H4</f>
        <v>Team 2</v>
      </c>
      <c r="B27" s="281"/>
      <c r="C27" s="281"/>
      <c r="D27" s="281"/>
      <c r="E27" s="282"/>
      <c r="F27" s="1"/>
      <c r="G27" s="280" t="str">
        <f>H5</f>
        <v>Team 3</v>
      </c>
      <c r="H27" s="281"/>
      <c r="I27" s="281"/>
      <c r="J27" s="281"/>
      <c r="K27" s="282"/>
      <c r="L27" s="1"/>
      <c r="M27" s="1"/>
      <c r="N27" s="1"/>
      <c r="O27" s="1"/>
      <c r="P27" s="1"/>
      <c r="Q27" s="1"/>
    </row>
    <row r="28" spans="1:21" x14ac:dyDescent="0.25">
      <c r="A28" s="174" t="s">
        <v>875</v>
      </c>
      <c r="B28" s="182" t="s">
        <v>89</v>
      </c>
      <c r="C28" s="164" t="s">
        <v>876</v>
      </c>
      <c r="D28" s="164" t="s">
        <v>877</v>
      </c>
      <c r="E28" s="175" t="s">
        <v>808</v>
      </c>
      <c r="F28" s="1"/>
      <c r="G28" s="174" t="s">
        <v>875</v>
      </c>
      <c r="H28" s="182" t="s">
        <v>89</v>
      </c>
      <c r="I28" s="164" t="s">
        <v>876</v>
      </c>
      <c r="J28" s="164" t="s">
        <v>877</v>
      </c>
      <c r="K28" s="175" t="s">
        <v>808</v>
      </c>
      <c r="L28" s="1"/>
      <c r="M28" s="1"/>
      <c r="N28" s="1"/>
      <c r="O28" s="1"/>
      <c r="P28" s="1"/>
      <c r="Q28" s="1"/>
    </row>
    <row r="29" spans="1:21" x14ac:dyDescent="0.25">
      <c r="A29" s="167" t="str">
        <f>IFERROR(INDEX(Auction!$B$13:$B$672,MATCH(B29,Auction!$A$13:$A$672,0)),"")</f>
        <v/>
      </c>
      <c r="B29" s="255" t="str">
        <f t="array" ref="B29">IF($A$27=0,"",IFERROR(INDEX(Auction!$A$13:$M$672,SMALL(IF(Auction!$M$13:$M$672=$A$27,(ROW(Auction!$M$13:$M$672)-MIN(ROW(Auction!$M$13:$M$672))+1),""),ROW(A1)),1),""))</f>
        <v/>
      </c>
      <c r="C29" s="176">
        <f>IF(ISERROR(VLOOKUP(B29,Auction!$A$13:$I$672,7,FALSE)),0,VLOOKUP(B29,Auction!$A$13:$I$672,8,FALSE))</f>
        <v>0</v>
      </c>
      <c r="D29" s="177">
        <f>IFERROR(VLOOKUP(B29,Auction!$A$13:$I$672,9,FALSE)-C29,0)</f>
        <v>0</v>
      </c>
      <c r="E29" s="183" t="str">
        <f>IFERROR(INDEX(Auction!$C$13:$C$672,MATCH(B29,Auction!$A$13:$A$672,0)),"")</f>
        <v/>
      </c>
      <c r="F29" s="1"/>
      <c r="G29" s="167" t="str">
        <f>IFERROR(INDEX(Auction!$B$13:$B$672,MATCH(H29,Auction!$A$13:$A$672,0)),"")</f>
        <v/>
      </c>
      <c r="H29" s="255" t="str">
        <f t="array" ref="H29">IF($G$27=0,"",IFERROR(INDEX(Auction!$A$13:$M$672,SMALL(IF(Auction!$M$13:$M$672=$G$27,(ROW(Auction!$M$13:$M$672)-MIN(ROW(Auction!$M$13:$M$672))+1),""),ROW(G1)),1),""))</f>
        <v/>
      </c>
      <c r="I29" s="176">
        <f>IF(ISERROR(VLOOKUP(H29,Auction!$A$13:$I$672,7,FALSE)),0,VLOOKUP(H29,Auction!$A$13:$I$672,8,FALSE))</f>
        <v>0</v>
      </c>
      <c r="J29" s="177">
        <f>IFERROR(VLOOKUP(H29,Auction!$A$13:$I$672,9,FALSE)-I29,0)</f>
        <v>0</v>
      </c>
      <c r="K29" s="183" t="str">
        <f>IFERROR(INDEX(Auction!$C$13:$C$672,MATCH(H29,Auction!$A$13:$A$672,0)),"")</f>
        <v/>
      </c>
      <c r="L29" s="1"/>
      <c r="M29" s="1"/>
      <c r="N29" s="1"/>
      <c r="O29" s="1"/>
      <c r="P29" s="1"/>
      <c r="Q29" s="1"/>
    </row>
    <row r="30" spans="1:21" x14ac:dyDescent="0.25">
      <c r="A30" s="167" t="str">
        <f>IFERROR(INDEX(Auction!$B$13:$B$672,MATCH(B30,Auction!$A$13:$A$672,0)),"")</f>
        <v/>
      </c>
      <c r="B30" s="255" t="str">
        <f t="array" ref="B30">IF($A$27=0,"",IFERROR(INDEX(Auction!$A$13:$M$672,SMALL(IF(Auction!$M$13:$M$672=$A$27,(ROW(Auction!$M$13:$M$672)-MIN(ROW(Auction!$M$13:$M$672))+1),""),ROW(A2)),1),""))</f>
        <v/>
      </c>
      <c r="C30" s="176">
        <f>IF(ISERROR(VLOOKUP(B30,Auction!$A$13:$I$672,7,FALSE)),0,VLOOKUP(B30,Auction!$A$13:$I$672,8,FALSE))</f>
        <v>0</v>
      </c>
      <c r="D30" s="177">
        <f>IFERROR(VLOOKUP(B30,Auction!$A$13:$I$672,9,FALSE)-C30,0)</f>
        <v>0</v>
      </c>
      <c r="E30" s="183" t="str">
        <f>IFERROR(INDEX(Auction!$C$13:$C$672,MATCH(B30,Auction!$A$13:$A$672,0)),"")</f>
        <v/>
      </c>
      <c r="F30" s="1"/>
      <c r="G30" s="167" t="str">
        <f>IFERROR(INDEX(Auction!$B$13:$B$672,MATCH(H30,Auction!$A$13:$A$672,0)),"")</f>
        <v/>
      </c>
      <c r="H30" s="255" t="str">
        <f t="array" ref="H30">IF($G$27=0,"",IFERROR(INDEX(Auction!$A$13:$M$672,SMALL(IF(Auction!$M$13:$M$672=$G$27,(ROW(Auction!$M$13:$M$672)-MIN(ROW(Auction!$M$13:$M$672))+1),""),ROW(G2)),1),""))</f>
        <v/>
      </c>
      <c r="I30" s="176">
        <f>IF(ISERROR(VLOOKUP(H30,Auction!$A$13:$I$672,7,FALSE)),0,VLOOKUP(H30,Auction!$A$13:$I$672,8,FALSE))</f>
        <v>0</v>
      </c>
      <c r="J30" s="177">
        <f>IFERROR(VLOOKUP(H30,Auction!$A$13:$I$672,9,FALSE)-I30,0)</f>
        <v>0</v>
      </c>
      <c r="K30" s="183" t="str">
        <f>IFERROR(INDEX(Auction!$C$13:$C$672,MATCH(H30,Auction!$A$13:$A$672,0)),"")</f>
        <v/>
      </c>
      <c r="L30" s="1"/>
      <c r="M30" s="1"/>
      <c r="N30" s="1"/>
      <c r="O30" s="1"/>
      <c r="P30" s="1"/>
      <c r="Q30" s="1"/>
    </row>
    <row r="31" spans="1:21" x14ac:dyDescent="0.25">
      <c r="A31" s="167" t="str">
        <f>IFERROR(INDEX(Auction!$B$13:$B$672,MATCH(B31,Auction!$A$13:$A$672,0)),"")</f>
        <v/>
      </c>
      <c r="B31" s="255" t="str">
        <f t="array" ref="B31">IF($A$27=0,"",IFERROR(INDEX(Auction!$A$13:$M$672,SMALL(IF(Auction!$M$13:$M$672=$A$27,(ROW(Auction!$M$13:$M$672)-MIN(ROW(Auction!$M$13:$M$672))+1),""),ROW(A3)),1),""))</f>
        <v/>
      </c>
      <c r="C31" s="176">
        <f>IF(ISERROR(VLOOKUP(B31,Auction!$A$13:$I$672,7,FALSE)),0,VLOOKUP(B31,Auction!$A$13:$I$672,8,FALSE))</f>
        <v>0</v>
      </c>
      <c r="D31" s="177">
        <f>IFERROR(VLOOKUP(B31,Auction!$A$13:$I$672,9,FALSE)-C31,0)</f>
        <v>0</v>
      </c>
      <c r="E31" s="183" t="str">
        <f>IFERROR(INDEX(Auction!$C$13:$C$672,MATCH(B31,Auction!$A$13:$A$672,0)),"")</f>
        <v/>
      </c>
      <c r="F31" s="1"/>
      <c r="G31" s="167" t="str">
        <f>IFERROR(INDEX(Auction!$B$13:$B$672,MATCH(H31,Auction!$A$13:$A$672,0)),"")</f>
        <v/>
      </c>
      <c r="H31" s="255" t="str">
        <f t="array" ref="H31">IF($G$27=0,"",IFERROR(INDEX(Auction!$A$13:$M$672,SMALL(IF(Auction!$M$13:$M$672=$G$27,(ROW(Auction!$M$13:$M$672)-MIN(ROW(Auction!$M$13:$M$672))+1),""),ROW(G3)),1),""))</f>
        <v/>
      </c>
      <c r="I31" s="176">
        <f>IF(ISERROR(VLOOKUP(H31,Auction!$A$13:$I$672,7,FALSE)),0,VLOOKUP(H31,Auction!$A$13:$I$672,8,FALSE))</f>
        <v>0</v>
      </c>
      <c r="J31" s="177">
        <f>IFERROR(VLOOKUP(H31,Auction!$A$13:$I$672,9,FALSE)-I31,0)</f>
        <v>0</v>
      </c>
      <c r="K31" s="183" t="str">
        <f>IFERROR(INDEX(Auction!$C$13:$C$672,MATCH(H31,Auction!$A$13:$A$672,0)),"")</f>
        <v/>
      </c>
      <c r="L31" s="1"/>
      <c r="M31" s="1"/>
      <c r="N31" s="1"/>
      <c r="O31" s="1"/>
      <c r="P31" s="1"/>
      <c r="Q31" s="1"/>
    </row>
    <row r="32" spans="1:21" x14ac:dyDescent="0.25">
      <c r="A32" s="167" t="str">
        <f>IFERROR(INDEX(Auction!$B$13:$B$672,MATCH(B32,Auction!$A$13:$A$672,0)),"")</f>
        <v/>
      </c>
      <c r="B32" s="255" t="str">
        <f t="array" ref="B32">IF($A$27=0,"",IFERROR(INDEX(Auction!$A$13:$M$672,SMALL(IF(Auction!$M$13:$M$672=$A$27,(ROW(Auction!$M$13:$M$672)-MIN(ROW(Auction!$M$13:$M$672))+1),""),ROW(A4)),1),""))</f>
        <v/>
      </c>
      <c r="C32" s="176">
        <f>IF(ISERROR(VLOOKUP(B32,Auction!$A$13:$I$672,7,FALSE)),0,VLOOKUP(B32,Auction!$A$13:$I$672,8,FALSE))</f>
        <v>0</v>
      </c>
      <c r="D32" s="177">
        <f>IFERROR(VLOOKUP(B32,Auction!$A$13:$I$672,9,FALSE)-C32,0)</f>
        <v>0</v>
      </c>
      <c r="E32" s="183" t="str">
        <f>IFERROR(INDEX(Auction!$C$13:$C$672,MATCH(B32,Auction!$A$13:$A$672,0)),"")</f>
        <v/>
      </c>
      <c r="F32" s="1"/>
      <c r="G32" s="167" t="str">
        <f>IFERROR(INDEX(Auction!$B$13:$B$672,MATCH(H32,Auction!$A$13:$A$672,0)),"")</f>
        <v/>
      </c>
      <c r="H32" s="255" t="str">
        <f t="array" ref="H32">IF($G$27=0,"",IFERROR(INDEX(Auction!$A$13:$M$672,SMALL(IF(Auction!$M$13:$M$672=$G$27,(ROW(Auction!$M$13:$M$672)-MIN(ROW(Auction!$M$13:$M$672))+1),""),ROW(G4)),1),""))</f>
        <v/>
      </c>
      <c r="I32" s="176">
        <f>IF(ISERROR(VLOOKUP(H32,Auction!$A$13:$I$672,7,FALSE)),0,VLOOKUP(H32,Auction!$A$13:$I$672,8,FALSE))</f>
        <v>0</v>
      </c>
      <c r="J32" s="177">
        <f>IFERROR(VLOOKUP(H32,Auction!$A$13:$I$672,9,FALSE)-I32,0)</f>
        <v>0</v>
      </c>
      <c r="K32" s="183" t="str">
        <f>IFERROR(INDEX(Auction!$C$13:$C$672,MATCH(H32,Auction!$A$13:$A$672,0)),"")</f>
        <v/>
      </c>
      <c r="L32" s="1"/>
      <c r="M32" s="1"/>
      <c r="N32" s="1"/>
      <c r="O32" s="1"/>
      <c r="P32" s="1"/>
      <c r="Q32" s="1"/>
    </row>
    <row r="33" spans="1:11" x14ac:dyDescent="0.25">
      <c r="A33" s="167" t="str">
        <f>IFERROR(INDEX(Auction!$B$13:$B$672,MATCH(B33,Auction!$A$13:$A$672,0)),"")</f>
        <v/>
      </c>
      <c r="B33" s="255" t="str">
        <f t="array" ref="B33">IF($A$27=0,"",IFERROR(INDEX(Auction!$A$13:$M$672,SMALL(IF(Auction!$M$13:$M$672=$A$27,(ROW(Auction!$M$13:$M$672)-MIN(ROW(Auction!$M$13:$M$672))+1),""),ROW(A5)),1),""))</f>
        <v/>
      </c>
      <c r="C33" s="176">
        <f>IF(ISERROR(VLOOKUP(B33,Auction!$A$13:$I$672,7,FALSE)),0,VLOOKUP(B33,Auction!$A$13:$I$672,8,FALSE))</f>
        <v>0</v>
      </c>
      <c r="D33" s="177">
        <f>IFERROR(VLOOKUP(B33,Auction!$A$13:$I$672,9,FALSE)-C33,0)</f>
        <v>0</v>
      </c>
      <c r="E33" s="183" t="str">
        <f>IFERROR(INDEX(Auction!$C$13:$C$672,MATCH(B33,Auction!$A$13:$A$672,0)),"")</f>
        <v/>
      </c>
      <c r="F33" s="1"/>
      <c r="G33" s="167" t="str">
        <f>IFERROR(INDEX(Auction!$B$13:$B$672,MATCH(H33,Auction!$A$13:$A$672,0)),"")</f>
        <v/>
      </c>
      <c r="H33" s="255" t="str">
        <f t="array" ref="H33">IF($G$27=0,"",IFERROR(INDEX(Auction!$A$13:$M$672,SMALL(IF(Auction!$M$13:$M$672=$G$27,(ROW(Auction!$M$13:$M$672)-MIN(ROW(Auction!$M$13:$M$672))+1),""),ROW(G5)),1),""))</f>
        <v/>
      </c>
      <c r="I33" s="176">
        <f>IF(ISERROR(VLOOKUP(H33,Auction!$A$13:$I$672,7,FALSE)),0,VLOOKUP(H33,Auction!$A$13:$I$672,8,FALSE))</f>
        <v>0</v>
      </c>
      <c r="J33" s="177">
        <f>IFERROR(VLOOKUP(H33,Auction!$A$13:$I$672,9,FALSE)-I33,0)</f>
        <v>0</v>
      </c>
      <c r="K33" s="183" t="str">
        <f>IFERROR(INDEX(Auction!$C$13:$C$672,MATCH(H33,Auction!$A$13:$A$672,0)),"")</f>
        <v/>
      </c>
    </row>
    <row r="34" spans="1:11" x14ac:dyDescent="0.25">
      <c r="A34" s="167" t="str">
        <f>IFERROR(INDEX(Auction!$B$13:$B$672,MATCH(B34,Auction!$A$13:$A$672,0)),"")</f>
        <v/>
      </c>
      <c r="B34" s="255" t="str">
        <f t="array" ref="B34">IF($A$27=0,"",IFERROR(INDEX(Auction!$A$13:$M$672,SMALL(IF(Auction!$M$13:$M$672=$A$27,(ROW(Auction!$M$13:$M$672)-MIN(ROW(Auction!$M$13:$M$672))+1),""),ROW(A6)),1),""))</f>
        <v/>
      </c>
      <c r="C34" s="176">
        <f>IF(ISERROR(VLOOKUP(B34,Auction!$A$13:$I$672,7,FALSE)),0,VLOOKUP(B34,Auction!$A$13:$I$672,8,FALSE))</f>
        <v>0</v>
      </c>
      <c r="D34" s="177">
        <f>IFERROR(VLOOKUP(B34,Auction!$A$13:$I$672,9,FALSE)-C34,0)</f>
        <v>0</v>
      </c>
      <c r="E34" s="183" t="str">
        <f>IFERROR(INDEX(Auction!$C$13:$C$672,MATCH(B34,Auction!$A$13:$A$672,0)),"")</f>
        <v/>
      </c>
      <c r="F34" s="1"/>
      <c r="G34" s="167" t="str">
        <f>IFERROR(INDEX(Auction!$B$13:$B$672,MATCH(H34,Auction!$A$13:$A$672,0)),"")</f>
        <v/>
      </c>
      <c r="H34" s="255" t="str">
        <f t="array" ref="H34">IF($G$27=0,"",IFERROR(INDEX(Auction!$A$13:$M$672,SMALL(IF(Auction!$M$13:$M$672=$G$27,(ROW(Auction!$M$13:$M$672)-MIN(ROW(Auction!$M$13:$M$672))+1),""),ROW(G6)),1),""))</f>
        <v/>
      </c>
      <c r="I34" s="176">
        <f>IF(ISERROR(VLOOKUP(H34,Auction!$A$13:$I$672,7,FALSE)),0,VLOOKUP(H34,Auction!$A$13:$I$672,8,FALSE))</f>
        <v>0</v>
      </c>
      <c r="J34" s="177">
        <f>IFERROR(VLOOKUP(H34,Auction!$A$13:$I$672,9,FALSE)-I34,0)</f>
        <v>0</v>
      </c>
      <c r="K34" s="183" t="str">
        <f>IFERROR(INDEX(Auction!$C$13:$C$672,MATCH(H34,Auction!$A$13:$A$672,0)),"")</f>
        <v/>
      </c>
    </row>
    <row r="35" spans="1:11" x14ac:dyDescent="0.25">
      <c r="A35" s="167" t="str">
        <f>IFERROR(INDEX(Auction!$B$13:$B$672,MATCH(B35,Auction!$A$13:$A$672,0)),"")</f>
        <v/>
      </c>
      <c r="B35" s="255" t="str">
        <f t="array" ref="B35">IF($A$27=0,"",IFERROR(INDEX(Auction!$A$13:$M$672,SMALL(IF(Auction!$M$13:$M$672=$A$27,(ROW(Auction!$M$13:$M$672)-MIN(ROW(Auction!$M$13:$M$672))+1),""),ROW(A7)),1),""))</f>
        <v/>
      </c>
      <c r="C35" s="176">
        <f>IF(ISERROR(VLOOKUP(B35,Auction!$A$13:$I$672,7,FALSE)),0,VLOOKUP(B35,Auction!$A$13:$I$672,8,FALSE))</f>
        <v>0</v>
      </c>
      <c r="D35" s="177">
        <f>IFERROR(VLOOKUP(B35,Auction!$A$13:$I$672,9,FALSE)-C35,0)</f>
        <v>0</v>
      </c>
      <c r="E35" s="183" t="str">
        <f>IFERROR(INDEX(Auction!$C$13:$C$672,MATCH(B35,Auction!$A$13:$A$672,0)),"")</f>
        <v/>
      </c>
      <c r="F35" s="1"/>
      <c r="G35" s="167" t="str">
        <f>IFERROR(INDEX(Auction!$B$13:$B$672,MATCH(H35,Auction!$A$13:$A$672,0)),"")</f>
        <v/>
      </c>
      <c r="H35" s="255" t="str">
        <f t="array" ref="H35">IF($G$27=0,"",IFERROR(INDEX(Auction!$A$13:$M$672,SMALL(IF(Auction!$M$13:$M$672=$G$27,(ROW(Auction!$M$13:$M$672)-MIN(ROW(Auction!$M$13:$M$672))+1),""),ROW(G7)),1),""))</f>
        <v/>
      </c>
      <c r="I35" s="176">
        <f>IF(ISERROR(VLOOKUP(H35,Auction!$A$13:$I$672,7,FALSE)),0,VLOOKUP(H35,Auction!$A$13:$I$672,8,FALSE))</f>
        <v>0</v>
      </c>
      <c r="J35" s="177">
        <f>IFERROR(VLOOKUP(H35,Auction!$A$13:$I$672,9,FALSE)-I35,0)</f>
        <v>0</v>
      </c>
      <c r="K35" s="183" t="str">
        <f>IFERROR(INDEX(Auction!$C$13:$C$672,MATCH(H35,Auction!$A$13:$A$672,0)),"")</f>
        <v/>
      </c>
    </row>
    <row r="36" spans="1:11" x14ac:dyDescent="0.25">
      <c r="A36" s="167" t="str">
        <f>IFERROR(INDEX(Auction!$B$13:$B$672,MATCH(B36,Auction!$A$13:$A$672,0)),"")</f>
        <v/>
      </c>
      <c r="B36" s="255" t="str">
        <f t="array" ref="B36">IF($A$27=0,"",IFERROR(INDEX(Auction!$A$13:$M$672,SMALL(IF(Auction!$M$13:$M$672=$A$27,(ROW(Auction!$M$13:$M$672)-MIN(ROW(Auction!$M$13:$M$672))+1),""),ROW(A8)),1),""))</f>
        <v/>
      </c>
      <c r="C36" s="176">
        <f>IF(ISERROR(VLOOKUP(B36,Auction!$A$13:$I$672,7,FALSE)),0,VLOOKUP(B36,Auction!$A$13:$I$672,8,FALSE))</f>
        <v>0</v>
      </c>
      <c r="D36" s="177">
        <f>IFERROR(VLOOKUP(B36,Auction!$A$13:$I$672,9,FALSE)-C36,0)</f>
        <v>0</v>
      </c>
      <c r="E36" s="183" t="str">
        <f>IFERROR(INDEX(Auction!$C$13:$C$672,MATCH(B36,Auction!$A$13:$A$672,0)),"")</f>
        <v/>
      </c>
      <c r="F36" s="1"/>
      <c r="G36" s="167" t="str">
        <f>IFERROR(INDEX(Auction!$B$13:$B$672,MATCH(H36,Auction!$A$13:$A$672,0)),"")</f>
        <v/>
      </c>
      <c r="H36" s="255" t="str">
        <f t="array" ref="H36">IF($G$27=0,"",IFERROR(INDEX(Auction!$A$13:$M$672,SMALL(IF(Auction!$M$13:$M$672=$G$27,(ROW(Auction!$M$13:$M$672)-MIN(ROW(Auction!$M$13:$M$672))+1),""),ROW(G8)),1),""))</f>
        <v/>
      </c>
      <c r="I36" s="176">
        <f>IF(ISERROR(VLOOKUP(H36,Auction!$A$13:$I$672,7,FALSE)),0,VLOOKUP(H36,Auction!$A$13:$I$672,8,FALSE))</f>
        <v>0</v>
      </c>
      <c r="J36" s="177">
        <f>IFERROR(VLOOKUP(H36,Auction!$A$13:$I$672,9,FALSE)-I36,0)</f>
        <v>0</v>
      </c>
      <c r="K36" s="183" t="str">
        <f>IFERROR(INDEX(Auction!$C$13:$C$672,MATCH(H36,Auction!$A$13:$A$672,0)),"")</f>
        <v/>
      </c>
    </row>
    <row r="37" spans="1:11" x14ac:dyDescent="0.25">
      <c r="A37" s="167" t="str">
        <f>IFERROR(INDEX(Auction!$B$13:$B$672,MATCH(B37,Auction!$A$13:$A$672,0)),"")</f>
        <v/>
      </c>
      <c r="B37" s="255" t="str">
        <f t="array" ref="B37">IF($A$27=0,"",IFERROR(INDEX(Auction!$A$13:$M$672,SMALL(IF(Auction!$M$13:$M$672=$A$27,(ROW(Auction!$M$13:$M$672)-MIN(ROW(Auction!$M$13:$M$672))+1),""),ROW(A9)),1),""))</f>
        <v/>
      </c>
      <c r="C37" s="176">
        <f>IF(ISERROR(VLOOKUP(B37,Auction!$A$13:$I$672,7,FALSE)),0,VLOOKUP(B37,Auction!$A$13:$I$672,8,FALSE))</f>
        <v>0</v>
      </c>
      <c r="D37" s="177">
        <f>IFERROR(VLOOKUP(B37,Auction!$A$13:$I$672,9,FALSE)-C37,0)</f>
        <v>0</v>
      </c>
      <c r="E37" s="184" t="str">
        <f>IFERROR(INDEX(Auction!$C$13:$C$672,MATCH(B37,Auction!$A$13:$A$672,0)),"")</f>
        <v/>
      </c>
      <c r="F37" s="1"/>
      <c r="G37" s="167" t="str">
        <f>IFERROR(INDEX(Auction!$B$13:$B$672,MATCH(H37,Auction!$A$13:$A$672,0)),"")</f>
        <v/>
      </c>
      <c r="H37" s="255" t="str">
        <f t="array" ref="H37">IF($G$27=0,"",IFERROR(INDEX(Auction!$A$13:$M$672,SMALL(IF(Auction!$M$13:$M$672=$G$27,(ROW(Auction!$M$13:$M$672)-MIN(ROW(Auction!$M$13:$M$672))+1),""),ROW(G9)),1),""))</f>
        <v/>
      </c>
      <c r="I37" s="176">
        <f>IF(ISERROR(VLOOKUP(H37,Auction!$A$13:$I$672,7,FALSE)),0,VLOOKUP(H37,Auction!$A$13:$I$672,8,FALSE))</f>
        <v>0</v>
      </c>
      <c r="J37" s="177">
        <f>IFERROR(VLOOKUP(H37,Auction!$A$13:$I$672,9,FALSE)-I37,0)</f>
        <v>0</v>
      </c>
      <c r="K37" s="184" t="str">
        <f>IFERROR(INDEX(Auction!$C$13:$C$672,MATCH(H37,Auction!$A$13:$A$672,0)),"")</f>
        <v/>
      </c>
    </row>
    <row r="38" spans="1:11" x14ac:dyDescent="0.25">
      <c r="A38" s="167" t="str">
        <f>IFERROR(INDEX(Auction!$B$13:$B$672,MATCH(B38,Auction!$A$13:$A$672,0)),"")</f>
        <v/>
      </c>
      <c r="B38" s="255" t="str">
        <f t="array" ref="B38">IF($A$27=0,"",IFERROR(INDEX(Auction!$A$13:$M$672,SMALL(IF(Auction!$M$13:$M$672=$A$27,(ROW(Auction!$M$13:$M$672)-MIN(ROW(Auction!$M$13:$M$672))+1),""),ROW(A10)),1),""))</f>
        <v/>
      </c>
      <c r="C38" s="176">
        <f>IF(ISERROR(VLOOKUP(B38,Auction!$A$13:$I$672,7,FALSE)),0,VLOOKUP(B38,Auction!$A$13:$I$672,8,FALSE))</f>
        <v>0</v>
      </c>
      <c r="D38" s="177">
        <f>IFERROR(VLOOKUP(B38,Auction!$A$13:$I$672,9,FALSE)-C38,0)</f>
        <v>0</v>
      </c>
      <c r="E38" s="184" t="str">
        <f>IFERROR(INDEX(Auction!$C$13:$C$672,MATCH(B38,Auction!$A$13:$A$672,0)),"")</f>
        <v/>
      </c>
      <c r="F38" s="1"/>
      <c r="G38" s="167" t="str">
        <f>IFERROR(INDEX(Auction!$B$13:$B$672,MATCH(H38,Auction!$A$13:$A$672,0)),"")</f>
        <v/>
      </c>
      <c r="H38" s="255" t="str">
        <f t="array" ref="H38">IF($G$27=0,"",IFERROR(INDEX(Auction!$A$13:$M$672,SMALL(IF(Auction!$M$13:$M$672=$G$27,(ROW(Auction!$M$13:$M$672)-MIN(ROW(Auction!$M$13:$M$672))+1),""),ROW(G10)),1),""))</f>
        <v/>
      </c>
      <c r="I38" s="176">
        <f>IF(ISERROR(VLOOKUP(H38,Auction!$A$13:$I$672,7,FALSE)),0,VLOOKUP(H38,Auction!$A$13:$I$672,8,FALSE))</f>
        <v>0</v>
      </c>
      <c r="J38" s="177">
        <f>IFERROR(VLOOKUP(H38,Auction!$A$13:$I$672,9,FALSE)-I38,0)</f>
        <v>0</v>
      </c>
      <c r="K38" s="184" t="str">
        <f>IFERROR(INDEX(Auction!$C$13:$C$672,MATCH(H38,Auction!$A$13:$A$672,0)),"")</f>
        <v/>
      </c>
    </row>
    <row r="39" spans="1:11" x14ac:dyDescent="0.25">
      <c r="A39" s="167" t="str">
        <f>IFERROR(INDEX(Auction!$B$13:$B$672,MATCH(B39,Auction!$A$13:$A$672,0)),"")</f>
        <v/>
      </c>
      <c r="B39" s="255" t="str">
        <f t="array" ref="B39">IF($A$27=0,"",IFERROR(INDEX(Auction!$A$13:$M$672,SMALL(IF(Auction!$M$13:$M$672=$A$27,(ROW(Auction!$M$13:$M$672)-MIN(ROW(Auction!$M$13:$M$672))+1),""),ROW(A11)),1),""))</f>
        <v/>
      </c>
      <c r="C39" s="176">
        <f>IF(ISERROR(VLOOKUP(B39,Auction!$A$13:$I$672,7,FALSE)),0,VLOOKUP(B39,Auction!$A$13:$I$672,8,FALSE))</f>
        <v>0</v>
      </c>
      <c r="D39" s="177">
        <f>IFERROR(VLOOKUP(B39,Auction!$A$13:$I$672,9,FALSE)-C39,0)</f>
        <v>0</v>
      </c>
      <c r="E39" s="184" t="str">
        <f>IFERROR(INDEX(Auction!$C$13:$C$672,MATCH(B39,Auction!$A$13:$A$672,0)),"")</f>
        <v/>
      </c>
      <c r="F39" s="1"/>
      <c r="G39" s="167" t="str">
        <f>IFERROR(INDEX(Auction!$B$13:$B$672,MATCH(H39,Auction!$A$13:$A$672,0)),"")</f>
        <v/>
      </c>
      <c r="H39" s="255" t="str">
        <f t="array" ref="H39">IF($G$27=0,"",IFERROR(INDEX(Auction!$A$13:$M$672,SMALL(IF(Auction!$M$13:$M$672=$G$27,(ROW(Auction!$M$13:$M$672)-MIN(ROW(Auction!$M$13:$M$672))+1),""),ROW(G11)),1),""))</f>
        <v/>
      </c>
      <c r="I39" s="176">
        <f>IF(ISERROR(VLOOKUP(H39,Auction!$A$13:$I$672,7,FALSE)),0,VLOOKUP(H39,Auction!$A$13:$I$672,8,FALSE))</f>
        <v>0</v>
      </c>
      <c r="J39" s="177">
        <f>IFERROR(VLOOKUP(H39,Auction!$A$13:$I$672,9,FALSE)-I39,0)</f>
        <v>0</v>
      </c>
      <c r="K39" s="184" t="str">
        <f>IFERROR(INDEX(Auction!$C$13:$C$672,MATCH(H39,Auction!$A$13:$A$672,0)),"")</f>
        <v/>
      </c>
    </row>
    <row r="40" spans="1:11" x14ac:dyDescent="0.25">
      <c r="A40" s="167" t="str">
        <f>IFERROR(INDEX(Auction!$B$13:$B$672,MATCH(B40,Auction!$A$13:$A$672,0)),"")</f>
        <v/>
      </c>
      <c r="B40" s="255" t="str">
        <f t="array" ref="B40">IF($A$27=0,"",IFERROR(INDEX(Auction!$A$13:$M$672,SMALL(IF(Auction!$M$13:$M$672=$A$27,(ROW(Auction!$M$13:$M$672)-MIN(ROW(Auction!$M$13:$M$672))+1),""),ROW(A12)),1),""))</f>
        <v/>
      </c>
      <c r="C40" s="176">
        <f>IF(ISERROR(VLOOKUP(B40,Auction!$A$13:$I$672,7,FALSE)),0,VLOOKUP(B40,Auction!$A$13:$I$672,8,FALSE))</f>
        <v>0</v>
      </c>
      <c r="D40" s="177">
        <f>IFERROR(VLOOKUP(B40,Auction!$A$13:$I$672,9,FALSE)-C40,0)</f>
        <v>0</v>
      </c>
      <c r="E40" s="184" t="str">
        <f>IFERROR(INDEX(Auction!$C$13:$C$672,MATCH(B40,Auction!$A$13:$A$672,0)),"")</f>
        <v/>
      </c>
      <c r="F40" s="1"/>
      <c r="G40" s="167" t="str">
        <f>IFERROR(INDEX(Auction!$B$13:$B$672,MATCH(H40,Auction!$A$13:$A$672,0)),"")</f>
        <v/>
      </c>
      <c r="H40" s="255" t="str">
        <f t="array" ref="H40">IF($G$27=0,"",IFERROR(INDEX(Auction!$A$13:$M$672,SMALL(IF(Auction!$M$13:$M$672=$G$27,(ROW(Auction!$M$13:$M$672)-MIN(ROW(Auction!$M$13:$M$672))+1),""),ROW(G12)),1),""))</f>
        <v/>
      </c>
      <c r="I40" s="176">
        <f>IF(ISERROR(VLOOKUP(H40,Auction!$A$13:$I$672,7,FALSE)),0,VLOOKUP(H40,Auction!$A$13:$I$672,8,FALSE))</f>
        <v>0</v>
      </c>
      <c r="J40" s="177">
        <f>IFERROR(VLOOKUP(H40,Auction!$A$13:$I$672,9,FALSE)-I40,0)</f>
        <v>0</v>
      </c>
      <c r="K40" s="184" t="str">
        <f>IFERROR(INDEX(Auction!$C$13:$C$672,MATCH(H40,Auction!$A$13:$A$672,0)),"")</f>
        <v/>
      </c>
    </row>
    <row r="41" spans="1:11" x14ac:dyDescent="0.25">
      <c r="A41" s="167" t="str">
        <f>IFERROR(INDEX(Auction!$B$13:$B$672,MATCH(B41,Auction!$A$13:$A$672,0)),"")</f>
        <v/>
      </c>
      <c r="B41" s="255" t="str">
        <f t="array" ref="B41">IF($A$27=0,"",IFERROR(INDEX(Auction!$A$13:$M$672,SMALL(IF(Auction!$M$13:$M$672=$A$27,(ROW(Auction!$M$13:$M$672)-MIN(ROW(Auction!$M$13:$M$672))+1),""),ROW(A13)),1),""))</f>
        <v/>
      </c>
      <c r="C41" s="176">
        <f>IF(ISERROR(VLOOKUP(B41,Auction!$A$13:$I$672,7,FALSE)),0,VLOOKUP(B41,Auction!$A$13:$I$672,8,FALSE))</f>
        <v>0</v>
      </c>
      <c r="D41" s="177">
        <f>IFERROR(VLOOKUP(B41,Auction!$A$13:$I$672,9,FALSE)-C41,0)</f>
        <v>0</v>
      </c>
      <c r="E41" s="184" t="str">
        <f>IFERROR(INDEX(Auction!$C$13:$C$672,MATCH(B41,Auction!$A$13:$A$672,0)),"")</f>
        <v/>
      </c>
      <c r="F41" s="1"/>
      <c r="G41" s="167" t="str">
        <f>IFERROR(INDEX(Auction!$B$13:$B$672,MATCH(H41,Auction!$A$13:$A$672,0)),"")</f>
        <v/>
      </c>
      <c r="H41" s="255" t="str">
        <f t="array" ref="H41">IF($G$27=0,"",IFERROR(INDEX(Auction!$A$13:$M$672,SMALL(IF(Auction!$M$13:$M$672=$G$27,(ROW(Auction!$M$13:$M$672)-MIN(ROW(Auction!$M$13:$M$672))+1),""),ROW(G13)),1),""))</f>
        <v/>
      </c>
      <c r="I41" s="176">
        <f>IF(ISERROR(VLOOKUP(H41,Auction!$A$13:$I$672,7,FALSE)),0,VLOOKUP(H41,Auction!$A$13:$I$672,8,FALSE))</f>
        <v>0</v>
      </c>
      <c r="J41" s="177">
        <f>IFERROR(VLOOKUP(H41,Auction!$A$13:$I$672,9,FALSE)-I41,0)</f>
        <v>0</v>
      </c>
      <c r="K41" s="184" t="str">
        <f>IFERROR(INDEX(Auction!$C$13:$C$672,MATCH(H41,Auction!$A$13:$A$672,0)),"")</f>
        <v/>
      </c>
    </row>
    <row r="42" spans="1:11" x14ac:dyDescent="0.25">
      <c r="A42" s="167" t="str">
        <f>IFERROR(INDEX(Auction!$B$13:$B$672,MATCH(B42,Auction!$A$13:$A$672,0)),"")</f>
        <v/>
      </c>
      <c r="B42" s="255" t="str">
        <f t="array" ref="B42">IF($A$27=0,"",IFERROR(INDEX(Auction!$A$13:$M$672,SMALL(IF(Auction!$M$13:$M$672=$A$27,(ROW(Auction!$M$13:$M$672)-MIN(ROW(Auction!$M$13:$M$672))+1),""),ROW(A14)),1),""))</f>
        <v/>
      </c>
      <c r="C42" s="176">
        <f>IF(ISERROR(VLOOKUP(B42,Auction!$A$13:$I$672,7,FALSE)),0,VLOOKUP(B42,Auction!$A$13:$I$672,8,FALSE))</f>
        <v>0</v>
      </c>
      <c r="D42" s="177">
        <f>IFERROR(VLOOKUP(B42,Auction!$A$13:$I$672,9,FALSE)-C42,0)</f>
        <v>0</v>
      </c>
      <c r="E42" s="184" t="str">
        <f>IFERROR(INDEX(Auction!$C$13:$C$672,MATCH(B42,Auction!$A$13:$A$672,0)),"")</f>
        <v/>
      </c>
      <c r="F42" s="1"/>
      <c r="G42" s="167" t="str">
        <f>IFERROR(INDEX(Auction!$B$13:$B$672,MATCH(H42,Auction!$A$13:$A$672,0)),"")</f>
        <v/>
      </c>
      <c r="H42" s="255" t="str">
        <f t="array" ref="H42">IF($G$27=0,"",IFERROR(INDEX(Auction!$A$13:$M$672,SMALL(IF(Auction!$M$13:$M$672=$G$27,(ROW(Auction!$M$13:$M$672)-MIN(ROW(Auction!$M$13:$M$672))+1),""),ROW(G14)),1),""))</f>
        <v/>
      </c>
      <c r="I42" s="176">
        <f>IF(ISERROR(VLOOKUP(H42,Auction!$A$13:$I$672,7,FALSE)),0,VLOOKUP(H42,Auction!$A$13:$I$672,8,FALSE))</f>
        <v>0</v>
      </c>
      <c r="J42" s="177">
        <f>IFERROR(VLOOKUP(H42,Auction!$A$13:$I$672,9,FALSE)-I42,0)</f>
        <v>0</v>
      </c>
      <c r="K42" s="184" t="str">
        <f>IFERROR(INDEX(Auction!$C$13:$C$672,MATCH(H42,Auction!$A$13:$A$672,0)),"")</f>
        <v/>
      </c>
    </row>
    <row r="43" spans="1:11" x14ac:dyDescent="0.25">
      <c r="A43" s="167" t="str">
        <f>IFERROR(INDEX(Auction!$B$13:$B$672,MATCH(B43,Auction!$A$13:$A$672,0)),"")</f>
        <v/>
      </c>
      <c r="B43" s="255" t="str">
        <f t="array" ref="B43">IF($A$27=0,"",IFERROR(INDEX(Auction!$A$13:$M$672,SMALL(IF(Auction!$M$13:$M$672=$A$27,(ROW(Auction!$M$13:$M$672)-MIN(ROW(Auction!$M$13:$M$672))+1),""),ROW(A15)),1),""))</f>
        <v/>
      </c>
      <c r="C43" s="176">
        <f>IF(ISERROR(VLOOKUP(B43,Auction!$A$13:$I$672,7,FALSE)),0,VLOOKUP(B43,Auction!$A$13:$I$672,8,FALSE))</f>
        <v>0</v>
      </c>
      <c r="D43" s="177">
        <f>IFERROR(VLOOKUP(B43,Auction!$A$13:$I$672,9,FALSE)-C43,0)</f>
        <v>0</v>
      </c>
      <c r="E43" s="184" t="str">
        <f>IFERROR(INDEX(Auction!$C$13:$C$672,MATCH(B43,Auction!$A$13:$A$672,0)),"")</f>
        <v/>
      </c>
      <c r="F43" s="1"/>
      <c r="G43" s="167" t="str">
        <f>IFERROR(INDEX(Auction!$B$13:$B$672,MATCH(H43,Auction!$A$13:$A$672,0)),"")</f>
        <v/>
      </c>
      <c r="H43" s="255" t="str">
        <f t="array" ref="H43">IF($G$27=0,"",IFERROR(INDEX(Auction!$A$13:$M$672,SMALL(IF(Auction!$M$13:$M$672=$G$27,(ROW(Auction!$M$13:$M$672)-MIN(ROW(Auction!$M$13:$M$672))+1),""),ROW(G15)),1),""))</f>
        <v/>
      </c>
      <c r="I43" s="176">
        <f>IF(ISERROR(VLOOKUP(H43,Auction!$A$13:$I$672,7,FALSE)),0,VLOOKUP(H43,Auction!$A$13:$I$672,8,FALSE))</f>
        <v>0</v>
      </c>
      <c r="J43" s="177">
        <f>IFERROR(VLOOKUP(H43,Auction!$A$13:$I$672,9,FALSE)-I43,0)</f>
        <v>0</v>
      </c>
      <c r="K43" s="184" t="str">
        <f>IFERROR(INDEX(Auction!$C$13:$C$672,MATCH(H43,Auction!$A$13:$A$672,0)),"")</f>
        <v/>
      </c>
    </row>
    <row r="44" spans="1:11" x14ac:dyDescent="0.25">
      <c r="A44" s="167" t="str">
        <f>IFERROR(INDEX(Auction!$B$13:$B$672,MATCH(B44,Auction!$A$13:$A$672,0)),"")</f>
        <v/>
      </c>
      <c r="B44" s="255" t="str">
        <f t="array" ref="B44">IF($A$27=0,"",IFERROR(INDEX(Auction!$A$13:$M$672,SMALL(IF(Auction!$M$13:$M$672=$A$27,(ROW(Auction!$M$13:$M$672)-MIN(ROW(Auction!$M$13:$M$672))+1),""),ROW(A16)),1),""))</f>
        <v/>
      </c>
      <c r="C44" s="176">
        <f>IF(ISERROR(VLOOKUP(B44,Auction!$A$13:$I$672,7,FALSE)),0,VLOOKUP(B44,Auction!$A$13:$I$672,8,FALSE))</f>
        <v>0</v>
      </c>
      <c r="D44" s="177">
        <f>IFERROR(VLOOKUP(B44,Auction!$A$13:$I$672,9,FALSE)-C44,0)</f>
        <v>0</v>
      </c>
      <c r="E44" s="184" t="str">
        <f>IFERROR(INDEX(Auction!$C$13:$C$672,MATCH(B44,Auction!$A$13:$A$672,0)),"")</f>
        <v/>
      </c>
      <c r="F44" s="1"/>
      <c r="G44" s="167" t="str">
        <f>IFERROR(INDEX(Auction!$B$13:$B$672,MATCH(H44,Auction!$A$13:$A$672,0)),"")</f>
        <v/>
      </c>
      <c r="H44" s="255" t="str">
        <f t="array" ref="H44">IF($G$27=0,"",IFERROR(INDEX(Auction!$A$13:$M$672,SMALL(IF(Auction!$M$13:$M$672=$G$27,(ROW(Auction!$M$13:$M$672)-MIN(ROW(Auction!$M$13:$M$672))+1),""),ROW(G16)),1),""))</f>
        <v/>
      </c>
      <c r="I44" s="176">
        <f>IF(ISERROR(VLOOKUP(H44,Auction!$A$13:$I$672,7,FALSE)),0,VLOOKUP(H44,Auction!$A$13:$I$672,8,FALSE))</f>
        <v>0</v>
      </c>
      <c r="J44" s="177">
        <f>IFERROR(VLOOKUP(H44,Auction!$A$13:$I$672,9,FALSE)-I44,0)</f>
        <v>0</v>
      </c>
      <c r="K44" s="184" t="str">
        <f>IFERROR(INDEX(Auction!$C$13:$C$672,MATCH(H44,Auction!$A$13:$A$672,0)),"")</f>
        <v/>
      </c>
    </row>
    <row r="45" spans="1:11" x14ac:dyDescent="0.25">
      <c r="A45" s="167" t="str">
        <f>IFERROR(INDEX(Auction!$B$13:$B$672,MATCH(B45,Auction!$A$13:$A$672,0)),"")</f>
        <v/>
      </c>
      <c r="B45" s="255" t="str">
        <f t="array" ref="B45">IF($A$27=0,"",IFERROR(INDEX(Auction!$A$13:$M$672,SMALL(IF(Auction!$M$13:$M$672=$A$27,(ROW(Auction!$M$13:$M$672)-MIN(ROW(Auction!$M$13:$M$672))+1),""),ROW(A17)),1),""))</f>
        <v/>
      </c>
      <c r="C45" s="176">
        <f>IF(ISERROR(VLOOKUP(B45,Auction!$A$13:$I$672,7,FALSE)),0,VLOOKUP(B45,Auction!$A$13:$I$672,8,FALSE))</f>
        <v>0</v>
      </c>
      <c r="D45" s="177">
        <f>IFERROR(VLOOKUP(B45,Auction!$A$13:$I$672,9,FALSE)-C45,0)</f>
        <v>0</v>
      </c>
      <c r="E45" s="184" t="str">
        <f>IFERROR(INDEX(Auction!$C$13:$C$672,MATCH(B45,Auction!$A$13:$A$672,0)),"")</f>
        <v/>
      </c>
      <c r="F45" s="1"/>
      <c r="G45" s="167" t="str">
        <f>IFERROR(INDEX(Auction!$B$13:$B$672,MATCH(H45,Auction!$A$13:$A$672,0)),"")</f>
        <v/>
      </c>
      <c r="H45" s="255" t="str">
        <f t="array" ref="H45">IF($G$27=0,"",IFERROR(INDEX(Auction!$A$13:$M$672,SMALL(IF(Auction!$M$13:$M$672=$G$27,(ROW(Auction!$M$13:$M$672)-MIN(ROW(Auction!$M$13:$M$672))+1),""),ROW(G17)),1),""))</f>
        <v/>
      </c>
      <c r="I45" s="176">
        <f>IF(ISERROR(VLOOKUP(H45,Auction!$A$13:$I$672,7,FALSE)),0,VLOOKUP(H45,Auction!$A$13:$I$672,8,FALSE))</f>
        <v>0</v>
      </c>
      <c r="J45" s="177">
        <f>IFERROR(VLOOKUP(H45,Auction!$A$13:$I$672,9,FALSE)-I45,0)</f>
        <v>0</v>
      </c>
      <c r="K45" s="184" t="str">
        <f>IFERROR(INDEX(Auction!$C$13:$C$672,MATCH(H45,Auction!$A$13:$A$672,0)),"")</f>
        <v/>
      </c>
    </row>
    <row r="46" spans="1:11" x14ac:dyDescent="0.25">
      <c r="A46" s="167" t="str">
        <f>IFERROR(INDEX(Auction!$B$13:$B$672,MATCH(B46,Auction!$A$13:$A$672,0)),"")</f>
        <v/>
      </c>
      <c r="B46" s="255" t="str">
        <f t="array" ref="B46">IF($A$27=0,"",IFERROR(INDEX(Auction!$A$13:$M$672,SMALL(IF(Auction!$M$13:$M$672=$A$27,(ROW(Auction!$M$13:$M$672)-MIN(ROW(Auction!$M$13:$M$672))+1),""),ROW(A18)),1),""))</f>
        <v/>
      </c>
      <c r="C46" s="176">
        <f>IF(ISERROR(VLOOKUP(B46,Auction!$A$13:$I$672,7,FALSE)),0,VLOOKUP(B46,Auction!$A$13:$I$672,8,FALSE))</f>
        <v>0</v>
      </c>
      <c r="D46" s="177">
        <f>IFERROR(VLOOKUP(B46,Auction!$A$13:$I$672,9,FALSE)-C46,0)</f>
        <v>0</v>
      </c>
      <c r="E46" s="184" t="str">
        <f>IFERROR(INDEX(Auction!$C$13:$C$672,MATCH(B46,Auction!$A$13:$A$672,0)),"")</f>
        <v/>
      </c>
      <c r="F46" s="1"/>
      <c r="G46" s="167" t="str">
        <f>IFERROR(INDEX(Auction!$B$13:$B$672,MATCH(H46,Auction!$A$13:$A$672,0)),"")</f>
        <v/>
      </c>
      <c r="H46" s="255" t="str">
        <f t="array" ref="H46">IF($G$27=0,"",IFERROR(INDEX(Auction!$A$13:$M$672,SMALL(IF(Auction!$M$13:$M$672=$G$27,(ROW(Auction!$M$13:$M$672)-MIN(ROW(Auction!$M$13:$M$672))+1),""),ROW(G18)),1),""))</f>
        <v/>
      </c>
      <c r="I46" s="176">
        <f>IF(ISERROR(VLOOKUP(H46,Auction!$A$13:$I$672,7,FALSE)),0,VLOOKUP(H46,Auction!$A$13:$I$672,8,FALSE))</f>
        <v>0</v>
      </c>
      <c r="J46" s="177">
        <f>IFERROR(VLOOKUP(H46,Auction!$A$13:$I$672,9,FALSE)-I46,0)</f>
        <v>0</v>
      </c>
      <c r="K46" s="184" t="str">
        <f>IFERROR(INDEX(Auction!$C$13:$C$672,MATCH(H46,Auction!$A$13:$A$672,0)),"")</f>
        <v/>
      </c>
    </row>
    <row r="47" spans="1:11" x14ac:dyDescent="0.25">
      <c r="A47" s="167" t="str">
        <f>IFERROR(INDEX(Auction!$B$13:$B$672,MATCH(B47,Auction!$A$13:$A$672,0)),"")</f>
        <v/>
      </c>
      <c r="B47" s="255" t="str">
        <f t="array" ref="B47">IF($A$27=0,"",IFERROR(INDEX(Auction!$A$13:$M$672,SMALL(IF(Auction!$M$13:$M$672=$A$27,(ROW(Auction!$M$13:$M$672)-MIN(ROW(Auction!$M$13:$M$672))+1),""),ROW(A19)),1),""))</f>
        <v/>
      </c>
      <c r="C47" s="176">
        <f>IF(ISERROR(VLOOKUP(B47,Auction!$A$13:$I$672,7,FALSE)),0,VLOOKUP(B47,Auction!$A$13:$I$672,8,FALSE))</f>
        <v>0</v>
      </c>
      <c r="D47" s="177">
        <f>IFERROR(VLOOKUP(B47,Auction!$A$13:$I$672,9,FALSE)-C47,0)</f>
        <v>0</v>
      </c>
      <c r="E47" s="184" t="str">
        <f>IFERROR(INDEX(Auction!$C$13:$C$672,MATCH(B47,Auction!$A$13:$A$672,0)),"")</f>
        <v/>
      </c>
      <c r="F47" s="1"/>
      <c r="G47" s="167" t="str">
        <f>IFERROR(INDEX(Auction!$B$13:$B$672,MATCH(H47,Auction!$A$13:$A$672,0)),"")</f>
        <v/>
      </c>
      <c r="H47" s="255" t="str">
        <f t="array" ref="H47">IF($G$27=0,"",IFERROR(INDEX(Auction!$A$13:$M$672,SMALL(IF(Auction!$M$13:$M$672=$G$27,(ROW(Auction!$M$13:$M$672)-MIN(ROW(Auction!$M$13:$M$672))+1),""),ROW(G19)),1),""))</f>
        <v/>
      </c>
      <c r="I47" s="176">
        <f>IF(ISERROR(VLOOKUP(H47,Auction!$A$13:$I$672,7,FALSE)),0,VLOOKUP(H47,Auction!$A$13:$I$672,8,FALSE))</f>
        <v>0</v>
      </c>
      <c r="J47" s="177">
        <f>IFERROR(VLOOKUP(H47,Auction!$A$13:$I$672,9,FALSE)-I47,0)</f>
        <v>0</v>
      </c>
      <c r="K47" s="184" t="str">
        <f>IFERROR(INDEX(Auction!$C$13:$C$672,MATCH(H47,Auction!$A$13:$A$672,0)),"")</f>
        <v/>
      </c>
    </row>
    <row r="48" spans="1:11" x14ac:dyDescent="0.25">
      <c r="A48" s="167" t="str">
        <f>IFERROR(INDEX(Auction!$B$13:$B$672,MATCH(B48,Auction!$A$13:$A$672,0)),"")</f>
        <v/>
      </c>
      <c r="B48" s="255" t="str">
        <f t="array" ref="B48">IF($A$27=0,"",IFERROR(INDEX(Auction!$A$13:$M$672,SMALL(IF(Auction!$M$13:$M$672=$A$27,(ROW(Auction!$M$13:$M$672)-MIN(ROW(Auction!$M$13:$M$672))+1),""),ROW(A20)),1),""))</f>
        <v/>
      </c>
      <c r="C48" s="176">
        <f>IF(ISERROR(VLOOKUP(B48,Auction!$A$13:$I$672,7,FALSE)),0,VLOOKUP(B48,Auction!$A$13:$I$672,8,FALSE))</f>
        <v>0</v>
      </c>
      <c r="D48" s="177">
        <f>IFERROR(VLOOKUP(B48,Auction!$A$13:$I$672,9,FALSE)-C48,0)</f>
        <v>0</v>
      </c>
      <c r="E48" s="184" t="str">
        <f>IFERROR(INDEX(Auction!$C$13:$C$672,MATCH(B48,Auction!$A$13:$A$672,0)),"")</f>
        <v/>
      </c>
      <c r="F48" s="1"/>
      <c r="G48" s="167" t="str">
        <f>IFERROR(INDEX(Auction!$B$13:$B$672,MATCH(H48,Auction!$A$13:$A$672,0)),"")</f>
        <v/>
      </c>
      <c r="H48" s="255" t="str">
        <f t="array" ref="H48">IF($G$27=0,"",IFERROR(INDEX(Auction!$A$13:$M$672,SMALL(IF(Auction!$M$13:$M$672=$G$27,(ROW(Auction!$M$13:$M$672)-MIN(ROW(Auction!$M$13:$M$672))+1),""),ROW(G20)),1),""))</f>
        <v/>
      </c>
      <c r="I48" s="176">
        <f>IF(ISERROR(VLOOKUP(H48,Auction!$A$13:$I$672,7,FALSE)),0,VLOOKUP(H48,Auction!$A$13:$I$672,8,FALSE))</f>
        <v>0</v>
      </c>
      <c r="J48" s="177">
        <f>IFERROR(VLOOKUP(H48,Auction!$A$13:$I$672,9,FALSE)-I48,0)</f>
        <v>0</v>
      </c>
      <c r="K48" s="184" t="str">
        <f>IFERROR(INDEX(Auction!$C$13:$C$672,MATCH(H48,Auction!$A$13:$A$672,0)),"")</f>
        <v/>
      </c>
    </row>
    <row r="49" spans="1:11" x14ac:dyDescent="0.25">
      <c r="A49" s="185"/>
      <c r="B49" s="186"/>
      <c r="C49" s="187">
        <f>SUM(C29:C48)</f>
        <v>0</v>
      </c>
      <c r="D49" s="187">
        <f>SUM(D29:D48)</f>
        <v>0</v>
      </c>
      <c r="E49" s="188"/>
      <c r="F49" s="1"/>
      <c r="G49" s="185"/>
      <c r="H49" s="186"/>
      <c r="I49" s="187">
        <f>SUM(I29:I48)</f>
        <v>0</v>
      </c>
      <c r="J49" s="187">
        <f>SUM(J29:J48)</f>
        <v>0</v>
      </c>
      <c r="K49" s="188"/>
    </row>
    <row r="51" spans="1:11" x14ac:dyDescent="0.25">
      <c r="A51" s="280" t="str">
        <f>H6</f>
        <v>Team 4</v>
      </c>
      <c r="B51" s="281"/>
      <c r="C51" s="281"/>
      <c r="D51" s="281"/>
      <c r="E51" s="282"/>
      <c r="F51" s="1"/>
      <c r="G51" s="280" t="str">
        <f>H7</f>
        <v>Team 5</v>
      </c>
      <c r="H51" s="281"/>
      <c r="I51" s="281"/>
      <c r="J51" s="281"/>
      <c r="K51" s="282"/>
    </row>
    <row r="52" spans="1:11" x14ac:dyDescent="0.25">
      <c r="A52" s="174" t="s">
        <v>875</v>
      </c>
      <c r="B52" s="182" t="s">
        <v>89</v>
      </c>
      <c r="C52" s="164" t="s">
        <v>876</v>
      </c>
      <c r="D52" s="164" t="s">
        <v>877</v>
      </c>
      <c r="E52" s="175" t="s">
        <v>808</v>
      </c>
      <c r="F52" s="1"/>
      <c r="G52" s="174" t="s">
        <v>875</v>
      </c>
      <c r="H52" s="182" t="s">
        <v>89</v>
      </c>
      <c r="I52" s="164" t="s">
        <v>876</v>
      </c>
      <c r="J52" s="164" t="s">
        <v>877</v>
      </c>
      <c r="K52" s="175" t="s">
        <v>808</v>
      </c>
    </row>
    <row r="53" spans="1:11" x14ac:dyDescent="0.25">
      <c r="A53" s="167" t="str">
        <f>IFERROR(INDEX(Auction!$B$13:$B$672,MATCH(B53,Auction!$A$13:$A$672,0)),"")</f>
        <v/>
      </c>
      <c r="B53" s="255" t="str">
        <f t="array" ref="B53">IF($A$51=0,"",IFERROR(INDEX(Auction!$A$13:$M$672,SMALL(IF(Auction!$M$13:$M$672=$A$51,(ROW(Auction!$M$13:$M$672)-MIN(ROW(Auction!$M$13:$M$672))+1),""),ROW(A1)),1),""))</f>
        <v/>
      </c>
      <c r="C53" s="176">
        <f>IF(ISERROR(VLOOKUP(B53,Auction!$A$13:$I$672,7,FALSE)),0,VLOOKUP(B53,Auction!$A$13:$I$672,8,FALSE))</f>
        <v>0</v>
      </c>
      <c r="D53" s="177">
        <f>IFERROR(VLOOKUP(B53,Auction!$A$13:$I$672,9,FALSE)-C53,0)</f>
        <v>0</v>
      </c>
      <c r="E53" s="183" t="str">
        <f>IFERROR(INDEX(Auction!$C$13:$C$672,MATCH(B53,Auction!$A$13:$A$672,0)),"")</f>
        <v/>
      </c>
      <c r="F53" s="1"/>
      <c r="G53" s="167" t="str">
        <f>IFERROR(INDEX(Auction!$B$13:$B$672,MATCH(H53,Auction!$A$13:$A$672,0)),"")</f>
        <v/>
      </c>
      <c r="H53" s="255" t="str">
        <f t="array" ref="H53">IF($G$51=0,"",IFERROR(INDEX(Auction!$A$13:$M$672,SMALL(IF(Auction!$M$13:$M$672=$G$51,(ROW(Auction!$M$13:$M$672)-MIN(ROW(Auction!$M$13:$M$672))+1),""),ROW(G1)),1),""))</f>
        <v/>
      </c>
      <c r="I53" s="176">
        <f>IF(ISERROR(VLOOKUP(H53,Auction!$A$13:$I$672,7,FALSE)),0,VLOOKUP(H53,Auction!$A$13:$I$672,8,FALSE))</f>
        <v>0</v>
      </c>
      <c r="J53" s="177">
        <f>IFERROR(VLOOKUP(H53,Auction!$A$13:$I$672,9,FALSE)-I53,0)</f>
        <v>0</v>
      </c>
      <c r="K53" s="183" t="str">
        <f>IFERROR(INDEX(Auction!$C$13:$C$672,MATCH(H53,Auction!$A$13:$A$672,0)),"")</f>
        <v/>
      </c>
    </row>
    <row r="54" spans="1:11" x14ac:dyDescent="0.25">
      <c r="A54" s="167" t="str">
        <f>IFERROR(INDEX(Auction!$B$13:$B$672,MATCH(B54,Auction!$A$13:$A$672,0)),"")</f>
        <v/>
      </c>
      <c r="B54" s="255" t="str">
        <f t="array" ref="B54">IF($A$51=0,"",IFERROR(INDEX(Auction!$A$13:$M$672,SMALL(IF(Auction!$M$13:$M$672=$A$51,(ROW(Auction!$M$13:$M$672)-MIN(ROW(Auction!$M$13:$M$672))+1),""),ROW(A2)),1),""))</f>
        <v/>
      </c>
      <c r="C54" s="176">
        <f>IF(ISERROR(VLOOKUP(B54,Auction!$A$13:$I$672,7,FALSE)),0,VLOOKUP(B54,Auction!$A$13:$I$672,8,FALSE))</f>
        <v>0</v>
      </c>
      <c r="D54" s="177">
        <f>IFERROR(VLOOKUP(B54,Auction!$A$13:$I$672,9,FALSE)-C54,0)</f>
        <v>0</v>
      </c>
      <c r="E54" s="183" t="str">
        <f>IFERROR(INDEX(Auction!$C$13:$C$672,MATCH(B54,Auction!$A$13:$A$672,0)),"")</f>
        <v/>
      </c>
      <c r="F54" s="1"/>
      <c r="G54" s="167" t="str">
        <f>IFERROR(INDEX(Auction!$B$13:$B$672,MATCH(H54,Auction!$A$13:$A$672,0)),"")</f>
        <v/>
      </c>
      <c r="H54" s="255" t="str">
        <f t="array" ref="H54">IF($G$51=0,"",IFERROR(INDEX(Auction!$A$13:$M$672,SMALL(IF(Auction!$M$13:$M$672=$G$51,(ROW(Auction!$M$13:$M$672)-MIN(ROW(Auction!$M$13:$M$672))+1),""),ROW(G2)),1),""))</f>
        <v/>
      </c>
      <c r="I54" s="176">
        <f>IF(ISERROR(VLOOKUP(H54,Auction!$A$13:$I$672,7,FALSE)),0,VLOOKUP(H54,Auction!$A$13:$I$672,8,FALSE))</f>
        <v>0</v>
      </c>
      <c r="J54" s="177">
        <f>IFERROR(VLOOKUP(H54,Auction!$A$13:$I$672,9,FALSE)-I54,0)</f>
        <v>0</v>
      </c>
      <c r="K54" s="183" t="str">
        <f>IFERROR(INDEX(Auction!$C$13:$C$672,MATCH(H54,Auction!$A$13:$A$672,0)),"")</f>
        <v/>
      </c>
    </row>
    <row r="55" spans="1:11" x14ac:dyDescent="0.25">
      <c r="A55" s="167" t="str">
        <f>IFERROR(INDEX(Auction!$B$13:$B$672,MATCH(B55,Auction!$A$13:$A$672,0)),"")</f>
        <v/>
      </c>
      <c r="B55" s="255" t="str">
        <f t="array" ref="B55">IF($A$51=0,"",IFERROR(INDEX(Auction!$A$13:$M$672,SMALL(IF(Auction!$M$13:$M$672=$A$51,(ROW(Auction!$M$13:$M$672)-MIN(ROW(Auction!$M$13:$M$672))+1),""),ROW(A3)),1),""))</f>
        <v/>
      </c>
      <c r="C55" s="176">
        <f>IF(ISERROR(VLOOKUP(B55,Auction!$A$13:$I$672,7,FALSE)),0,VLOOKUP(B55,Auction!$A$13:$I$672,8,FALSE))</f>
        <v>0</v>
      </c>
      <c r="D55" s="177">
        <f>IFERROR(VLOOKUP(B55,Auction!$A$13:$I$672,9,FALSE)-C55,0)</f>
        <v>0</v>
      </c>
      <c r="E55" s="183" t="str">
        <f>IFERROR(INDEX(Auction!$C$13:$C$672,MATCH(B55,Auction!$A$13:$A$672,0)),"")</f>
        <v/>
      </c>
      <c r="F55" s="1"/>
      <c r="G55" s="167" t="str">
        <f>IFERROR(INDEX(Auction!$B$13:$B$672,MATCH(H55,Auction!$A$13:$A$672,0)),"")</f>
        <v/>
      </c>
      <c r="H55" s="255" t="str">
        <f t="array" ref="H55">IF($G$51=0,"",IFERROR(INDEX(Auction!$A$13:$M$672,SMALL(IF(Auction!$M$13:$M$672=$G$51,(ROW(Auction!$M$13:$M$672)-MIN(ROW(Auction!$M$13:$M$672))+1),""),ROW(G3)),1),""))</f>
        <v/>
      </c>
      <c r="I55" s="176">
        <f>IF(ISERROR(VLOOKUP(H55,Auction!$A$13:$I$672,7,FALSE)),0,VLOOKUP(H55,Auction!$A$13:$I$672,8,FALSE))</f>
        <v>0</v>
      </c>
      <c r="J55" s="177">
        <f>IFERROR(VLOOKUP(H55,Auction!$A$13:$I$672,9,FALSE)-I55,0)</f>
        <v>0</v>
      </c>
      <c r="K55" s="183" t="str">
        <f>IFERROR(INDEX(Auction!$C$13:$C$672,MATCH(H55,Auction!$A$13:$A$672,0)),"")</f>
        <v/>
      </c>
    </row>
    <row r="56" spans="1:11" x14ac:dyDescent="0.25">
      <c r="A56" s="167" t="str">
        <f>IFERROR(INDEX(Auction!$B$13:$B$672,MATCH(B56,Auction!$A$13:$A$672,0)),"")</f>
        <v/>
      </c>
      <c r="B56" s="255" t="str">
        <f t="array" ref="B56">IF($A$51=0,"",IFERROR(INDEX(Auction!$A$13:$M$672,SMALL(IF(Auction!$M$13:$M$672=$A$51,(ROW(Auction!$M$13:$M$672)-MIN(ROW(Auction!$M$13:$M$672))+1),""),ROW(A4)),1),""))</f>
        <v/>
      </c>
      <c r="C56" s="176">
        <f>IF(ISERROR(VLOOKUP(B56,Auction!$A$13:$I$672,7,FALSE)),0,VLOOKUP(B56,Auction!$A$13:$I$672,8,FALSE))</f>
        <v>0</v>
      </c>
      <c r="D56" s="177">
        <f>IFERROR(VLOOKUP(B56,Auction!$A$13:$I$672,9,FALSE)-C56,0)</f>
        <v>0</v>
      </c>
      <c r="E56" s="183" t="str">
        <f>IFERROR(INDEX(Auction!$C$13:$C$672,MATCH(B56,Auction!$A$13:$A$672,0)),"")</f>
        <v/>
      </c>
      <c r="F56" s="1"/>
      <c r="G56" s="167" t="str">
        <f>IFERROR(INDEX(Auction!$B$13:$B$672,MATCH(H56,Auction!$A$13:$A$672,0)),"")</f>
        <v/>
      </c>
      <c r="H56" s="255" t="str">
        <f t="array" ref="H56">IF($G$51=0,"",IFERROR(INDEX(Auction!$A$13:$M$672,SMALL(IF(Auction!$M$13:$M$672=$G$51,(ROW(Auction!$M$13:$M$672)-MIN(ROW(Auction!$M$13:$M$672))+1),""),ROW(G4)),1),""))</f>
        <v/>
      </c>
      <c r="I56" s="176">
        <f>IF(ISERROR(VLOOKUP(H56,Auction!$A$13:$I$672,7,FALSE)),0,VLOOKUP(H56,Auction!$A$13:$I$672,8,FALSE))</f>
        <v>0</v>
      </c>
      <c r="J56" s="177">
        <f>IFERROR(VLOOKUP(H56,Auction!$A$13:$I$672,9,FALSE)-I56,0)</f>
        <v>0</v>
      </c>
      <c r="K56" s="183" t="str">
        <f>IFERROR(INDEX(Auction!$C$13:$C$672,MATCH(H56,Auction!$A$13:$A$672,0)),"")</f>
        <v/>
      </c>
    </row>
    <row r="57" spans="1:11" x14ac:dyDescent="0.25">
      <c r="A57" s="167" t="str">
        <f>IFERROR(INDEX(Auction!$B$13:$B$672,MATCH(B57,Auction!$A$13:$A$672,0)),"")</f>
        <v/>
      </c>
      <c r="B57" s="255" t="str">
        <f t="array" ref="B57">IF($A$51=0,"",IFERROR(INDEX(Auction!$A$13:$M$672,SMALL(IF(Auction!$M$13:$M$672=$A$51,(ROW(Auction!$M$13:$M$672)-MIN(ROW(Auction!$M$13:$M$672))+1),""),ROW(A5)),1),""))</f>
        <v/>
      </c>
      <c r="C57" s="176">
        <f>IF(ISERROR(VLOOKUP(B57,Auction!$A$13:$I$672,7,FALSE)),0,VLOOKUP(B57,Auction!$A$13:$I$672,8,FALSE))</f>
        <v>0</v>
      </c>
      <c r="D57" s="177">
        <f>IFERROR(VLOOKUP(B57,Auction!$A$13:$I$672,9,FALSE)-C57,0)</f>
        <v>0</v>
      </c>
      <c r="E57" s="183" t="str">
        <f>IFERROR(INDEX(Auction!$C$13:$C$672,MATCH(B57,Auction!$A$13:$A$672,0)),"")</f>
        <v/>
      </c>
      <c r="F57" s="1"/>
      <c r="G57" s="167" t="str">
        <f>IFERROR(INDEX(Auction!$B$13:$B$672,MATCH(H57,Auction!$A$13:$A$672,0)),"")</f>
        <v/>
      </c>
      <c r="H57" s="255" t="str">
        <f t="array" ref="H57">IF($G$51=0,"",IFERROR(INDEX(Auction!$A$13:$M$672,SMALL(IF(Auction!$M$13:$M$672=$G$51,(ROW(Auction!$M$13:$M$672)-MIN(ROW(Auction!$M$13:$M$672))+1),""),ROW(G5)),1),""))</f>
        <v/>
      </c>
      <c r="I57" s="176">
        <f>IF(ISERROR(VLOOKUP(H57,Auction!$A$13:$I$672,7,FALSE)),0,VLOOKUP(H57,Auction!$A$13:$I$672,8,FALSE))</f>
        <v>0</v>
      </c>
      <c r="J57" s="177">
        <f>IFERROR(VLOOKUP(H57,Auction!$A$13:$I$672,9,FALSE)-I57,0)</f>
        <v>0</v>
      </c>
      <c r="K57" s="183" t="str">
        <f>IFERROR(INDEX(Auction!$C$13:$C$672,MATCH(H57,Auction!$A$13:$A$672,0)),"")</f>
        <v/>
      </c>
    </row>
    <row r="58" spans="1:11" x14ac:dyDescent="0.25">
      <c r="A58" s="167" t="str">
        <f>IFERROR(INDEX(Auction!$B$13:$B$672,MATCH(B58,Auction!$A$13:$A$672,0)),"")</f>
        <v/>
      </c>
      <c r="B58" s="255" t="str">
        <f t="array" ref="B58">IF($A$51=0,"",IFERROR(INDEX(Auction!$A$13:$M$672,SMALL(IF(Auction!$M$13:$M$672=$A$51,(ROW(Auction!$M$13:$M$672)-MIN(ROW(Auction!$M$13:$M$672))+1),""),ROW(A6)),1),""))</f>
        <v/>
      </c>
      <c r="C58" s="176">
        <f>IF(ISERROR(VLOOKUP(B58,Auction!$A$13:$I$672,7,FALSE)),0,VLOOKUP(B58,Auction!$A$13:$I$672,8,FALSE))</f>
        <v>0</v>
      </c>
      <c r="D58" s="177">
        <f>IFERROR(VLOOKUP(B58,Auction!$A$13:$I$672,9,FALSE)-C58,0)</f>
        <v>0</v>
      </c>
      <c r="E58" s="183" t="str">
        <f>IFERROR(INDEX(Auction!$C$13:$C$672,MATCH(B58,Auction!$A$13:$A$672,0)),"")</f>
        <v/>
      </c>
      <c r="F58" s="1"/>
      <c r="G58" s="167" t="str">
        <f>IFERROR(INDEX(Auction!$B$13:$B$672,MATCH(H58,Auction!$A$13:$A$672,0)),"")</f>
        <v/>
      </c>
      <c r="H58" s="255" t="str">
        <f t="array" ref="H58">IF($G$51=0,"",IFERROR(INDEX(Auction!$A$13:$M$672,SMALL(IF(Auction!$M$13:$M$672=$G$51,(ROW(Auction!$M$13:$M$672)-MIN(ROW(Auction!$M$13:$M$672))+1),""),ROW(G6)),1),""))</f>
        <v/>
      </c>
      <c r="I58" s="176">
        <f>IF(ISERROR(VLOOKUP(H58,Auction!$A$13:$I$672,7,FALSE)),0,VLOOKUP(H58,Auction!$A$13:$I$672,8,FALSE))</f>
        <v>0</v>
      </c>
      <c r="J58" s="177">
        <f>IFERROR(VLOOKUP(H58,Auction!$A$13:$I$672,9,FALSE)-I58,0)</f>
        <v>0</v>
      </c>
      <c r="K58" s="183" t="str">
        <f>IFERROR(INDEX(Auction!$C$13:$C$672,MATCH(H58,Auction!$A$13:$A$672,0)),"")</f>
        <v/>
      </c>
    </row>
    <row r="59" spans="1:11" x14ac:dyDescent="0.25">
      <c r="A59" s="167" t="str">
        <f>IFERROR(INDEX(Auction!$B$13:$B$672,MATCH(B59,Auction!$A$13:$A$672,0)),"")</f>
        <v/>
      </c>
      <c r="B59" s="255" t="str">
        <f t="array" ref="B59">IF($A$51=0,"",IFERROR(INDEX(Auction!$A$13:$M$672,SMALL(IF(Auction!$M$13:$M$672=$A$51,(ROW(Auction!$M$13:$M$672)-MIN(ROW(Auction!$M$13:$M$672))+1),""),ROW(A7)),1),""))</f>
        <v/>
      </c>
      <c r="C59" s="176">
        <f>IF(ISERROR(VLOOKUP(B59,Auction!$A$13:$I$672,7,FALSE)),0,VLOOKUP(B59,Auction!$A$13:$I$672,8,FALSE))</f>
        <v>0</v>
      </c>
      <c r="D59" s="177">
        <f>IFERROR(VLOOKUP(B59,Auction!$A$13:$I$672,9,FALSE)-C59,0)</f>
        <v>0</v>
      </c>
      <c r="E59" s="183" t="str">
        <f>IFERROR(INDEX(Auction!$C$13:$C$672,MATCH(B59,Auction!$A$13:$A$672,0)),"")</f>
        <v/>
      </c>
      <c r="F59" s="1"/>
      <c r="G59" s="167" t="str">
        <f>IFERROR(INDEX(Auction!$B$13:$B$672,MATCH(H59,Auction!$A$13:$A$672,0)),"")</f>
        <v/>
      </c>
      <c r="H59" s="255" t="str">
        <f t="array" ref="H59">IF($G$51=0,"",IFERROR(INDEX(Auction!$A$13:$M$672,SMALL(IF(Auction!$M$13:$M$672=$G$51,(ROW(Auction!$M$13:$M$672)-MIN(ROW(Auction!$M$13:$M$672))+1),""),ROW(G7)),1),""))</f>
        <v/>
      </c>
      <c r="I59" s="176">
        <f>IF(ISERROR(VLOOKUP(H59,Auction!$A$13:$I$672,7,FALSE)),0,VLOOKUP(H59,Auction!$A$13:$I$672,8,FALSE))</f>
        <v>0</v>
      </c>
      <c r="J59" s="177">
        <f>IFERROR(VLOOKUP(H59,Auction!$A$13:$I$672,9,FALSE)-I59,0)</f>
        <v>0</v>
      </c>
      <c r="K59" s="183" t="str">
        <f>IFERROR(INDEX(Auction!$C$13:$C$672,MATCH(H59,Auction!$A$13:$A$672,0)),"")</f>
        <v/>
      </c>
    </row>
    <row r="60" spans="1:11" x14ac:dyDescent="0.25">
      <c r="A60" s="167" t="str">
        <f>IFERROR(INDEX(Auction!$B$13:$B$672,MATCH(B60,Auction!$A$13:$A$672,0)),"")</f>
        <v/>
      </c>
      <c r="B60" s="255" t="str">
        <f t="array" ref="B60">IF($A$51=0,"",IFERROR(INDEX(Auction!$A$13:$M$672,SMALL(IF(Auction!$M$13:$M$672=$A$51,(ROW(Auction!$M$13:$M$672)-MIN(ROW(Auction!$M$13:$M$672))+1),""),ROW(A8)),1),""))</f>
        <v/>
      </c>
      <c r="C60" s="176">
        <f>IF(ISERROR(VLOOKUP(B60,Auction!$A$13:$I$672,7,FALSE)),0,VLOOKUP(B60,Auction!$A$13:$I$672,8,FALSE))</f>
        <v>0</v>
      </c>
      <c r="D60" s="177">
        <f>IFERROR(VLOOKUP(B60,Auction!$A$13:$I$672,9,FALSE)-C60,0)</f>
        <v>0</v>
      </c>
      <c r="E60" s="183" t="str">
        <f>IFERROR(INDEX(Auction!$C$13:$C$672,MATCH(B60,Auction!$A$13:$A$672,0)),"")</f>
        <v/>
      </c>
      <c r="F60" s="1"/>
      <c r="G60" s="167" t="str">
        <f>IFERROR(INDEX(Auction!$B$13:$B$672,MATCH(H60,Auction!$A$13:$A$672,0)),"")</f>
        <v/>
      </c>
      <c r="H60" s="255" t="str">
        <f t="array" ref="H60">IF($G$51=0,"",IFERROR(INDEX(Auction!$A$13:$M$672,SMALL(IF(Auction!$M$13:$M$672=$G$51,(ROW(Auction!$M$13:$M$672)-MIN(ROW(Auction!$M$13:$M$672))+1),""),ROW(G8)),1),""))</f>
        <v/>
      </c>
      <c r="I60" s="176">
        <f>IF(ISERROR(VLOOKUP(H60,Auction!$A$13:$I$672,7,FALSE)),0,VLOOKUP(H60,Auction!$A$13:$I$672,8,FALSE))</f>
        <v>0</v>
      </c>
      <c r="J60" s="177">
        <f>IFERROR(VLOOKUP(H60,Auction!$A$13:$I$672,9,FALSE)-I60,0)</f>
        <v>0</v>
      </c>
      <c r="K60" s="183" t="str">
        <f>IFERROR(INDEX(Auction!$C$13:$C$672,MATCH(H60,Auction!$A$13:$A$672,0)),"")</f>
        <v/>
      </c>
    </row>
    <row r="61" spans="1:11" x14ac:dyDescent="0.25">
      <c r="A61" s="167" t="str">
        <f>IFERROR(INDEX(Auction!$B$13:$B$672,MATCH(B61,Auction!$A$13:$A$672,0)),"")</f>
        <v/>
      </c>
      <c r="B61" s="255" t="str">
        <f t="array" ref="B61">IF($A$51=0,"",IFERROR(INDEX(Auction!$A$13:$M$672,SMALL(IF(Auction!$M$13:$M$672=$A$51,(ROW(Auction!$M$13:$M$672)-MIN(ROW(Auction!$M$13:$M$672))+1),""),ROW(A9)),1),""))</f>
        <v/>
      </c>
      <c r="C61" s="176">
        <f>IF(ISERROR(VLOOKUP(B61,Auction!$A$13:$I$672,7,FALSE)),0,VLOOKUP(B61,Auction!$A$13:$I$672,8,FALSE))</f>
        <v>0</v>
      </c>
      <c r="D61" s="177">
        <f>IFERROR(VLOOKUP(B61,Auction!$A$13:$I$672,9,FALSE)-C61,0)</f>
        <v>0</v>
      </c>
      <c r="E61" s="184" t="str">
        <f>IFERROR(INDEX(Auction!$C$13:$C$672,MATCH(B61,Auction!$A$13:$A$672,0)),"")</f>
        <v/>
      </c>
      <c r="F61" s="1"/>
      <c r="G61" s="167" t="str">
        <f>IFERROR(INDEX(Auction!$B$13:$B$672,MATCH(H61,Auction!$A$13:$A$672,0)),"")</f>
        <v/>
      </c>
      <c r="H61" s="255" t="str">
        <f t="array" ref="H61">IF($G$51=0,"",IFERROR(INDEX(Auction!$A$13:$M$672,SMALL(IF(Auction!$M$13:$M$672=$G$51,(ROW(Auction!$M$13:$M$672)-MIN(ROW(Auction!$M$13:$M$672))+1),""),ROW(G9)),1),""))</f>
        <v/>
      </c>
      <c r="I61" s="176">
        <f>IF(ISERROR(VLOOKUP(H61,Auction!$A$13:$I$672,7,FALSE)),0,VLOOKUP(H61,Auction!$A$13:$I$672,8,FALSE))</f>
        <v>0</v>
      </c>
      <c r="J61" s="177">
        <f>IFERROR(VLOOKUP(H61,Auction!$A$13:$I$672,9,FALSE)-I61,0)</f>
        <v>0</v>
      </c>
      <c r="K61" s="184" t="str">
        <f>IFERROR(INDEX(Auction!$C$13:$C$672,MATCH(H61,Auction!$A$13:$A$672,0)),"")</f>
        <v/>
      </c>
    </row>
    <row r="62" spans="1:11" x14ac:dyDescent="0.25">
      <c r="A62" s="167" t="str">
        <f>IFERROR(INDEX(Auction!$B$13:$B$672,MATCH(B62,Auction!$A$13:$A$672,0)),"")</f>
        <v/>
      </c>
      <c r="B62" s="255" t="str">
        <f t="array" ref="B62">IF($A$51=0,"",IFERROR(INDEX(Auction!$A$13:$M$672,SMALL(IF(Auction!$M$13:$M$672=$A$51,(ROW(Auction!$M$13:$M$672)-MIN(ROW(Auction!$M$13:$M$672))+1),""),ROW(A10)),1),""))</f>
        <v/>
      </c>
      <c r="C62" s="176">
        <f>IF(ISERROR(VLOOKUP(B62,Auction!$A$13:$I$672,7,FALSE)),0,VLOOKUP(B62,Auction!$A$13:$I$672,8,FALSE))</f>
        <v>0</v>
      </c>
      <c r="D62" s="177">
        <f>IFERROR(VLOOKUP(B62,Auction!$A$13:$I$672,9,FALSE)-C62,0)</f>
        <v>0</v>
      </c>
      <c r="E62" s="184" t="str">
        <f>IFERROR(INDEX(Auction!$C$13:$C$672,MATCH(B62,Auction!$A$13:$A$672,0)),"")</f>
        <v/>
      </c>
      <c r="F62" s="1"/>
      <c r="G62" s="167" t="str">
        <f>IFERROR(INDEX(Auction!$B$13:$B$672,MATCH(H62,Auction!$A$13:$A$672,0)),"")</f>
        <v/>
      </c>
      <c r="H62" s="255" t="str">
        <f t="array" ref="H62">IF($G$51=0,"",IFERROR(INDEX(Auction!$A$13:$M$672,SMALL(IF(Auction!$M$13:$M$672=$G$51,(ROW(Auction!$M$13:$M$672)-MIN(ROW(Auction!$M$13:$M$672))+1),""),ROW(G10)),1),""))</f>
        <v/>
      </c>
      <c r="I62" s="176">
        <f>IF(ISERROR(VLOOKUP(H62,Auction!$A$13:$I$672,7,FALSE)),0,VLOOKUP(H62,Auction!$A$13:$I$672,8,FALSE))</f>
        <v>0</v>
      </c>
      <c r="J62" s="177">
        <f>IFERROR(VLOOKUP(H62,Auction!$A$13:$I$672,9,FALSE)-I62,0)</f>
        <v>0</v>
      </c>
      <c r="K62" s="184" t="str">
        <f>IFERROR(INDEX(Auction!$C$13:$C$672,MATCH(H62,Auction!$A$13:$A$672,0)),"")</f>
        <v/>
      </c>
    </row>
    <row r="63" spans="1:11" x14ac:dyDescent="0.25">
      <c r="A63" s="167" t="str">
        <f>IFERROR(INDEX(Auction!$B$13:$B$672,MATCH(B63,Auction!$A$13:$A$672,0)),"")</f>
        <v/>
      </c>
      <c r="B63" s="255" t="str">
        <f t="array" ref="B63">IF($A$51=0,"",IFERROR(INDEX(Auction!$A$13:$M$672,SMALL(IF(Auction!$M$13:$M$672=$A$51,(ROW(Auction!$M$13:$M$672)-MIN(ROW(Auction!$M$13:$M$672))+1),""),ROW(A11)),1),""))</f>
        <v/>
      </c>
      <c r="C63" s="176">
        <f>IF(ISERROR(VLOOKUP(B63,Auction!$A$13:$I$672,7,FALSE)),0,VLOOKUP(B63,Auction!$A$13:$I$672,8,FALSE))</f>
        <v>0</v>
      </c>
      <c r="D63" s="177">
        <f>IFERROR(VLOOKUP(B63,Auction!$A$13:$I$672,9,FALSE)-C63,0)</f>
        <v>0</v>
      </c>
      <c r="E63" s="184" t="str">
        <f>IFERROR(INDEX(Auction!$C$13:$C$672,MATCH(B63,Auction!$A$13:$A$672,0)),"")</f>
        <v/>
      </c>
      <c r="F63" s="1"/>
      <c r="G63" s="167" t="str">
        <f>IFERROR(INDEX(Auction!$B$13:$B$672,MATCH(H63,Auction!$A$13:$A$672,0)),"")</f>
        <v/>
      </c>
      <c r="H63" s="255" t="str">
        <f t="array" ref="H63">IF($G$51=0,"",IFERROR(INDEX(Auction!$A$13:$M$672,SMALL(IF(Auction!$M$13:$M$672=$G$51,(ROW(Auction!$M$13:$M$672)-MIN(ROW(Auction!$M$13:$M$672))+1),""),ROW(G11)),1),""))</f>
        <v/>
      </c>
      <c r="I63" s="176">
        <f>IF(ISERROR(VLOOKUP(H63,Auction!$A$13:$I$672,7,FALSE)),0,VLOOKUP(H63,Auction!$A$13:$I$672,8,FALSE))</f>
        <v>0</v>
      </c>
      <c r="J63" s="177">
        <f>IFERROR(VLOOKUP(H63,Auction!$A$13:$I$672,9,FALSE)-I63,0)</f>
        <v>0</v>
      </c>
      <c r="K63" s="184" t="str">
        <f>IFERROR(INDEX(Auction!$C$13:$C$672,MATCH(H63,Auction!$A$13:$A$672,0)),"")</f>
        <v/>
      </c>
    </row>
    <row r="64" spans="1:11" x14ac:dyDescent="0.25">
      <c r="A64" s="167" t="str">
        <f>IFERROR(INDEX(Auction!$B$13:$B$672,MATCH(B64,Auction!$A$13:$A$672,0)),"")</f>
        <v/>
      </c>
      <c r="B64" s="255" t="str">
        <f t="array" ref="B64">IF($A$51=0,"",IFERROR(INDEX(Auction!$A$13:$M$672,SMALL(IF(Auction!$M$13:$M$672=$A$51,(ROW(Auction!$M$13:$M$672)-MIN(ROW(Auction!$M$13:$M$672))+1),""),ROW(A12)),1),""))</f>
        <v/>
      </c>
      <c r="C64" s="176">
        <f>IF(ISERROR(VLOOKUP(B64,Auction!$A$13:$I$672,7,FALSE)),0,VLOOKUP(B64,Auction!$A$13:$I$672,8,FALSE))</f>
        <v>0</v>
      </c>
      <c r="D64" s="177">
        <f>IFERROR(VLOOKUP(B64,Auction!$A$13:$I$672,9,FALSE)-C64,0)</f>
        <v>0</v>
      </c>
      <c r="E64" s="184" t="str">
        <f>IFERROR(INDEX(Auction!$C$13:$C$672,MATCH(B64,Auction!$A$13:$A$672,0)),"")</f>
        <v/>
      </c>
      <c r="F64" s="1"/>
      <c r="G64" s="167" t="str">
        <f>IFERROR(INDEX(Auction!$B$13:$B$672,MATCH(H64,Auction!$A$13:$A$672,0)),"")</f>
        <v/>
      </c>
      <c r="H64" s="255" t="str">
        <f t="array" ref="H64">IF($G$51=0,"",IFERROR(INDEX(Auction!$A$13:$M$672,SMALL(IF(Auction!$M$13:$M$672=$G$51,(ROW(Auction!$M$13:$M$672)-MIN(ROW(Auction!$M$13:$M$672))+1),""),ROW(G12)),1),""))</f>
        <v/>
      </c>
      <c r="I64" s="176">
        <f>IF(ISERROR(VLOOKUP(H64,Auction!$A$13:$I$672,7,FALSE)),0,VLOOKUP(H64,Auction!$A$13:$I$672,8,FALSE))</f>
        <v>0</v>
      </c>
      <c r="J64" s="177">
        <f>IFERROR(VLOOKUP(H64,Auction!$A$13:$I$672,9,FALSE)-I64,0)</f>
        <v>0</v>
      </c>
      <c r="K64" s="184" t="str">
        <f>IFERROR(INDEX(Auction!$C$13:$C$672,MATCH(H64,Auction!$A$13:$A$672,0)),"")</f>
        <v/>
      </c>
    </row>
    <row r="65" spans="1:11" x14ac:dyDescent="0.25">
      <c r="A65" s="167" t="str">
        <f>IFERROR(INDEX(Auction!$B$13:$B$672,MATCH(B65,Auction!$A$13:$A$672,0)),"")</f>
        <v/>
      </c>
      <c r="B65" s="255" t="str">
        <f t="array" ref="B65">IF($A$51=0,"",IFERROR(INDEX(Auction!$A$13:$M$672,SMALL(IF(Auction!$M$13:$M$672=$A$51,(ROW(Auction!$M$13:$M$672)-MIN(ROW(Auction!$M$13:$M$672))+1),""),ROW(A13)),1),""))</f>
        <v/>
      </c>
      <c r="C65" s="176">
        <f>IF(ISERROR(VLOOKUP(B65,Auction!$A$13:$I$672,7,FALSE)),0,VLOOKUP(B65,Auction!$A$13:$I$672,8,FALSE))</f>
        <v>0</v>
      </c>
      <c r="D65" s="177">
        <f>IFERROR(VLOOKUP(B65,Auction!$A$13:$I$672,9,FALSE)-C65,0)</f>
        <v>0</v>
      </c>
      <c r="E65" s="184" t="str">
        <f>IFERROR(INDEX(Auction!$C$13:$C$672,MATCH(B65,Auction!$A$13:$A$672,0)),"")</f>
        <v/>
      </c>
      <c r="F65" s="1"/>
      <c r="G65" s="167" t="str">
        <f>IFERROR(INDEX(Auction!$B$13:$B$672,MATCH(H65,Auction!$A$13:$A$672,0)),"")</f>
        <v/>
      </c>
      <c r="H65" s="255" t="str">
        <f t="array" ref="H65">IF($G$51=0,"",IFERROR(INDEX(Auction!$A$13:$M$672,SMALL(IF(Auction!$M$13:$M$672=$G$51,(ROW(Auction!$M$13:$M$672)-MIN(ROW(Auction!$M$13:$M$672))+1),""),ROW(G13)),1),""))</f>
        <v/>
      </c>
      <c r="I65" s="176">
        <f>IF(ISERROR(VLOOKUP(H65,Auction!$A$13:$I$672,7,FALSE)),0,VLOOKUP(H65,Auction!$A$13:$I$672,8,FALSE))</f>
        <v>0</v>
      </c>
      <c r="J65" s="177">
        <f>IFERROR(VLOOKUP(H65,Auction!$A$13:$I$672,9,FALSE)-I65,0)</f>
        <v>0</v>
      </c>
      <c r="K65" s="184" t="str">
        <f>IFERROR(INDEX(Auction!$C$13:$C$672,MATCH(H65,Auction!$A$13:$A$672,0)),"")</f>
        <v/>
      </c>
    </row>
    <row r="66" spans="1:11" x14ac:dyDescent="0.25">
      <c r="A66" s="167" t="str">
        <f>IFERROR(INDEX(Auction!$B$13:$B$672,MATCH(B66,Auction!$A$13:$A$672,0)),"")</f>
        <v/>
      </c>
      <c r="B66" s="255" t="str">
        <f t="array" ref="B66">IF($A$51=0,"",IFERROR(INDEX(Auction!$A$13:$M$672,SMALL(IF(Auction!$M$13:$M$672=$A$51,(ROW(Auction!$M$13:$M$672)-MIN(ROW(Auction!$M$13:$M$672))+1),""),ROW(A14)),1),""))</f>
        <v/>
      </c>
      <c r="C66" s="176">
        <f>IF(ISERROR(VLOOKUP(B66,Auction!$A$13:$I$672,7,FALSE)),0,VLOOKUP(B66,Auction!$A$13:$I$672,8,FALSE))</f>
        <v>0</v>
      </c>
      <c r="D66" s="177">
        <f>IFERROR(VLOOKUP(B66,Auction!$A$13:$I$672,9,FALSE)-C66,0)</f>
        <v>0</v>
      </c>
      <c r="E66" s="184" t="str">
        <f>IFERROR(INDEX(Auction!$C$13:$C$672,MATCH(B66,Auction!$A$13:$A$672,0)),"")</f>
        <v/>
      </c>
      <c r="F66" s="1"/>
      <c r="G66" s="167" t="str">
        <f>IFERROR(INDEX(Auction!$B$13:$B$672,MATCH(H66,Auction!$A$13:$A$672,0)),"")</f>
        <v/>
      </c>
      <c r="H66" s="255" t="str">
        <f t="array" ref="H66">IF($G$51=0,"",IFERROR(INDEX(Auction!$A$13:$M$672,SMALL(IF(Auction!$M$13:$M$672=$G$51,(ROW(Auction!$M$13:$M$672)-MIN(ROW(Auction!$M$13:$M$672))+1),""),ROW(G14)),1),""))</f>
        <v/>
      </c>
      <c r="I66" s="176">
        <f>IF(ISERROR(VLOOKUP(H66,Auction!$A$13:$I$672,7,FALSE)),0,VLOOKUP(H66,Auction!$A$13:$I$672,8,FALSE))</f>
        <v>0</v>
      </c>
      <c r="J66" s="177">
        <f>IFERROR(VLOOKUP(H66,Auction!$A$13:$I$672,9,FALSE)-I66,0)</f>
        <v>0</v>
      </c>
      <c r="K66" s="184" t="str">
        <f>IFERROR(INDEX(Auction!$C$13:$C$672,MATCH(H66,Auction!$A$13:$A$672,0)),"")</f>
        <v/>
      </c>
    </row>
    <row r="67" spans="1:11" x14ac:dyDescent="0.25">
      <c r="A67" s="167" t="str">
        <f>IFERROR(INDEX(Auction!$B$13:$B$672,MATCH(B67,Auction!$A$13:$A$672,0)),"")</f>
        <v/>
      </c>
      <c r="B67" s="255" t="str">
        <f t="array" ref="B67">IF($A$51=0,"",IFERROR(INDEX(Auction!$A$13:$M$672,SMALL(IF(Auction!$M$13:$M$672=$A$51,(ROW(Auction!$M$13:$M$672)-MIN(ROW(Auction!$M$13:$M$672))+1),""),ROW(A15)),1),""))</f>
        <v/>
      </c>
      <c r="C67" s="176">
        <f>IF(ISERROR(VLOOKUP(B67,Auction!$A$13:$I$672,7,FALSE)),0,VLOOKUP(B67,Auction!$A$13:$I$672,8,FALSE))</f>
        <v>0</v>
      </c>
      <c r="D67" s="177">
        <f>IFERROR(VLOOKUP(B67,Auction!$A$13:$I$672,9,FALSE)-C67,0)</f>
        <v>0</v>
      </c>
      <c r="E67" s="184" t="str">
        <f>IFERROR(INDEX(Auction!$C$13:$C$672,MATCH(B67,Auction!$A$13:$A$672,0)),"")</f>
        <v/>
      </c>
      <c r="F67" s="1"/>
      <c r="G67" s="167" t="str">
        <f>IFERROR(INDEX(Auction!$B$13:$B$672,MATCH(H67,Auction!$A$13:$A$672,0)),"")</f>
        <v/>
      </c>
      <c r="H67" s="255" t="str">
        <f t="array" ref="H67">IF($G$51=0,"",IFERROR(INDEX(Auction!$A$13:$M$672,SMALL(IF(Auction!$M$13:$M$672=$G$51,(ROW(Auction!$M$13:$M$672)-MIN(ROW(Auction!$M$13:$M$672))+1),""),ROW(G15)),1),""))</f>
        <v/>
      </c>
      <c r="I67" s="176">
        <f>IF(ISERROR(VLOOKUP(H67,Auction!$A$13:$I$672,7,FALSE)),0,VLOOKUP(H67,Auction!$A$13:$I$672,8,FALSE))</f>
        <v>0</v>
      </c>
      <c r="J67" s="177">
        <f>IFERROR(VLOOKUP(H67,Auction!$A$13:$I$672,9,FALSE)-I67,0)</f>
        <v>0</v>
      </c>
      <c r="K67" s="184" t="str">
        <f>IFERROR(INDEX(Auction!$C$13:$C$672,MATCH(H67,Auction!$A$13:$A$672,0)),"")</f>
        <v/>
      </c>
    </row>
    <row r="68" spans="1:11" x14ac:dyDescent="0.25">
      <c r="A68" s="167" t="str">
        <f>IFERROR(INDEX(Auction!$B$13:$B$672,MATCH(B68,Auction!$A$13:$A$672,0)),"")</f>
        <v/>
      </c>
      <c r="B68" s="255" t="str">
        <f t="array" ref="B68">IF($A$51=0,"",IFERROR(INDEX(Auction!$A$13:$M$672,SMALL(IF(Auction!$M$13:$M$672=$A$51,(ROW(Auction!$M$13:$M$672)-MIN(ROW(Auction!$M$13:$M$672))+1),""),ROW(A16)),1),""))</f>
        <v/>
      </c>
      <c r="C68" s="176">
        <f>IF(ISERROR(VLOOKUP(B68,Auction!$A$13:$I$672,7,FALSE)),0,VLOOKUP(B68,Auction!$A$13:$I$672,8,FALSE))</f>
        <v>0</v>
      </c>
      <c r="D68" s="177">
        <f>IFERROR(VLOOKUP(B68,Auction!$A$13:$I$672,9,FALSE)-C68,0)</f>
        <v>0</v>
      </c>
      <c r="E68" s="184" t="str">
        <f>IFERROR(INDEX(Auction!$C$13:$C$672,MATCH(B68,Auction!$A$13:$A$672,0)),"")</f>
        <v/>
      </c>
      <c r="F68" s="1"/>
      <c r="G68" s="167" t="str">
        <f>IFERROR(INDEX(Auction!$B$13:$B$672,MATCH(H68,Auction!$A$13:$A$672,0)),"")</f>
        <v/>
      </c>
      <c r="H68" s="255" t="str">
        <f t="array" ref="H68">IF($G$51=0,"",IFERROR(INDEX(Auction!$A$13:$M$672,SMALL(IF(Auction!$M$13:$M$672=$G$51,(ROW(Auction!$M$13:$M$672)-MIN(ROW(Auction!$M$13:$M$672))+1),""),ROW(G16)),1),""))</f>
        <v/>
      </c>
      <c r="I68" s="176">
        <f>IF(ISERROR(VLOOKUP(H68,Auction!$A$13:$I$672,7,FALSE)),0,VLOOKUP(H68,Auction!$A$13:$I$672,8,FALSE))</f>
        <v>0</v>
      </c>
      <c r="J68" s="177">
        <f>IFERROR(VLOOKUP(H68,Auction!$A$13:$I$672,9,FALSE)-I68,0)</f>
        <v>0</v>
      </c>
      <c r="K68" s="184" t="str">
        <f>IFERROR(INDEX(Auction!$C$13:$C$672,MATCH(H68,Auction!$A$13:$A$672,0)),"")</f>
        <v/>
      </c>
    </row>
    <row r="69" spans="1:11" x14ac:dyDescent="0.25">
      <c r="A69" s="167" t="str">
        <f>IFERROR(INDEX(Auction!$B$13:$B$672,MATCH(B69,Auction!$A$13:$A$672,0)),"")</f>
        <v/>
      </c>
      <c r="B69" s="255" t="str">
        <f t="array" ref="B69">IF($A$51=0,"",IFERROR(INDEX(Auction!$A$13:$M$672,SMALL(IF(Auction!$M$13:$M$672=$A$51,(ROW(Auction!$M$13:$M$672)-MIN(ROW(Auction!$M$13:$M$672))+1),""),ROW(A17)),1),""))</f>
        <v/>
      </c>
      <c r="C69" s="176">
        <f>IF(ISERROR(VLOOKUP(B69,Auction!$A$13:$I$672,7,FALSE)),0,VLOOKUP(B69,Auction!$A$13:$I$672,8,FALSE))</f>
        <v>0</v>
      </c>
      <c r="D69" s="177">
        <f>IFERROR(VLOOKUP(B69,Auction!$A$13:$I$672,9,FALSE)-C69,0)</f>
        <v>0</v>
      </c>
      <c r="E69" s="184" t="str">
        <f>IFERROR(INDEX(Auction!$C$13:$C$672,MATCH(B69,Auction!$A$13:$A$672,0)),"")</f>
        <v/>
      </c>
      <c r="F69" s="1"/>
      <c r="G69" s="167" t="str">
        <f>IFERROR(INDEX(Auction!$B$13:$B$672,MATCH(H69,Auction!$A$13:$A$672,0)),"")</f>
        <v/>
      </c>
      <c r="H69" s="255" t="str">
        <f t="array" ref="H69">IF($G$51=0,"",IFERROR(INDEX(Auction!$A$13:$M$672,SMALL(IF(Auction!$M$13:$M$672=$G$51,(ROW(Auction!$M$13:$M$672)-MIN(ROW(Auction!$M$13:$M$672))+1),""),ROW(G17)),1),""))</f>
        <v/>
      </c>
      <c r="I69" s="176">
        <f>IF(ISERROR(VLOOKUP(H69,Auction!$A$13:$I$672,7,FALSE)),0,VLOOKUP(H69,Auction!$A$13:$I$672,8,FALSE))</f>
        <v>0</v>
      </c>
      <c r="J69" s="177">
        <f>IFERROR(VLOOKUP(H69,Auction!$A$13:$I$672,9,FALSE)-I69,0)</f>
        <v>0</v>
      </c>
      <c r="K69" s="184" t="str">
        <f>IFERROR(INDEX(Auction!$C$13:$C$672,MATCH(H69,Auction!$A$13:$A$672,0)),"")</f>
        <v/>
      </c>
    </row>
    <row r="70" spans="1:11" x14ac:dyDescent="0.25">
      <c r="A70" s="167" t="str">
        <f>IFERROR(INDEX(Auction!$B$13:$B$672,MATCH(B70,Auction!$A$13:$A$672,0)),"")</f>
        <v/>
      </c>
      <c r="B70" s="255" t="str">
        <f t="array" ref="B70">IF($A$51=0,"",IFERROR(INDEX(Auction!$A$13:$M$672,SMALL(IF(Auction!$M$13:$M$672=$A$51,(ROW(Auction!$M$13:$M$672)-MIN(ROW(Auction!$M$13:$M$672))+1),""),ROW(A18)),1),""))</f>
        <v/>
      </c>
      <c r="C70" s="176">
        <f>IF(ISERROR(VLOOKUP(B70,Auction!$A$13:$I$672,7,FALSE)),0,VLOOKUP(B70,Auction!$A$13:$I$672,8,FALSE))</f>
        <v>0</v>
      </c>
      <c r="D70" s="177">
        <f>IFERROR(VLOOKUP(B70,Auction!$A$13:$I$672,9,FALSE)-C70,0)</f>
        <v>0</v>
      </c>
      <c r="E70" s="184" t="str">
        <f>IFERROR(INDEX(Auction!$C$13:$C$672,MATCH(B70,Auction!$A$13:$A$672,0)),"")</f>
        <v/>
      </c>
      <c r="F70" s="1"/>
      <c r="G70" s="167" t="str">
        <f>IFERROR(INDEX(Auction!$B$13:$B$672,MATCH(H70,Auction!$A$13:$A$672,0)),"")</f>
        <v/>
      </c>
      <c r="H70" s="255" t="str">
        <f t="array" ref="H70">IF($G$51=0,"",IFERROR(INDEX(Auction!$A$13:$M$672,SMALL(IF(Auction!$M$13:$M$672=$G$51,(ROW(Auction!$M$13:$M$672)-MIN(ROW(Auction!$M$13:$M$672))+1),""),ROW(G18)),1),""))</f>
        <v/>
      </c>
      <c r="I70" s="176">
        <f>IF(ISERROR(VLOOKUP(H70,Auction!$A$13:$I$672,7,FALSE)),0,VLOOKUP(H70,Auction!$A$13:$I$672,8,FALSE))</f>
        <v>0</v>
      </c>
      <c r="J70" s="177">
        <f>IFERROR(VLOOKUP(H70,Auction!$A$13:$I$672,9,FALSE)-I70,0)</f>
        <v>0</v>
      </c>
      <c r="K70" s="184" t="str">
        <f>IFERROR(INDEX(Auction!$C$13:$C$672,MATCH(H70,Auction!$A$13:$A$672,0)),"")</f>
        <v/>
      </c>
    </row>
    <row r="71" spans="1:11" x14ac:dyDescent="0.25">
      <c r="A71" s="167" t="str">
        <f>IFERROR(INDEX(Auction!$B$13:$B$672,MATCH(B71,Auction!$A$13:$A$672,0)),"")</f>
        <v/>
      </c>
      <c r="B71" s="255" t="str">
        <f t="array" ref="B71">IF($A$51=0,"",IFERROR(INDEX(Auction!$A$13:$M$672,SMALL(IF(Auction!$M$13:$M$672=$A$51,(ROW(Auction!$M$13:$M$672)-MIN(ROW(Auction!$M$13:$M$672))+1),""),ROW(A19)),1),""))</f>
        <v/>
      </c>
      <c r="C71" s="176">
        <f>IF(ISERROR(VLOOKUP(B71,Auction!$A$13:$I$672,7,FALSE)),0,VLOOKUP(B71,Auction!$A$13:$I$672,8,FALSE))</f>
        <v>0</v>
      </c>
      <c r="D71" s="177">
        <f>IFERROR(VLOOKUP(B71,Auction!$A$13:$I$672,9,FALSE)-C71,0)</f>
        <v>0</v>
      </c>
      <c r="E71" s="184" t="str">
        <f>IFERROR(INDEX(Auction!$C$13:$C$672,MATCH(B71,Auction!$A$13:$A$672,0)),"")</f>
        <v/>
      </c>
      <c r="F71" s="1"/>
      <c r="G71" s="167" t="str">
        <f>IFERROR(INDEX(Auction!$B$13:$B$672,MATCH(H71,Auction!$A$13:$A$672,0)),"")</f>
        <v/>
      </c>
      <c r="H71" s="255" t="str">
        <f t="array" ref="H71">IF($G$51=0,"",IFERROR(INDEX(Auction!$A$13:$M$672,SMALL(IF(Auction!$M$13:$M$672=$G$51,(ROW(Auction!$M$13:$M$672)-MIN(ROW(Auction!$M$13:$M$672))+1),""),ROW(G19)),1),""))</f>
        <v/>
      </c>
      <c r="I71" s="176">
        <f>IF(ISERROR(VLOOKUP(H71,Auction!$A$13:$I$672,7,FALSE)),0,VLOOKUP(H71,Auction!$A$13:$I$672,8,FALSE))</f>
        <v>0</v>
      </c>
      <c r="J71" s="177">
        <f>IFERROR(VLOOKUP(H71,Auction!$A$13:$I$672,9,FALSE)-I71,0)</f>
        <v>0</v>
      </c>
      <c r="K71" s="184" t="str">
        <f>IFERROR(INDEX(Auction!$C$13:$C$672,MATCH(H71,Auction!$A$13:$A$672,0)),"")</f>
        <v/>
      </c>
    </row>
    <row r="72" spans="1:11" x14ac:dyDescent="0.25">
      <c r="A72" s="167" t="str">
        <f>IFERROR(INDEX(Auction!$B$13:$B$672,MATCH(B72,Auction!$A$13:$A$672,0)),"")</f>
        <v/>
      </c>
      <c r="B72" s="255" t="str">
        <f t="array" ref="B72">IF($A$51=0,"",IFERROR(INDEX(Auction!$A$13:$M$672,SMALL(IF(Auction!$M$13:$M$672=$A$51,(ROW(Auction!$M$13:$M$672)-MIN(ROW(Auction!$M$13:$M$672))+1),""),ROW(A20)),1),""))</f>
        <v/>
      </c>
      <c r="C72" s="176">
        <f>IF(ISERROR(VLOOKUP(B72,Auction!$A$13:$I$672,7,FALSE)),0,VLOOKUP(B72,Auction!$A$13:$I$672,8,FALSE))</f>
        <v>0</v>
      </c>
      <c r="D72" s="177">
        <f>IFERROR(VLOOKUP(B72,Auction!$A$13:$I$672,9,FALSE)-C72,0)</f>
        <v>0</v>
      </c>
      <c r="E72" s="184" t="str">
        <f>IFERROR(INDEX(Auction!$C$13:$C$672,MATCH(B72,Auction!$A$13:$A$672,0)),"")</f>
        <v/>
      </c>
      <c r="F72" s="1"/>
      <c r="G72" s="167" t="str">
        <f>IFERROR(INDEX(Auction!$B$13:$B$672,MATCH(H72,Auction!$A$13:$A$672,0)),"")</f>
        <v/>
      </c>
      <c r="H72" s="255" t="str">
        <f t="array" ref="H72">IF($G$51=0,"",IFERROR(INDEX(Auction!$A$13:$M$672,SMALL(IF(Auction!$M$13:$M$672=$G$51,(ROW(Auction!$M$13:$M$672)-MIN(ROW(Auction!$M$13:$M$672))+1),""),ROW(G20)),1),""))</f>
        <v/>
      </c>
      <c r="I72" s="176">
        <f>IF(ISERROR(VLOOKUP(H72,Auction!$A$13:$I$672,7,FALSE)),0,VLOOKUP(H72,Auction!$A$13:$I$672,8,FALSE))</f>
        <v>0</v>
      </c>
      <c r="J72" s="177">
        <f>IFERROR(VLOOKUP(H72,Auction!$A$13:$I$672,9,FALSE)-I72,0)</f>
        <v>0</v>
      </c>
      <c r="K72" s="184" t="str">
        <f>IFERROR(INDEX(Auction!$C$13:$C$672,MATCH(H72,Auction!$A$13:$A$672,0)),"")</f>
        <v/>
      </c>
    </row>
    <row r="73" spans="1:11" x14ac:dyDescent="0.25">
      <c r="A73" s="185"/>
      <c r="B73" s="186"/>
      <c r="C73" s="187">
        <f>SUM(C53:C72)</f>
        <v>0</v>
      </c>
      <c r="D73" s="187">
        <f>SUM(D53:D72)</f>
        <v>0</v>
      </c>
      <c r="E73" s="188"/>
      <c r="F73" s="1"/>
      <c r="G73" s="185"/>
      <c r="H73" s="186"/>
      <c r="I73" s="187">
        <f>SUM(I53:I72)</f>
        <v>0</v>
      </c>
      <c r="J73" s="187">
        <f>SUM(J53:J72)</f>
        <v>0</v>
      </c>
      <c r="K73" s="188"/>
    </row>
    <row r="75" spans="1:11" x14ac:dyDescent="0.25">
      <c r="A75" s="280" t="str">
        <f>H8</f>
        <v>Team 6</v>
      </c>
      <c r="B75" s="281"/>
      <c r="C75" s="281"/>
      <c r="D75" s="281"/>
      <c r="E75" s="282"/>
      <c r="F75" s="1"/>
      <c r="G75" s="280" t="str">
        <f>H9</f>
        <v>Team 7</v>
      </c>
      <c r="H75" s="281"/>
      <c r="I75" s="281"/>
      <c r="J75" s="281"/>
      <c r="K75" s="282"/>
    </row>
    <row r="76" spans="1:11" x14ac:dyDescent="0.25">
      <c r="A76" s="174" t="s">
        <v>875</v>
      </c>
      <c r="B76" s="182" t="s">
        <v>89</v>
      </c>
      <c r="C76" s="164" t="s">
        <v>876</v>
      </c>
      <c r="D76" s="164" t="s">
        <v>877</v>
      </c>
      <c r="E76" s="175" t="s">
        <v>808</v>
      </c>
      <c r="F76" s="1"/>
      <c r="G76" s="174" t="s">
        <v>875</v>
      </c>
      <c r="H76" s="182" t="s">
        <v>89</v>
      </c>
      <c r="I76" s="164" t="s">
        <v>876</v>
      </c>
      <c r="J76" s="164" t="s">
        <v>877</v>
      </c>
      <c r="K76" s="175" t="s">
        <v>808</v>
      </c>
    </row>
    <row r="77" spans="1:11" x14ac:dyDescent="0.25">
      <c r="A77" s="167" t="str">
        <f>IFERROR(INDEX(Auction!$B$13:$B$672,MATCH(B77,Auction!$A$13:$A$672,0)),"")</f>
        <v/>
      </c>
      <c r="B77" s="255" t="str">
        <f t="array" ref="B77">IF($A$75=0,"",IFERROR(INDEX(Auction!$A$13:$M$672,SMALL(IF(Auction!$M$13:$M$672=$A$75,(ROW(Auction!$M$13:$M$672)-MIN(ROW(Auction!$M$13:$M$672))+1),""),ROW(A1)),1),""))</f>
        <v/>
      </c>
      <c r="C77" s="176">
        <f>IF(ISERROR(VLOOKUP(B77,Auction!$A$13:$I$672,7,FALSE)),0,VLOOKUP(B77,Auction!$A$13:$I$672,8,FALSE))</f>
        <v>0</v>
      </c>
      <c r="D77" s="177">
        <f>IFERROR(VLOOKUP(B77,Auction!$A$13:$I$672,9,FALSE)-C77,0)</f>
        <v>0</v>
      </c>
      <c r="E77" s="183" t="str">
        <f>IFERROR(INDEX(Auction!$C$13:$C$672,MATCH(B77,Auction!$A$13:$A$672,0)),"")</f>
        <v/>
      </c>
      <c r="F77" s="1"/>
      <c r="G77" s="167" t="str">
        <f>IFERROR(INDEX(Auction!$B$13:$B$672,MATCH(H77,Auction!$A$13:$A$672,0)),"")</f>
        <v/>
      </c>
      <c r="H77" s="255" t="str">
        <f t="array" ref="H77">IF($G$75=0,"",IFERROR(INDEX(Auction!$A$13:$M$672,SMALL(IF(Auction!$M$13:$M$672=$G$75,(ROW(Auction!$M$13:$M$672)-MIN(ROW(Auction!$M$13:$M$672))+1),""),ROW(G1)),1),""))</f>
        <v/>
      </c>
      <c r="I77" s="176">
        <f>IF(ISERROR(VLOOKUP(H77,Auction!$A$13:$I$672,7,FALSE)),0,VLOOKUP(H77,Auction!$A$13:$I$672,8,FALSE))</f>
        <v>0</v>
      </c>
      <c r="J77" s="177">
        <f>IFERROR(VLOOKUP(H77,Auction!$A$13:$I$672,9,FALSE)-I77,0)</f>
        <v>0</v>
      </c>
      <c r="K77" s="183" t="str">
        <f>IFERROR(INDEX(Auction!$C$13:$C$672,MATCH(H77,Auction!$A$13:$A$672,0)),"")</f>
        <v/>
      </c>
    </row>
    <row r="78" spans="1:11" x14ac:dyDescent="0.25">
      <c r="A78" s="167" t="str">
        <f>IFERROR(INDEX(Auction!$B$13:$B$672,MATCH(B78,Auction!$A$13:$A$672,0)),"")</f>
        <v/>
      </c>
      <c r="B78" s="255" t="str">
        <f t="array" ref="B78">IF($A$75=0,"",IFERROR(INDEX(Auction!$A$13:$M$672,SMALL(IF(Auction!$M$13:$M$672=$A$75,(ROW(Auction!$M$13:$M$672)-MIN(ROW(Auction!$M$13:$M$672))+1),""),ROW(A2)),1),""))</f>
        <v/>
      </c>
      <c r="C78" s="176">
        <f>IF(ISERROR(VLOOKUP(B78,Auction!$A$13:$I$672,7,FALSE)),0,VLOOKUP(B78,Auction!$A$13:$I$672,8,FALSE))</f>
        <v>0</v>
      </c>
      <c r="D78" s="177">
        <f>IFERROR(VLOOKUP(B78,Auction!$A$13:$I$672,9,FALSE)-C78,0)</f>
        <v>0</v>
      </c>
      <c r="E78" s="183" t="str">
        <f>IFERROR(INDEX(Auction!$C$13:$C$672,MATCH(B78,Auction!$A$13:$A$672,0)),"")</f>
        <v/>
      </c>
      <c r="F78" s="1"/>
      <c r="G78" s="167" t="str">
        <f>IFERROR(INDEX(Auction!$B$13:$B$672,MATCH(H78,Auction!$A$13:$A$672,0)),"")</f>
        <v/>
      </c>
      <c r="H78" s="255" t="str">
        <f t="array" ref="H78">IF($G$75=0,"",IFERROR(INDEX(Auction!$A$13:$M$672,SMALL(IF(Auction!$M$13:$M$672=$G$75,(ROW(Auction!$M$13:$M$672)-MIN(ROW(Auction!$M$13:$M$672))+1),""),ROW(G2)),1),""))</f>
        <v/>
      </c>
      <c r="I78" s="176">
        <f>IF(ISERROR(VLOOKUP(H78,Auction!$A$13:$I$672,7,FALSE)),0,VLOOKUP(H78,Auction!$A$13:$I$672,8,FALSE))</f>
        <v>0</v>
      </c>
      <c r="J78" s="177">
        <f>IFERROR(VLOOKUP(H78,Auction!$A$13:$I$672,9,FALSE)-I78,0)</f>
        <v>0</v>
      </c>
      <c r="K78" s="183" t="str">
        <f>IFERROR(INDEX(Auction!$C$13:$C$672,MATCH(H78,Auction!$A$13:$A$672,0)),"")</f>
        <v/>
      </c>
    </row>
    <row r="79" spans="1:11" x14ac:dyDescent="0.25">
      <c r="A79" s="167" t="str">
        <f>IFERROR(INDEX(Auction!$B$13:$B$672,MATCH(B79,Auction!$A$13:$A$672,0)),"")</f>
        <v/>
      </c>
      <c r="B79" s="255" t="str">
        <f t="array" ref="B79">IF($A$75=0,"",IFERROR(INDEX(Auction!$A$13:$M$672,SMALL(IF(Auction!$M$13:$M$672=$A$75,(ROW(Auction!$M$13:$M$672)-MIN(ROW(Auction!$M$13:$M$672))+1),""),ROW(A3)),1),""))</f>
        <v/>
      </c>
      <c r="C79" s="176">
        <f>IF(ISERROR(VLOOKUP(B79,Auction!$A$13:$I$672,7,FALSE)),0,VLOOKUP(B79,Auction!$A$13:$I$672,8,FALSE))</f>
        <v>0</v>
      </c>
      <c r="D79" s="177">
        <f>IFERROR(VLOOKUP(B79,Auction!$A$13:$I$672,9,FALSE)-C79,0)</f>
        <v>0</v>
      </c>
      <c r="E79" s="183" t="str">
        <f>IFERROR(INDEX(Auction!$C$13:$C$672,MATCH(B79,Auction!$A$13:$A$672,0)),"")</f>
        <v/>
      </c>
      <c r="F79" s="1"/>
      <c r="G79" s="167" t="str">
        <f>IFERROR(INDEX(Auction!$B$13:$B$672,MATCH(H79,Auction!$A$13:$A$672,0)),"")</f>
        <v/>
      </c>
      <c r="H79" s="255" t="str">
        <f t="array" ref="H79">IF($G$75=0,"",IFERROR(INDEX(Auction!$A$13:$M$672,SMALL(IF(Auction!$M$13:$M$672=$G$75,(ROW(Auction!$M$13:$M$672)-MIN(ROW(Auction!$M$13:$M$672))+1),""),ROW(G3)),1),""))</f>
        <v/>
      </c>
      <c r="I79" s="176">
        <f>IF(ISERROR(VLOOKUP(H79,Auction!$A$13:$I$672,7,FALSE)),0,VLOOKUP(H79,Auction!$A$13:$I$672,8,FALSE))</f>
        <v>0</v>
      </c>
      <c r="J79" s="177">
        <f>IFERROR(VLOOKUP(H79,Auction!$A$13:$I$672,9,FALSE)-I79,0)</f>
        <v>0</v>
      </c>
      <c r="K79" s="183" t="str">
        <f>IFERROR(INDEX(Auction!$C$13:$C$672,MATCH(H79,Auction!$A$13:$A$672,0)),"")</f>
        <v/>
      </c>
    </row>
    <row r="80" spans="1:11" x14ac:dyDescent="0.25">
      <c r="A80" s="167" t="str">
        <f>IFERROR(INDEX(Auction!$B$13:$B$672,MATCH(B80,Auction!$A$13:$A$672,0)),"")</f>
        <v/>
      </c>
      <c r="B80" s="255" t="str">
        <f t="array" ref="B80">IF($A$75=0,"",IFERROR(INDEX(Auction!$A$13:$M$672,SMALL(IF(Auction!$M$13:$M$672=$A$75,(ROW(Auction!$M$13:$M$672)-MIN(ROW(Auction!$M$13:$M$672))+1),""),ROW(A4)),1),""))</f>
        <v/>
      </c>
      <c r="C80" s="176">
        <f>IF(ISERROR(VLOOKUP(B80,Auction!$A$13:$I$672,7,FALSE)),0,VLOOKUP(B80,Auction!$A$13:$I$672,8,FALSE))</f>
        <v>0</v>
      </c>
      <c r="D80" s="177">
        <f>IFERROR(VLOOKUP(B80,Auction!$A$13:$I$672,9,FALSE)-C80,0)</f>
        <v>0</v>
      </c>
      <c r="E80" s="183" t="str">
        <f>IFERROR(INDEX(Auction!$C$13:$C$672,MATCH(B80,Auction!$A$13:$A$672,0)),"")</f>
        <v/>
      </c>
      <c r="F80" s="1"/>
      <c r="G80" s="167" t="str">
        <f>IFERROR(INDEX(Auction!$B$13:$B$672,MATCH(H80,Auction!$A$13:$A$672,0)),"")</f>
        <v/>
      </c>
      <c r="H80" s="255" t="str">
        <f t="array" ref="H80">IF($G$75=0,"",IFERROR(INDEX(Auction!$A$13:$M$672,SMALL(IF(Auction!$M$13:$M$672=$G$75,(ROW(Auction!$M$13:$M$672)-MIN(ROW(Auction!$M$13:$M$672))+1),""),ROW(G4)),1),""))</f>
        <v/>
      </c>
      <c r="I80" s="176">
        <f>IF(ISERROR(VLOOKUP(H80,Auction!$A$13:$I$672,7,FALSE)),0,VLOOKUP(H80,Auction!$A$13:$I$672,8,FALSE))</f>
        <v>0</v>
      </c>
      <c r="J80" s="177">
        <f>IFERROR(VLOOKUP(H80,Auction!$A$13:$I$672,9,FALSE)-I80,0)</f>
        <v>0</v>
      </c>
      <c r="K80" s="183" t="str">
        <f>IFERROR(INDEX(Auction!$C$13:$C$672,MATCH(H80,Auction!$A$13:$A$672,0)),"")</f>
        <v/>
      </c>
    </row>
    <row r="81" spans="1:11" x14ac:dyDescent="0.25">
      <c r="A81" s="167" t="str">
        <f>IFERROR(INDEX(Auction!$B$13:$B$672,MATCH(B81,Auction!$A$13:$A$672,0)),"")</f>
        <v/>
      </c>
      <c r="B81" s="255" t="str">
        <f t="array" ref="B81">IF($A$75=0,"",IFERROR(INDEX(Auction!$A$13:$M$672,SMALL(IF(Auction!$M$13:$M$672=$A$75,(ROW(Auction!$M$13:$M$672)-MIN(ROW(Auction!$M$13:$M$672))+1),""),ROW(A5)),1),""))</f>
        <v/>
      </c>
      <c r="C81" s="176">
        <f>IF(ISERROR(VLOOKUP(B81,Auction!$A$13:$I$672,7,FALSE)),0,VLOOKUP(B81,Auction!$A$13:$I$672,8,FALSE))</f>
        <v>0</v>
      </c>
      <c r="D81" s="177">
        <f>IFERROR(VLOOKUP(B81,Auction!$A$13:$I$672,9,FALSE)-C81,0)</f>
        <v>0</v>
      </c>
      <c r="E81" s="183" t="str">
        <f>IFERROR(INDEX(Auction!$C$13:$C$672,MATCH(B81,Auction!$A$13:$A$672,0)),"")</f>
        <v/>
      </c>
      <c r="F81" s="1"/>
      <c r="G81" s="167" t="str">
        <f>IFERROR(INDEX(Auction!$B$13:$B$672,MATCH(H81,Auction!$A$13:$A$672,0)),"")</f>
        <v/>
      </c>
      <c r="H81" s="255" t="str">
        <f t="array" ref="H81">IF($G$75=0,"",IFERROR(INDEX(Auction!$A$13:$M$672,SMALL(IF(Auction!$M$13:$M$672=$G$75,(ROW(Auction!$M$13:$M$672)-MIN(ROW(Auction!$M$13:$M$672))+1),""),ROW(G5)),1),""))</f>
        <v/>
      </c>
      <c r="I81" s="176">
        <f>IF(ISERROR(VLOOKUP(H81,Auction!$A$13:$I$672,7,FALSE)),0,VLOOKUP(H81,Auction!$A$13:$I$672,8,FALSE))</f>
        <v>0</v>
      </c>
      <c r="J81" s="177">
        <f>IFERROR(VLOOKUP(H81,Auction!$A$13:$I$672,9,FALSE)-I81,0)</f>
        <v>0</v>
      </c>
      <c r="K81" s="183" t="str">
        <f>IFERROR(INDEX(Auction!$C$13:$C$672,MATCH(H81,Auction!$A$13:$A$672,0)),"")</f>
        <v/>
      </c>
    </row>
    <row r="82" spans="1:11" x14ac:dyDescent="0.25">
      <c r="A82" s="167" t="str">
        <f>IFERROR(INDEX(Auction!$B$13:$B$672,MATCH(B82,Auction!$A$13:$A$672,0)),"")</f>
        <v/>
      </c>
      <c r="B82" s="255" t="str">
        <f t="array" ref="B82">IF($A$75=0,"",IFERROR(INDEX(Auction!$A$13:$M$672,SMALL(IF(Auction!$M$13:$M$672=$A$75,(ROW(Auction!$M$13:$M$672)-MIN(ROW(Auction!$M$13:$M$672))+1),""),ROW(A6)),1),""))</f>
        <v/>
      </c>
      <c r="C82" s="176">
        <f>IF(ISERROR(VLOOKUP(B82,Auction!$A$13:$I$672,7,FALSE)),0,VLOOKUP(B82,Auction!$A$13:$I$672,8,FALSE))</f>
        <v>0</v>
      </c>
      <c r="D82" s="177">
        <f>IFERROR(VLOOKUP(B82,Auction!$A$13:$I$672,9,FALSE)-C82,0)</f>
        <v>0</v>
      </c>
      <c r="E82" s="183" t="str">
        <f>IFERROR(INDEX(Auction!$C$13:$C$672,MATCH(B82,Auction!$A$13:$A$672,0)),"")</f>
        <v/>
      </c>
      <c r="F82" s="1"/>
      <c r="G82" s="167" t="str">
        <f>IFERROR(INDEX(Auction!$B$13:$B$672,MATCH(H82,Auction!$A$13:$A$672,0)),"")</f>
        <v/>
      </c>
      <c r="H82" s="255" t="str">
        <f t="array" ref="H82">IF($G$75=0,"",IFERROR(INDEX(Auction!$A$13:$M$672,SMALL(IF(Auction!$M$13:$M$672=$G$75,(ROW(Auction!$M$13:$M$672)-MIN(ROW(Auction!$M$13:$M$672))+1),""),ROW(G6)),1),""))</f>
        <v/>
      </c>
      <c r="I82" s="176">
        <f>IF(ISERROR(VLOOKUP(H82,Auction!$A$13:$I$672,7,FALSE)),0,VLOOKUP(H82,Auction!$A$13:$I$672,8,FALSE))</f>
        <v>0</v>
      </c>
      <c r="J82" s="177">
        <f>IFERROR(VLOOKUP(H82,Auction!$A$13:$I$672,9,FALSE)-I82,0)</f>
        <v>0</v>
      </c>
      <c r="K82" s="183" t="str">
        <f>IFERROR(INDEX(Auction!$C$13:$C$672,MATCH(H82,Auction!$A$13:$A$672,0)),"")</f>
        <v/>
      </c>
    </row>
    <row r="83" spans="1:11" x14ac:dyDescent="0.25">
      <c r="A83" s="167" t="str">
        <f>IFERROR(INDEX(Auction!$B$13:$B$672,MATCH(B83,Auction!$A$13:$A$672,0)),"")</f>
        <v/>
      </c>
      <c r="B83" s="255" t="str">
        <f t="array" ref="B83">IF($A$75=0,"",IFERROR(INDEX(Auction!$A$13:$M$672,SMALL(IF(Auction!$M$13:$M$672=$A$75,(ROW(Auction!$M$13:$M$672)-MIN(ROW(Auction!$M$13:$M$672))+1),""),ROW(A7)),1),""))</f>
        <v/>
      </c>
      <c r="C83" s="176">
        <f>IF(ISERROR(VLOOKUP(B83,Auction!$A$13:$I$672,7,FALSE)),0,VLOOKUP(B83,Auction!$A$13:$I$672,8,FALSE))</f>
        <v>0</v>
      </c>
      <c r="D83" s="177">
        <f>IFERROR(VLOOKUP(B83,Auction!$A$13:$I$672,9,FALSE)-C83,0)</f>
        <v>0</v>
      </c>
      <c r="E83" s="183" t="str">
        <f>IFERROR(INDEX(Auction!$C$13:$C$672,MATCH(B83,Auction!$A$13:$A$672,0)),"")</f>
        <v/>
      </c>
      <c r="F83" s="1"/>
      <c r="G83" s="167" t="str">
        <f>IFERROR(INDEX(Auction!$B$13:$B$672,MATCH(H83,Auction!$A$13:$A$672,0)),"")</f>
        <v/>
      </c>
      <c r="H83" s="255" t="str">
        <f t="array" ref="H83">IF($G$75=0,"",IFERROR(INDEX(Auction!$A$13:$M$672,SMALL(IF(Auction!$M$13:$M$672=$G$75,(ROW(Auction!$M$13:$M$672)-MIN(ROW(Auction!$M$13:$M$672))+1),""),ROW(G7)),1),""))</f>
        <v/>
      </c>
      <c r="I83" s="176">
        <f>IF(ISERROR(VLOOKUP(H83,Auction!$A$13:$I$672,7,FALSE)),0,VLOOKUP(H83,Auction!$A$13:$I$672,8,FALSE))</f>
        <v>0</v>
      </c>
      <c r="J83" s="177">
        <f>IFERROR(VLOOKUP(H83,Auction!$A$13:$I$672,9,FALSE)-I83,0)</f>
        <v>0</v>
      </c>
      <c r="K83" s="183" t="str">
        <f>IFERROR(INDEX(Auction!$C$13:$C$672,MATCH(H83,Auction!$A$13:$A$672,0)),"")</f>
        <v/>
      </c>
    </row>
    <row r="84" spans="1:11" x14ac:dyDescent="0.25">
      <c r="A84" s="167" t="str">
        <f>IFERROR(INDEX(Auction!$B$13:$B$672,MATCH(B84,Auction!$A$13:$A$672,0)),"")</f>
        <v/>
      </c>
      <c r="B84" s="255" t="str">
        <f t="array" ref="B84">IF($A$75=0,"",IFERROR(INDEX(Auction!$A$13:$M$672,SMALL(IF(Auction!$M$13:$M$672=$A$75,(ROW(Auction!$M$13:$M$672)-MIN(ROW(Auction!$M$13:$M$672))+1),""),ROW(A8)),1),""))</f>
        <v/>
      </c>
      <c r="C84" s="176">
        <f>IF(ISERROR(VLOOKUP(B84,Auction!$A$13:$I$672,7,FALSE)),0,VLOOKUP(B84,Auction!$A$13:$I$672,8,FALSE))</f>
        <v>0</v>
      </c>
      <c r="D84" s="177">
        <f>IFERROR(VLOOKUP(B84,Auction!$A$13:$I$672,9,FALSE)-C84,0)</f>
        <v>0</v>
      </c>
      <c r="E84" s="183" t="str">
        <f>IFERROR(INDEX(Auction!$C$13:$C$672,MATCH(B84,Auction!$A$13:$A$672,0)),"")</f>
        <v/>
      </c>
      <c r="F84" s="1"/>
      <c r="G84" s="167" t="str">
        <f>IFERROR(INDEX(Auction!$B$13:$B$672,MATCH(H84,Auction!$A$13:$A$672,0)),"")</f>
        <v/>
      </c>
      <c r="H84" s="255" t="str">
        <f t="array" ref="H84">IF($G$75=0,"",IFERROR(INDEX(Auction!$A$13:$M$672,SMALL(IF(Auction!$M$13:$M$672=$G$75,(ROW(Auction!$M$13:$M$672)-MIN(ROW(Auction!$M$13:$M$672))+1),""),ROW(G8)),1),""))</f>
        <v/>
      </c>
      <c r="I84" s="176">
        <f>IF(ISERROR(VLOOKUP(H84,Auction!$A$13:$I$672,7,FALSE)),0,VLOOKUP(H84,Auction!$A$13:$I$672,8,FALSE))</f>
        <v>0</v>
      </c>
      <c r="J84" s="177">
        <f>IFERROR(VLOOKUP(H84,Auction!$A$13:$I$672,9,FALSE)-I84,0)</f>
        <v>0</v>
      </c>
      <c r="K84" s="183" t="str">
        <f>IFERROR(INDEX(Auction!$C$13:$C$672,MATCH(H84,Auction!$A$13:$A$672,0)),"")</f>
        <v/>
      </c>
    </row>
    <row r="85" spans="1:11" x14ac:dyDescent="0.25">
      <c r="A85" s="167" t="str">
        <f>IFERROR(INDEX(Auction!$B$13:$B$672,MATCH(B85,Auction!$A$13:$A$672,0)),"")</f>
        <v/>
      </c>
      <c r="B85" s="255" t="str">
        <f t="array" ref="B85">IF($A$75=0,"",IFERROR(INDEX(Auction!$A$13:$M$672,SMALL(IF(Auction!$M$13:$M$672=$A$75,(ROW(Auction!$M$13:$M$672)-MIN(ROW(Auction!$M$13:$M$672))+1),""),ROW(A9)),1),""))</f>
        <v/>
      </c>
      <c r="C85" s="176">
        <f>IF(ISERROR(VLOOKUP(B85,Auction!$A$13:$I$672,7,FALSE)),0,VLOOKUP(B85,Auction!$A$13:$I$672,8,FALSE))</f>
        <v>0</v>
      </c>
      <c r="D85" s="177">
        <f>IFERROR(VLOOKUP(B85,Auction!$A$13:$I$672,9,FALSE)-C85,0)</f>
        <v>0</v>
      </c>
      <c r="E85" s="184" t="str">
        <f>IFERROR(INDEX(Auction!$C$13:$C$672,MATCH(B85,Auction!$A$13:$A$672,0)),"")</f>
        <v/>
      </c>
      <c r="F85" s="1"/>
      <c r="G85" s="167" t="str">
        <f>IFERROR(INDEX(Auction!$B$13:$B$672,MATCH(H85,Auction!$A$13:$A$672,0)),"")</f>
        <v/>
      </c>
      <c r="H85" s="255" t="str">
        <f t="array" ref="H85">IF($G$75=0,"",IFERROR(INDEX(Auction!$A$13:$M$672,SMALL(IF(Auction!$M$13:$M$672=$G$75,(ROW(Auction!$M$13:$M$672)-MIN(ROW(Auction!$M$13:$M$672))+1),""),ROW(G9)),1),""))</f>
        <v/>
      </c>
      <c r="I85" s="176">
        <f>IF(ISERROR(VLOOKUP(H85,Auction!$A$13:$I$672,7,FALSE)),0,VLOOKUP(H85,Auction!$A$13:$I$672,8,FALSE))</f>
        <v>0</v>
      </c>
      <c r="J85" s="177">
        <f>IFERROR(VLOOKUP(H85,Auction!$A$13:$I$672,9,FALSE)-I85,0)</f>
        <v>0</v>
      </c>
      <c r="K85" s="184" t="str">
        <f>IFERROR(INDEX(Auction!$C$13:$C$672,MATCH(H85,Auction!$A$13:$A$672,0)),"")</f>
        <v/>
      </c>
    </row>
    <row r="86" spans="1:11" x14ac:dyDescent="0.25">
      <c r="A86" s="167" t="str">
        <f>IFERROR(INDEX(Auction!$B$13:$B$672,MATCH(B86,Auction!$A$13:$A$672,0)),"")</f>
        <v/>
      </c>
      <c r="B86" s="255" t="str">
        <f t="array" ref="B86">IF($A$75=0,"",IFERROR(INDEX(Auction!$A$13:$M$672,SMALL(IF(Auction!$M$13:$M$672=$A$75,(ROW(Auction!$M$13:$M$672)-MIN(ROW(Auction!$M$13:$M$672))+1),""),ROW(A10)),1),""))</f>
        <v/>
      </c>
      <c r="C86" s="176">
        <f>IF(ISERROR(VLOOKUP(B86,Auction!$A$13:$I$672,7,FALSE)),0,VLOOKUP(B86,Auction!$A$13:$I$672,8,FALSE))</f>
        <v>0</v>
      </c>
      <c r="D86" s="177">
        <f>IFERROR(VLOOKUP(B86,Auction!$A$13:$I$672,9,FALSE)-C86,0)</f>
        <v>0</v>
      </c>
      <c r="E86" s="184" t="str">
        <f>IFERROR(INDEX(Auction!$C$13:$C$672,MATCH(B86,Auction!$A$13:$A$672,0)),"")</f>
        <v/>
      </c>
      <c r="F86" s="1"/>
      <c r="G86" s="167" t="str">
        <f>IFERROR(INDEX(Auction!$B$13:$B$672,MATCH(H86,Auction!$A$13:$A$672,0)),"")</f>
        <v/>
      </c>
      <c r="H86" s="255" t="str">
        <f t="array" ref="H86">IF($G$75=0,"",IFERROR(INDEX(Auction!$A$13:$M$672,SMALL(IF(Auction!$M$13:$M$672=$G$75,(ROW(Auction!$M$13:$M$672)-MIN(ROW(Auction!$M$13:$M$672))+1),""),ROW(G10)),1),""))</f>
        <v/>
      </c>
      <c r="I86" s="176">
        <f>IF(ISERROR(VLOOKUP(H86,Auction!$A$13:$I$672,7,FALSE)),0,VLOOKUP(H86,Auction!$A$13:$I$672,8,FALSE))</f>
        <v>0</v>
      </c>
      <c r="J86" s="177">
        <f>IFERROR(VLOOKUP(H86,Auction!$A$13:$I$672,9,FALSE)-I86,0)</f>
        <v>0</v>
      </c>
      <c r="K86" s="184" t="str">
        <f>IFERROR(INDEX(Auction!$C$13:$C$672,MATCH(H86,Auction!$A$13:$A$672,0)),"")</f>
        <v/>
      </c>
    </row>
    <row r="87" spans="1:11" x14ac:dyDescent="0.25">
      <c r="A87" s="167" t="str">
        <f>IFERROR(INDEX(Auction!$B$13:$B$672,MATCH(B87,Auction!$A$13:$A$672,0)),"")</f>
        <v/>
      </c>
      <c r="B87" s="255" t="str">
        <f t="array" ref="B87">IF($A$75=0,"",IFERROR(INDEX(Auction!$A$13:$M$672,SMALL(IF(Auction!$M$13:$M$672=$A$75,(ROW(Auction!$M$13:$M$672)-MIN(ROW(Auction!$M$13:$M$672))+1),""),ROW(A11)),1),""))</f>
        <v/>
      </c>
      <c r="C87" s="176">
        <f>IF(ISERROR(VLOOKUP(B87,Auction!$A$13:$I$672,7,FALSE)),0,VLOOKUP(B87,Auction!$A$13:$I$672,8,FALSE))</f>
        <v>0</v>
      </c>
      <c r="D87" s="177">
        <f>IFERROR(VLOOKUP(B87,Auction!$A$13:$I$672,9,FALSE)-C87,0)</f>
        <v>0</v>
      </c>
      <c r="E87" s="184" t="str">
        <f>IFERROR(INDEX(Auction!$C$13:$C$672,MATCH(B87,Auction!$A$13:$A$672,0)),"")</f>
        <v/>
      </c>
      <c r="F87" s="1"/>
      <c r="G87" s="167" t="str">
        <f>IFERROR(INDEX(Auction!$B$13:$B$672,MATCH(H87,Auction!$A$13:$A$672,0)),"")</f>
        <v/>
      </c>
      <c r="H87" s="255" t="str">
        <f t="array" ref="H87">IF($G$75=0,"",IFERROR(INDEX(Auction!$A$13:$M$672,SMALL(IF(Auction!$M$13:$M$672=$G$75,(ROW(Auction!$M$13:$M$672)-MIN(ROW(Auction!$M$13:$M$672))+1),""),ROW(G11)),1),""))</f>
        <v/>
      </c>
      <c r="I87" s="176">
        <f>IF(ISERROR(VLOOKUP(H87,Auction!$A$13:$I$672,7,FALSE)),0,VLOOKUP(H87,Auction!$A$13:$I$672,8,FALSE))</f>
        <v>0</v>
      </c>
      <c r="J87" s="177">
        <f>IFERROR(VLOOKUP(H87,Auction!$A$13:$I$672,9,FALSE)-I87,0)</f>
        <v>0</v>
      </c>
      <c r="K87" s="184" t="str">
        <f>IFERROR(INDEX(Auction!$C$13:$C$672,MATCH(H87,Auction!$A$13:$A$672,0)),"")</f>
        <v/>
      </c>
    </row>
    <row r="88" spans="1:11" x14ac:dyDescent="0.25">
      <c r="A88" s="167" t="str">
        <f>IFERROR(INDEX(Auction!$B$13:$B$672,MATCH(B88,Auction!$A$13:$A$672,0)),"")</f>
        <v/>
      </c>
      <c r="B88" s="255" t="str">
        <f t="array" ref="B88">IF($A$75=0,"",IFERROR(INDEX(Auction!$A$13:$M$672,SMALL(IF(Auction!$M$13:$M$672=$A$75,(ROW(Auction!$M$13:$M$672)-MIN(ROW(Auction!$M$13:$M$672))+1),""),ROW(A12)),1),""))</f>
        <v/>
      </c>
      <c r="C88" s="176">
        <f>IF(ISERROR(VLOOKUP(B88,Auction!$A$13:$I$672,7,FALSE)),0,VLOOKUP(B88,Auction!$A$13:$I$672,8,FALSE))</f>
        <v>0</v>
      </c>
      <c r="D88" s="177">
        <f>IFERROR(VLOOKUP(B88,Auction!$A$13:$I$672,9,FALSE)-C88,0)</f>
        <v>0</v>
      </c>
      <c r="E88" s="184" t="str">
        <f>IFERROR(INDEX(Auction!$C$13:$C$672,MATCH(B88,Auction!$A$13:$A$672,0)),"")</f>
        <v/>
      </c>
      <c r="F88" s="1"/>
      <c r="G88" s="167" t="str">
        <f>IFERROR(INDEX(Auction!$B$13:$B$672,MATCH(H88,Auction!$A$13:$A$672,0)),"")</f>
        <v/>
      </c>
      <c r="H88" s="255" t="str">
        <f t="array" ref="H88">IF($G$75=0,"",IFERROR(INDEX(Auction!$A$13:$M$672,SMALL(IF(Auction!$M$13:$M$672=$G$75,(ROW(Auction!$M$13:$M$672)-MIN(ROW(Auction!$M$13:$M$672))+1),""),ROW(G12)),1),""))</f>
        <v/>
      </c>
      <c r="I88" s="176">
        <f>IF(ISERROR(VLOOKUP(H88,Auction!$A$13:$I$672,7,FALSE)),0,VLOOKUP(H88,Auction!$A$13:$I$672,8,FALSE))</f>
        <v>0</v>
      </c>
      <c r="J88" s="177">
        <f>IFERROR(VLOOKUP(H88,Auction!$A$13:$I$672,9,FALSE)-I88,0)</f>
        <v>0</v>
      </c>
      <c r="K88" s="184" t="str">
        <f>IFERROR(INDEX(Auction!$C$13:$C$672,MATCH(H88,Auction!$A$13:$A$672,0)),"")</f>
        <v/>
      </c>
    </row>
    <row r="89" spans="1:11" x14ac:dyDescent="0.25">
      <c r="A89" s="167" t="str">
        <f>IFERROR(INDEX(Auction!$B$13:$B$672,MATCH(B89,Auction!$A$13:$A$672,0)),"")</f>
        <v/>
      </c>
      <c r="B89" s="255" t="str">
        <f t="array" ref="B89">IF($A$75=0,"",IFERROR(INDEX(Auction!$A$13:$M$672,SMALL(IF(Auction!$M$13:$M$672=$A$75,(ROW(Auction!$M$13:$M$672)-MIN(ROW(Auction!$M$13:$M$672))+1),""),ROW(A13)),1),""))</f>
        <v/>
      </c>
      <c r="C89" s="176">
        <f>IF(ISERROR(VLOOKUP(B89,Auction!$A$13:$I$672,7,FALSE)),0,VLOOKUP(B89,Auction!$A$13:$I$672,8,FALSE))</f>
        <v>0</v>
      </c>
      <c r="D89" s="177">
        <f>IFERROR(VLOOKUP(B89,Auction!$A$13:$I$672,9,FALSE)-C89,0)</f>
        <v>0</v>
      </c>
      <c r="E89" s="184" t="str">
        <f>IFERROR(INDEX(Auction!$C$13:$C$672,MATCH(B89,Auction!$A$13:$A$672,0)),"")</f>
        <v/>
      </c>
      <c r="F89" s="1"/>
      <c r="G89" s="167" t="str">
        <f>IFERROR(INDEX(Auction!$B$13:$B$672,MATCH(H89,Auction!$A$13:$A$672,0)),"")</f>
        <v/>
      </c>
      <c r="H89" s="255" t="str">
        <f t="array" ref="H89">IF($G$75=0,"",IFERROR(INDEX(Auction!$A$13:$M$672,SMALL(IF(Auction!$M$13:$M$672=$G$75,(ROW(Auction!$M$13:$M$672)-MIN(ROW(Auction!$M$13:$M$672))+1),""),ROW(G13)),1),""))</f>
        <v/>
      </c>
      <c r="I89" s="176">
        <f>IF(ISERROR(VLOOKUP(H89,Auction!$A$13:$I$672,7,FALSE)),0,VLOOKUP(H89,Auction!$A$13:$I$672,8,FALSE))</f>
        <v>0</v>
      </c>
      <c r="J89" s="177">
        <f>IFERROR(VLOOKUP(H89,Auction!$A$13:$I$672,9,FALSE)-I89,0)</f>
        <v>0</v>
      </c>
      <c r="K89" s="184" t="str">
        <f>IFERROR(INDEX(Auction!$C$13:$C$672,MATCH(H89,Auction!$A$13:$A$672,0)),"")</f>
        <v/>
      </c>
    </row>
    <row r="90" spans="1:11" x14ac:dyDescent="0.25">
      <c r="A90" s="167" t="str">
        <f>IFERROR(INDEX(Auction!$B$13:$B$672,MATCH(B90,Auction!$A$13:$A$672,0)),"")</f>
        <v/>
      </c>
      <c r="B90" s="255" t="str">
        <f t="array" ref="B90">IF($A$75=0,"",IFERROR(INDEX(Auction!$A$13:$M$672,SMALL(IF(Auction!$M$13:$M$672=$A$75,(ROW(Auction!$M$13:$M$672)-MIN(ROW(Auction!$M$13:$M$672))+1),""),ROW(A14)),1),""))</f>
        <v/>
      </c>
      <c r="C90" s="176">
        <f>IF(ISERROR(VLOOKUP(B90,Auction!$A$13:$I$672,7,FALSE)),0,VLOOKUP(B90,Auction!$A$13:$I$672,8,FALSE))</f>
        <v>0</v>
      </c>
      <c r="D90" s="177">
        <f>IFERROR(VLOOKUP(B90,Auction!$A$13:$I$672,9,FALSE)-C90,0)</f>
        <v>0</v>
      </c>
      <c r="E90" s="184" t="str">
        <f>IFERROR(INDEX(Auction!$C$13:$C$672,MATCH(B90,Auction!$A$13:$A$672,0)),"")</f>
        <v/>
      </c>
      <c r="F90" s="1"/>
      <c r="G90" s="167" t="str">
        <f>IFERROR(INDEX(Auction!$B$13:$B$672,MATCH(H90,Auction!$A$13:$A$672,0)),"")</f>
        <v/>
      </c>
      <c r="H90" s="255" t="str">
        <f t="array" ref="H90">IF($G$75=0,"",IFERROR(INDEX(Auction!$A$13:$M$672,SMALL(IF(Auction!$M$13:$M$672=$G$75,(ROW(Auction!$M$13:$M$672)-MIN(ROW(Auction!$M$13:$M$672))+1),""),ROW(G14)),1),""))</f>
        <v/>
      </c>
      <c r="I90" s="176">
        <f>IF(ISERROR(VLOOKUP(H90,Auction!$A$13:$I$672,7,FALSE)),0,VLOOKUP(H90,Auction!$A$13:$I$672,8,FALSE))</f>
        <v>0</v>
      </c>
      <c r="J90" s="177">
        <f>IFERROR(VLOOKUP(H90,Auction!$A$13:$I$672,9,FALSE)-I90,0)</f>
        <v>0</v>
      </c>
      <c r="K90" s="184" t="str">
        <f>IFERROR(INDEX(Auction!$C$13:$C$672,MATCH(H90,Auction!$A$13:$A$672,0)),"")</f>
        <v/>
      </c>
    </row>
    <row r="91" spans="1:11" x14ac:dyDescent="0.25">
      <c r="A91" s="167" t="str">
        <f>IFERROR(INDEX(Auction!$B$13:$B$672,MATCH(B91,Auction!$A$13:$A$672,0)),"")</f>
        <v/>
      </c>
      <c r="B91" s="255" t="str">
        <f t="array" ref="B91">IF($A$75=0,"",IFERROR(INDEX(Auction!$A$13:$M$672,SMALL(IF(Auction!$M$13:$M$672=$A$75,(ROW(Auction!$M$13:$M$672)-MIN(ROW(Auction!$M$13:$M$672))+1),""),ROW(A15)),1),""))</f>
        <v/>
      </c>
      <c r="C91" s="176">
        <f>IF(ISERROR(VLOOKUP(B91,Auction!$A$13:$I$672,7,FALSE)),0,VLOOKUP(B91,Auction!$A$13:$I$672,8,FALSE))</f>
        <v>0</v>
      </c>
      <c r="D91" s="177">
        <f>IFERROR(VLOOKUP(B91,Auction!$A$13:$I$672,9,FALSE)-C91,0)</f>
        <v>0</v>
      </c>
      <c r="E91" s="184" t="str">
        <f>IFERROR(INDEX(Auction!$C$13:$C$672,MATCH(B91,Auction!$A$13:$A$672,0)),"")</f>
        <v/>
      </c>
      <c r="F91" s="1"/>
      <c r="G91" s="167" t="str">
        <f>IFERROR(INDEX(Auction!$B$13:$B$672,MATCH(H91,Auction!$A$13:$A$672,0)),"")</f>
        <v/>
      </c>
      <c r="H91" s="255" t="str">
        <f t="array" ref="H91">IF($G$75=0,"",IFERROR(INDEX(Auction!$A$13:$M$672,SMALL(IF(Auction!$M$13:$M$672=$G$75,(ROW(Auction!$M$13:$M$672)-MIN(ROW(Auction!$M$13:$M$672))+1),""),ROW(G15)),1),""))</f>
        <v/>
      </c>
      <c r="I91" s="176">
        <f>IF(ISERROR(VLOOKUP(H91,Auction!$A$13:$I$672,7,FALSE)),0,VLOOKUP(H91,Auction!$A$13:$I$672,8,FALSE))</f>
        <v>0</v>
      </c>
      <c r="J91" s="177">
        <f>IFERROR(VLOOKUP(H91,Auction!$A$13:$I$672,9,FALSE)-I91,0)</f>
        <v>0</v>
      </c>
      <c r="K91" s="184" t="str">
        <f>IFERROR(INDEX(Auction!$C$13:$C$672,MATCH(H91,Auction!$A$13:$A$672,0)),"")</f>
        <v/>
      </c>
    </row>
    <row r="92" spans="1:11" x14ac:dyDescent="0.25">
      <c r="A92" s="167" t="str">
        <f>IFERROR(INDEX(Auction!$B$13:$B$672,MATCH(B92,Auction!$A$13:$A$672,0)),"")</f>
        <v/>
      </c>
      <c r="B92" s="255" t="str">
        <f t="array" ref="B92">IF($A$75=0,"",IFERROR(INDEX(Auction!$A$13:$M$672,SMALL(IF(Auction!$M$13:$M$672=$A$75,(ROW(Auction!$M$13:$M$672)-MIN(ROW(Auction!$M$13:$M$672))+1),""),ROW(A16)),1),""))</f>
        <v/>
      </c>
      <c r="C92" s="176">
        <f>IF(ISERROR(VLOOKUP(B92,Auction!$A$13:$I$672,7,FALSE)),0,VLOOKUP(B92,Auction!$A$13:$I$672,8,FALSE))</f>
        <v>0</v>
      </c>
      <c r="D92" s="177">
        <f>IFERROR(VLOOKUP(B92,Auction!$A$13:$I$672,9,FALSE)-C92,0)</f>
        <v>0</v>
      </c>
      <c r="E92" s="184" t="str">
        <f>IFERROR(INDEX(Auction!$C$13:$C$672,MATCH(B92,Auction!$A$13:$A$672,0)),"")</f>
        <v/>
      </c>
      <c r="F92" s="1"/>
      <c r="G92" s="167" t="str">
        <f>IFERROR(INDEX(Auction!$B$13:$B$672,MATCH(H92,Auction!$A$13:$A$672,0)),"")</f>
        <v/>
      </c>
      <c r="H92" s="255" t="str">
        <f t="array" ref="H92">IF($G$75=0,"",IFERROR(INDEX(Auction!$A$13:$M$672,SMALL(IF(Auction!$M$13:$M$672=$G$75,(ROW(Auction!$M$13:$M$672)-MIN(ROW(Auction!$M$13:$M$672))+1),""),ROW(G16)),1),""))</f>
        <v/>
      </c>
      <c r="I92" s="176">
        <f>IF(ISERROR(VLOOKUP(H92,Auction!$A$13:$I$672,7,FALSE)),0,VLOOKUP(H92,Auction!$A$13:$I$672,8,FALSE))</f>
        <v>0</v>
      </c>
      <c r="J92" s="177">
        <f>IFERROR(VLOOKUP(H92,Auction!$A$13:$I$672,9,FALSE)-I92,0)</f>
        <v>0</v>
      </c>
      <c r="K92" s="184" t="str">
        <f>IFERROR(INDEX(Auction!$C$13:$C$672,MATCH(H92,Auction!$A$13:$A$672,0)),"")</f>
        <v/>
      </c>
    </row>
    <row r="93" spans="1:11" x14ac:dyDescent="0.25">
      <c r="A93" s="167" t="str">
        <f>IFERROR(INDEX(Auction!$B$13:$B$672,MATCH(B93,Auction!$A$13:$A$672,0)),"")</f>
        <v/>
      </c>
      <c r="B93" s="255" t="str">
        <f t="array" ref="B93">IF($A$75=0,"",IFERROR(INDEX(Auction!$A$13:$M$672,SMALL(IF(Auction!$M$13:$M$672=$A$75,(ROW(Auction!$M$13:$M$672)-MIN(ROW(Auction!$M$13:$M$672))+1),""),ROW(A17)),1),""))</f>
        <v/>
      </c>
      <c r="C93" s="176">
        <f>IF(ISERROR(VLOOKUP(B93,Auction!$A$13:$I$672,7,FALSE)),0,VLOOKUP(B93,Auction!$A$13:$I$672,8,FALSE))</f>
        <v>0</v>
      </c>
      <c r="D93" s="177">
        <f>IFERROR(VLOOKUP(B93,Auction!$A$13:$I$672,9,FALSE)-C93,0)</f>
        <v>0</v>
      </c>
      <c r="E93" s="184" t="str">
        <f>IFERROR(INDEX(Auction!$C$13:$C$672,MATCH(B93,Auction!$A$13:$A$672,0)),"")</f>
        <v/>
      </c>
      <c r="F93" s="1"/>
      <c r="G93" s="167" t="str">
        <f>IFERROR(INDEX(Auction!$B$13:$B$672,MATCH(H93,Auction!$A$13:$A$672,0)),"")</f>
        <v/>
      </c>
      <c r="H93" s="255" t="str">
        <f t="array" ref="H93">IF($G$75=0,"",IFERROR(INDEX(Auction!$A$13:$M$672,SMALL(IF(Auction!$M$13:$M$672=$G$75,(ROW(Auction!$M$13:$M$672)-MIN(ROW(Auction!$M$13:$M$672))+1),""),ROW(G17)),1),""))</f>
        <v/>
      </c>
      <c r="I93" s="176">
        <f>IF(ISERROR(VLOOKUP(H93,Auction!$A$13:$I$672,7,FALSE)),0,VLOOKUP(H93,Auction!$A$13:$I$672,8,FALSE))</f>
        <v>0</v>
      </c>
      <c r="J93" s="177">
        <f>IFERROR(VLOOKUP(H93,Auction!$A$13:$I$672,9,FALSE)-I93,0)</f>
        <v>0</v>
      </c>
      <c r="K93" s="184" t="str">
        <f>IFERROR(INDEX(Auction!$C$13:$C$672,MATCH(H93,Auction!$A$13:$A$672,0)),"")</f>
        <v/>
      </c>
    </row>
    <row r="94" spans="1:11" x14ac:dyDescent="0.25">
      <c r="A94" s="167" t="str">
        <f>IFERROR(INDEX(Auction!$B$13:$B$672,MATCH(B94,Auction!$A$13:$A$672,0)),"")</f>
        <v/>
      </c>
      <c r="B94" s="255" t="str">
        <f t="array" ref="B94">IF($A$75=0,"",IFERROR(INDEX(Auction!$A$13:$M$672,SMALL(IF(Auction!$M$13:$M$672=$A$75,(ROW(Auction!$M$13:$M$672)-MIN(ROW(Auction!$M$13:$M$672))+1),""),ROW(A18)),1),""))</f>
        <v/>
      </c>
      <c r="C94" s="176">
        <f>IF(ISERROR(VLOOKUP(B94,Auction!$A$13:$I$672,7,FALSE)),0,VLOOKUP(B94,Auction!$A$13:$I$672,8,FALSE))</f>
        <v>0</v>
      </c>
      <c r="D94" s="177">
        <f>IFERROR(VLOOKUP(B94,Auction!$A$13:$I$672,9,FALSE)-C94,0)</f>
        <v>0</v>
      </c>
      <c r="E94" s="184" t="str">
        <f>IFERROR(INDEX(Auction!$C$13:$C$672,MATCH(B94,Auction!$A$13:$A$672,0)),"")</f>
        <v/>
      </c>
      <c r="F94" s="1"/>
      <c r="G94" s="167" t="str">
        <f>IFERROR(INDEX(Auction!$B$13:$B$672,MATCH(H94,Auction!$A$13:$A$672,0)),"")</f>
        <v/>
      </c>
      <c r="H94" s="255" t="str">
        <f t="array" ref="H94">IF($G$75=0,"",IFERROR(INDEX(Auction!$A$13:$M$672,SMALL(IF(Auction!$M$13:$M$672=$G$75,(ROW(Auction!$M$13:$M$672)-MIN(ROW(Auction!$M$13:$M$672))+1),""),ROW(G18)),1),""))</f>
        <v/>
      </c>
      <c r="I94" s="176">
        <f>IF(ISERROR(VLOOKUP(H94,Auction!$A$13:$I$672,7,FALSE)),0,VLOOKUP(H94,Auction!$A$13:$I$672,8,FALSE))</f>
        <v>0</v>
      </c>
      <c r="J94" s="177">
        <f>IFERROR(VLOOKUP(H94,Auction!$A$13:$I$672,9,FALSE)-I94,0)</f>
        <v>0</v>
      </c>
      <c r="K94" s="184" t="str">
        <f>IFERROR(INDEX(Auction!$C$13:$C$672,MATCH(H94,Auction!$A$13:$A$672,0)),"")</f>
        <v/>
      </c>
    </row>
    <row r="95" spans="1:11" x14ac:dyDescent="0.25">
      <c r="A95" s="167" t="str">
        <f>IFERROR(INDEX(Auction!$B$13:$B$672,MATCH(B95,Auction!$A$13:$A$672,0)),"")</f>
        <v/>
      </c>
      <c r="B95" s="255" t="str">
        <f t="array" ref="B95">IF($A$75=0,"",IFERROR(INDEX(Auction!$A$13:$M$672,SMALL(IF(Auction!$M$13:$M$672=$A$75,(ROW(Auction!$M$13:$M$672)-MIN(ROW(Auction!$M$13:$M$672))+1),""),ROW(A19)),1),""))</f>
        <v/>
      </c>
      <c r="C95" s="176">
        <f>IF(ISERROR(VLOOKUP(B95,Auction!$A$13:$I$672,7,FALSE)),0,VLOOKUP(B95,Auction!$A$13:$I$672,8,FALSE))</f>
        <v>0</v>
      </c>
      <c r="D95" s="177">
        <f>IFERROR(VLOOKUP(B95,Auction!$A$13:$I$672,9,FALSE)-C95,0)</f>
        <v>0</v>
      </c>
      <c r="E95" s="184" t="str">
        <f>IFERROR(INDEX(Auction!$C$13:$C$672,MATCH(B95,Auction!$A$13:$A$672,0)),"")</f>
        <v/>
      </c>
      <c r="F95" s="1"/>
      <c r="G95" s="167" t="str">
        <f>IFERROR(INDEX(Auction!$B$13:$B$672,MATCH(H95,Auction!$A$13:$A$672,0)),"")</f>
        <v/>
      </c>
      <c r="H95" s="255" t="str">
        <f t="array" ref="H95">IF($G$75=0,"",IFERROR(INDEX(Auction!$A$13:$M$672,SMALL(IF(Auction!$M$13:$M$672=$G$75,(ROW(Auction!$M$13:$M$672)-MIN(ROW(Auction!$M$13:$M$672))+1),""),ROW(G19)),1),""))</f>
        <v/>
      </c>
      <c r="I95" s="176">
        <f>IF(ISERROR(VLOOKUP(H95,Auction!$A$13:$I$672,7,FALSE)),0,VLOOKUP(H95,Auction!$A$13:$I$672,8,FALSE))</f>
        <v>0</v>
      </c>
      <c r="J95" s="177">
        <f>IFERROR(VLOOKUP(H95,Auction!$A$13:$I$672,9,FALSE)-I95,0)</f>
        <v>0</v>
      </c>
      <c r="K95" s="184" t="str">
        <f>IFERROR(INDEX(Auction!$C$13:$C$672,MATCH(H95,Auction!$A$13:$A$672,0)),"")</f>
        <v/>
      </c>
    </row>
    <row r="96" spans="1:11" x14ac:dyDescent="0.25">
      <c r="A96" s="167" t="str">
        <f>IFERROR(INDEX(Auction!$B$13:$B$672,MATCH(B96,Auction!$A$13:$A$672,0)),"")</f>
        <v/>
      </c>
      <c r="B96" s="255" t="str">
        <f t="array" ref="B96">IF($A$75=0,"",IFERROR(INDEX(Auction!$A$13:$M$672,SMALL(IF(Auction!$M$13:$M$672=$A$75,(ROW(Auction!$M$13:$M$672)-MIN(ROW(Auction!$M$13:$M$672))+1),""),ROW(A20)),1),""))</f>
        <v/>
      </c>
      <c r="C96" s="176">
        <f>IF(ISERROR(VLOOKUP(B96,Auction!$A$13:$I$672,7,FALSE)),0,VLOOKUP(B96,Auction!$A$13:$I$672,8,FALSE))</f>
        <v>0</v>
      </c>
      <c r="D96" s="177">
        <f>IFERROR(VLOOKUP(B96,Auction!$A$13:$I$672,9,FALSE)-C96,0)</f>
        <v>0</v>
      </c>
      <c r="E96" s="184" t="str">
        <f>IFERROR(INDEX(Auction!$C$13:$C$672,MATCH(B96,Auction!$A$13:$A$672,0)),"")</f>
        <v/>
      </c>
      <c r="F96" s="1"/>
      <c r="G96" s="167" t="str">
        <f>IFERROR(INDEX(Auction!$B$13:$B$672,MATCH(H96,Auction!$A$13:$A$672,0)),"")</f>
        <v/>
      </c>
      <c r="H96" s="255" t="str">
        <f t="array" ref="H96">IF($G$75=0,"",IFERROR(INDEX(Auction!$A$13:$M$672,SMALL(IF(Auction!$M$13:$M$672=$G$75,(ROW(Auction!$M$13:$M$672)-MIN(ROW(Auction!$M$13:$M$672))+1),""),ROW(G20)),1),""))</f>
        <v/>
      </c>
      <c r="I96" s="176">
        <f>IF(ISERROR(VLOOKUP(H96,Auction!$A$13:$I$672,7,FALSE)),0,VLOOKUP(H96,Auction!$A$13:$I$672,8,FALSE))</f>
        <v>0</v>
      </c>
      <c r="J96" s="177">
        <f>IFERROR(VLOOKUP(H96,Auction!$A$13:$I$672,9,FALSE)-I96,0)</f>
        <v>0</v>
      </c>
      <c r="K96" s="184" t="str">
        <f>IFERROR(INDEX(Auction!$C$13:$C$672,MATCH(H96,Auction!$A$13:$A$672,0)),"")</f>
        <v/>
      </c>
    </row>
    <row r="97" spans="1:11" x14ac:dyDescent="0.25">
      <c r="A97" s="185"/>
      <c r="B97" s="186"/>
      <c r="C97" s="187">
        <f>SUM(C77:C96)</f>
        <v>0</v>
      </c>
      <c r="D97" s="187">
        <f>SUM(D77:D96)</f>
        <v>0</v>
      </c>
      <c r="E97" s="188"/>
      <c r="F97" s="1"/>
      <c r="G97" s="185"/>
      <c r="H97" s="186"/>
      <c r="I97" s="187">
        <f>SUM(I77:I96)</f>
        <v>0</v>
      </c>
      <c r="J97" s="187">
        <f>SUM(J77:J96)</f>
        <v>0</v>
      </c>
      <c r="K97" s="188"/>
    </row>
    <row r="99" spans="1:11" x14ac:dyDescent="0.25">
      <c r="A99" s="280" t="str">
        <f>H10</f>
        <v>Team 8</v>
      </c>
      <c r="B99" s="281"/>
      <c r="C99" s="281"/>
      <c r="D99" s="281"/>
      <c r="E99" s="282"/>
      <c r="F99" s="1"/>
      <c r="G99" s="280" t="str">
        <f>H11</f>
        <v>Team 9</v>
      </c>
      <c r="H99" s="281"/>
      <c r="I99" s="281"/>
      <c r="J99" s="281"/>
      <c r="K99" s="282"/>
    </row>
    <row r="100" spans="1:11" x14ac:dyDescent="0.25">
      <c r="A100" s="174" t="s">
        <v>875</v>
      </c>
      <c r="B100" s="182" t="s">
        <v>89</v>
      </c>
      <c r="C100" s="164" t="s">
        <v>876</v>
      </c>
      <c r="D100" s="164" t="s">
        <v>877</v>
      </c>
      <c r="E100" s="175" t="s">
        <v>808</v>
      </c>
      <c r="F100" s="1"/>
      <c r="G100" s="174" t="s">
        <v>875</v>
      </c>
      <c r="H100" s="182" t="s">
        <v>89</v>
      </c>
      <c r="I100" s="164" t="s">
        <v>876</v>
      </c>
      <c r="J100" s="164" t="s">
        <v>877</v>
      </c>
      <c r="K100" s="175" t="s">
        <v>808</v>
      </c>
    </row>
    <row r="101" spans="1:11" x14ac:dyDescent="0.25">
      <c r="A101" s="167" t="str">
        <f>IFERROR(INDEX(Auction!$B$13:$B$672,MATCH(B101,Auction!$A$13:$A$672,0)),"")</f>
        <v/>
      </c>
      <c r="B101" s="255" t="str">
        <f t="array" ref="B101">IF($A$99=0,"",IFERROR(INDEX(Auction!$A$13:$M$672,SMALL(IF(Auction!$M$13:$M$672=$A$99,(ROW(Auction!$M$13:$M$672)-MIN(ROW(Auction!$M$13:$M$672))+1),""),ROW(A1)),1),""))</f>
        <v/>
      </c>
      <c r="C101" s="176">
        <f>IF(ISERROR(VLOOKUP(B101,Auction!$A$13:$I$672,7,FALSE)),0,VLOOKUP(B101,Auction!$A$13:$I$672,8,FALSE))</f>
        <v>0</v>
      </c>
      <c r="D101" s="177">
        <f>IFERROR(VLOOKUP(B101,Auction!$A$13:$I$672,9,FALSE)-C101,0)</f>
        <v>0</v>
      </c>
      <c r="E101" s="183" t="str">
        <f>IFERROR(INDEX(Auction!$C$13:$C$672,MATCH(B101,Auction!$A$13:$A$672,0)),"")</f>
        <v/>
      </c>
      <c r="F101" s="1"/>
      <c r="G101" s="167" t="str">
        <f>IFERROR(INDEX(Auction!$B$13:$B$672,MATCH(H101,Auction!$A$13:$A$672,0)),"")</f>
        <v/>
      </c>
      <c r="H101" s="255" t="str">
        <f t="array" ref="H101">IF($G$99=0,"",IFERROR(INDEX(Auction!$A$13:$M$672,SMALL(IF(Auction!$M$13:$M$672=$G$99,(ROW(Auction!$M$13:$M$672)-MIN(ROW(Auction!$M$13:$M$672))+1),""),ROW(G1)),1),""))</f>
        <v/>
      </c>
      <c r="I101" s="176">
        <f>IF(ISERROR(VLOOKUP(H101,Auction!$A$13:$I$672,7,FALSE)),0,VLOOKUP(H101,Auction!$A$13:$I$672,8,FALSE))</f>
        <v>0</v>
      </c>
      <c r="J101" s="177">
        <f>IFERROR(VLOOKUP(H101,Auction!$A$13:$I$672,9,FALSE)-I101,0)</f>
        <v>0</v>
      </c>
      <c r="K101" s="183" t="str">
        <f>IFERROR(INDEX(Auction!$C$13:$C$672,MATCH(H101,Auction!$A$13:$A$672,0)),"")</f>
        <v/>
      </c>
    </row>
    <row r="102" spans="1:11" x14ac:dyDescent="0.25">
      <c r="A102" s="167" t="str">
        <f>IFERROR(INDEX(Auction!$B$13:$B$672,MATCH(B102,Auction!$A$13:$A$672,0)),"")</f>
        <v/>
      </c>
      <c r="B102" s="255" t="str">
        <f t="array" ref="B102">IF($A$99=0,"",IFERROR(INDEX(Auction!$A$13:$M$672,SMALL(IF(Auction!$M$13:$M$672=$A$99,(ROW(Auction!$M$13:$M$672)-MIN(ROW(Auction!$M$13:$M$672))+1),""),ROW(A2)),1),""))</f>
        <v/>
      </c>
      <c r="C102" s="176">
        <f>IF(ISERROR(VLOOKUP(B102,Auction!$A$13:$I$672,7,FALSE)),0,VLOOKUP(B102,Auction!$A$13:$I$672,8,FALSE))</f>
        <v>0</v>
      </c>
      <c r="D102" s="177">
        <f>IFERROR(VLOOKUP(B102,Auction!$A$13:$I$672,9,FALSE)-C102,0)</f>
        <v>0</v>
      </c>
      <c r="E102" s="183" t="str">
        <f>IFERROR(INDEX(Auction!$C$13:$C$672,MATCH(B102,Auction!$A$13:$A$672,0)),"")</f>
        <v/>
      </c>
      <c r="F102" s="1"/>
      <c r="G102" s="167" t="str">
        <f>IFERROR(INDEX(Auction!$B$13:$B$672,MATCH(H102,Auction!$A$13:$A$672,0)),"")</f>
        <v/>
      </c>
      <c r="H102" s="255" t="str">
        <f t="array" ref="H102">IF($G$99=0,"",IFERROR(INDEX(Auction!$A$13:$M$672,SMALL(IF(Auction!$M$13:$M$672=$G$99,(ROW(Auction!$M$13:$M$672)-MIN(ROW(Auction!$M$13:$M$672))+1),""),ROW(G2)),1),""))</f>
        <v/>
      </c>
      <c r="I102" s="176">
        <f>IF(ISERROR(VLOOKUP(H102,Auction!$A$13:$I$672,7,FALSE)),0,VLOOKUP(H102,Auction!$A$13:$I$672,8,FALSE))</f>
        <v>0</v>
      </c>
      <c r="J102" s="177">
        <f>IFERROR(VLOOKUP(H102,Auction!$A$13:$I$672,9,FALSE)-I102,0)</f>
        <v>0</v>
      </c>
      <c r="K102" s="183" t="str">
        <f>IFERROR(INDEX(Auction!$C$13:$C$672,MATCH(H102,Auction!$A$13:$A$672,0)),"")</f>
        <v/>
      </c>
    </row>
    <row r="103" spans="1:11" x14ac:dyDescent="0.25">
      <c r="A103" s="167" t="str">
        <f>IFERROR(INDEX(Auction!$B$13:$B$672,MATCH(B103,Auction!$A$13:$A$672,0)),"")</f>
        <v/>
      </c>
      <c r="B103" s="255" t="str">
        <f t="array" ref="B103">IF($A$99=0,"",IFERROR(INDEX(Auction!$A$13:$M$672,SMALL(IF(Auction!$M$13:$M$672=$A$99,(ROW(Auction!$M$13:$M$672)-MIN(ROW(Auction!$M$13:$M$672))+1),""),ROW(A3)),1),""))</f>
        <v/>
      </c>
      <c r="C103" s="176">
        <f>IF(ISERROR(VLOOKUP(B103,Auction!$A$13:$I$672,7,FALSE)),0,VLOOKUP(B103,Auction!$A$13:$I$672,8,FALSE))</f>
        <v>0</v>
      </c>
      <c r="D103" s="177">
        <f>IFERROR(VLOOKUP(B103,Auction!$A$13:$I$672,9,FALSE)-C103,0)</f>
        <v>0</v>
      </c>
      <c r="E103" s="183" t="str">
        <f>IFERROR(INDEX(Auction!$C$13:$C$672,MATCH(B103,Auction!$A$13:$A$672,0)),"")</f>
        <v/>
      </c>
      <c r="F103" s="1"/>
      <c r="G103" s="167" t="str">
        <f>IFERROR(INDEX(Auction!$B$13:$B$672,MATCH(H103,Auction!$A$13:$A$672,0)),"")</f>
        <v/>
      </c>
      <c r="H103" s="255" t="str">
        <f t="array" ref="H103">IF($G$99=0,"",IFERROR(INDEX(Auction!$A$13:$M$672,SMALL(IF(Auction!$M$13:$M$672=$G$99,(ROW(Auction!$M$13:$M$672)-MIN(ROW(Auction!$M$13:$M$672))+1),""),ROW(G3)),1),""))</f>
        <v/>
      </c>
      <c r="I103" s="176">
        <f>IF(ISERROR(VLOOKUP(H103,Auction!$A$13:$I$672,7,FALSE)),0,VLOOKUP(H103,Auction!$A$13:$I$672,8,FALSE))</f>
        <v>0</v>
      </c>
      <c r="J103" s="177">
        <f>IFERROR(VLOOKUP(H103,Auction!$A$13:$I$672,9,FALSE)-I103,0)</f>
        <v>0</v>
      </c>
      <c r="K103" s="183" t="str">
        <f>IFERROR(INDEX(Auction!$C$13:$C$672,MATCH(H103,Auction!$A$13:$A$672,0)),"")</f>
        <v/>
      </c>
    </row>
    <row r="104" spans="1:11" x14ac:dyDescent="0.25">
      <c r="A104" s="167" t="str">
        <f>IFERROR(INDEX(Auction!$B$13:$B$672,MATCH(B104,Auction!$A$13:$A$672,0)),"")</f>
        <v/>
      </c>
      <c r="B104" s="255" t="str">
        <f t="array" ref="B104">IF($A$99=0,"",IFERROR(INDEX(Auction!$A$13:$M$672,SMALL(IF(Auction!$M$13:$M$672=$A$99,(ROW(Auction!$M$13:$M$672)-MIN(ROW(Auction!$M$13:$M$672))+1),""),ROW(A4)),1),""))</f>
        <v/>
      </c>
      <c r="C104" s="176">
        <f>IF(ISERROR(VLOOKUP(B104,Auction!$A$13:$I$672,7,FALSE)),0,VLOOKUP(B104,Auction!$A$13:$I$672,8,FALSE))</f>
        <v>0</v>
      </c>
      <c r="D104" s="177">
        <f>IFERROR(VLOOKUP(B104,Auction!$A$13:$I$672,9,FALSE)-C104,0)</f>
        <v>0</v>
      </c>
      <c r="E104" s="183" t="str">
        <f>IFERROR(INDEX(Auction!$C$13:$C$672,MATCH(B104,Auction!$A$13:$A$672,0)),"")</f>
        <v/>
      </c>
      <c r="F104" s="1"/>
      <c r="G104" s="167" t="str">
        <f>IFERROR(INDEX(Auction!$B$13:$B$672,MATCH(H104,Auction!$A$13:$A$672,0)),"")</f>
        <v/>
      </c>
      <c r="H104" s="255" t="str">
        <f t="array" ref="H104">IF($G$99=0,"",IFERROR(INDEX(Auction!$A$13:$M$672,SMALL(IF(Auction!$M$13:$M$672=$G$99,(ROW(Auction!$M$13:$M$672)-MIN(ROW(Auction!$M$13:$M$672))+1),""),ROW(G4)),1),""))</f>
        <v/>
      </c>
      <c r="I104" s="176">
        <f>IF(ISERROR(VLOOKUP(H104,Auction!$A$13:$I$672,7,FALSE)),0,VLOOKUP(H104,Auction!$A$13:$I$672,8,FALSE))</f>
        <v>0</v>
      </c>
      <c r="J104" s="177">
        <f>IFERROR(VLOOKUP(H104,Auction!$A$13:$I$672,9,FALSE)-I104,0)</f>
        <v>0</v>
      </c>
      <c r="K104" s="183" t="str">
        <f>IFERROR(INDEX(Auction!$C$13:$C$672,MATCH(H104,Auction!$A$13:$A$672,0)),"")</f>
        <v/>
      </c>
    </row>
    <row r="105" spans="1:11" x14ac:dyDescent="0.25">
      <c r="A105" s="167" t="str">
        <f>IFERROR(INDEX(Auction!$B$13:$B$672,MATCH(B105,Auction!$A$13:$A$672,0)),"")</f>
        <v/>
      </c>
      <c r="B105" s="255" t="str">
        <f t="array" ref="B105">IF($A$99=0,"",IFERROR(INDEX(Auction!$A$13:$M$672,SMALL(IF(Auction!$M$13:$M$672=$A$99,(ROW(Auction!$M$13:$M$672)-MIN(ROW(Auction!$M$13:$M$672))+1),""),ROW(A5)),1),""))</f>
        <v/>
      </c>
      <c r="C105" s="176">
        <f>IF(ISERROR(VLOOKUP(B105,Auction!$A$13:$I$672,7,FALSE)),0,VLOOKUP(B105,Auction!$A$13:$I$672,8,FALSE))</f>
        <v>0</v>
      </c>
      <c r="D105" s="177">
        <f>IFERROR(VLOOKUP(B105,Auction!$A$13:$I$672,9,FALSE)-C105,0)</f>
        <v>0</v>
      </c>
      <c r="E105" s="183" t="str">
        <f>IFERROR(INDEX(Auction!$C$13:$C$672,MATCH(B105,Auction!$A$13:$A$672,0)),"")</f>
        <v/>
      </c>
      <c r="F105" s="1"/>
      <c r="G105" s="167" t="str">
        <f>IFERROR(INDEX(Auction!$B$13:$B$672,MATCH(H105,Auction!$A$13:$A$672,0)),"")</f>
        <v/>
      </c>
      <c r="H105" s="255" t="str">
        <f t="array" ref="H105">IF($G$99=0,"",IFERROR(INDEX(Auction!$A$13:$M$672,SMALL(IF(Auction!$M$13:$M$672=$G$99,(ROW(Auction!$M$13:$M$672)-MIN(ROW(Auction!$M$13:$M$672))+1),""),ROW(G5)),1),""))</f>
        <v/>
      </c>
      <c r="I105" s="176">
        <f>IF(ISERROR(VLOOKUP(H105,Auction!$A$13:$I$672,7,FALSE)),0,VLOOKUP(H105,Auction!$A$13:$I$672,8,FALSE))</f>
        <v>0</v>
      </c>
      <c r="J105" s="177">
        <f>IFERROR(VLOOKUP(H105,Auction!$A$13:$I$672,9,FALSE)-I105,0)</f>
        <v>0</v>
      </c>
      <c r="K105" s="183" t="str">
        <f>IFERROR(INDEX(Auction!$C$13:$C$672,MATCH(H105,Auction!$A$13:$A$672,0)),"")</f>
        <v/>
      </c>
    </row>
    <row r="106" spans="1:11" x14ac:dyDescent="0.25">
      <c r="A106" s="167" t="str">
        <f>IFERROR(INDEX(Auction!$B$13:$B$672,MATCH(B106,Auction!$A$13:$A$672,0)),"")</f>
        <v/>
      </c>
      <c r="B106" s="255" t="str">
        <f t="array" ref="B106">IF($A$99=0,"",IFERROR(INDEX(Auction!$A$13:$M$672,SMALL(IF(Auction!$M$13:$M$672=$A$99,(ROW(Auction!$M$13:$M$672)-MIN(ROW(Auction!$M$13:$M$672))+1),""),ROW(A6)),1),""))</f>
        <v/>
      </c>
      <c r="C106" s="176">
        <f>IF(ISERROR(VLOOKUP(B106,Auction!$A$13:$I$672,7,FALSE)),0,VLOOKUP(B106,Auction!$A$13:$I$672,8,FALSE))</f>
        <v>0</v>
      </c>
      <c r="D106" s="177">
        <f>IFERROR(VLOOKUP(B106,Auction!$A$13:$I$672,9,FALSE)-C106,0)</f>
        <v>0</v>
      </c>
      <c r="E106" s="183" t="str">
        <f>IFERROR(INDEX(Auction!$C$13:$C$672,MATCH(B106,Auction!$A$13:$A$672,0)),"")</f>
        <v/>
      </c>
      <c r="F106" s="1"/>
      <c r="G106" s="167" t="str">
        <f>IFERROR(INDEX(Auction!$B$13:$B$672,MATCH(H106,Auction!$A$13:$A$672,0)),"")</f>
        <v/>
      </c>
      <c r="H106" s="255" t="str">
        <f t="array" ref="H106">IF($G$99=0,"",IFERROR(INDEX(Auction!$A$13:$M$672,SMALL(IF(Auction!$M$13:$M$672=$G$99,(ROW(Auction!$M$13:$M$672)-MIN(ROW(Auction!$M$13:$M$672))+1),""),ROW(G6)),1),""))</f>
        <v/>
      </c>
      <c r="I106" s="176">
        <f>IF(ISERROR(VLOOKUP(H106,Auction!$A$13:$I$672,7,FALSE)),0,VLOOKUP(H106,Auction!$A$13:$I$672,8,FALSE))</f>
        <v>0</v>
      </c>
      <c r="J106" s="177">
        <f>IFERROR(VLOOKUP(H106,Auction!$A$13:$I$672,9,FALSE)-I106,0)</f>
        <v>0</v>
      </c>
      <c r="K106" s="183" t="str">
        <f>IFERROR(INDEX(Auction!$C$13:$C$672,MATCH(H106,Auction!$A$13:$A$672,0)),"")</f>
        <v/>
      </c>
    </row>
    <row r="107" spans="1:11" x14ac:dyDescent="0.25">
      <c r="A107" s="167" t="str">
        <f>IFERROR(INDEX(Auction!$B$13:$B$672,MATCH(B107,Auction!$A$13:$A$672,0)),"")</f>
        <v/>
      </c>
      <c r="B107" s="255" t="str">
        <f t="array" ref="B107">IF($A$99=0,"",IFERROR(INDEX(Auction!$A$13:$M$672,SMALL(IF(Auction!$M$13:$M$672=$A$99,(ROW(Auction!$M$13:$M$672)-MIN(ROW(Auction!$M$13:$M$672))+1),""),ROW(A7)),1),""))</f>
        <v/>
      </c>
      <c r="C107" s="176">
        <f>IF(ISERROR(VLOOKUP(B107,Auction!$A$13:$I$672,7,FALSE)),0,VLOOKUP(B107,Auction!$A$13:$I$672,8,FALSE))</f>
        <v>0</v>
      </c>
      <c r="D107" s="177">
        <f>IFERROR(VLOOKUP(B107,Auction!$A$13:$I$672,9,FALSE)-C107,0)</f>
        <v>0</v>
      </c>
      <c r="E107" s="183" t="str">
        <f>IFERROR(INDEX(Auction!$C$13:$C$672,MATCH(B107,Auction!$A$13:$A$672,0)),"")</f>
        <v/>
      </c>
      <c r="F107" s="1"/>
      <c r="G107" s="167" t="str">
        <f>IFERROR(INDEX(Auction!$B$13:$B$672,MATCH(H107,Auction!$A$13:$A$672,0)),"")</f>
        <v/>
      </c>
      <c r="H107" s="255" t="str">
        <f t="array" ref="H107">IF($G$99=0,"",IFERROR(INDEX(Auction!$A$13:$M$672,SMALL(IF(Auction!$M$13:$M$672=$G$99,(ROW(Auction!$M$13:$M$672)-MIN(ROW(Auction!$M$13:$M$672))+1),""),ROW(G7)),1),""))</f>
        <v/>
      </c>
      <c r="I107" s="176">
        <f>IF(ISERROR(VLOOKUP(H107,Auction!$A$13:$I$672,7,FALSE)),0,VLOOKUP(H107,Auction!$A$13:$I$672,8,FALSE))</f>
        <v>0</v>
      </c>
      <c r="J107" s="177">
        <f>IFERROR(VLOOKUP(H107,Auction!$A$13:$I$672,9,FALSE)-I107,0)</f>
        <v>0</v>
      </c>
      <c r="K107" s="183" t="str">
        <f>IFERROR(INDEX(Auction!$C$13:$C$672,MATCH(H107,Auction!$A$13:$A$672,0)),"")</f>
        <v/>
      </c>
    </row>
    <row r="108" spans="1:11" x14ac:dyDescent="0.25">
      <c r="A108" s="167" t="str">
        <f>IFERROR(INDEX(Auction!$B$13:$B$672,MATCH(B108,Auction!$A$13:$A$672,0)),"")</f>
        <v/>
      </c>
      <c r="B108" s="255" t="str">
        <f t="array" ref="B108">IF($A$99=0,"",IFERROR(INDEX(Auction!$A$13:$M$672,SMALL(IF(Auction!$M$13:$M$672=$A$99,(ROW(Auction!$M$13:$M$672)-MIN(ROW(Auction!$M$13:$M$672))+1),""),ROW(A8)),1),""))</f>
        <v/>
      </c>
      <c r="C108" s="176">
        <f>IF(ISERROR(VLOOKUP(B108,Auction!$A$13:$I$672,7,FALSE)),0,VLOOKUP(B108,Auction!$A$13:$I$672,8,FALSE))</f>
        <v>0</v>
      </c>
      <c r="D108" s="177">
        <f>IFERROR(VLOOKUP(B108,Auction!$A$13:$I$672,9,FALSE)-C108,0)</f>
        <v>0</v>
      </c>
      <c r="E108" s="183" t="str">
        <f>IFERROR(INDEX(Auction!$C$13:$C$672,MATCH(B108,Auction!$A$13:$A$672,0)),"")</f>
        <v/>
      </c>
      <c r="F108" s="1"/>
      <c r="G108" s="167" t="str">
        <f>IFERROR(INDEX(Auction!$B$13:$B$672,MATCH(H108,Auction!$A$13:$A$672,0)),"")</f>
        <v/>
      </c>
      <c r="H108" s="255" t="str">
        <f t="array" ref="H108">IF($G$99=0,"",IFERROR(INDEX(Auction!$A$13:$M$672,SMALL(IF(Auction!$M$13:$M$672=$G$99,(ROW(Auction!$M$13:$M$672)-MIN(ROW(Auction!$M$13:$M$672))+1),""),ROW(G8)),1),""))</f>
        <v/>
      </c>
      <c r="I108" s="176">
        <f>IF(ISERROR(VLOOKUP(H108,Auction!$A$13:$I$672,7,FALSE)),0,VLOOKUP(H108,Auction!$A$13:$I$672,8,FALSE))</f>
        <v>0</v>
      </c>
      <c r="J108" s="177">
        <f>IFERROR(VLOOKUP(H108,Auction!$A$13:$I$672,9,FALSE)-I108,0)</f>
        <v>0</v>
      </c>
      <c r="K108" s="183" t="str">
        <f>IFERROR(INDEX(Auction!$C$13:$C$672,MATCH(H108,Auction!$A$13:$A$672,0)),"")</f>
        <v/>
      </c>
    </row>
    <row r="109" spans="1:11" x14ac:dyDescent="0.25">
      <c r="A109" s="167" t="str">
        <f>IFERROR(INDEX(Auction!$B$13:$B$672,MATCH(B109,Auction!$A$13:$A$672,0)),"")</f>
        <v/>
      </c>
      <c r="B109" s="255" t="str">
        <f t="array" ref="B109">IF($A$99=0,"",IFERROR(INDEX(Auction!$A$13:$M$672,SMALL(IF(Auction!$M$13:$M$672=$A$99,(ROW(Auction!$M$13:$M$672)-MIN(ROW(Auction!$M$13:$M$672))+1),""),ROW(A9)),1),""))</f>
        <v/>
      </c>
      <c r="C109" s="176">
        <f>IF(ISERROR(VLOOKUP(B109,Auction!$A$13:$I$672,7,FALSE)),0,VLOOKUP(B109,Auction!$A$13:$I$672,8,FALSE))</f>
        <v>0</v>
      </c>
      <c r="D109" s="177">
        <f>IFERROR(VLOOKUP(B109,Auction!$A$13:$I$672,9,FALSE)-C109,0)</f>
        <v>0</v>
      </c>
      <c r="E109" s="184" t="str">
        <f>IFERROR(INDEX(Auction!$C$13:$C$672,MATCH(B109,Auction!$A$13:$A$672,0)),"")</f>
        <v/>
      </c>
      <c r="F109" s="1"/>
      <c r="G109" s="167" t="str">
        <f>IFERROR(INDEX(Auction!$B$13:$B$672,MATCH(H109,Auction!$A$13:$A$672,0)),"")</f>
        <v/>
      </c>
      <c r="H109" s="255" t="str">
        <f t="array" ref="H109">IF($G$99=0,"",IFERROR(INDEX(Auction!$A$13:$M$672,SMALL(IF(Auction!$M$13:$M$672=$G$99,(ROW(Auction!$M$13:$M$672)-MIN(ROW(Auction!$M$13:$M$672))+1),""),ROW(G9)),1),""))</f>
        <v/>
      </c>
      <c r="I109" s="176">
        <f>IF(ISERROR(VLOOKUP(H109,Auction!$A$13:$I$672,7,FALSE)),0,VLOOKUP(H109,Auction!$A$13:$I$672,8,FALSE))</f>
        <v>0</v>
      </c>
      <c r="J109" s="177">
        <f>IFERROR(VLOOKUP(H109,Auction!$A$13:$I$672,9,FALSE)-I109,0)</f>
        <v>0</v>
      </c>
      <c r="K109" s="184" t="str">
        <f>IFERROR(INDEX(Auction!$C$13:$C$672,MATCH(H109,Auction!$A$13:$A$672,0)),"")</f>
        <v/>
      </c>
    </row>
    <row r="110" spans="1:11" x14ac:dyDescent="0.25">
      <c r="A110" s="167" t="str">
        <f>IFERROR(INDEX(Auction!$B$13:$B$672,MATCH(B110,Auction!$A$13:$A$672,0)),"")</f>
        <v/>
      </c>
      <c r="B110" s="255" t="str">
        <f t="array" ref="B110">IF($A$99=0,"",IFERROR(INDEX(Auction!$A$13:$M$672,SMALL(IF(Auction!$M$13:$M$672=$A$99,(ROW(Auction!$M$13:$M$672)-MIN(ROW(Auction!$M$13:$M$672))+1),""),ROW(A10)),1),""))</f>
        <v/>
      </c>
      <c r="C110" s="176">
        <f>IF(ISERROR(VLOOKUP(B110,Auction!$A$13:$I$672,7,FALSE)),0,VLOOKUP(B110,Auction!$A$13:$I$672,8,FALSE))</f>
        <v>0</v>
      </c>
      <c r="D110" s="177">
        <f>IFERROR(VLOOKUP(B110,Auction!$A$13:$I$672,9,FALSE)-C110,0)</f>
        <v>0</v>
      </c>
      <c r="E110" s="184" t="str">
        <f>IFERROR(INDEX(Auction!$C$13:$C$672,MATCH(B110,Auction!$A$13:$A$672,0)),"")</f>
        <v/>
      </c>
      <c r="F110" s="1"/>
      <c r="G110" s="167" t="str">
        <f>IFERROR(INDEX(Auction!$B$13:$B$672,MATCH(H110,Auction!$A$13:$A$672,0)),"")</f>
        <v/>
      </c>
      <c r="H110" s="255" t="str">
        <f t="array" ref="H110">IF($G$99=0,"",IFERROR(INDEX(Auction!$A$13:$M$672,SMALL(IF(Auction!$M$13:$M$672=$G$99,(ROW(Auction!$M$13:$M$672)-MIN(ROW(Auction!$M$13:$M$672))+1),""),ROW(G10)),1),""))</f>
        <v/>
      </c>
      <c r="I110" s="176">
        <f>IF(ISERROR(VLOOKUP(H110,Auction!$A$13:$I$672,7,FALSE)),0,VLOOKUP(H110,Auction!$A$13:$I$672,8,FALSE))</f>
        <v>0</v>
      </c>
      <c r="J110" s="177">
        <f>IFERROR(VLOOKUP(H110,Auction!$A$13:$I$672,9,FALSE)-I110,0)</f>
        <v>0</v>
      </c>
      <c r="K110" s="184" t="str">
        <f>IFERROR(INDEX(Auction!$C$13:$C$672,MATCH(H110,Auction!$A$13:$A$672,0)),"")</f>
        <v/>
      </c>
    </row>
    <row r="111" spans="1:11" x14ac:dyDescent="0.25">
      <c r="A111" s="167" t="str">
        <f>IFERROR(INDEX(Auction!$B$13:$B$672,MATCH(B111,Auction!$A$13:$A$672,0)),"")</f>
        <v/>
      </c>
      <c r="B111" s="255" t="str">
        <f t="array" ref="B111">IF($A$99=0,"",IFERROR(INDEX(Auction!$A$13:$M$672,SMALL(IF(Auction!$M$13:$M$672=$A$99,(ROW(Auction!$M$13:$M$672)-MIN(ROW(Auction!$M$13:$M$672))+1),""),ROW(A11)),1),""))</f>
        <v/>
      </c>
      <c r="C111" s="176">
        <f>IF(ISERROR(VLOOKUP(B111,Auction!$A$13:$I$672,7,FALSE)),0,VLOOKUP(B111,Auction!$A$13:$I$672,8,FALSE))</f>
        <v>0</v>
      </c>
      <c r="D111" s="177">
        <f>IFERROR(VLOOKUP(B111,Auction!$A$13:$I$672,9,FALSE)-C111,0)</f>
        <v>0</v>
      </c>
      <c r="E111" s="184" t="str">
        <f>IFERROR(INDEX(Auction!$C$13:$C$672,MATCH(B111,Auction!$A$13:$A$672,0)),"")</f>
        <v/>
      </c>
      <c r="F111" s="1"/>
      <c r="G111" s="167" t="str">
        <f>IFERROR(INDEX(Auction!$B$13:$B$672,MATCH(H111,Auction!$A$13:$A$672,0)),"")</f>
        <v/>
      </c>
      <c r="H111" s="255" t="str">
        <f t="array" ref="H111">IF($G$99=0,"",IFERROR(INDEX(Auction!$A$13:$M$672,SMALL(IF(Auction!$M$13:$M$672=$G$99,(ROW(Auction!$M$13:$M$672)-MIN(ROW(Auction!$M$13:$M$672))+1),""),ROW(G11)),1),""))</f>
        <v/>
      </c>
      <c r="I111" s="176">
        <f>IF(ISERROR(VLOOKUP(H111,Auction!$A$13:$I$672,7,FALSE)),0,VLOOKUP(H111,Auction!$A$13:$I$672,8,FALSE))</f>
        <v>0</v>
      </c>
      <c r="J111" s="177">
        <f>IFERROR(VLOOKUP(H111,Auction!$A$13:$I$672,9,FALSE)-I111,0)</f>
        <v>0</v>
      </c>
      <c r="K111" s="184" t="str">
        <f>IFERROR(INDEX(Auction!$C$13:$C$672,MATCH(H111,Auction!$A$13:$A$672,0)),"")</f>
        <v/>
      </c>
    </row>
    <row r="112" spans="1:11" x14ac:dyDescent="0.25">
      <c r="A112" s="167" t="str">
        <f>IFERROR(INDEX(Auction!$B$13:$B$672,MATCH(B112,Auction!$A$13:$A$672,0)),"")</f>
        <v/>
      </c>
      <c r="B112" s="255" t="str">
        <f t="array" ref="B112">IF($A$99=0,"",IFERROR(INDEX(Auction!$A$13:$M$672,SMALL(IF(Auction!$M$13:$M$672=$A$99,(ROW(Auction!$M$13:$M$672)-MIN(ROW(Auction!$M$13:$M$672))+1),""),ROW(A12)),1),""))</f>
        <v/>
      </c>
      <c r="C112" s="176">
        <f>IF(ISERROR(VLOOKUP(B112,Auction!$A$13:$I$672,7,FALSE)),0,VLOOKUP(B112,Auction!$A$13:$I$672,8,FALSE))</f>
        <v>0</v>
      </c>
      <c r="D112" s="177">
        <f>IFERROR(VLOOKUP(B112,Auction!$A$13:$I$672,9,FALSE)-C112,0)</f>
        <v>0</v>
      </c>
      <c r="E112" s="184" t="str">
        <f>IFERROR(INDEX(Auction!$C$13:$C$672,MATCH(B112,Auction!$A$13:$A$672,0)),"")</f>
        <v/>
      </c>
      <c r="F112" s="1"/>
      <c r="G112" s="167" t="str">
        <f>IFERROR(INDEX(Auction!$B$13:$B$672,MATCH(H112,Auction!$A$13:$A$672,0)),"")</f>
        <v/>
      </c>
      <c r="H112" s="255" t="str">
        <f t="array" ref="H112">IF($G$99=0,"",IFERROR(INDEX(Auction!$A$13:$M$672,SMALL(IF(Auction!$M$13:$M$672=$G$99,(ROW(Auction!$M$13:$M$672)-MIN(ROW(Auction!$M$13:$M$672))+1),""),ROW(G12)),1),""))</f>
        <v/>
      </c>
      <c r="I112" s="176">
        <f>IF(ISERROR(VLOOKUP(H112,Auction!$A$13:$I$672,7,FALSE)),0,VLOOKUP(H112,Auction!$A$13:$I$672,8,FALSE))</f>
        <v>0</v>
      </c>
      <c r="J112" s="177">
        <f>IFERROR(VLOOKUP(H112,Auction!$A$13:$I$672,9,FALSE)-I112,0)</f>
        <v>0</v>
      </c>
      <c r="K112" s="184" t="str">
        <f>IFERROR(INDEX(Auction!$C$13:$C$672,MATCH(H112,Auction!$A$13:$A$672,0)),"")</f>
        <v/>
      </c>
    </row>
    <row r="113" spans="1:11" x14ac:dyDescent="0.25">
      <c r="A113" s="167" t="str">
        <f>IFERROR(INDEX(Auction!$B$13:$B$672,MATCH(B113,Auction!$A$13:$A$672,0)),"")</f>
        <v/>
      </c>
      <c r="B113" s="255" t="str">
        <f t="array" ref="B113">IF($A$99=0,"",IFERROR(INDEX(Auction!$A$13:$M$672,SMALL(IF(Auction!$M$13:$M$672=$A$99,(ROW(Auction!$M$13:$M$672)-MIN(ROW(Auction!$M$13:$M$672))+1),""),ROW(A13)),1),""))</f>
        <v/>
      </c>
      <c r="C113" s="176">
        <f>IF(ISERROR(VLOOKUP(B113,Auction!$A$13:$I$672,7,FALSE)),0,VLOOKUP(B113,Auction!$A$13:$I$672,8,FALSE))</f>
        <v>0</v>
      </c>
      <c r="D113" s="177">
        <f>IFERROR(VLOOKUP(B113,Auction!$A$13:$I$672,9,FALSE)-C113,0)</f>
        <v>0</v>
      </c>
      <c r="E113" s="184" t="str">
        <f>IFERROR(INDEX(Auction!$C$13:$C$672,MATCH(B113,Auction!$A$13:$A$672,0)),"")</f>
        <v/>
      </c>
      <c r="F113" s="1"/>
      <c r="G113" s="167" t="str">
        <f>IFERROR(INDEX(Auction!$B$13:$B$672,MATCH(H113,Auction!$A$13:$A$672,0)),"")</f>
        <v/>
      </c>
      <c r="H113" s="255" t="str">
        <f t="array" ref="H113">IF($G$99=0,"",IFERROR(INDEX(Auction!$A$13:$M$672,SMALL(IF(Auction!$M$13:$M$672=$G$99,(ROW(Auction!$M$13:$M$672)-MIN(ROW(Auction!$M$13:$M$672))+1),""),ROW(G13)),1),""))</f>
        <v/>
      </c>
      <c r="I113" s="176">
        <f>IF(ISERROR(VLOOKUP(H113,Auction!$A$13:$I$672,7,FALSE)),0,VLOOKUP(H113,Auction!$A$13:$I$672,8,FALSE))</f>
        <v>0</v>
      </c>
      <c r="J113" s="177">
        <f>IFERROR(VLOOKUP(H113,Auction!$A$13:$I$672,9,FALSE)-I113,0)</f>
        <v>0</v>
      </c>
      <c r="K113" s="184" t="str">
        <f>IFERROR(INDEX(Auction!$C$13:$C$672,MATCH(H113,Auction!$A$13:$A$672,0)),"")</f>
        <v/>
      </c>
    </row>
    <row r="114" spans="1:11" x14ac:dyDescent="0.25">
      <c r="A114" s="167" t="str">
        <f>IFERROR(INDEX(Auction!$B$13:$B$672,MATCH(B114,Auction!$A$13:$A$672,0)),"")</f>
        <v/>
      </c>
      <c r="B114" s="255" t="str">
        <f t="array" ref="B114">IF($A$99=0,"",IFERROR(INDEX(Auction!$A$13:$M$672,SMALL(IF(Auction!$M$13:$M$672=$A$99,(ROW(Auction!$M$13:$M$672)-MIN(ROW(Auction!$M$13:$M$672))+1),""),ROW(A14)),1),""))</f>
        <v/>
      </c>
      <c r="C114" s="176">
        <f>IF(ISERROR(VLOOKUP(B114,Auction!$A$13:$I$672,7,FALSE)),0,VLOOKUP(B114,Auction!$A$13:$I$672,8,FALSE))</f>
        <v>0</v>
      </c>
      <c r="D114" s="177">
        <f>IFERROR(VLOOKUP(B114,Auction!$A$13:$I$672,9,FALSE)-C114,0)</f>
        <v>0</v>
      </c>
      <c r="E114" s="184" t="str">
        <f>IFERROR(INDEX(Auction!$C$13:$C$672,MATCH(B114,Auction!$A$13:$A$672,0)),"")</f>
        <v/>
      </c>
      <c r="F114" s="1"/>
      <c r="G114" s="167" t="str">
        <f>IFERROR(INDEX(Auction!$B$13:$B$672,MATCH(H114,Auction!$A$13:$A$672,0)),"")</f>
        <v/>
      </c>
      <c r="H114" s="255" t="str">
        <f t="array" ref="H114">IF($G$99=0,"",IFERROR(INDEX(Auction!$A$13:$M$672,SMALL(IF(Auction!$M$13:$M$672=$G$99,(ROW(Auction!$M$13:$M$672)-MIN(ROW(Auction!$M$13:$M$672))+1),""),ROW(G14)),1),""))</f>
        <v/>
      </c>
      <c r="I114" s="176">
        <f>IF(ISERROR(VLOOKUP(H114,Auction!$A$13:$I$672,7,FALSE)),0,VLOOKUP(H114,Auction!$A$13:$I$672,8,FALSE))</f>
        <v>0</v>
      </c>
      <c r="J114" s="177">
        <f>IFERROR(VLOOKUP(H114,Auction!$A$13:$I$672,9,FALSE)-I114,0)</f>
        <v>0</v>
      </c>
      <c r="K114" s="184" t="str">
        <f>IFERROR(INDEX(Auction!$C$13:$C$672,MATCH(H114,Auction!$A$13:$A$672,0)),"")</f>
        <v/>
      </c>
    </row>
    <row r="115" spans="1:11" x14ac:dyDescent="0.25">
      <c r="A115" s="167" t="str">
        <f>IFERROR(INDEX(Auction!$B$13:$B$672,MATCH(B115,Auction!$A$13:$A$672,0)),"")</f>
        <v/>
      </c>
      <c r="B115" s="255" t="str">
        <f t="array" ref="B115">IF($A$99=0,"",IFERROR(INDEX(Auction!$A$13:$M$672,SMALL(IF(Auction!$M$13:$M$672=$A$99,(ROW(Auction!$M$13:$M$672)-MIN(ROW(Auction!$M$13:$M$672))+1),""),ROW(A15)),1),""))</f>
        <v/>
      </c>
      <c r="C115" s="176">
        <f>IF(ISERROR(VLOOKUP(B115,Auction!$A$13:$I$672,7,FALSE)),0,VLOOKUP(B115,Auction!$A$13:$I$672,8,FALSE))</f>
        <v>0</v>
      </c>
      <c r="D115" s="177">
        <f>IFERROR(VLOOKUP(B115,Auction!$A$13:$I$672,9,FALSE)-C115,0)</f>
        <v>0</v>
      </c>
      <c r="E115" s="184" t="str">
        <f>IFERROR(INDEX(Auction!$C$13:$C$672,MATCH(B115,Auction!$A$13:$A$672,0)),"")</f>
        <v/>
      </c>
      <c r="F115" s="1"/>
      <c r="G115" s="167" t="str">
        <f>IFERROR(INDEX(Auction!$B$13:$B$672,MATCH(H115,Auction!$A$13:$A$672,0)),"")</f>
        <v/>
      </c>
      <c r="H115" s="255" t="str">
        <f t="array" ref="H115">IF($G$99=0,"",IFERROR(INDEX(Auction!$A$13:$M$672,SMALL(IF(Auction!$M$13:$M$672=$G$99,(ROW(Auction!$M$13:$M$672)-MIN(ROW(Auction!$M$13:$M$672))+1),""),ROW(G15)),1),""))</f>
        <v/>
      </c>
      <c r="I115" s="176">
        <f>IF(ISERROR(VLOOKUP(H115,Auction!$A$13:$I$672,7,FALSE)),0,VLOOKUP(H115,Auction!$A$13:$I$672,8,FALSE))</f>
        <v>0</v>
      </c>
      <c r="J115" s="177">
        <f>IFERROR(VLOOKUP(H115,Auction!$A$13:$I$672,9,FALSE)-I115,0)</f>
        <v>0</v>
      </c>
      <c r="K115" s="184" t="str">
        <f>IFERROR(INDEX(Auction!$C$13:$C$672,MATCH(H115,Auction!$A$13:$A$672,0)),"")</f>
        <v/>
      </c>
    </row>
    <row r="116" spans="1:11" x14ac:dyDescent="0.25">
      <c r="A116" s="167" t="str">
        <f>IFERROR(INDEX(Auction!$B$13:$B$672,MATCH(B116,Auction!$A$13:$A$672,0)),"")</f>
        <v/>
      </c>
      <c r="B116" s="255" t="str">
        <f t="array" ref="B116">IF($A$99=0,"",IFERROR(INDEX(Auction!$A$13:$M$672,SMALL(IF(Auction!$M$13:$M$672=$A$99,(ROW(Auction!$M$13:$M$672)-MIN(ROW(Auction!$M$13:$M$672))+1),""),ROW(A16)),1),""))</f>
        <v/>
      </c>
      <c r="C116" s="176">
        <f>IF(ISERROR(VLOOKUP(B116,Auction!$A$13:$I$672,7,FALSE)),0,VLOOKUP(B116,Auction!$A$13:$I$672,8,FALSE))</f>
        <v>0</v>
      </c>
      <c r="D116" s="177">
        <f>IFERROR(VLOOKUP(B116,Auction!$A$13:$I$672,9,FALSE)-C116,0)</f>
        <v>0</v>
      </c>
      <c r="E116" s="184" t="str">
        <f>IFERROR(INDEX(Auction!$C$13:$C$672,MATCH(B116,Auction!$A$13:$A$672,0)),"")</f>
        <v/>
      </c>
      <c r="F116" s="1"/>
      <c r="G116" s="167" t="str">
        <f>IFERROR(INDEX(Auction!$B$13:$B$672,MATCH(H116,Auction!$A$13:$A$672,0)),"")</f>
        <v/>
      </c>
      <c r="H116" s="255" t="str">
        <f t="array" ref="H116">IF($G$99=0,"",IFERROR(INDEX(Auction!$A$13:$M$672,SMALL(IF(Auction!$M$13:$M$672=$G$99,(ROW(Auction!$M$13:$M$672)-MIN(ROW(Auction!$M$13:$M$672))+1),""),ROW(G16)),1),""))</f>
        <v/>
      </c>
      <c r="I116" s="176">
        <f>IF(ISERROR(VLOOKUP(H116,Auction!$A$13:$I$672,7,FALSE)),0,VLOOKUP(H116,Auction!$A$13:$I$672,8,FALSE))</f>
        <v>0</v>
      </c>
      <c r="J116" s="177">
        <f>IFERROR(VLOOKUP(H116,Auction!$A$13:$I$672,9,FALSE)-I116,0)</f>
        <v>0</v>
      </c>
      <c r="K116" s="184" t="str">
        <f>IFERROR(INDEX(Auction!$C$13:$C$672,MATCH(H116,Auction!$A$13:$A$672,0)),"")</f>
        <v/>
      </c>
    </row>
    <row r="117" spans="1:11" x14ac:dyDescent="0.25">
      <c r="A117" s="167" t="str">
        <f>IFERROR(INDEX(Auction!$B$13:$B$672,MATCH(B117,Auction!$A$13:$A$672,0)),"")</f>
        <v/>
      </c>
      <c r="B117" s="255" t="str">
        <f t="array" ref="B117">IF($A$99=0,"",IFERROR(INDEX(Auction!$A$13:$M$672,SMALL(IF(Auction!$M$13:$M$672=$A$99,(ROW(Auction!$M$13:$M$672)-MIN(ROW(Auction!$M$13:$M$672))+1),""),ROW(A17)),1),""))</f>
        <v/>
      </c>
      <c r="C117" s="176">
        <f>IF(ISERROR(VLOOKUP(B117,Auction!$A$13:$I$672,7,FALSE)),0,VLOOKUP(B117,Auction!$A$13:$I$672,8,FALSE))</f>
        <v>0</v>
      </c>
      <c r="D117" s="177">
        <f>IFERROR(VLOOKUP(B117,Auction!$A$13:$I$672,9,FALSE)-C117,0)</f>
        <v>0</v>
      </c>
      <c r="E117" s="184" t="str">
        <f>IFERROR(INDEX(Auction!$C$13:$C$672,MATCH(B117,Auction!$A$13:$A$672,0)),"")</f>
        <v/>
      </c>
      <c r="F117" s="1"/>
      <c r="G117" s="167" t="str">
        <f>IFERROR(INDEX(Auction!$B$13:$B$672,MATCH(H117,Auction!$A$13:$A$672,0)),"")</f>
        <v/>
      </c>
      <c r="H117" s="255" t="str">
        <f t="array" ref="H117">IF($G$99=0,"",IFERROR(INDEX(Auction!$A$13:$M$672,SMALL(IF(Auction!$M$13:$M$672=$G$99,(ROW(Auction!$M$13:$M$672)-MIN(ROW(Auction!$M$13:$M$672))+1),""),ROW(G17)),1),""))</f>
        <v/>
      </c>
      <c r="I117" s="176">
        <f>IF(ISERROR(VLOOKUP(H117,Auction!$A$13:$I$672,7,FALSE)),0,VLOOKUP(H117,Auction!$A$13:$I$672,8,FALSE))</f>
        <v>0</v>
      </c>
      <c r="J117" s="177">
        <f>IFERROR(VLOOKUP(H117,Auction!$A$13:$I$672,9,FALSE)-I117,0)</f>
        <v>0</v>
      </c>
      <c r="K117" s="184" t="str">
        <f>IFERROR(INDEX(Auction!$C$13:$C$672,MATCH(H117,Auction!$A$13:$A$672,0)),"")</f>
        <v/>
      </c>
    </row>
    <row r="118" spans="1:11" x14ac:dyDescent="0.25">
      <c r="A118" s="167" t="str">
        <f>IFERROR(INDEX(Auction!$B$13:$B$672,MATCH(B118,Auction!$A$13:$A$672,0)),"")</f>
        <v/>
      </c>
      <c r="B118" s="255" t="str">
        <f t="array" ref="B118">IF($A$99=0,"",IFERROR(INDEX(Auction!$A$13:$M$672,SMALL(IF(Auction!$M$13:$M$672=$A$99,(ROW(Auction!$M$13:$M$672)-MIN(ROW(Auction!$M$13:$M$672))+1),""),ROW(A18)),1),""))</f>
        <v/>
      </c>
      <c r="C118" s="176">
        <f>IF(ISERROR(VLOOKUP(B118,Auction!$A$13:$I$672,7,FALSE)),0,VLOOKUP(B118,Auction!$A$13:$I$672,8,FALSE))</f>
        <v>0</v>
      </c>
      <c r="D118" s="177">
        <f>IFERROR(VLOOKUP(B118,Auction!$A$13:$I$672,9,FALSE)-C118,0)</f>
        <v>0</v>
      </c>
      <c r="E118" s="184" t="str">
        <f>IFERROR(INDEX(Auction!$C$13:$C$672,MATCH(B118,Auction!$A$13:$A$672,0)),"")</f>
        <v/>
      </c>
      <c r="F118" s="1"/>
      <c r="G118" s="167" t="str">
        <f>IFERROR(INDEX(Auction!$B$13:$B$672,MATCH(H118,Auction!$A$13:$A$672,0)),"")</f>
        <v/>
      </c>
      <c r="H118" s="255" t="str">
        <f t="array" ref="H118">IF($G$99=0,"",IFERROR(INDEX(Auction!$A$13:$M$672,SMALL(IF(Auction!$M$13:$M$672=$G$99,(ROW(Auction!$M$13:$M$672)-MIN(ROW(Auction!$M$13:$M$672))+1),""),ROW(G18)),1),""))</f>
        <v/>
      </c>
      <c r="I118" s="176">
        <f>IF(ISERROR(VLOOKUP(H118,Auction!$A$13:$I$672,7,FALSE)),0,VLOOKUP(H118,Auction!$A$13:$I$672,8,FALSE))</f>
        <v>0</v>
      </c>
      <c r="J118" s="177">
        <f>IFERROR(VLOOKUP(H118,Auction!$A$13:$I$672,9,FALSE)-I118,0)</f>
        <v>0</v>
      </c>
      <c r="K118" s="184" t="str">
        <f>IFERROR(INDEX(Auction!$C$13:$C$672,MATCH(H118,Auction!$A$13:$A$672,0)),"")</f>
        <v/>
      </c>
    </row>
    <row r="119" spans="1:11" x14ac:dyDescent="0.25">
      <c r="A119" s="167" t="str">
        <f>IFERROR(INDEX(Auction!$B$13:$B$672,MATCH(B119,Auction!$A$13:$A$672,0)),"")</f>
        <v/>
      </c>
      <c r="B119" s="255" t="str">
        <f t="array" ref="B119">IF($A$99=0,"",IFERROR(INDEX(Auction!$A$13:$M$672,SMALL(IF(Auction!$M$13:$M$672=$A$99,(ROW(Auction!$M$13:$M$672)-MIN(ROW(Auction!$M$13:$M$672))+1),""),ROW(A19)),1),""))</f>
        <v/>
      </c>
      <c r="C119" s="176">
        <f>IF(ISERROR(VLOOKUP(B119,Auction!$A$13:$I$672,7,FALSE)),0,VLOOKUP(B119,Auction!$A$13:$I$672,8,FALSE))</f>
        <v>0</v>
      </c>
      <c r="D119" s="177">
        <f>IFERROR(VLOOKUP(B119,Auction!$A$13:$I$672,9,FALSE)-C119,0)</f>
        <v>0</v>
      </c>
      <c r="E119" s="184" t="str">
        <f>IFERROR(INDEX(Auction!$C$13:$C$672,MATCH(B119,Auction!$A$13:$A$672,0)),"")</f>
        <v/>
      </c>
      <c r="F119" s="1"/>
      <c r="G119" s="167" t="str">
        <f>IFERROR(INDEX(Auction!$B$13:$B$672,MATCH(H119,Auction!$A$13:$A$672,0)),"")</f>
        <v/>
      </c>
      <c r="H119" s="255" t="str">
        <f t="array" ref="H119">IF($G$99=0,"",IFERROR(INDEX(Auction!$A$13:$M$672,SMALL(IF(Auction!$M$13:$M$672=$G$99,(ROW(Auction!$M$13:$M$672)-MIN(ROW(Auction!$M$13:$M$672))+1),""),ROW(G19)),1),""))</f>
        <v/>
      </c>
      <c r="I119" s="176">
        <f>IF(ISERROR(VLOOKUP(H119,Auction!$A$13:$I$672,7,FALSE)),0,VLOOKUP(H119,Auction!$A$13:$I$672,8,FALSE))</f>
        <v>0</v>
      </c>
      <c r="J119" s="177">
        <f>IFERROR(VLOOKUP(H119,Auction!$A$13:$I$672,9,FALSE)-I119,0)</f>
        <v>0</v>
      </c>
      <c r="K119" s="184" t="str">
        <f>IFERROR(INDEX(Auction!$C$13:$C$672,MATCH(H119,Auction!$A$13:$A$672,0)),"")</f>
        <v/>
      </c>
    </row>
    <row r="120" spans="1:11" x14ac:dyDescent="0.25">
      <c r="A120" s="167" t="str">
        <f>IFERROR(INDEX(Auction!$B$13:$B$672,MATCH(B120,Auction!$A$13:$A$672,0)),"")</f>
        <v/>
      </c>
      <c r="B120" s="255" t="str">
        <f t="array" ref="B120">IF($A$99=0,"",IFERROR(INDEX(Auction!$A$13:$M$672,SMALL(IF(Auction!$M$13:$M$672=$A$99,(ROW(Auction!$M$13:$M$672)-MIN(ROW(Auction!$M$13:$M$672))+1),""),ROW(A20)),1),""))</f>
        <v/>
      </c>
      <c r="C120" s="176">
        <f>IF(ISERROR(VLOOKUP(B120,Auction!$A$13:$I$672,7,FALSE)),0,VLOOKUP(B120,Auction!$A$13:$I$672,8,FALSE))</f>
        <v>0</v>
      </c>
      <c r="D120" s="177">
        <f>IFERROR(VLOOKUP(B120,Auction!$A$13:$I$672,9,FALSE)-C120,0)</f>
        <v>0</v>
      </c>
      <c r="E120" s="184" t="str">
        <f>IFERROR(INDEX(Auction!$C$13:$C$672,MATCH(B120,Auction!$A$13:$A$672,0)),"")</f>
        <v/>
      </c>
      <c r="F120" s="1"/>
      <c r="G120" s="167" t="str">
        <f>IFERROR(INDEX(Auction!$B$13:$B$672,MATCH(H120,Auction!$A$13:$A$672,0)),"")</f>
        <v/>
      </c>
      <c r="H120" s="255" t="str">
        <f t="array" ref="H120">IF($G$99=0,"",IFERROR(INDEX(Auction!$A$13:$M$672,SMALL(IF(Auction!$M$13:$M$672=$G$99,(ROW(Auction!$M$13:$M$672)-MIN(ROW(Auction!$M$13:$M$672))+1),""),ROW(G20)),1),""))</f>
        <v/>
      </c>
      <c r="I120" s="176">
        <f>IF(ISERROR(VLOOKUP(H120,Auction!$A$13:$I$672,7,FALSE)),0,VLOOKUP(H120,Auction!$A$13:$I$672,8,FALSE))</f>
        <v>0</v>
      </c>
      <c r="J120" s="177">
        <f>IFERROR(VLOOKUP(H120,Auction!$A$13:$I$672,9,FALSE)-I120,0)</f>
        <v>0</v>
      </c>
      <c r="K120" s="184" t="str">
        <f>IFERROR(INDEX(Auction!$C$13:$C$672,MATCH(H120,Auction!$A$13:$A$672,0)),"")</f>
        <v/>
      </c>
    </row>
    <row r="121" spans="1:11" x14ac:dyDescent="0.25">
      <c r="A121" s="185"/>
      <c r="B121" s="186"/>
      <c r="C121" s="187">
        <f>SUM(C101:C120)</f>
        <v>0</v>
      </c>
      <c r="D121" s="187">
        <f>SUM(D101:D120)</f>
        <v>0</v>
      </c>
      <c r="E121" s="188"/>
      <c r="F121" s="1"/>
      <c r="G121" s="185"/>
      <c r="H121" s="186"/>
      <c r="I121" s="187">
        <f>SUM(I101:I120)</f>
        <v>0</v>
      </c>
      <c r="J121" s="187">
        <f>SUM(J101:J120)</f>
        <v>0</v>
      </c>
      <c r="K121" s="188"/>
    </row>
    <row r="123" spans="1:11" x14ac:dyDescent="0.25">
      <c r="A123" s="280" t="str">
        <f>H12</f>
        <v>Team 10</v>
      </c>
      <c r="B123" s="281"/>
      <c r="C123" s="281"/>
      <c r="D123" s="281"/>
      <c r="E123" s="282"/>
      <c r="F123" s="1"/>
      <c r="G123" s="280" t="str">
        <f>H13</f>
        <v>Team 11</v>
      </c>
      <c r="H123" s="281"/>
      <c r="I123" s="281"/>
      <c r="J123" s="281"/>
      <c r="K123" s="282"/>
    </row>
    <row r="124" spans="1:11" x14ac:dyDescent="0.25">
      <c r="A124" s="174" t="s">
        <v>875</v>
      </c>
      <c r="B124" s="182" t="s">
        <v>89</v>
      </c>
      <c r="C124" s="164" t="s">
        <v>876</v>
      </c>
      <c r="D124" s="164" t="s">
        <v>877</v>
      </c>
      <c r="E124" s="175" t="s">
        <v>808</v>
      </c>
      <c r="F124" s="1"/>
      <c r="G124" s="174" t="s">
        <v>875</v>
      </c>
      <c r="H124" s="182" t="s">
        <v>89</v>
      </c>
      <c r="I124" s="164" t="s">
        <v>876</v>
      </c>
      <c r="J124" s="164" t="s">
        <v>877</v>
      </c>
      <c r="K124" s="175" t="s">
        <v>808</v>
      </c>
    </row>
    <row r="125" spans="1:11" x14ac:dyDescent="0.25">
      <c r="A125" s="167" t="str">
        <f>IFERROR(INDEX(Auction!$B$13:$B$672,MATCH(B125,Auction!$A$13:$A$672,0)),"")</f>
        <v/>
      </c>
      <c r="B125" s="255" t="str">
        <f t="array" ref="B125">IF($A$123=0,"",IFERROR(INDEX(Auction!$A$13:$M$672,SMALL(IF(Auction!$M$13:$M$672=$A$123,(ROW(Auction!$M$13:$M$672)-MIN(ROW(Auction!$M$13:$M$672))+1),""),ROW(A1)),1),""))</f>
        <v/>
      </c>
      <c r="C125" s="176">
        <f>IF(ISERROR(VLOOKUP(B125,Auction!$A$13:$I$672,7,FALSE)),0,VLOOKUP(B125,Auction!$A$13:$I$672,8,FALSE))</f>
        <v>0</v>
      </c>
      <c r="D125" s="177">
        <f>IFERROR(VLOOKUP(B125,Auction!$A$13:$I$672,9,FALSE)-C125,0)</f>
        <v>0</v>
      </c>
      <c r="E125" s="183" t="str">
        <f>IFERROR(INDEX(Auction!$C$13:$C$672,MATCH(B125,Auction!$A$13:$A$672,0)),"")</f>
        <v/>
      </c>
      <c r="F125" s="1"/>
      <c r="G125" s="167" t="str">
        <f>IFERROR(INDEX(Auction!$B$13:$B$672,MATCH(H125,Auction!$A$13:$A$672,0)),"")</f>
        <v/>
      </c>
      <c r="H125" s="255" t="str">
        <f t="array" ref="H125">IF($G$123=0,"",IFERROR(INDEX(Auction!$A$13:$M$672,SMALL(IF(Auction!$M$13:$M$672=$G$123,(ROW(Auction!$M$13:$M$672)-MIN(ROW(Auction!$M$13:$M$672))+1),""),ROW(G1)),1),""))</f>
        <v/>
      </c>
      <c r="I125" s="176">
        <f>IF(ISERROR(VLOOKUP(H125,Auction!$A$13:$I$672,7,FALSE)),0,VLOOKUP(H125,Auction!$A$13:$I$672,8,FALSE))</f>
        <v>0</v>
      </c>
      <c r="J125" s="177">
        <f>IFERROR(VLOOKUP(H125,Auction!$A$13:$I$672,9,FALSE)-I125,0)</f>
        <v>0</v>
      </c>
      <c r="K125" s="183" t="str">
        <f>IFERROR(INDEX(Auction!$C$13:$C$672,MATCH(H125,Auction!$A$13:$A$672,0)),"")</f>
        <v/>
      </c>
    </row>
    <row r="126" spans="1:11" x14ac:dyDescent="0.25">
      <c r="A126" s="167" t="str">
        <f>IFERROR(INDEX(Auction!$B$13:$B$672,MATCH(B126,Auction!$A$13:$A$672,0)),"")</f>
        <v/>
      </c>
      <c r="B126" s="255" t="str">
        <f t="array" ref="B126">IF($A$123=0,"",IFERROR(INDEX(Auction!$A$13:$M$672,SMALL(IF(Auction!$M$13:$M$672=$A$123,(ROW(Auction!$M$13:$M$672)-MIN(ROW(Auction!$M$13:$M$672))+1),""),ROW(A2)),1),""))</f>
        <v/>
      </c>
      <c r="C126" s="176">
        <f>IF(ISERROR(VLOOKUP(B126,Auction!$A$13:$I$672,7,FALSE)),0,VLOOKUP(B126,Auction!$A$13:$I$672,8,FALSE))</f>
        <v>0</v>
      </c>
      <c r="D126" s="177">
        <f>IFERROR(VLOOKUP(B126,Auction!$A$13:$I$672,9,FALSE)-C126,0)</f>
        <v>0</v>
      </c>
      <c r="E126" s="183" t="str">
        <f>IFERROR(INDEX(Auction!$C$13:$C$672,MATCH(B126,Auction!$A$13:$A$672,0)),"")</f>
        <v/>
      </c>
      <c r="F126" s="1"/>
      <c r="G126" s="167" t="str">
        <f>IFERROR(INDEX(Auction!$B$13:$B$672,MATCH(H126,Auction!$A$13:$A$672,0)),"")</f>
        <v/>
      </c>
      <c r="H126" s="255" t="str">
        <f t="array" ref="H126">IF($G$123=0,"",IFERROR(INDEX(Auction!$A$13:$M$672,SMALL(IF(Auction!$M$13:$M$672=$G$123,(ROW(Auction!$M$13:$M$672)-MIN(ROW(Auction!$M$13:$M$672))+1),""),ROW(G2)),1),""))</f>
        <v/>
      </c>
      <c r="I126" s="176">
        <f>IF(ISERROR(VLOOKUP(H126,Auction!$A$13:$I$672,7,FALSE)),0,VLOOKUP(H126,Auction!$A$13:$I$672,8,FALSE))</f>
        <v>0</v>
      </c>
      <c r="J126" s="177">
        <f>IFERROR(VLOOKUP(H126,Auction!$A$13:$I$672,9,FALSE)-I126,0)</f>
        <v>0</v>
      </c>
      <c r="K126" s="183" t="str">
        <f>IFERROR(INDEX(Auction!$C$13:$C$672,MATCH(H126,Auction!$A$13:$A$672,0)),"")</f>
        <v/>
      </c>
    </row>
    <row r="127" spans="1:11" x14ac:dyDescent="0.25">
      <c r="A127" s="167" t="str">
        <f>IFERROR(INDEX(Auction!$B$13:$B$672,MATCH(B127,Auction!$A$13:$A$672,0)),"")</f>
        <v/>
      </c>
      <c r="B127" s="255" t="str">
        <f t="array" ref="B127">IF($A$123=0,"",IFERROR(INDEX(Auction!$A$13:$M$672,SMALL(IF(Auction!$M$13:$M$672=$A$123,(ROW(Auction!$M$13:$M$672)-MIN(ROW(Auction!$M$13:$M$672))+1),""),ROW(A3)),1),""))</f>
        <v/>
      </c>
      <c r="C127" s="176">
        <f>IF(ISERROR(VLOOKUP(B127,Auction!$A$13:$I$672,7,FALSE)),0,VLOOKUP(B127,Auction!$A$13:$I$672,8,FALSE))</f>
        <v>0</v>
      </c>
      <c r="D127" s="177">
        <f>IFERROR(VLOOKUP(B127,Auction!$A$13:$I$672,9,FALSE)-C127,0)</f>
        <v>0</v>
      </c>
      <c r="E127" s="183" t="str">
        <f>IFERROR(INDEX(Auction!$C$13:$C$672,MATCH(B127,Auction!$A$13:$A$672,0)),"")</f>
        <v/>
      </c>
      <c r="F127" s="1"/>
      <c r="G127" s="167" t="str">
        <f>IFERROR(INDEX(Auction!$B$13:$B$672,MATCH(H127,Auction!$A$13:$A$672,0)),"")</f>
        <v/>
      </c>
      <c r="H127" s="255" t="str">
        <f t="array" ref="H127">IF($G$123=0,"",IFERROR(INDEX(Auction!$A$13:$M$672,SMALL(IF(Auction!$M$13:$M$672=$G$123,(ROW(Auction!$M$13:$M$672)-MIN(ROW(Auction!$M$13:$M$672))+1),""),ROW(G3)),1),""))</f>
        <v/>
      </c>
      <c r="I127" s="176">
        <f>IF(ISERROR(VLOOKUP(H127,Auction!$A$13:$I$672,7,FALSE)),0,VLOOKUP(H127,Auction!$A$13:$I$672,8,FALSE))</f>
        <v>0</v>
      </c>
      <c r="J127" s="177">
        <f>IFERROR(VLOOKUP(H127,Auction!$A$13:$I$672,9,FALSE)-I127,0)</f>
        <v>0</v>
      </c>
      <c r="K127" s="183" t="str">
        <f>IFERROR(INDEX(Auction!$C$13:$C$672,MATCH(H127,Auction!$A$13:$A$672,0)),"")</f>
        <v/>
      </c>
    </row>
    <row r="128" spans="1:11" x14ac:dyDescent="0.25">
      <c r="A128" s="167" t="str">
        <f>IFERROR(INDEX(Auction!$B$13:$B$672,MATCH(B128,Auction!$A$13:$A$672,0)),"")</f>
        <v/>
      </c>
      <c r="B128" s="255" t="str">
        <f t="array" ref="B128">IF($A$123=0,"",IFERROR(INDEX(Auction!$A$13:$M$672,SMALL(IF(Auction!$M$13:$M$672=$A$123,(ROW(Auction!$M$13:$M$672)-MIN(ROW(Auction!$M$13:$M$672))+1),""),ROW(A4)),1),""))</f>
        <v/>
      </c>
      <c r="C128" s="176">
        <f>IF(ISERROR(VLOOKUP(B128,Auction!$A$13:$I$672,7,FALSE)),0,VLOOKUP(B128,Auction!$A$13:$I$672,8,FALSE))</f>
        <v>0</v>
      </c>
      <c r="D128" s="177">
        <f>IFERROR(VLOOKUP(B128,Auction!$A$13:$I$672,9,FALSE)-C128,0)</f>
        <v>0</v>
      </c>
      <c r="E128" s="183" t="str">
        <f>IFERROR(INDEX(Auction!$C$13:$C$672,MATCH(B128,Auction!$A$13:$A$672,0)),"")</f>
        <v/>
      </c>
      <c r="F128" s="1"/>
      <c r="G128" s="167" t="str">
        <f>IFERROR(INDEX(Auction!$B$13:$B$672,MATCH(H128,Auction!$A$13:$A$672,0)),"")</f>
        <v/>
      </c>
      <c r="H128" s="255" t="str">
        <f t="array" ref="H128">IF($G$123=0,"",IFERROR(INDEX(Auction!$A$13:$M$672,SMALL(IF(Auction!$M$13:$M$672=$G$123,(ROW(Auction!$M$13:$M$672)-MIN(ROW(Auction!$M$13:$M$672))+1),""),ROW(G4)),1),""))</f>
        <v/>
      </c>
      <c r="I128" s="176">
        <f>IF(ISERROR(VLOOKUP(H128,Auction!$A$13:$I$672,7,FALSE)),0,VLOOKUP(H128,Auction!$A$13:$I$672,8,FALSE))</f>
        <v>0</v>
      </c>
      <c r="J128" s="177">
        <f>IFERROR(VLOOKUP(H128,Auction!$A$13:$I$672,9,FALSE)-I128,0)</f>
        <v>0</v>
      </c>
      <c r="K128" s="183" t="str">
        <f>IFERROR(INDEX(Auction!$C$13:$C$672,MATCH(H128,Auction!$A$13:$A$672,0)),"")</f>
        <v/>
      </c>
    </row>
    <row r="129" spans="1:11" x14ac:dyDescent="0.25">
      <c r="A129" s="167" t="str">
        <f>IFERROR(INDEX(Auction!$B$13:$B$672,MATCH(B129,Auction!$A$13:$A$672,0)),"")</f>
        <v/>
      </c>
      <c r="B129" s="255" t="str">
        <f t="array" ref="B129">IF($A$123=0,"",IFERROR(INDEX(Auction!$A$13:$M$672,SMALL(IF(Auction!$M$13:$M$672=$A$123,(ROW(Auction!$M$13:$M$672)-MIN(ROW(Auction!$M$13:$M$672))+1),""),ROW(A5)),1),""))</f>
        <v/>
      </c>
      <c r="C129" s="176">
        <f>IF(ISERROR(VLOOKUP(B129,Auction!$A$13:$I$672,7,FALSE)),0,VLOOKUP(B129,Auction!$A$13:$I$672,8,FALSE))</f>
        <v>0</v>
      </c>
      <c r="D129" s="177">
        <f>IFERROR(VLOOKUP(B129,Auction!$A$13:$I$672,9,FALSE)-C129,0)</f>
        <v>0</v>
      </c>
      <c r="E129" s="183" t="str">
        <f>IFERROR(INDEX(Auction!$C$13:$C$672,MATCH(B129,Auction!$A$13:$A$672,0)),"")</f>
        <v/>
      </c>
      <c r="F129" s="1"/>
      <c r="G129" s="167" t="str">
        <f>IFERROR(INDEX(Auction!$B$13:$B$672,MATCH(H129,Auction!$A$13:$A$672,0)),"")</f>
        <v/>
      </c>
      <c r="H129" s="255" t="str">
        <f t="array" ref="H129">IF($G$123=0,"",IFERROR(INDEX(Auction!$A$13:$M$672,SMALL(IF(Auction!$M$13:$M$672=$G$123,(ROW(Auction!$M$13:$M$672)-MIN(ROW(Auction!$M$13:$M$672))+1),""),ROW(G5)),1),""))</f>
        <v/>
      </c>
      <c r="I129" s="176">
        <f>IF(ISERROR(VLOOKUP(H129,Auction!$A$13:$I$672,7,FALSE)),0,VLOOKUP(H129,Auction!$A$13:$I$672,8,FALSE))</f>
        <v>0</v>
      </c>
      <c r="J129" s="177">
        <f>IFERROR(VLOOKUP(H129,Auction!$A$13:$I$672,9,FALSE)-I129,0)</f>
        <v>0</v>
      </c>
      <c r="K129" s="183" t="str">
        <f>IFERROR(INDEX(Auction!$C$13:$C$672,MATCH(H129,Auction!$A$13:$A$672,0)),"")</f>
        <v/>
      </c>
    </row>
    <row r="130" spans="1:11" x14ac:dyDescent="0.25">
      <c r="A130" s="167" t="str">
        <f>IFERROR(INDEX(Auction!$B$13:$B$672,MATCH(B130,Auction!$A$13:$A$672,0)),"")</f>
        <v/>
      </c>
      <c r="B130" s="255" t="str">
        <f t="array" ref="B130">IF($A$123=0,"",IFERROR(INDEX(Auction!$A$13:$M$672,SMALL(IF(Auction!$M$13:$M$672=$A$123,(ROW(Auction!$M$13:$M$672)-MIN(ROW(Auction!$M$13:$M$672))+1),""),ROW(A6)),1),""))</f>
        <v/>
      </c>
      <c r="C130" s="176">
        <f>IF(ISERROR(VLOOKUP(B130,Auction!$A$13:$I$672,7,FALSE)),0,VLOOKUP(B130,Auction!$A$13:$I$672,8,FALSE))</f>
        <v>0</v>
      </c>
      <c r="D130" s="177">
        <f>IFERROR(VLOOKUP(B130,Auction!$A$13:$I$672,9,FALSE)-C130,0)</f>
        <v>0</v>
      </c>
      <c r="E130" s="183" t="str">
        <f>IFERROR(INDEX(Auction!$C$13:$C$672,MATCH(B130,Auction!$A$13:$A$672,0)),"")</f>
        <v/>
      </c>
      <c r="F130" s="1"/>
      <c r="G130" s="167" t="str">
        <f>IFERROR(INDEX(Auction!$B$13:$B$672,MATCH(H130,Auction!$A$13:$A$672,0)),"")</f>
        <v/>
      </c>
      <c r="H130" s="255" t="str">
        <f t="array" ref="H130">IF($G$123=0,"",IFERROR(INDEX(Auction!$A$13:$M$672,SMALL(IF(Auction!$M$13:$M$672=$G$123,(ROW(Auction!$M$13:$M$672)-MIN(ROW(Auction!$M$13:$M$672))+1),""),ROW(G6)),1),""))</f>
        <v/>
      </c>
      <c r="I130" s="176">
        <f>IF(ISERROR(VLOOKUP(H130,Auction!$A$13:$I$672,7,FALSE)),0,VLOOKUP(H130,Auction!$A$13:$I$672,8,FALSE))</f>
        <v>0</v>
      </c>
      <c r="J130" s="177">
        <f>IFERROR(VLOOKUP(H130,Auction!$A$13:$I$672,9,FALSE)-I130,0)</f>
        <v>0</v>
      </c>
      <c r="K130" s="183" t="str">
        <f>IFERROR(INDEX(Auction!$C$13:$C$672,MATCH(H130,Auction!$A$13:$A$672,0)),"")</f>
        <v/>
      </c>
    </row>
    <row r="131" spans="1:11" x14ac:dyDescent="0.25">
      <c r="A131" s="167" t="str">
        <f>IFERROR(INDEX(Auction!$B$13:$B$672,MATCH(B131,Auction!$A$13:$A$672,0)),"")</f>
        <v/>
      </c>
      <c r="B131" s="255" t="str">
        <f t="array" ref="B131">IF($A$123=0,"",IFERROR(INDEX(Auction!$A$13:$M$672,SMALL(IF(Auction!$M$13:$M$672=$A$123,(ROW(Auction!$M$13:$M$672)-MIN(ROW(Auction!$M$13:$M$672))+1),""),ROW(A7)),1),""))</f>
        <v/>
      </c>
      <c r="C131" s="176">
        <f>IF(ISERROR(VLOOKUP(B131,Auction!$A$13:$I$672,7,FALSE)),0,VLOOKUP(B131,Auction!$A$13:$I$672,8,FALSE))</f>
        <v>0</v>
      </c>
      <c r="D131" s="177">
        <f>IFERROR(VLOOKUP(B131,Auction!$A$13:$I$672,9,FALSE)-C131,0)</f>
        <v>0</v>
      </c>
      <c r="E131" s="183" t="str">
        <f>IFERROR(INDEX(Auction!$C$13:$C$672,MATCH(B131,Auction!$A$13:$A$672,0)),"")</f>
        <v/>
      </c>
      <c r="F131" s="1"/>
      <c r="G131" s="167" t="str">
        <f>IFERROR(INDEX(Auction!$B$13:$B$672,MATCH(H131,Auction!$A$13:$A$672,0)),"")</f>
        <v/>
      </c>
      <c r="H131" s="255" t="str">
        <f t="array" ref="H131">IF($G$123=0,"",IFERROR(INDEX(Auction!$A$13:$M$672,SMALL(IF(Auction!$M$13:$M$672=$G$123,(ROW(Auction!$M$13:$M$672)-MIN(ROW(Auction!$M$13:$M$672))+1),""),ROW(G7)),1),""))</f>
        <v/>
      </c>
      <c r="I131" s="176">
        <f>IF(ISERROR(VLOOKUP(H131,Auction!$A$13:$I$672,7,FALSE)),0,VLOOKUP(H131,Auction!$A$13:$I$672,8,FALSE))</f>
        <v>0</v>
      </c>
      <c r="J131" s="177">
        <f>IFERROR(VLOOKUP(H131,Auction!$A$13:$I$672,9,FALSE)-I131,0)</f>
        <v>0</v>
      </c>
      <c r="K131" s="183" t="str">
        <f>IFERROR(INDEX(Auction!$C$13:$C$672,MATCH(H131,Auction!$A$13:$A$672,0)),"")</f>
        <v/>
      </c>
    </row>
    <row r="132" spans="1:11" x14ac:dyDescent="0.25">
      <c r="A132" s="167" t="str">
        <f>IFERROR(INDEX(Auction!$B$13:$B$672,MATCH(B132,Auction!$A$13:$A$672,0)),"")</f>
        <v/>
      </c>
      <c r="B132" s="255" t="str">
        <f t="array" ref="B132">IF($A$123=0,"",IFERROR(INDEX(Auction!$A$13:$M$672,SMALL(IF(Auction!$M$13:$M$672=$A$123,(ROW(Auction!$M$13:$M$672)-MIN(ROW(Auction!$M$13:$M$672))+1),""),ROW(A8)),1),""))</f>
        <v/>
      </c>
      <c r="C132" s="176">
        <f>IF(ISERROR(VLOOKUP(B132,Auction!$A$13:$I$672,7,FALSE)),0,VLOOKUP(B132,Auction!$A$13:$I$672,8,FALSE))</f>
        <v>0</v>
      </c>
      <c r="D132" s="177">
        <f>IFERROR(VLOOKUP(B132,Auction!$A$13:$I$672,9,FALSE)-C132,0)</f>
        <v>0</v>
      </c>
      <c r="E132" s="183" t="str">
        <f>IFERROR(INDEX(Auction!$C$13:$C$672,MATCH(B132,Auction!$A$13:$A$672,0)),"")</f>
        <v/>
      </c>
      <c r="F132" s="1"/>
      <c r="G132" s="167" t="str">
        <f>IFERROR(INDEX(Auction!$B$13:$B$672,MATCH(H132,Auction!$A$13:$A$672,0)),"")</f>
        <v/>
      </c>
      <c r="H132" s="255" t="str">
        <f t="array" ref="H132">IF($G$123=0,"",IFERROR(INDEX(Auction!$A$13:$M$672,SMALL(IF(Auction!$M$13:$M$672=$G$123,(ROW(Auction!$M$13:$M$672)-MIN(ROW(Auction!$M$13:$M$672))+1),""),ROW(G8)),1),""))</f>
        <v/>
      </c>
      <c r="I132" s="176">
        <f>IF(ISERROR(VLOOKUP(H132,Auction!$A$13:$I$672,7,FALSE)),0,VLOOKUP(H132,Auction!$A$13:$I$672,8,FALSE))</f>
        <v>0</v>
      </c>
      <c r="J132" s="177">
        <f>IFERROR(VLOOKUP(H132,Auction!$A$13:$I$672,9,FALSE)-I132,0)</f>
        <v>0</v>
      </c>
      <c r="K132" s="183" t="str">
        <f>IFERROR(INDEX(Auction!$C$13:$C$672,MATCH(H132,Auction!$A$13:$A$672,0)),"")</f>
        <v/>
      </c>
    </row>
    <row r="133" spans="1:11" x14ac:dyDescent="0.25">
      <c r="A133" s="167" t="str">
        <f>IFERROR(INDEX(Auction!$B$13:$B$672,MATCH(B133,Auction!$A$13:$A$672,0)),"")</f>
        <v/>
      </c>
      <c r="B133" s="255" t="str">
        <f t="array" ref="B133">IF($A$123=0,"",IFERROR(INDEX(Auction!$A$13:$M$672,SMALL(IF(Auction!$M$13:$M$672=$A$123,(ROW(Auction!$M$13:$M$672)-MIN(ROW(Auction!$M$13:$M$672))+1),""),ROW(A9)),1),""))</f>
        <v/>
      </c>
      <c r="C133" s="176">
        <f>IF(ISERROR(VLOOKUP(B133,Auction!$A$13:$I$672,7,FALSE)),0,VLOOKUP(B133,Auction!$A$13:$I$672,8,FALSE))</f>
        <v>0</v>
      </c>
      <c r="D133" s="177">
        <f>IFERROR(VLOOKUP(B133,Auction!$A$13:$I$672,9,FALSE)-C133,0)</f>
        <v>0</v>
      </c>
      <c r="E133" s="184" t="str">
        <f>IFERROR(INDEX(Auction!$C$13:$C$672,MATCH(B133,Auction!$A$13:$A$672,0)),"")</f>
        <v/>
      </c>
      <c r="F133" s="1"/>
      <c r="G133" s="167" t="str">
        <f>IFERROR(INDEX(Auction!$B$13:$B$672,MATCH(H133,Auction!$A$13:$A$672,0)),"")</f>
        <v/>
      </c>
      <c r="H133" s="255" t="str">
        <f t="array" ref="H133">IF($G$123=0,"",IFERROR(INDEX(Auction!$A$13:$M$672,SMALL(IF(Auction!$M$13:$M$672=$G$123,(ROW(Auction!$M$13:$M$672)-MIN(ROW(Auction!$M$13:$M$672))+1),""),ROW(G9)),1),""))</f>
        <v/>
      </c>
      <c r="I133" s="176">
        <f>IF(ISERROR(VLOOKUP(H133,Auction!$A$13:$I$672,7,FALSE)),0,VLOOKUP(H133,Auction!$A$13:$I$672,8,FALSE))</f>
        <v>0</v>
      </c>
      <c r="J133" s="177">
        <f>IFERROR(VLOOKUP(H133,Auction!$A$13:$I$672,9,FALSE)-I133,0)</f>
        <v>0</v>
      </c>
      <c r="K133" s="184" t="str">
        <f>IFERROR(INDEX(Auction!$C$13:$C$672,MATCH(H133,Auction!$A$13:$A$672,0)),"")</f>
        <v/>
      </c>
    </row>
    <row r="134" spans="1:11" x14ac:dyDescent="0.25">
      <c r="A134" s="167" t="str">
        <f>IFERROR(INDEX(Auction!$B$13:$B$672,MATCH(B134,Auction!$A$13:$A$672,0)),"")</f>
        <v/>
      </c>
      <c r="B134" s="255" t="str">
        <f t="array" ref="B134">IF($A$123=0,"",IFERROR(INDEX(Auction!$A$13:$M$672,SMALL(IF(Auction!$M$13:$M$672=$A$123,(ROW(Auction!$M$13:$M$672)-MIN(ROW(Auction!$M$13:$M$672))+1),""),ROW(A10)),1),""))</f>
        <v/>
      </c>
      <c r="C134" s="176">
        <f>IF(ISERROR(VLOOKUP(B134,Auction!$A$13:$I$672,7,FALSE)),0,VLOOKUP(B134,Auction!$A$13:$I$672,8,FALSE))</f>
        <v>0</v>
      </c>
      <c r="D134" s="177">
        <f>IFERROR(VLOOKUP(B134,Auction!$A$13:$I$672,9,FALSE)-C134,0)</f>
        <v>0</v>
      </c>
      <c r="E134" s="184" t="str">
        <f>IFERROR(INDEX(Auction!$C$13:$C$672,MATCH(B134,Auction!$A$13:$A$672,0)),"")</f>
        <v/>
      </c>
      <c r="F134" s="1"/>
      <c r="G134" s="167" t="str">
        <f>IFERROR(INDEX(Auction!$B$13:$B$672,MATCH(H134,Auction!$A$13:$A$672,0)),"")</f>
        <v/>
      </c>
      <c r="H134" s="255" t="str">
        <f t="array" ref="H134">IF($G$123=0,"",IFERROR(INDEX(Auction!$A$13:$M$672,SMALL(IF(Auction!$M$13:$M$672=$G$123,(ROW(Auction!$M$13:$M$672)-MIN(ROW(Auction!$M$13:$M$672))+1),""),ROW(G10)),1),""))</f>
        <v/>
      </c>
      <c r="I134" s="176">
        <f>IF(ISERROR(VLOOKUP(H134,Auction!$A$13:$I$672,7,FALSE)),0,VLOOKUP(H134,Auction!$A$13:$I$672,8,FALSE))</f>
        <v>0</v>
      </c>
      <c r="J134" s="177">
        <f>IFERROR(VLOOKUP(H134,Auction!$A$13:$I$672,9,FALSE)-I134,0)</f>
        <v>0</v>
      </c>
      <c r="K134" s="184" t="str">
        <f>IFERROR(INDEX(Auction!$C$13:$C$672,MATCH(H134,Auction!$A$13:$A$672,0)),"")</f>
        <v/>
      </c>
    </row>
    <row r="135" spans="1:11" x14ac:dyDescent="0.25">
      <c r="A135" s="167" t="str">
        <f>IFERROR(INDEX(Auction!$B$13:$B$672,MATCH(B135,Auction!$A$13:$A$672,0)),"")</f>
        <v/>
      </c>
      <c r="B135" s="255" t="str">
        <f t="array" ref="B135">IF($A$123=0,"",IFERROR(INDEX(Auction!$A$13:$M$672,SMALL(IF(Auction!$M$13:$M$672=$A$123,(ROW(Auction!$M$13:$M$672)-MIN(ROW(Auction!$M$13:$M$672))+1),""),ROW(A11)),1),""))</f>
        <v/>
      </c>
      <c r="C135" s="176">
        <f>IF(ISERROR(VLOOKUP(B135,Auction!$A$13:$I$672,7,FALSE)),0,VLOOKUP(B135,Auction!$A$13:$I$672,8,FALSE))</f>
        <v>0</v>
      </c>
      <c r="D135" s="177">
        <f>IFERROR(VLOOKUP(B135,Auction!$A$13:$I$672,9,FALSE)-C135,0)</f>
        <v>0</v>
      </c>
      <c r="E135" s="184" t="str">
        <f>IFERROR(INDEX(Auction!$C$13:$C$672,MATCH(B135,Auction!$A$13:$A$672,0)),"")</f>
        <v/>
      </c>
      <c r="F135" s="1"/>
      <c r="G135" s="167" t="str">
        <f>IFERROR(INDEX(Auction!$B$13:$B$672,MATCH(H135,Auction!$A$13:$A$672,0)),"")</f>
        <v/>
      </c>
      <c r="H135" s="255" t="str">
        <f t="array" ref="H135">IF($G$123=0,"",IFERROR(INDEX(Auction!$A$13:$M$672,SMALL(IF(Auction!$M$13:$M$672=$G$123,(ROW(Auction!$M$13:$M$672)-MIN(ROW(Auction!$M$13:$M$672))+1),""),ROW(G11)),1),""))</f>
        <v/>
      </c>
      <c r="I135" s="176">
        <f>IF(ISERROR(VLOOKUP(H135,Auction!$A$13:$I$672,7,FALSE)),0,VLOOKUP(H135,Auction!$A$13:$I$672,8,FALSE))</f>
        <v>0</v>
      </c>
      <c r="J135" s="177">
        <f>IFERROR(VLOOKUP(H135,Auction!$A$13:$I$672,9,FALSE)-I135,0)</f>
        <v>0</v>
      </c>
      <c r="K135" s="184" t="str">
        <f>IFERROR(INDEX(Auction!$C$13:$C$672,MATCH(H135,Auction!$A$13:$A$672,0)),"")</f>
        <v/>
      </c>
    </row>
    <row r="136" spans="1:11" x14ac:dyDescent="0.25">
      <c r="A136" s="167" t="str">
        <f>IFERROR(INDEX(Auction!$B$13:$B$672,MATCH(B136,Auction!$A$13:$A$672,0)),"")</f>
        <v/>
      </c>
      <c r="B136" s="255" t="str">
        <f t="array" ref="B136">IF($A$123=0,"",IFERROR(INDEX(Auction!$A$13:$M$672,SMALL(IF(Auction!$M$13:$M$672=$A$123,(ROW(Auction!$M$13:$M$672)-MIN(ROW(Auction!$M$13:$M$672))+1),""),ROW(A12)),1),""))</f>
        <v/>
      </c>
      <c r="C136" s="176">
        <f>IF(ISERROR(VLOOKUP(B136,Auction!$A$13:$I$672,7,FALSE)),0,VLOOKUP(B136,Auction!$A$13:$I$672,8,FALSE))</f>
        <v>0</v>
      </c>
      <c r="D136" s="177">
        <f>IFERROR(VLOOKUP(B136,Auction!$A$13:$I$672,9,FALSE)-C136,0)</f>
        <v>0</v>
      </c>
      <c r="E136" s="184" t="str">
        <f>IFERROR(INDEX(Auction!$C$13:$C$672,MATCH(B136,Auction!$A$13:$A$672,0)),"")</f>
        <v/>
      </c>
      <c r="F136" s="1"/>
      <c r="G136" s="167" t="str">
        <f>IFERROR(INDEX(Auction!$B$13:$B$672,MATCH(H136,Auction!$A$13:$A$672,0)),"")</f>
        <v/>
      </c>
      <c r="H136" s="255" t="str">
        <f t="array" ref="H136">IF($G$123=0,"",IFERROR(INDEX(Auction!$A$13:$M$672,SMALL(IF(Auction!$M$13:$M$672=$G$123,(ROW(Auction!$M$13:$M$672)-MIN(ROW(Auction!$M$13:$M$672))+1),""),ROW(G12)),1),""))</f>
        <v/>
      </c>
      <c r="I136" s="176">
        <f>IF(ISERROR(VLOOKUP(H136,Auction!$A$13:$I$672,7,FALSE)),0,VLOOKUP(H136,Auction!$A$13:$I$672,8,FALSE))</f>
        <v>0</v>
      </c>
      <c r="J136" s="177">
        <f>IFERROR(VLOOKUP(H136,Auction!$A$13:$I$672,9,FALSE)-I136,0)</f>
        <v>0</v>
      </c>
      <c r="K136" s="184" t="str">
        <f>IFERROR(INDEX(Auction!$C$13:$C$672,MATCH(H136,Auction!$A$13:$A$672,0)),"")</f>
        <v/>
      </c>
    </row>
    <row r="137" spans="1:11" x14ac:dyDescent="0.25">
      <c r="A137" s="167" t="str">
        <f>IFERROR(INDEX(Auction!$B$13:$B$672,MATCH(B137,Auction!$A$13:$A$672,0)),"")</f>
        <v/>
      </c>
      <c r="B137" s="255" t="str">
        <f t="array" ref="B137">IF($A$123=0,"",IFERROR(INDEX(Auction!$A$13:$M$672,SMALL(IF(Auction!$M$13:$M$672=$A$123,(ROW(Auction!$M$13:$M$672)-MIN(ROW(Auction!$M$13:$M$672))+1),""),ROW(A13)),1),""))</f>
        <v/>
      </c>
      <c r="C137" s="176">
        <f>IF(ISERROR(VLOOKUP(B137,Auction!$A$13:$I$672,7,FALSE)),0,VLOOKUP(B137,Auction!$A$13:$I$672,8,FALSE))</f>
        <v>0</v>
      </c>
      <c r="D137" s="177">
        <f>IFERROR(VLOOKUP(B137,Auction!$A$13:$I$672,9,FALSE)-C137,0)</f>
        <v>0</v>
      </c>
      <c r="E137" s="184" t="str">
        <f>IFERROR(INDEX(Auction!$C$13:$C$672,MATCH(B137,Auction!$A$13:$A$672,0)),"")</f>
        <v/>
      </c>
      <c r="F137" s="1"/>
      <c r="G137" s="167" t="str">
        <f>IFERROR(INDEX(Auction!$B$13:$B$672,MATCH(H137,Auction!$A$13:$A$672,0)),"")</f>
        <v/>
      </c>
      <c r="H137" s="255" t="str">
        <f t="array" ref="H137">IF($G$123=0,"",IFERROR(INDEX(Auction!$A$13:$M$672,SMALL(IF(Auction!$M$13:$M$672=$G$123,(ROW(Auction!$M$13:$M$672)-MIN(ROW(Auction!$M$13:$M$672))+1),""),ROW(G13)),1),""))</f>
        <v/>
      </c>
      <c r="I137" s="176">
        <f>IF(ISERROR(VLOOKUP(H137,Auction!$A$13:$I$672,7,FALSE)),0,VLOOKUP(H137,Auction!$A$13:$I$672,8,FALSE))</f>
        <v>0</v>
      </c>
      <c r="J137" s="177">
        <f>IFERROR(VLOOKUP(H137,Auction!$A$13:$I$672,9,FALSE)-I137,0)</f>
        <v>0</v>
      </c>
      <c r="K137" s="184" t="str">
        <f>IFERROR(INDEX(Auction!$C$13:$C$672,MATCH(H137,Auction!$A$13:$A$672,0)),"")</f>
        <v/>
      </c>
    </row>
    <row r="138" spans="1:11" x14ac:dyDescent="0.25">
      <c r="A138" s="167" t="str">
        <f>IFERROR(INDEX(Auction!$B$13:$B$672,MATCH(B138,Auction!$A$13:$A$672,0)),"")</f>
        <v/>
      </c>
      <c r="B138" s="255" t="str">
        <f t="array" ref="B138">IF($A$123=0,"",IFERROR(INDEX(Auction!$A$13:$M$672,SMALL(IF(Auction!$M$13:$M$672=$A$123,(ROW(Auction!$M$13:$M$672)-MIN(ROW(Auction!$M$13:$M$672))+1),""),ROW(A14)),1),""))</f>
        <v/>
      </c>
      <c r="C138" s="176">
        <f>IF(ISERROR(VLOOKUP(B138,Auction!$A$13:$I$672,7,FALSE)),0,VLOOKUP(B138,Auction!$A$13:$I$672,8,FALSE))</f>
        <v>0</v>
      </c>
      <c r="D138" s="177">
        <f>IFERROR(VLOOKUP(B138,Auction!$A$13:$I$672,9,FALSE)-C138,0)</f>
        <v>0</v>
      </c>
      <c r="E138" s="184" t="str">
        <f>IFERROR(INDEX(Auction!$C$13:$C$672,MATCH(B138,Auction!$A$13:$A$672,0)),"")</f>
        <v/>
      </c>
      <c r="F138" s="1"/>
      <c r="G138" s="167" t="str">
        <f>IFERROR(INDEX(Auction!$B$13:$B$672,MATCH(H138,Auction!$A$13:$A$672,0)),"")</f>
        <v/>
      </c>
      <c r="H138" s="255" t="str">
        <f t="array" ref="H138">IF($G$123=0,"",IFERROR(INDEX(Auction!$A$13:$M$672,SMALL(IF(Auction!$M$13:$M$672=$G$123,(ROW(Auction!$M$13:$M$672)-MIN(ROW(Auction!$M$13:$M$672))+1),""),ROW(G14)),1),""))</f>
        <v/>
      </c>
      <c r="I138" s="176">
        <f>IF(ISERROR(VLOOKUP(H138,Auction!$A$13:$I$672,7,FALSE)),0,VLOOKUP(H138,Auction!$A$13:$I$672,8,FALSE))</f>
        <v>0</v>
      </c>
      <c r="J138" s="177">
        <f>IFERROR(VLOOKUP(H138,Auction!$A$13:$I$672,9,FALSE)-I138,0)</f>
        <v>0</v>
      </c>
      <c r="K138" s="184" t="str">
        <f>IFERROR(INDEX(Auction!$C$13:$C$672,MATCH(H138,Auction!$A$13:$A$672,0)),"")</f>
        <v/>
      </c>
    </row>
    <row r="139" spans="1:11" x14ac:dyDescent="0.25">
      <c r="A139" s="167" t="str">
        <f>IFERROR(INDEX(Auction!$B$13:$B$672,MATCH(B139,Auction!$A$13:$A$672,0)),"")</f>
        <v/>
      </c>
      <c r="B139" s="255" t="str">
        <f t="array" ref="B139">IF($A$123=0,"",IFERROR(INDEX(Auction!$A$13:$M$672,SMALL(IF(Auction!$M$13:$M$672=$A$123,(ROW(Auction!$M$13:$M$672)-MIN(ROW(Auction!$M$13:$M$672))+1),""),ROW(A15)),1),""))</f>
        <v/>
      </c>
      <c r="C139" s="176">
        <f>IF(ISERROR(VLOOKUP(B139,Auction!$A$13:$I$672,7,FALSE)),0,VLOOKUP(B139,Auction!$A$13:$I$672,8,FALSE))</f>
        <v>0</v>
      </c>
      <c r="D139" s="177">
        <f>IFERROR(VLOOKUP(B139,Auction!$A$13:$I$672,9,FALSE)-C139,0)</f>
        <v>0</v>
      </c>
      <c r="E139" s="184" t="str">
        <f>IFERROR(INDEX(Auction!$C$13:$C$672,MATCH(B139,Auction!$A$13:$A$672,0)),"")</f>
        <v/>
      </c>
      <c r="F139" s="1"/>
      <c r="G139" s="167" t="str">
        <f>IFERROR(INDEX(Auction!$B$13:$B$672,MATCH(H139,Auction!$A$13:$A$672,0)),"")</f>
        <v/>
      </c>
      <c r="H139" s="255" t="str">
        <f t="array" ref="H139">IF($G$123=0,"",IFERROR(INDEX(Auction!$A$13:$M$672,SMALL(IF(Auction!$M$13:$M$672=$G$123,(ROW(Auction!$M$13:$M$672)-MIN(ROW(Auction!$M$13:$M$672))+1),""),ROW(G15)),1),""))</f>
        <v/>
      </c>
      <c r="I139" s="176">
        <f>IF(ISERROR(VLOOKUP(H139,Auction!$A$13:$I$672,7,FALSE)),0,VLOOKUP(H139,Auction!$A$13:$I$672,8,FALSE))</f>
        <v>0</v>
      </c>
      <c r="J139" s="177">
        <f>IFERROR(VLOOKUP(H139,Auction!$A$13:$I$672,9,FALSE)-I139,0)</f>
        <v>0</v>
      </c>
      <c r="K139" s="184" t="str">
        <f>IFERROR(INDEX(Auction!$C$13:$C$672,MATCH(H139,Auction!$A$13:$A$672,0)),"")</f>
        <v/>
      </c>
    </row>
    <row r="140" spans="1:11" x14ac:dyDescent="0.25">
      <c r="A140" s="167" t="str">
        <f>IFERROR(INDEX(Auction!$B$13:$B$672,MATCH(B140,Auction!$A$13:$A$672,0)),"")</f>
        <v/>
      </c>
      <c r="B140" s="255" t="str">
        <f t="array" ref="B140">IF($A$123=0,"",IFERROR(INDEX(Auction!$A$13:$M$672,SMALL(IF(Auction!$M$13:$M$672=$A$123,(ROW(Auction!$M$13:$M$672)-MIN(ROW(Auction!$M$13:$M$672))+1),""),ROW(A16)),1),""))</f>
        <v/>
      </c>
      <c r="C140" s="176">
        <f>IF(ISERROR(VLOOKUP(B140,Auction!$A$13:$I$672,7,FALSE)),0,VLOOKUP(B140,Auction!$A$13:$I$672,8,FALSE))</f>
        <v>0</v>
      </c>
      <c r="D140" s="177">
        <f>IFERROR(VLOOKUP(B140,Auction!$A$13:$I$672,9,FALSE)-C140,0)</f>
        <v>0</v>
      </c>
      <c r="E140" s="184" t="str">
        <f>IFERROR(INDEX(Auction!$C$13:$C$672,MATCH(B140,Auction!$A$13:$A$672,0)),"")</f>
        <v/>
      </c>
      <c r="F140" s="1"/>
      <c r="G140" s="167" t="str">
        <f>IFERROR(INDEX(Auction!$B$13:$B$672,MATCH(H140,Auction!$A$13:$A$672,0)),"")</f>
        <v/>
      </c>
      <c r="H140" s="255" t="str">
        <f t="array" ref="H140">IF($G$123=0,"",IFERROR(INDEX(Auction!$A$13:$M$672,SMALL(IF(Auction!$M$13:$M$672=$G$123,(ROW(Auction!$M$13:$M$672)-MIN(ROW(Auction!$M$13:$M$672))+1),""),ROW(G16)),1),""))</f>
        <v/>
      </c>
      <c r="I140" s="176">
        <f>IF(ISERROR(VLOOKUP(H140,Auction!$A$13:$I$672,7,FALSE)),0,VLOOKUP(H140,Auction!$A$13:$I$672,8,FALSE))</f>
        <v>0</v>
      </c>
      <c r="J140" s="177">
        <f>IFERROR(VLOOKUP(H140,Auction!$A$13:$I$672,9,FALSE)-I140,0)</f>
        <v>0</v>
      </c>
      <c r="K140" s="184" t="str">
        <f>IFERROR(INDEX(Auction!$C$13:$C$672,MATCH(H140,Auction!$A$13:$A$672,0)),"")</f>
        <v/>
      </c>
    </row>
    <row r="141" spans="1:11" x14ac:dyDescent="0.25">
      <c r="A141" s="167" t="str">
        <f>IFERROR(INDEX(Auction!$B$13:$B$672,MATCH(B141,Auction!$A$13:$A$672,0)),"")</f>
        <v/>
      </c>
      <c r="B141" s="255" t="str">
        <f t="array" ref="B141">IF($A$123=0,"",IFERROR(INDEX(Auction!$A$13:$M$672,SMALL(IF(Auction!$M$13:$M$672=$A$123,(ROW(Auction!$M$13:$M$672)-MIN(ROW(Auction!$M$13:$M$672))+1),""),ROW(A17)),1),""))</f>
        <v/>
      </c>
      <c r="C141" s="176">
        <f>IF(ISERROR(VLOOKUP(B141,Auction!$A$13:$I$672,7,FALSE)),0,VLOOKUP(B141,Auction!$A$13:$I$672,8,FALSE))</f>
        <v>0</v>
      </c>
      <c r="D141" s="177">
        <f>IFERROR(VLOOKUP(B141,Auction!$A$13:$I$672,9,FALSE)-C141,0)</f>
        <v>0</v>
      </c>
      <c r="E141" s="184" t="str">
        <f>IFERROR(INDEX(Auction!$C$13:$C$672,MATCH(B141,Auction!$A$13:$A$672,0)),"")</f>
        <v/>
      </c>
      <c r="F141" s="1"/>
      <c r="G141" s="167" t="str">
        <f>IFERROR(INDEX(Auction!$B$13:$B$672,MATCH(H141,Auction!$A$13:$A$672,0)),"")</f>
        <v/>
      </c>
      <c r="H141" s="255" t="str">
        <f t="array" ref="H141">IF($G$123=0,"",IFERROR(INDEX(Auction!$A$13:$M$672,SMALL(IF(Auction!$M$13:$M$672=$G$123,(ROW(Auction!$M$13:$M$672)-MIN(ROW(Auction!$M$13:$M$672))+1),""),ROW(G17)),1),""))</f>
        <v/>
      </c>
      <c r="I141" s="176">
        <f>IF(ISERROR(VLOOKUP(H141,Auction!$A$13:$I$672,7,FALSE)),0,VLOOKUP(H141,Auction!$A$13:$I$672,8,FALSE))</f>
        <v>0</v>
      </c>
      <c r="J141" s="177">
        <f>IFERROR(VLOOKUP(H141,Auction!$A$13:$I$672,9,FALSE)-I141,0)</f>
        <v>0</v>
      </c>
      <c r="K141" s="184" t="str">
        <f>IFERROR(INDEX(Auction!$C$13:$C$672,MATCH(H141,Auction!$A$13:$A$672,0)),"")</f>
        <v/>
      </c>
    </row>
    <row r="142" spans="1:11" x14ac:dyDescent="0.25">
      <c r="A142" s="167" t="str">
        <f>IFERROR(INDEX(Auction!$B$13:$B$672,MATCH(B142,Auction!$A$13:$A$672,0)),"")</f>
        <v/>
      </c>
      <c r="B142" s="255" t="str">
        <f t="array" ref="B142">IF($A$123=0,"",IFERROR(INDEX(Auction!$A$13:$M$672,SMALL(IF(Auction!$M$13:$M$672=$A$123,(ROW(Auction!$M$13:$M$672)-MIN(ROW(Auction!$M$13:$M$672))+1),""),ROW(A18)),1),""))</f>
        <v/>
      </c>
      <c r="C142" s="176">
        <f>IF(ISERROR(VLOOKUP(B142,Auction!$A$13:$I$672,7,FALSE)),0,VLOOKUP(B142,Auction!$A$13:$I$672,8,FALSE))</f>
        <v>0</v>
      </c>
      <c r="D142" s="177">
        <f>IFERROR(VLOOKUP(B142,Auction!$A$13:$I$672,9,FALSE)-C142,0)</f>
        <v>0</v>
      </c>
      <c r="E142" s="184" t="str">
        <f>IFERROR(INDEX(Auction!$C$13:$C$672,MATCH(B142,Auction!$A$13:$A$672,0)),"")</f>
        <v/>
      </c>
      <c r="F142" s="1"/>
      <c r="G142" s="167" t="str">
        <f>IFERROR(INDEX(Auction!$B$13:$B$672,MATCH(H142,Auction!$A$13:$A$672,0)),"")</f>
        <v/>
      </c>
      <c r="H142" s="255" t="str">
        <f t="array" ref="H142">IF($G$123=0,"",IFERROR(INDEX(Auction!$A$13:$M$672,SMALL(IF(Auction!$M$13:$M$672=$G$123,(ROW(Auction!$M$13:$M$672)-MIN(ROW(Auction!$M$13:$M$672))+1),""),ROW(G18)),1),""))</f>
        <v/>
      </c>
      <c r="I142" s="176">
        <f>IF(ISERROR(VLOOKUP(H142,Auction!$A$13:$I$672,7,FALSE)),0,VLOOKUP(H142,Auction!$A$13:$I$672,8,FALSE))</f>
        <v>0</v>
      </c>
      <c r="J142" s="177">
        <f>IFERROR(VLOOKUP(H142,Auction!$A$13:$I$672,9,FALSE)-I142,0)</f>
        <v>0</v>
      </c>
      <c r="K142" s="184" t="str">
        <f>IFERROR(INDEX(Auction!$C$13:$C$672,MATCH(H142,Auction!$A$13:$A$672,0)),"")</f>
        <v/>
      </c>
    </row>
    <row r="143" spans="1:11" x14ac:dyDescent="0.25">
      <c r="A143" s="167" t="str">
        <f>IFERROR(INDEX(Auction!$B$13:$B$672,MATCH(B143,Auction!$A$13:$A$672,0)),"")</f>
        <v/>
      </c>
      <c r="B143" s="255" t="str">
        <f t="array" ref="B143">IF($A$123=0,"",IFERROR(INDEX(Auction!$A$13:$M$672,SMALL(IF(Auction!$M$13:$M$672=$A$123,(ROW(Auction!$M$13:$M$672)-MIN(ROW(Auction!$M$13:$M$672))+1),""),ROW(A19)),1),""))</f>
        <v/>
      </c>
      <c r="C143" s="176">
        <f>IF(ISERROR(VLOOKUP(B143,Auction!$A$13:$I$672,7,FALSE)),0,VLOOKUP(B143,Auction!$A$13:$I$672,8,FALSE))</f>
        <v>0</v>
      </c>
      <c r="D143" s="177">
        <f>IFERROR(VLOOKUP(B143,Auction!$A$13:$I$672,9,FALSE)-C143,0)</f>
        <v>0</v>
      </c>
      <c r="E143" s="184" t="str">
        <f>IFERROR(INDEX(Auction!$C$13:$C$672,MATCH(B143,Auction!$A$13:$A$672,0)),"")</f>
        <v/>
      </c>
      <c r="F143" s="1"/>
      <c r="G143" s="167" t="str">
        <f>IFERROR(INDEX(Auction!$B$13:$B$672,MATCH(H143,Auction!$A$13:$A$672,0)),"")</f>
        <v/>
      </c>
      <c r="H143" s="255" t="str">
        <f t="array" ref="H143">IF($G$123=0,"",IFERROR(INDEX(Auction!$A$13:$M$672,SMALL(IF(Auction!$M$13:$M$672=$G$123,(ROW(Auction!$M$13:$M$672)-MIN(ROW(Auction!$M$13:$M$672))+1),""),ROW(G19)),1),""))</f>
        <v/>
      </c>
      <c r="I143" s="176">
        <f>IF(ISERROR(VLOOKUP(H143,Auction!$A$13:$I$672,7,FALSE)),0,VLOOKUP(H143,Auction!$A$13:$I$672,8,FALSE))</f>
        <v>0</v>
      </c>
      <c r="J143" s="177">
        <f>IFERROR(VLOOKUP(H143,Auction!$A$13:$I$672,9,FALSE)-I143,0)</f>
        <v>0</v>
      </c>
      <c r="K143" s="184" t="str">
        <f>IFERROR(INDEX(Auction!$C$13:$C$672,MATCH(H143,Auction!$A$13:$A$672,0)),"")</f>
        <v/>
      </c>
    </row>
    <row r="144" spans="1:11" x14ac:dyDescent="0.25">
      <c r="A144" s="167" t="str">
        <f>IFERROR(INDEX(Auction!$B$13:$B$672,MATCH(B144,Auction!$A$13:$A$672,0)),"")</f>
        <v/>
      </c>
      <c r="B144" s="255" t="str">
        <f t="array" ref="B144">IF($A$123=0,"",IFERROR(INDEX(Auction!$A$13:$M$672,SMALL(IF(Auction!$M$13:$M$672=$A$123,(ROW(Auction!$M$13:$M$672)-MIN(ROW(Auction!$M$13:$M$672))+1),""),ROW(A20)),1),""))</f>
        <v/>
      </c>
      <c r="C144" s="176">
        <f>IF(ISERROR(VLOOKUP(B144,Auction!$A$13:$I$672,7,FALSE)),0,VLOOKUP(B144,Auction!$A$13:$I$672,8,FALSE))</f>
        <v>0</v>
      </c>
      <c r="D144" s="177">
        <f>IFERROR(VLOOKUP(B144,Auction!$A$13:$I$672,9,FALSE)-C144,0)</f>
        <v>0</v>
      </c>
      <c r="E144" s="184" t="str">
        <f>IFERROR(INDEX(Auction!$C$13:$C$672,MATCH(B144,Auction!$A$13:$A$672,0)),"")</f>
        <v/>
      </c>
      <c r="F144" s="1"/>
      <c r="G144" s="167" t="str">
        <f>IFERROR(INDEX(Auction!$B$13:$B$672,MATCH(H144,Auction!$A$13:$A$672,0)),"")</f>
        <v/>
      </c>
      <c r="H144" s="255" t="str">
        <f t="array" ref="H144">IF($G$123=0,"",IFERROR(INDEX(Auction!$A$13:$M$672,SMALL(IF(Auction!$M$13:$M$672=$G$123,(ROW(Auction!$M$13:$M$672)-MIN(ROW(Auction!$M$13:$M$672))+1),""),ROW(G20)),1),""))</f>
        <v/>
      </c>
      <c r="I144" s="176">
        <f>IF(ISERROR(VLOOKUP(H144,Auction!$A$13:$I$672,7,FALSE)),0,VLOOKUP(H144,Auction!$A$13:$I$672,8,FALSE))</f>
        <v>0</v>
      </c>
      <c r="J144" s="177">
        <f>IFERROR(VLOOKUP(H144,Auction!$A$13:$I$672,9,FALSE)-I144,0)</f>
        <v>0</v>
      </c>
      <c r="K144" s="184" t="str">
        <f>IFERROR(INDEX(Auction!$C$13:$C$672,MATCH(H144,Auction!$A$13:$A$672,0)),"")</f>
        <v/>
      </c>
    </row>
    <row r="145" spans="1:11" x14ac:dyDescent="0.25">
      <c r="A145" s="185"/>
      <c r="B145" s="186"/>
      <c r="C145" s="187">
        <f>SUM(C125:C144)</f>
        <v>0</v>
      </c>
      <c r="D145" s="187">
        <f>SUM(D125:D144)</f>
        <v>0</v>
      </c>
      <c r="E145" s="188"/>
      <c r="F145" s="1"/>
      <c r="G145" s="185"/>
      <c r="H145" s="186"/>
      <c r="I145" s="187">
        <f>SUM(I125:I144)</f>
        <v>0</v>
      </c>
      <c r="J145" s="187">
        <f>SUM(J125:J144)</f>
        <v>0</v>
      </c>
      <c r="K145" s="188"/>
    </row>
    <row r="147" spans="1:11" x14ac:dyDescent="0.25">
      <c r="A147" s="280" t="str">
        <f>H14</f>
        <v>Team 12</v>
      </c>
      <c r="B147" s="281"/>
      <c r="C147" s="281"/>
      <c r="D147" s="281"/>
      <c r="E147" s="282"/>
      <c r="F147" s="1"/>
      <c r="G147" s="280">
        <f>H15</f>
        <v>0</v>
      </c>
      <c r="H147" s="281"/>
      <c r="I147" s="281"/>
      <c r="J147" s="281"/>
      <c r="K147" s="282"/>
    </row>
    <row r="148" spans="1:11" x14ac:dyDescent="0.25">
      <c r="A148" s="174" t="s">
        <v>875</v>
      </c>
      <c r="B148" s="182" t="s">
        <v>89</v>
      </c>
      <c r="C148" s="164" t="s">
        <v>876</v>
      </c>
      <c r="D148" s="164" t="s">
        <v>877</v>
      </c>
      <c r="E148" s="175" t="s">
        <v>808</v>
      </c>
      <c r="F148" s="1"/>
      <c r="G148" s="174" t="s">
        <v>875</v>
      </c>
      <c r="H148" s="182" t="s">
        <v>89</v>
      </c>
      <c r="I148" s="164" t="s">
        <v>876</v>
      </c>
      <c r="J148" s="164" t="s">
        <v>877</v>
      </c>
      <c r="K148" s="175" t="s">
        <v>808</v>
      </c>
    </row>
    <row r="149" spans="1:11" x14ac:dyDescent="0.25">
      <c r="A149" s="167" t="str">
        <f>IFERROR(INDEX(Auction!$B$13:$B$672,MATCH(B149,Auction!$A$13:$A$672,0)),"")</f>
        <v/>
      </c>
      <c r="B149" s="255" t="str">
        <f t="array" ref="B149">IF($A$147=0,"",IFERROR(INDEX(Auction!$A$13:$M$672,SMALL(IF(Auction!$M$13:$M$672=$A$147,(ROW(Auction!$M$13:$M$672)-MIN(ROW(Auction!$M$13:$M$672))+1),""),ROW($A1)),1),""))</f>
        <v/>
      </c>
      <c r="C149" s="176">
        <f>IF(ISERROR(VLOOKUP(B149,Auction!$A$13:$I$672,7,FALSE)),0,VLOOKUP(B149,Auction!$A$13:$I$672,8,FALSE))</f>
        <v>0</v>
      </c>
      <c r="D149" s="177">
        <f>IFERROR(VLOOKUP(B149,Auction!$A$13:$I$672,9,FALSE)-C149,0)</f>
        <v>0</v>
      </c>
      <c r="E149" s="183" t="str">
        <f>IFERROR(INDEX(Auction!$C$13:$C$672,MATCH(B149,Auction!$A$13:$A$672,0)),"")</f>
        <v/>
      </c>
      <c r="F149" s="1"/>
      <c r="G149" s="167" t="str">
        <f>IFERROR(INDEX(Auction!$B$13:$B$672,MATCH(H149,Auction!$A$13:$A$672,0)),"")</f>
        <v/>
      </c>
      <c r="H149" s="255" t="str">
        <f t="array" ref="H149">IF($G$147=0,"",IFERROR(INDEX(Auction!$A$13:$M$672,SMALL(IF(Auction!$M$13:$M$672=$G$147,(ROW(Auction!$M$13:$M$672)-MIN(ROW(Auction!$M$13:$M$672))+1),""),ROW($G1)),1),""))</f>
        <v/>
      </c>
      <c r="I149" s="176">
        <f>IF(ISERROR(VLOOKUP(H149,Auction!$A$13:$I$672,7,FALSE)),0,VLOOKUP(H149,Auction!$A$13:$I$672,8,FALSE))</f>
        <v>0</v>
      </c>
      <c r="J149" s="177">
        <f>IFERROR(VLOOKUP(H149,Auction!$A$13:$I$672,9,FALSE)-I149,0)</f>
        <v>0</v>
      </c>
      <c r="K149" s="183" t="str">
        <f>IFERROR(INDEX(Auction!$C$13:$C$672,MATCH(H149,Auction!$A$13:$A$672,0)),"")</f>
        <v/>
      </c>
    </row>
    <row r="150" spans="1:11" x14ac:dyDescent="0.25">
      <c r="A150" s="167" t="str">
        <f>IFERROR(INDEX(Auction!$B$13:$B$672,MATCH(B150,Auction!$A$13:$A$672,0)),"")</f>
        <v/>
      </c>
      <c r="B150" s="255" t="str">
        <f t="array" ref="B150">IF($A$147=0,"",IFERROR(INDEX(Auction!$A$13:$M$672,SMALL(IF(Auction!$M$13:$M$672=$A$147,(ROW(Auction!$M$13:$M$672)-MIN(ROW(Auction!$M$13:$M$672))+1),""),ROW($A2)),1),""))</f>
        <v/>
      </c>
      <c r="C150" s="176">
        <f>IF(ISERROR(VLOOKUP(B150,Auction!$A$13:$I$672,7,FALSE)),0,VLOOKUP(B150,Auction!$A$13:$I$672,8,FALSE))</f>
        <v>0</v>
      </c>
      <c r="D150" s="177">
        <f>IFERROR(VLOOKUP(B150,Auction!$A$13:$I$672,9,FALSE)-C150,0)</f>
        <v>0</v>
      </c>
      <c r="E150" s="183" t="str">
        <f>IFERROR(INDEX(Auction!$C$13:$C$672,MATCH(B150,Auction!$A$13:$A$672,0)),"")</f>
        <v/>
      </c>
      <c r="F150" s="1"/>
      <c r="G150" s="167" t="str">
        <f>IFERROR(INDEX(Auction!$B$13:$B$672,MATCH(H150,Auction!$A$13:$A$672,0)),"")</f>
        <v/>
      </c>
      <c r="H150" s="255" t="str">
        <f t="array" ref="H150">IF($G$147=0,"",IFERROR(INDEX(Auction!$A$13:$M$672,SMALL(IF(Auction!$M$13:$M$672=$G$147,(ROW(Auction!$M$13:$M$672)-MIN(ROW(Auction!$M$13:$M$672))+1),""),ROW($G2)),1),""))</f>
        <v/>
      </c>
      <c r="I150" s="176">
        <f>IF(ISERROR(VLOOKUP(H150,Auction!$A$13:$I$672,7,FALSE)),0,VLOOKUP(H150,Auction!$A$13:$I$672,8,FALSE))</f>
        <v>0</v>
      </c>
      <c r="J150" s="177">
        <f>IFERROR(VLOOKUP(H150,Auction!$A$13:$I$672,9,FALSE)-I150,0)</f>
        <v>0</v>
      </c>
      <c r="K150" s="183" t="str">
        <f>IFERROR(INDEX(Auction!$C$13:$C$672,MATCH(H150,Auction!$A$13:$A$672,0)),"")</f>
        <v/>
      </c>
    </row>
    <row r="151" spans="1:11" x14ac:dyDescent="0.25">
      <c r="A151" s="167" t="str">
        <f>IFERROR(INDEX(Auction!$B$13:$B$672,MATCH(B151,Auction!$A$13:$A$672,0)),"")</f>
        <v/>
      </c>
      <c r="B151" s="255" t="str">
        <f t="array" ref="B151">IF($A$147=0,"",IFERROR(INDEX(Auction!$A$13:$M$672,SMALL(IF(Auction!$M$13:$M$672=$A$147,(ROW(Auction!$M$13:$M$672)-MIN(ROW(Auction!$M$13:$M$672))+1),""),ROW($A3)),1),""))</f>
        <v/>
      </c>
      <c r="C151" s="176">
        <f>IF(ISERROR(VLOOKUP(B151,Auction!$A$13:$I$672,7,FALSE)),0,VLOOKUP(B151,Auction!$A$13:$I$672,8,FALSE))</f>
        <v>0</v>
      </c>
      <c r="D151" s="177">
        <f>IFERROR(VLOOKUP(B151,Auction!$A$13:$I$672,9,FALSE)-C151,0)</f>
        <v>0</v>
      </c>
      <c r="E151" s="183" t="str">
        <f>IFERROR(INDEX(Auction!$C$13:$C$672,MATCH(B151,Auction!$A$13:$A$672,0)),"")</f>
        <v/>
      </c>
      <c r="F151" s="1"/>
      <c r="G151" s="167" t="str">
        <f>IFERROR(INDEX(Auction!$B$13:$B$672,MATCH(H151,Auction!$A$13:$A$672,0)),"")</f>
        <v/>
      </c>
      <c r="H151" s="255" t="str">
        <f t="array" ref="H151">IF($G$147=0,"",IFERROR(INDEX(Auction!$A$13:$M$672,SMALL(IF(Auction!$M$13:$M$672=$G$147,(ROW(Auction!$M$13:$M$672)-MIN(ROW(Auction!$M$13:$M$672))+1),""),ROW($G3)),1),""))</f>
        <v/>
      </c>
      <c r="I151" s="176">
        <f>IF(ISERROR(VLOOKUP(H151,Auction!$A$13:$I$672,7,FALSE)),0,VLOOKUP(H151,Auction!$A$13:$I$672,8,FALSE))</f>
        <v>0</v>
      </c>
      <c r="J151" s="177">
        <f>IFERROR(VLOOKUP(H151,Auction!$A$13:$I$672,9,FALSE)-I151,0)</f>
        <v>0</v>
      </c>
      <c r="K151" s="183" t="str">
        <f>IFERROR(INDEX(Auction!$C$13:$C$672,MATCH(H151,Auction!$A$13:$A$672,0)),"")</f>
        <v/>
      </c>
    </row>
    <row r="152" spans="1:11" x14ac:dyDescent="0.25">
      <c r="A152" s="167" t="str">
        <f>IFERROR(INDEX(Auction!$B$13:$B$672,MATCH(B152,Auction!$A$13:$A$672,0)),"")</f>
        <v/>
      </c>
      <c r="B152" s="255" t="str">
        <f t="array" ref="B152">IF($A$147=0,"",IFERROR(INDEX(Auction!$A$13:$M$672,SMALL(IF(Auction!$M$13:$M$672=$A$147,(ROW(Auction!$M$13:$M$672)-MIN(ROW(Auction!$M$13:$M$672))+1),""),ROW($A4)),1),""))</f>
        <v/>
      </c>
      <c r="C152" s="176">
        <f>IF(ISERROR(VLOOKUP(B152,Auction!$A$13:$I$672,7,FALSE)),0,VLOOKUP(B152,Auction!$A$13:$I$672,8,FALSE))</f>
        <v>0</v>
      </c>
      <c r="D152" s="177">
        <f>IFERROR(VLOOKUP(B152,Auction!$A$13:$I$672,9,FALSE)-C152,0)</f>
        <v>0</v>
      </c>
      <c r="E152" s="183" t="str">
        <f>IFERROR(INDEX(Auction!$C$13:$C$672,MATCH(B152,Auction!$A$13:$A$672,0)),"")</f>
        <v/>
      </c>
      <c r="F152" s="1"/>
      <c r="G152" s="167" t="str">
        <f>IFERROR(INDEX(Auction!$B$13:$B$672,MATCH(H152,Auction!$A$13:$A$672,0)),"")</f>
        <v/>
      </c>
      <c r="H152" s="255" t="str">
        <f t="array" ref="H152">IF($G$147=0,"",IFERROR(INDEX(Auction!$A$13:$M$672,SMALL(IF(Auction!$M$13:$M$672=$G$147,(ROW(Auction!$M$13:$M$672)-MIN(ROW(Auction!$M$13:$M$672))+1),""),ROW($G4)),1),""))</f>
        <v/>
      </c>
      <c r="I152" s="176">
        <f>IF(ISERROR(VLOOKUP(H152,Auction!$A$13:$I$672,7,FALSE)),0,VLOOKUP(H152,Auction!$A$13:$I$672,8,FALSE))</f>
        <v>0</v>
      </c>
      <c r="J152" s="177">
        <f>IFERROR(VLOOKUP(H152,Auction!$A$13:$I$672,9,FALSE)-I152,0)</f>
        <v>0</v>
      </c>
      <c r="K152" s="183" t="str">
        <f>IFERROR(INDEX(Auction!$C$13:$C$672,MATCH(H152,Auction!$A$13:$A$672,0)),"")</f>
        <v/>
      </c>
    </row>
    <row r="153" spans="1:11" x14ac:dyDescent="0.25">
      <c r="A153" s="167" t="str">
        <f>IFERROR(INDEX(Auction!$B$13:$B$672,MATCH(B153,Auction!$A$13:$A$672,0)),"")</f>
        <v/>
      </c>
      <c r="B153" s="255" t="str">
        <f t="array" ref="B153">IF($A$147=0,"",IFERROR(INDEX(Auction!$A$13:$M$672,SMALL(IF(Auction!$M$13:$M$672=$A$147,(ROW(Auction!$M$13:$M$672)-MIN(ROW(Auction!$M$13:$M$672))+1),""),ROW($A5)),1),""))</f>
        <v/>
      </c>
      <c r="C153" s="176">
        <f>IF(ISERROR(VLOOKUP(B153,Auction!$A$13:$I$672,7,FALSE)),0,VLOOKUP(B153,Auction!$A$13:$I$672,8,FALSE))</f>
        <v>0</v>
      </c>
      <c r="D153" s="177">
        <f>IFERROR(VLOOKUP(B153,Auction!$A$13:$I$672,9,FALSE)-C153,0)</f>
        <v>0</v>
      </c>
      <c r="E153" s="183" t="str">
        <f>IFERROR(INDEX(Auction!$C$13:$C$672,MATCH(B153,Auction!$A$13:$A$672,0)),"")</f>
        <v/>
      </c>
      <c r="F153" s="1"/>
      <c r="G153" s="167" t="str">
        <f>IFERROR(INDEX(Auction!$B$13:$B$672,MATCH(H153,Auction!$A$13:$A$672,0)),"")</f>
        <v/>
      </c>
      <c r="H153" s="255" t="str">
        <f t="array" ref="H153">IF($G$147=0,"",IFERROR(INDEX(Auction!$A$13:$M$672,SMALL(IF(Auction!$M$13:$M$672=$G$147,(ROW(Auction!$M$13:$M$672)-MIN(ROW(Auction!$M$13:$M$672))+1),""),ROW($G5)),1),""))</f>
        <v/>
      </c>
      <c r="I153" s="176">
        <f>IF(ISERROR(VLOOKUP(H153,Auction!$A$13:$I$672,7,FALSE)),0,VLOOKUP(H153,Auction!$A$13:$I$672,8,FALSE))</f>
        <v>0</v>
      </c>
      <c r="J153" s="177">
        <f>IFERROR(VLOOKUP(H153,Auction!$A$13:$I$672,9,FALSE)-I153,0)</f>
        <v>0</v>
      </c>
      <c r="K153" s="183" t="str">
        <f>IFERROR(INDEX(Auction!$C$13:$C$672,MATCH(H153,Auction!$A$13:$A$672,0)),"")</f>
        <v/>
      </c>
    </row>
    <row r="154" spans="1:11" x14ac:dyDescent="0.25">
      <c r="A154" s="167" t="str">
        <f>IFERROR(INDEX(Auction!$B$13:$B$672,MATCH(B154,Auction!$A$13:$A$672,0)),"")</f>
        <v/>
      </c>
      <c r="B154" s="255" t="str">
        <f t="array" ref="B154">IF($A$147=0,"",IFERROR(INDEX(Auction!$A$13:$M$672,SMALL(IF(Auction!$M$13:$M$672=$A$147,(ROW(Auction!$M$13:$M$672)-MIN(ROW(Auction!$M$13:$M$672))+1),""),ROW($A6)),1),""))</f>
        <v/>
      </c>
      <c r="C154" s="176">
        <f>IF(ISERROR(VLOOKUP(B154,Auction!$A$13:$I$672,7,FALSE)),0,VLOOKUP(B154,Auction!$A$13:$I$672,8,FALSE))</f>
        <v>0</v>
      </c>
      <c r="D154" s="177">
        <f>IFERROR(VLOOKUP(B154,Auction!$A$13:$I$672,9,FALSE)-C154,0)</f>
        <v>0</v>
      </c>
      <c r="E154" s="183" t="str">
        <f>IFERROR(INDEX(Auction!$C$13:$C$672,MATCH(B154,Auction!$A$13:$A$672,0)),"")</f>
        <v/>
      </c>
      <c r="F154" s="1"/>
      <c r="G154" s="167" t="str">
        <f>IFERROR(INDEX(Auction!$B$13:$B$672,MATCH(H154,Auction!$A$13:$A$672,0)),"")</f>
        <v/>
      </c>
      <c r="H154" s="255" t="str">
        <f t="array" ref="H154">IF($G$147=0,"",IFERROR(INDEX(Auction!$A$13:$M$672,SMALL(IF(Auction!$M$13:$M$672=$G$147,(ROW(Auction!$M$13:$M$672)-MIN(ROW(Auction!$M$13:$M$672))+1),""),ROW($G6)),1),""))</f>
        <v/>
      </c>
      <c r="I154" s="176">
        <f>IF(ISERROR(VLOOKUP(H154,Auction!$A$13:$I$672,7,FALSE)),0,VLOOKUP(H154,Auction!$A$13:$I$672,8,FALSE))</f>
        <v>0</v>
      </c>
      <c r="J154" s="177">
        <f>IFERROR(VLOOKUP(H154,Auction!$A$13:$I$672,9,FALSE)-I154,0)</f>
        <v>0</v>
      </c>
      <c r="K154" s="183" t="str">
        <f>IFERROR(INDEX(Auction!$C$13:$C$672,MATCH(H154,Auction!$A$13:$A$672,0)),"")</f>
        <v/>
      </c>
    </row>
    <row r="155" spans="1:11" x14ac:dyDescent="0.25">
      <c r="A155" s="167" t="str">
        <f>IFERROR(INDEX(Auction!$B$13:$B$672,MATCH(B155,Auction!$A$13:$A$672,0)),"")</f>
        <v/>
      </c>
      <c r="B155" s="255" t="str">
        <f t="array" ref="B155">IF($A$147=0,"",IFERROR(INDEX(Auction!$A$13:$M$672,SMALL(IF(Auction!$M$13:$M$672=$A$147,(ROW(Auction!$M$13:$M$672)-MIN(ROW(Auction!$M$13:$M$672))+1),""),ROW($A7)),1),""))</f>
        <v/>
      </c>
      <c r="C155" s="176">
        <f>IF(ISERROR(VLOOKUP(B155,Auction!$A$13:$I$672,7,FALSE)),0,VLOOKUP(B155,Auction!$A$13:$I$672,8,FALSE))</f>
        <v>0</v>
      </c>
      <c r="D155" s="177">
        <f>IFERROR(VLOOKUP(B155,Auction!$A$13:$I$672,9,FALSE)-C155,0)</f>
        <v>0</v>
      </c>
      <c r="E155" s="183" t="str">
        <f>IFERROR(INDEX(Auction!$C$13:$C$672,MATCH(B155,Auction!$A$13:$A$672,0)),"")</f>
        <v/>
      </c>
      <c r="F155" s="1"/>
      <c r="G155" s="167" t="str">
        <f>IFERROR(INDEX(Auction!$B$13:$B$672,MATCH(H155,Auction!$A$13:$A$672,0)),"")</f>
        <v/>
      </c>
      <c r="H155" s="255" t="str">
        <f t="array" ref="H155">IF($G$147=0,"",IFERROR(INDEX(Auction!$A$13:$M$672,SMALL(IF(Auction!$M$13:$M$672=$G$147,(ROW(Auction!$M$13:$M$672)-MIN(ROW(Auction!$M$13:$M$672))+1),""),ROW($G7)),1),""))</f>
        <v/>
      </c>
      <c r="I155" s="176">
        <f>IF(ISERROR(VLOOKUP(H155,Auction!$A$13:$I$672,7,FALSE)),0,VLOOKUP(H155,Auction!$A$13:$I$672,8,FALSE))</f>
        <v>0</v>
      </c>
      <c r="J155" s="177">
        <f>IFERROR(VLOOKUP(H155,Auction!$A$13:$I$672,9,FALSE)-I155,0)</f>
        <v>0</v>
      </c>
      <c r="K155" s="183" t="str">
        <f>IFERROR(INDEX(Auction!$C$13:$C$672,MATCH(H155,Auction!$A$13:$A$672,0)),"")</f>
        <v/>
      </c>
    </row>
    <row r="156" spans="1:11" x14ac:dyDescent="0.25">
      <c r="A156" s="167" t="str">
        <f>IFERROR(INDEX(Auction!$B$13:$B$672,MATCH(B156,Auction!$A$13:$A$672,0)),"")</f>
        <v/>
      </c>
      <c r="B156" s="255" t="str">
        <f t="array" ref="B156">IF($A$147=0,"",IFERROR(INDEX(Auction!$A$13:$M$672,SMALL(IF(Auction!$M$13:$M$672=$A$147,(ROW(Auction!$M$13:$M$672)-MIN(ROW(Auction!$M$13:$M$672))+1),""),ROW($A8)),1),""))</f>
        <v/>
      </c>
      <c r="C156" s="176">
        <f>IF(ISERROR(VLOOKUP(B156,Auction!$A$13:$I$672,7,FALSE)),0,VLOOKUP(B156,Auction!$A$13:$I$672,8,FALSE))</f>
        <v>0</v>
      </c>
      <c r="D156" s="177">
        <f>IFERROR(VLOOKUP(B156,Auction!$A$13:$I$672,9,FALSE)-C156,0)</f>
        <v>0</v>
      </c>
      <c r="E156" s="183" t="str">
        <f>IFERROR(INDEX(Auction!$C$13:$C$672,MATCH(B156,Auction!$A$13:$A$672,0)),"")</f>
        <v/>
      </c>
      <c r="F156" s="1"/>
      <c r="G156" s="167" t="str">
        <f>IFERROR(INDEX(Auction!$B$13:$B$672,MATCH(H156,Auction!$A$13:$A$672,0)),"")</f>
        <v/>
      </c>
      <c r="H156" s="255" t="str">
        <f t="array" ref="H156">IF($G$147=0,"",IFERROR(INDEX(Auction!$A$13:$M$672,SMALL(IF(Auction!$M$13:$M$672=$G$147,(ROW(Auction!$M$13:$M$672)-MIN(ROW(Auction!$M$13:$M$672))+1),""),ROW($G8)),1),""))</f>
        <v/>
      </c>
      <c r="I156" s="176">
        <f>IF(ISERROR(VLOOKUP(H156,Auction!$A$13:$I$672,7,FALSE)),0,VLOOKUP(H156,Auction!$A$13:$I$672,8,FALSE))</f>
        <v>0</v>
      </c>
      <c r="J156" s="177">
        <f>IFERROR(VLOOKUP(H156,Auction!$A$13:$I$672,9,FALSE)-I156,0)</f>
        <v>0</v>
      </c>
      <c r="K156" s="183" t="str">
        <f>IFERROR(INDEX(Auction!$C$13:$C$672,MATCH(H156,Auction!$A$13:$A$672,0)),"")</f>
        <v/>
      </c>
    </row>
    <row r="157" spans="1:11" x14ac:dyDescent="0.25">
      <c r="A157" s="167" t="str">
        <f>IFERROR(INDEX(Auction!$B$13:$B$672,MATCH(B157,Auction!$A$13:$A$672,0)),"")</f>
        <v/>
      </c>
      <c r="B157" s="255" t="str">
        <f t="array" ref="B157">IF($A$147=0,"",IFERROR(INDEX(Auction!$A$13:$M$672,SMALL(IF(Auction!$M$13:$M$672=$A$147,(ROW(Auction!$M$13:$M$672)-MIN(ROW(Auction!$M$13:$M$672))+1),""),ROW($A9)),1),""))</f>
        <v/>
      </c>
      <c r="C157" s="176">
        <f>IF(ISERROR(VLOOKUP(B157,Auction!$A$13:$I$672,7,FALSE)),0,VLOOKUP(B157,Auction!$A$13:$I$672,8,FALSE))</f>
        <v>0</v>
      </c>
      <c r="D157" s="177">
        <f>IFERROR(VLOOKUP(B157,Auction!$A$13:$I$672,9,FALSE)-C157,0)</f>
        <v>0</v>
      </c>
      <c r="E157" s="184" t="str">
        <f>IFERROR(INDEX(Auction!$C$13:$C$672,MATCH(B157,Auction!$A$13:$A$672,0)),"")</f>
        <v/>
      </c>
      <c r="F157" s="1"/>
      <c r="G157" s="167" t="str">
        <f>IFERROR(INDEX(Auction!$B$13:$B$672,MATCH(H157,Auction!$A$13:$A$672,0)),"")</f>
        <v/>
      </c>
      <c r="H157" s="255" t="str">
        <f t="array" ref="H157">IF($G$147=0,"",IFERROR(INDEX(Auction!$A$13:$M$672,SMALL(IF(Auction!$M$13:$M$672=$G$147,(ROW(Auction!$M$13:$M$672)-MIN(ROW(Auction!$M$13:$M$672))+1),""),ROW($G9)),1),""))</f>
        <v/>
      </c>
      <c r="I157" s="176">
        <f>IF(ISERROR(VLOOKUP(H157,Auction!$A$13:$I$672,7,FALSE)),0,VLOOKUP(H157,Auction!$A$13:$I$672,8,FALSE))</f>
        <v>0</v>
      </c>
      <c r="J157" s="177">
        <f>IFERROR(VLOOKUP(H157,Auction!$A$13:$I$672,9,FALSE)-I157,0)</f>
        <v>0</v>
      </c>
      <c r="K157" s="184" t="str">
        <f>IFERROR(INDEX(Auction!$C$13:$C$672,MATCH(H157,Auction!$A$13:$A$672,0)),"")</f>
        <v/>
      </c>
    </row>
    <row r="158" spans="1:11" x14ac:dyDescent="0.25">
      <c r="A158" s="167" t="str">
        <f>IFERROR(INDEX(Auction!$B$13:$B$672,MATCH(B158,Auction!$A$13:$A$672,0)),"")</f>
        <v/>
      </c>
      <c r="B158" s="255" t="str">
        <f t="array" ref="B158">IF($A$147=0,"",IFERROR(INDEX(Auction!$A$13:$M$672,SMALL(IF(Auction!$M$13:$M$672=$A$147,(ROW(Auction!$M$13:$M$672)-MIN(ROW(Auction!$M$13:$M$672))+1),""),ROW($A10)),1),""))</f>
        <v/>
      </c>
      <c r="C158" s="176">
        <f>IF(ISERROR(VLOOKUP(B158,Auction!$A$13:$I$672,7,FALSE)),0,VLOOKUP(B158,Auction!$A$13:$I$672,8,FALSE))</f>
        <v>0</v>
      </c>
      <c r="D158" s="177">
        <f>IFERROR(VLOOKUP(B158,Auction!$A$13:$I$672,9,FALSE)-C158,0)</f>
        <v>0</v>
      </c>
      <c r="E158" s="184" t="str">
        <f>IFERROR(INDEX(Auction!$C$13:$C$672,MATCH(B158,Auction!$A$13:$A$672,0)),"")</f>
        <v/>
      </c>
      <c r="F158" s="1"/>
      <c r="G158" s="167" t="str">
        <f>IFERROR(INDEX(Auction!$B$13:$B$672,MATCH(H158,Auction!$A$13:$A$672,0)),"")</f>
        <v/>
      </c>
      <c r="H158" s="255" t="str">
        <f t="array" ref="H158">IF($G$147=0,"",IFERROR(INDEX(Auction!$A$13:$M$672,SMALL(IF(Auction!$M$13:$M$672=$G$147,(ROW(Auction!$M$13:$M$672)-MIN(ROW(Auction!$M$13:$M$672))+1),""),ROW($G10)),1),""))</f>
        <v/>
      </c>
      <c r="I158" s="176">
        <f>IF(ISERROR(VLOOKUP(H158,Auction!$A$13:$I$672,7,FALSE)),0,VLOOKUP(H158,Auction!$A$13:$I$672,8,FALSE))</f>
        <v>0</v>
      </c>
      <c r="J158" s="177">
        <f>IFERROR(VLOOKUP(H158,Auction!$A$13:$I$672,9,FALSE)-I158,0)</f>
        <v>0</v>
      </c>
      <c r="K158" s="184" t="str">
        <f>IFERROR(INDEX(Auction!$C$13:$C$672,MATCH(H158,Auction!$A$13:$A$672,0)),"")</f>
        <v/>
      </c>
    </row>
    <row r="159" spans="1:11" x14ac:dyDescent="0.25">
      <c r="A159" s="167" t="str">
        <f>IFERROR(INDEX(Auction!$B$13:$B$672,MATCH(B159,Auction!$A$13:$A$672,0)),"")</f>
        <v/>
      </c>
      <c r="B159" s="255" t="str">
        <f t="array" ref="B159">IF($A$147=0,"",IFERROR(INDEX(Auction!$A$13:$M$672,SMALL(IF(Auction!$M$13:$M$672=$A$147,(ROW(Auction!$M$13:$M$672)-MIN(ROW(Auction!$M$13:$M$672))+1),""),ROW($A11)),1),""))</f>
        <v/>
      </c>
      <c r="C159" s="176">
        <f>IF(ISERROR(VLOOKUP(B159,Auction!$A$13:$I$672,7,FALSE)),0,VLOOKUP(B159,Auction!$A$13:$I$672,8,FALSE))</f>
        <v>0</v>
      </c>
      <c r="D159" s="177">
        <f>IFERROR(VLOOKUP(B159,Auction!$A$13:$I$672,9,FALSE)-C159,0)</f>
        <v>0</v>
      </c>
      <c r="E159" s="184" t="str">
        <f>IFERROR(INDEX(Auction!$C$13:$C$672,MATCH(B159,Auction!$A$13:$A$672,0)),"")</f>
        <v/>
      </c>
      <c r="F159" s="1"/>
      <c r="G159" s="167" t="str">
        <f>IFERROR(INDEX(Auction!$B$13:$B$672,MATCH(H159,Auction!$A$13:$A$672,0)),"")</f>
        <v/>
      </c>
      <c r="H159" s="255" t="str">
        <f t="array" ref="H159">IF($G$147=0,"",IFERROR(INDEX(Auction!$A$13:$M$672,SMALL(IF(Auction!$M$13:$M$672=$G$147,(ROW(Auction!$M$13:$M$672)-MIN(ROW(Auction!$M$13:$M$672))+1),""),ROW($G11)),1),""))</f>
        <v/>
      </c>
      <c r="I159" s="176">
        <f>IF(ISERROR(VLOOKUP(H159,Auction!$A$13:$I$672,7,FALSE)),0,VLOOKUP(H159,Auction!$A$13:$I$672,8,FALSE))</f>
        <v>0</v>
      </c>
      <c r="J159" s="177">
        <f>IFERROR(VLOOKUP(H159,Auction!$A$13:$I$672,9,FALSE)-I159,0)</f>
        <v>0</v>
      </c>
      <c r="K159" s="184" t="str">
        <f>IFERROR(INDEX(Auction!$C$13:$C$672,MATCH(H159,Auction!$A$13:$A$672,0)),"")</f>
        <v/>
      </c>
    </row>
    <row r="160" spans="1:11" x14ac:dyDescent="0.25">
      <c r="A160" s="167" t="str">
        <f>IFERROR(INDEX(Auction!$B$13:$B$672,MATCH(B160,Auction!$A$13:$A$672,0)),"")</f>
        <v/>
      </c>
      <c r="B160" s="255" t="str">
        <f t="array" ref="B160">IF($A$147=0,"",IFERROR(INDEX(Auction!$A$13:$M$672,SMALL(IF(Auction!$M$13:$M$672=$A$147,(ROW(Auction!$M$13:$M$672)-MIN(ROW(Auction!$M$13:$M$672))+1),""),ROW($A12)),1),""))</f>
        <v/>
      </c>
      <c r="C160" s="176">
        <f>IF(ISERROR(VLOOKUP(B160,Auction!$A$13:$I$672,7,FALSE)),0,VLOOKUP(B160,Auction!$A$13:$I$672,8,FALSE))</f>
        <v>0</v>
      </c>
      <c r="D160" s="177">
        <f>IFERROR(VLOOKUP(B160,Auction!$A$13:$I$672,9,FALSE)-C160,0)</f>
        <v>0</v>
      </c>
      <c r="E160" s="184" t="str">
        <f>IFERROR(INDEX(Auction!$C$13:$C$672,MATCH(B160,Auction!$A$13:$A$672,0)),"")</f>
        <v/>
      </c>
      <c r="F160" s="1"/>
      <c r="G160" s="167" t="str">
        <f>IFERROR(INDEX(Auction!$B$13:$B$672,MATCH(H160,Auction!$A$13:$A$672,0)),"")</f>
        <v/>
      </c>
      <c r="H160" s="255" t="str">
        <f t="array" ref="H160">IF($G$147=0,"",IFERROR(INDEX(Auction!$A$13:$M$672,SMALL(IF(Auction!$M$13:$M$672=$G$147,(ROW(Auction!$M$13:$M$672)-MIN(ROW(Auction!$M$13:$M$672))+1),""),ROW($G12)),1),""))</f>
        <v/>
      </c>
      <c r="I160" s="176">
        <f>IF(ISERROR(VLOOKUP(H160,Auction!$A$13:$I$672,7,FALSE)),0,VLOOKUP(H160,Auction!$A$13:$I$672,8,FALSE))</f>
        <v>0</v>
      </c>
      <c r="J160" s="177">
        <f>IFERROR(VLOOKUP(H160,Auction!$A$13:$I$672,9,FALSE)-I160,0)</f>
        <v>0</v>
      </c>
      <c r="K160" s="184" t="str">
        <f>IFERROR(INDEX(Auction!$C$13:$C$672,MATCH(H160,Auction!$A$13:$A$672,0)),"")</f>
        <v/>
      </c>
    </row>
    <row r="161" spans="1:11" x14ac:dyDescent="0.25">
      <c r="A161" s="167" t="str">
        <f>IFERROR(INDEX(Auction!$B$13:$B$672,MATCH(B161,Auction!$A$13:$A$672,0)),"")</f>
        <v/>
      </c>
      <c r="B161" s="255" t="str">
        <f t="array" ref="B161">IF($A$147=0,"",IFERROR(INDEX(Auction!$A$13:$M$672,SMALL(IF(Auction!$M$13:$M$672=$A$147,(ROW(Auction!$M$13:$M$672)-MIN(ROW(Auction!$M$13:$M$672))+1),""),ROW($A13)),1),""))</f>
        <v/>
      </c>
      <c r="C161" s="176">
        <f>IF(ISERROR(VLOOKUP(B161,Auction!$A$13:$I$672,7,FALSE)),0,VLOOKUP(B161,Auction!$A$13:$I$672,8,FALSE))</f>
        <v>0</v>
      </c>
      <c r="D161" s="177">
        <f>IFERROR(VLOOKUP(B161,Auction!$A$13:$I$672,9,FALSE)-C161,0)</f>
        <v>0</v>
      </c>
      <c r="E161" s="184" t="str">
        <f>IFERROR(INDEX(Auction!$C$13:$C$672,MATCH(B161,Auction!$A$13:$A$672,0)),"")</f>
        <v/>
      </c>
      <c r="F161" s="1"/>
      <c r="G161" s="167" t="str">
        <f>IFERROR(INDEX(Auction!$B$13:$B$672,MATCH(H161,Auction!$A$13:$A$672,0)),"")</f>
        <v/>
      </c>
      <c r="H161" s="255" t="str">
        <f t="array" ref="H161">IF($G$147=0,"",IFERROR(INDEX(Auction!$A$13:$M$672,SMALL(IF(Auction!$M$13:$M$672=$G$147,(ROW(Auction!$M$13:$M$672)-MIN(ROW(Auction!$M$13:$M$672))+1),""),ROW($G13)),1),""))</f>
        <v/>
      </c>
      <c r="I161" s="176">
        <f>IF(ISERROR(VLOOKUP(H161,Auction!$A$13:$I$672,7,FALSE)),0,VLOOKUP(H161,Auction!$A$13:$I$672,8,FALSE))</f>
        <v>0</v>
      </c>
      <c r="J161" s="177">
        <f>IFERROR(VLOOKUP(H161,Auction!$A$13:$I$672,9,FALSE)-I161,0)</f>
        <v>0</v>
      </c>
      <c r="K161" s="184" t="str">
        <f>IFERROR(INDEX(Auction!$C$13:$C$672,MATCH(H161,Auction!$A$13:$A$672,0)),"")</f>
        <v/>
      </c>
    </row>
    <row r="162" spans="1:11" x14ac:dyDescent="0.25">
      <c r="A162" s="167" t="str">
        <f>IFERROR(INDEX(Auction!$B$13:$B$672,MATCH(B162,Auction!$A$13:$A$672,0)),"")</f>
        <v/>
      </c>
      <c r="B162" s="255" t="str">
        <f t="array" ref="B162">IF($A$147=0,"",IFERROR(INDEX(Auction!$A$13:$M$672,SMALL(IF(Auction!$M$13:$M$672=$A$147,(ROW(Auction!$M$13:$M$672)-MIN(ROW(Auction!$M$13:$M$672))+1),""),ROW($A14)),1),""))</f>
        <v/>
      </c>
      <c r="C162" s="176">
        <f>IF(ISERROR(VLOOKUP(B162,Auction!$A$13:$I$672,7,FALSE)),0,VLOOKUP(B162,Auction!$A$13:$I$672,8,FALSE))</f>
        <v>0</v>
      </c>
      <c r="D162" s="177">
        <f>IFERROR(VLOOKUP(B162,Auction!$A$13:$I$672,9,FALSE)-C162,0)</f>
        <v>0</v>
      </c>
      <c r="E162" s="184" t="str">
        <f>IFERROR(INDEX(Auction!$C$13:$C$672,MATCH(B162,Auction!$A$13:$A$672,0)),"")</f>
        <v/>
      </c>
      <c r="F162" s="1"/>
      <c r="G162" s="167" t="str">
        <f>IFERROR(INDEX(Auction!$B$13:$B$672,MATCH(H162,Auction!$A$13:$A$672,0)),"")</f>
        <v/>
      </c>
      <c r="H162" s="255" t="str">
        <f t="array" ref="H162">IF($G$147=0,"",IFERROR(INDEX(Auction!$A$13:$M$672,SMALL(IF(Auction!$M$13:$M$672=$G$147,(ROW(Auction!$M$13:$M$672)-MIN(ROW(Auction!$M$13:$M$672))+1),""),ROW($G14)),1),""))</f>
        <v/>
      </c>
      <c r="I162" s="176">
        <f>IF(ISERROR(VLOOKUP(H162,Auction!$A$13:$I$672,7,FALSE)),0,VLOOKUP(H162,Auction!$A$13:$I$672,8,FALSE))</f>
        <v>0</v>
      </c>
      <c r="J162" s="177">
        <f>IFERROR(VLOOKUP(H162,Auction!$A$13:$I$672,9,FALSE)-I162,0)</f>
        <v>0</v>
      </c>
      <c r="K162" s="184" t="str">
        <f>IFERROR(INDEX(Auction!$C$13:$C$672,MATCH(H162,Auction!$A$13:$A$672,0)),"")</f>
        <v/>
      </c>
    </row>
    <row r="163" spans="1:11" x14ac:dyDescent="0.25">
      <c r="A163" s="167" t="str">
        <f>IFERROR(INDEX(Auction!$B$13:$B$672,MATCH(B163,Auction!$A$13:$A$672,0)),"")</f>
        <v/>
      </c>
      <c r="B163" s="255" t="str">
        <f t="array" ref="B163">IF($A$147=0,"",IFERROR(INDEX(Auction!$A$13:$M$672,SMALL(IF(Auction!$M$13:$M$672=$A$147,(ROW(Auction!$M$13:$M$672)-MIN(ROW(Auction!$M$13:$M$672))+1),""),ROW($A15)),1),""))</f>
        <v/>
      </c>
      <c r="C163" s="176">
        <f>IF(ISERROR(VLOOKUP(B163,Auction!$A$13:$I$672,7,FALSE)),0,VLOOKUP(B163,Auction!$A$13:$I$672,8,FALSE))</f>
        <v>0</v>
      </c>
      <c r="D163" s="177">
        <f>IFERROR(VLOOKUP(B163,Auction!$A$13:$I$672,9,FALSE)-C163,0)</f>
        <v>0</v>
      </c>
      <c r="E163" s="184" t="str">
        <f>IFERROR(INDEX(Auction!$C$13:$C$672,MATCH(B163,Auction!$A$13:$A$672,0)),"")</f>
        <v/>
      </c>
      <c r="F163" s="1"/>
      <c r="G163" s="167" t="str">
        <f>IFERROR(INDEX(Auction!$B$13:$B$672,MATCH(H163,Auction!$A$13:$A$672,0)),"")</f>
        <v/>
      </c>
      <c r="H163" s="255" t="str">
        <f t="array" ref="H163">IF($G$147=0,"",IFERROR(INDEX(Auction!$A$13:$M$672,SMALL(IF(Auction!$M$13:$M$672=$G$147,(ROW(Auction!$M$13:$M$672)-MIN(ROW(Auction!$M$13:$M$672))+1),""),ROW($G15)),1),""))</f>
        <v/>
      </c>
      <c r="I163" s="176">
        <f>IF(ISERROR(VLOOKUP(H163,Auction!$A$13:$I$672,7,FALSE)),0,VLOOKUP(H163,Auction!$A$13:$I$672,8,FALSE))</f>
        <v>0</v>
      </c>
      <c r="J163" s="177">
        <f>IFERROR(VLOOKUP(H163,Auction!$A$13:$I$672,9,FALSE)-I163,0)</f>
        <v>0</v>
      </c>
      <c r="K163" s="184" t="str">
        <f>IFERROR(INDEX(Auction!$C$13:$C$672,MATCH(H163,Auction!$A$13:$A$672,0)),"")</f>
        <v/>
      </c>
    </row>
    <row r="164" spans="1:11" x14ac:dyDescent="0.25">
      <c r="A164" s="167" t="str">
        <f>IFERROR(INDEX(Auction!$B$13:$B$672,MATCH(B164,Auction!$A$13:$A$672,0)),"")</f>
        <v/>
      </c>
      <c r="B164" s="255" t="str">
        <f t="array" ref="B164">IF($A$147=0,"",IFERROR(INDEX(Auction!$A$13:$M$672,SMALL(IF(Auction!$M$13:$M$672=$A$147,(ROW(Auction!$M$13:$M$672)-MIN(ROW(Auction!$M$13:$M$672))+1),""),ROW($A16)),1),""))</f>
        <v/>
      </c>
      <c r="C164" s="176">
        <f>IF(ISERROR(VLOOKUP(B164,Auction!$A$13:$I$672,7,FALSE)),0,VLOOKUP(B164,Auction!$A$13:$I$672,8,FALSE))</f>
        <v>0</v>
      </c>
      <c r="D164" s="177">
        <f>IFERROR(VLOOKUP(B164,Auction!$A$13:$I$672,9,FALSE)-C164,0)</f>
        <v>0</v>
      </c>
      <c r="E164" s="184" t="str">
        <f>IFERROR(INDEX(Auction!$C$13:$C$672,MATCH(B164,Auction!$A$13:$A$672,0)),"")</f>
        <v/>
      </c>
      <c r="F164" s="1"/>
      <c r="G164" s="167" t="str">
        <f>IFERROR(INDEX(Auction!$B$13:$B$672,MATCH(H164,Auction!$A$13:$A$672,0)),"")</f>
        <v/>
      </c>
      <c r="H164" s="255" t="str">
        <f t="array" ref="H164">IF($G$147=0,"",IFERROR(INDEX(Auction!$A$13:$M$672,SMALL(IF(Auction!$M$13:$M$672=$G$147,(ROW(Auction!$M$13:$M$672)-MIN(ROW(Auction!$M$13:$M$672))+1),""),ROW($G16)),1),""))</f>
        <v/>
      </c>
      <c r="I164" s="176">
        <f>IF(ISERROR(VLOOKUP(H164,Auction!$A$13:$I$672,7,FALSE)),0,VLOOKUP(H164,Auction!$A$13:$I$672,8,FALSE))</f>
        <v>0</v>
      </c>
      <c r="J164" s="177">
        <f>IFERROR(VLOOKUP(H164,Auction!$A$13:$I$672,9,FALSE)-I164,0)</f>
        <v>0</v>
      </c>
      <c r="K164" s="184" t="str">
        <f>IFERROR(INDEX(Auction!$C$13:$C$672,MATCH(H164,Auction!$A$13:$A$672,0)),"")</f>
        <v/>
      </c>
    </row>
    <row r="165" spans="1:11" x14ac:dyDescent="0.25">
      <c r="A165" s="167" t="str">
        <f>IFERROR(INDEX(Auction!$B$13:$B$672,MATCH(B165,Auction!$A$13:$A$672,0)),"")</f>
        <v/>
      </c>
      <c r="B165" s="255" t="str">
        <f t="array" ref="B165">IF($A$147=0,"",IFERROR(INDEX(Auction!$A$13:$M$672,SMALL(IF(Auction!$M$13:$M$672=$A$147,(ROW(Auction!$M$13:$M$672)-MIN(ROW(Auction!$M$13:$M$672))+1),""),ROW($A17)),1),""))</f>
        <v/>
      </c>
      <c r="C165" s="176">
        <f>IF(ISERROR(VLOOKUP(B165,Auction!$A$13:$I$672,7,FALSE)),0,VLOOKUP(B165,Auction!$A$13:$I$672,8,FALSE))</f>
        <v>0</v>
      </c>
      <c r="D165" s="177">
        <f>IFERROR(VLOOKUP(B165,Auction!$A$13:$I$672,9,FALSE)-C165,0)</f>
        <v>0</v>
      </c>
      <c r="E165" s="184" t="str">
        <f>IFERROR(INDEX(Auction!$C$13:$C$672,MATCH(B165,Auction!$A$13:$A$672,0)),"")</f>
        <v/>
      </c>
      <c r="F165" s="1"/>
      <c r="G165" s="167" t="str">
        <f>IFERROR(INDEX(Auction!$B$13:$B$672,MATCH(H165,Auction!$A$13:$A$672,0)),"")</f>
        <v/>
      </c>
      <c r="H165" s="255" t="str">
        <f t="array" ref="H165">IF($G$147=0,"",IFERROR(INDEX(Auction!$A$13:$M$672,SMALL(IF(Auction!$M$13:$M$672=$G$147,(ROW(Auction!$M$13:$M$672)-MIN(ROW(Auction!$M$13:$M$672))+1),""),ROW($G17)),1),""))</f>
        <v/>
      </c>
      <c r="I165" s="176">
        <f>IF(ISERROR(VLOOKUP(H165,Auction!$A$13:$I$672,7,FALSE)),0,VLOOKUP(H165,Auction!$A$13:$I$672,8,FALSE))</f>
        <v>0</v>
      </c>
      <c r="J165" s="177">
        <f>IFERROR(VLOOKUP(H165,Auction!$A$13:$I$672,9,FALSE)-I165,0)</f>
        <v>0</v>
      </c>
      <c r="K165" s="184" t="str">
        <f>IFERROR(INDEX(Auction!$C$13:$C$672,MATCH(H165,Auction!$A$13:$A$672,0)),"")</f>
        <v/>
      </c>
    </row>
    <row r="166" spans="1:11" x14ac:dyDescent="0.25">
      <c r="A166" s="167" t="str">
        <f>IFERROR(INDEX(Auction!$B$13:$B$672,MATCH(B166,Auction!$A$13:$A$672,0)),"")</f>
        <v/>
      </c>
      <c r="B166" s="255" t="str">
        <f t="array" ref="B166">IF($A$147=0,"",IFERROR(INDEX(Auction!$A$13:$M$672,SMALL(IF(Auction!$M$13:$M$672=$A$147,(ROW(Auction!$M$13:$M$672)-MIN(ROW(Auction!$M$13:$M$672))+1),""),ROW($A18)),1),""))</f>
        <v/>
      </c>
      <c r="C166" s="176">
        <f>IF(ISERROR(VLOOKUP(B166,Auction!$A$13:$I$672,7,FALSE)),0,VLOOKUP(B166,Auction!$A$13:$I$672,8,FALSE))</f>
        <v>0</v>
      </c>
      <c r="D166" s="177">
        <f>IFERROR(VLOOKUP(B166,Auction!$A$13:$I$672,9,FALSE)-C166,0)</f>
        <v>0</v>
      </c>
      <c r="E166" s="184" t="str">
        <f>IFERROR(INDEX(Auction!$C$13:$C$672,MATCH(B166,Auction!$A$13:$A$672,0)),"")</f>
        <v/>
      </c>
      <c r="F166" s="1"/>
      <c r="G166" s="167" t="str">
        <f>IFERROR(INDEX(Auction!$B$13:$B$672,MATCH(H166,Auction!$A$13:$A$672,0)),"")</f>
        <v/>
      </c>
      <c r="H166" s="255" t="str">
        <f t="array" ref="H166">IF($G$147=0,"",IFERROR(INDEX(Auction!$A$13:$M$672,SMALL(IF(Auction!$M$13:$M$672=$G$147,(ROW(Auction!$M$13:$M$672)-MIN(ROW(Auction!$M$13:$M$672))+1),""),ROW($G18)),1),""))</f>
        <v/>
      </c>
      <c r="I166" s="176">
        <f>IF(ISERROR(VLOOKUP(H166,Auction!$A$13:$I$672,7,FALSE)),0,VLOOKUP(H166,Auction!$A$13:$I$672,8,FALSE))</f>
        <v>0</v>
      </c>
      <c r="J166" s="177">
        <f>IFERROR(VLOOKUP(H166,Auction!$A$13:$I$672,9,FALSE)-I166,0)</f>
        <v>0</v>
      </c>
      <c r="K166" s="184" t="str">
        <f>IFERROR(INDEX(Auction!$C$13:$C$672,MATCH(H166,Auction!$A$13:$A$672,0)),"")</f>
        <v/>
      </c>
    </row>
    <row r="167" spans="1:11" x14ac:dyDescent="0.25">
      <c r="A167" s="167" t="str">
        <f>IFERROR(INDEX(Auction!$B$13:$B$672,MATCH(B167,Auction!$A$13:$A$672,0)),"")</f>
        <v/>
      </c>
      <c r="B167" s="255" t="str">
        <f t="array" ref="B167">IF($A$147=0,"",IFERROR(INDEX(Auction!$A$13:$M$672,SMALL(IF(Auction!$M$13:$M$672=$A$147,(ROW(Auction!$M$13:$M$672)-MIN(ROW(Auction!$M$13:$M$672))+1),""),ROW($A19)),1),""))</f>
        <v/>
      </c>
      <c r="C167" s="176">
        <f>IF(ISERROR(VLOOKUP(B167,Auction!$A$13:$I$672,7,FALSE)),0,VLOOKUP(B167,Auction!$A$13:$I$672,8,FALSE))</f>
        <v>0</v>
      </c>
      <c r="D167" s="177">
        <f>IFERROR(VLOOKUP(B167,Auction!$A$13:$I$672,9,FALSE)-C167,0)</f>
        <v>0</v>
      </c>
      <c r="E167" s="184" t="str">
        <f>IFERROR(INDEX(Auction!$C$13:$C$672,MATCH(B167,Auction!$A$13:$A$672,0)),"")</f>
        <v/>
      </c>
      <c r="F167" s="1"/>
      <c r="G167" s="167" t="str">
        <f>IFERROR(INDEX(Auction!$B$13:$B$672,MATCH(H167,Auction!$A$13:$A$672,0)),"")</f>
        <v/>
      </c>
      <c r="H167" s="255" t="str">
        <f t="array" ref="H167">IF($G$147=0,"",IFERROR(INDEX(Auction!$A$13:$M$672,SMALL(IF(Auction!$M$13:$M$672=$G$147,(ROW(Auction!$M$13:$M$672)-MIN(ROW(Auction!$M$13:$M$672))+1),""),ROW($G19)),1),""))</f>
        <v/>
      </c>
      <c r="I167" s="176">
        <f>IF(ISERROR(VLOOKUP(H167,Auction!$A$13:$I$672,7,FALSE)),0,VLOOKUP(H167,Auction!$A$13:$I$672,8,FALSE))</f>
        <v>0</v>
      </c>
      <c r="J167" s="177">
        <f>IFERROR(VLOOKUP(H167,Auction!$A$13:$I$672,9,FALSE)-I167,0)</f>
        <v>0</v>
      </c>
      <c r="K167" s="184" t="str">
        <f>IFERROR(INDEX(Auction!$C$13:$C$672,MATCH(H167,Auction!$A$13:$A$672,0)),"")</f>
        <v/>
      </c>
    </row>
    <row r="168" spans="1:11" x14ac:dyDescent="0.25">
      <c r="A168" s="167" t="str">
        <f>IFERROR(INDEX(Auction!$B$13:$B$672,MATCH(B168,Auction!$A$13:$A$672,0)),"")</f>
        <v/>
      </c>
      <c r="B168" s="255" t="str">
        <f t="array" ref="B168">IF($A$147=0,"",IFERROR(INDEX(Auction!$A$13:$M$672,SMALL(IF(Auction!$M$13:$M$672=$A$147,(ROW(Auction!$M$13:$M$672)-MIN(ROW(Auction!$M$13:$M$672))+1),""),ROW($A20)),1),""))</f>
        <v/>
      </c>
      <c r="C168" s="176">
        <f>IF(ISERROR(VLOOKUP(B168,Auction!$A$13:$I$672,7,FALSE)),0,VLOOKUP(B168,Auction!$A$13:$I$672,8,FALSE))</f>
        <v>0</v>
      </c>
      <c r="D168" s="177">
        <f>IFERROR(VLOOKUP(B168,Auction!$A$13:$I$672,9,FALSE)-C168,0)</f>
        <v>0</v>
      </c>
      <c r="E168" s="184" t="str">
        <f>IFERROR(INDEX(Auction!$C$13:$C$672,MATCH(B168,Auction!$A$13:$A$672,0)),"")</f>
        <v/>
      </c>
      <c r="F168" s="1"/>
      <c r="G168" s="167" t="str">
        <f>IFERROR(INDEX(Auction!$B$13:$B$672,MATCH(H168,Auction!$A$13:$A$672,0)),"")</f>
        <v/>
      </c>
      <c r="H168" s="255" t="str">
        <f t="array" ref="H168">IF($G$147=0,"",IFERROR(INDEX(Auction!$A$13:$M$672,SMALL(IF(Auction!$M$13:$M$672=$G$147,(ROW(Auction!$M$13:$M$672)-MIN(ROW(Auction!$M$13:$M$672))+1),""),ROW($G20)),1),""))</f>
        <v/>
      </c>
      <c r="I168" s="176">
        <f>IF(ISERROR(VLOOKUP(H168,Auction!$A$13:$I$672,7,FALSE)),0,VLOOKUP(H168,Auction!$A$13:$I$672,8,FALSE))</f>
        <v>0</v>
      </c>
      <c r="J168" s="177">
        <f>IFERROR(VLOOKUP(H168,Auction!$A$13:$I$672,9,FALSE)-I168,0)</f>
        <v>0</v>
      </c>
      <c r="K168" s="184" t="str">
        <f>IFERROR(INDEX(Auction!$C$13:$C$672,MATCH(H168,Auction!$A$13:$A$672,0)),"")</f>
        <v/>
      </c>
    </row>
    <row r="169" spans="1:11" x14ac:dyDescent="0.25">
      <c r="A169" s="185"/>
      <c r="B169" s="186"/>
      <c r="C169" s="187">
        <f>SUM(C149:C168)</f>
        <v>0</v>
      </c>
      <c r="D169" s="187">
        <f>SUM(D149:D168)</f>
        <v>0</v>
      </c>
      <c r="E169" s="188"/>
      <c r="F169" s="1"/>
      <c r="G169" s="185"/>
      <c r="H169" s="186"/>
      <c r="I169" s="187">
        <f>SUM(I149:I168)</f>
        <v>0</v>
      </c>
      <c r="J169" s="187">
        <f>SUM(J149:J168)</f>
        <v>0</v>
      </c>
      <c r="K169" s="188"/>
    </row>
    <row r="171" spans="1:11" x14ac:dyDescent="0.25">
      <c r="A171" s="280">
        <f>H16</f>
        <v>0</v>
      </c>
      <c r="B171" s="281"/>
      <c r="C171" s="281"/>
      <c r="D171" s="281"/>
      <c r="E171" s="282"/>
      <c r="F171" s="1"/>
      <c r="G171" s="280">
        <f>H17</f>
        <v>0</v>
      </c>
      <c r="H171" s="281"/>
      <c r="I171" s="281"/>
      <c r="J171" s="281"/>
      <c r="K171" s="282"/>
    </row>
    <row r="172" spans="1:11" x14ac:dyDescent="0.25">
      <c r="A172" s="174" t="s">
        <v>875</v>
      </c>
      <c r="B172" s="182" t="s">
        <v>89</v>
      </c>
      <c r="C172" s="164" t="s">
        <v>876</v>
      </c>
      <c r="D172" s="164" t="s">
        <v>877</v>
      </c>
      <c r="E172" s="175" t="s">
        <v>808</v>
      </c>
      <c r="F172" s="1"/>
      <c r="G172" s="174" t="s">
        <v>875</v>
      </c>
      <c r="H172" s="182" t="s">
        <v>89</v>
      </c>
      <c r="I172" s="164" t="s">
        <v>876</v>
      </c>
      <c r="J172" s="164" t="s">
        <v>877</v>
      </c>
      <c r="K172" s="175" t="s">
        <v>808</v>
      </c>
    </row>
    <row r="173" spans="1:11" x14ac:dyDescent="0.25">
      <c r="A173" s="167" t="str">
        <f>IFERROR(INDEX(Auction!$B$13:$B$672,MATCH(B173,Auction!$A$13:$A$672,0)),"")</f>
        <v/>
      </c>
      <c r="B173" s="255" t="str">
        <f t="array" ref="B173">IF($A$171=0,"",IFERROR(INDEX(Auction!$A$13:$M$672,SMALL(IF(Auction!$M$13:$M$672=$A$171,(ROW(Auction!$M$13:$M$672)-MIN(ROW(Auction!$M$13:$M$672))+1),""),ROW($A1)),1),""))</f>
        <v/>
      </c>
      <c r="C173" s="176">
        <f>IF(ISERROR(VLOOKUP(B173,Auction!$A$13:$I$672,7,FALSE)),0,VLOOKUP(B173,Auction!$A$13:$I$672,8,FALSE))</f>
        <v>0</v>
      </c>
      <c r="D173" s="177">
        <f>IFERROR(VLOOKUP(B173,Auction!$A$13:$I$672,9,FALSE)-C173,0)</f>
        <v>0</v>
      </c>
      <c r="E173" s="183" t="str">
        <f>IFERROR(INDEX(Auction!$C$13:$C$672,MATCH(B173,Auction!$A$13:$A$672,0)),"")</f>
        <v/>
      </c>
      <c r="F173" s="1"/>
      <c r="G173" s="167" t="str">
        <f>IFERROR(INDEX(Auction!$B$13:$B$672,MATCH(H173,Auction!$A$13:$A$672,0)),"")</f>
        <v/>
      </c>
      <c r="H173" s="255" t="str">
        <f t="array" ref="H173">IF($G$171=0,"",IFERROR(INDEX(Auction!$A$13:$M$672,SMALL(IF(Auction!$M$13:$M$672=$G$171,(ROW(Auction!$M$13:$M$672)-MIN(ROW(Auction!$M$13:$M$672))+1),""),ROW($G1)),1),""))</f>
        <v/>
      </c>
      <c r="I173" s="176">
        <f>IF(ISERROR(VLOOKUP(H173,Auction!$A$13:$I$672,7,FALSE)),0,VLOOKUP(H173,Auction!$A$13:$I$672,8,FALSE))</f>
        <v>0</v>
      </c>
      <c r="J173" s="177">
        <f>IFERROR(VLOOKUP(H173,Auction!$A$13:$I$672,9,FALSE)-I173,0)</f>
        <v>0</v>
      </c>
      <c r="K173" s="183" t="str">
        <f>IFERROR(INDEX(Auction!$C$13:$C$672,MATCH(H173,Auction!$A$13:$A$672,0)),"")</f>
        <v/>
      </c>
    </row>
    <row r="174" spans="1:11" x14ac:dyDescent="0.25">
      <c r="A174" s="167" t="str">
        <f>IFERROR(INDEX(Auction!$B$13:$B$672,MATCH(B174,Auction!$A$13:$A$672,0)),"")</f>
        <v/>
      </c>
      <c r="B174" s="255" t="str">
        <f t="array" ref="B174">IF($A$171=0,"",IFERROR(INDEX(Auction!$A$13:$M$672,SMALL(IF(Auction!$M$13:$M$672=$A$171,(ROW(Auction!$M$13:$M$672)-MIN(ROW(Auction!$M$13:$M$672))+1),""),ROW($A2)),1),""))</f>
        <v/>
      </c>
      <c r="C174" s="176">
        <f>IF(ISERROR(VLOOKUP(B174,Auction!$A$13:$I$672,7,FALSE)),0,VLOOKUP(B174,Auction!$A$13:$I$672,8,FALSE))</f>
        <v>0</v>
      </c>
      <c r="D174" s="177">
        <f>IFERROR(VLOOKUP(B174,Auction!$A$13:$I$672,9,FALSE)-C174,0)</f>
        <v>0</v>
      </c>
      <c r="E174" s="183" t="str">
        <f>IFERROR(INDEX(Auction!$C$13:$C$672,MATCH(B174,Auction!$A$13:$A$672,0)),"")</f>
        <v/>
      </c>
      <c r="F174" s="1"/>
      <c r="G174" s="167" t="str">
        <f>IFERROR(INDEX(Auction!$B$13:$B$672,MATCH(H174,Auction!$A$13:$A$672,0)),"")</f>
        <v/>
      </c>
      <c r="H174" s="255" t="str">
        <f t="array" ref="H174">IF($G$171=0,"",IFERROR(INDEX(Auction!$A$13:$M$672,SMALL(IF(Auction!$M$13:$M$672=$G$171,(ROW(Auction!$M$13:$M$672)-MIN(ROW(Auction!$M$13:$M$672))+1),""),ROW($G2)),1),""))</f>
        <v/>
      </c>
      <c r="I174" s="176">
        <f>IF(ISERROR(VLOOKUP(H174,Auction!$A$13:$I$672,7,FALSE)),0,VLOOKUP(H174,Auction!$A$13:$I$672,8,FALSE))</f>
        <v>0</v>
      </c>
      <c r="J174" s="177">
        <f>IFERROR(VLOOKUP(H174,Auction!$A$13:$I$672,9,FALSE)-I174,0)</f>
        <v>0</v>
      </c>
      <c r="K174" s="183" t="str">
        <f>IFERROR(INDEX(Auction!$C$13:$C$672,MATCH(H174,Auction!$A$13:$A$672,0)),"")</f>
        <v/>
      </c>
    </row>
    <row r="175" spans="1:11" x14ac:dyDescent="0.25">
      <c r="A175" s="167" t="str">
        <f>IFERROR(INDEX(Auction!$B$13:$B$672,MATCH(B175,Auction!$A$13:$A$672,0)),"")</f>
        <v/>
      </c>
      <c r="B175" s="255" t="str">
        <f t="array" ref="B175">IF($A$171=0,"",IFERROR(INDEX(Auction!$A$13:$M$672,SMALL(IF(Auction!$M$13:$M$672=$A$171,(ROW(Auction!$M$13:$M$672)-MIN(ROW(Auction!$M$13:$M$672))+1),""),ROW($A3)),1),""))</f>
        <v/>
      </c>
      <c r="C175" s="176">
        <f>IF(ISERROR(VLOOKUP(B175,Auction!$A$13:$I$672,7,FALSE)),0,VLOOKUP(B175,Auction!$A$13:$I$672,8,FALSE))</f>
        <v>0</v>
      </c>
      <c r="D175" s="177">
        <f>IFERROR(VLOOKUP(B175,Auction!$A$13:$I$672,9,FALSE)-C175,0)</f>
        <v>0</v>
      </c>
      <c r="E175" s="183" t="str">
        <f>IFERROR(INDEX(Auction!$C$13:$C$672,MATCH(B175,Auction!$A$13:$A$672,0)),"")</f>
        <v/>
      </c>
      <c r="F175" s="1"/>
      <c r="G175" s="167" t="str">
        <f>IFERROR(INDEX(Auction!$B$13:$B$672,MATCH(H175,Auction!$A$13:$A$672,0)),"")</f>
        <v/>
      </c>
      <c r="H175" s="255" t="str">
        <f t="array" ref="H175">IF($G$171=0,"",IFERROR(INDEX(Auction!$A$13:$M$672,SMALL(IF(Auction!$M$13:$M$672=$G$171,(ROW(Auction!$M$13:$M$672)-MIN(ROW(Auction!$M$13:$M$672))+1),""),ROW($G3)),1),""))</f>
        <v/>
      </c>
      <c r="I175" s="176">
        <f>IF(ISERROR(VLOOKUP(H175,Auction!$A$13:$I$672,7,FALSE)),0,VLOOKUP(H175,Auction!$A$13:$I$672,8,FALSE))</f>
        <v>0</v>
      </c>
      <c r="J175" s="177">
        <f>IFERROR(VLOOKUP(H175,Auction!$A$13:$I$672,9,FALSE)-I175,0)</f>
        <v>0</v>
      </c>
      <c r="K175" s="183" t="str">
        <f>IFERROR(INDEX(Auction!$C$13:$C$672,MATCH(H175,Auction!$A$13:$A$672,0)),"")</f>
        <v/>
      </c>
    </row>
    <row r="176" spans="1:11" x14ac:dyDescent="0.25">
      <c r="A176" s="167" t="str">
        <f>IFERROR(INDEX(Auction!$B$13:$B$672,MATCH(B176,Auction!$A$13:$A$672,0)),"")</f>
        <v/>
      </c>
      <c r="B176" s="255" t="str">
        <f t="array" ref="B176">IF($A$171=0,"",IFERROR(INDEX(Auction!$A$13:$M$672,SMALL(IF(Auction!$M$13:$M$672=$A$171,(ROW(Auction!$M$13:$M$672)-MIN(ROW(Auction!$M$13:$M$672))+1),""),ROW($A4)),1),""))</f>
        <v/>
      </c>
      <c r="C176" s="176">
        <f>IF(ISERROR(VLOOKUP(B176,Auction!$A$13:$I$672,7,FALSE)),0,VLOOKUP(B176,Auction!$A$13:$I$672,8,FALSE))</f>
        <v>0</v>
      </c>
      <c r="D176" s="177">
        <f>IFERROR(VLOOKUP(B176,Auction!$A$13:$I$672,9,FALSE)-C176,0)</f>
        <v>0</v>
      </c>
      <c r="E176" s="183" t="str">
        <f>IFERROR(INDEX(Auction!$C$13:$C$672,MATCH(B176,Auction!$A$13:$A$672,0)),"")</f>
        <v/>
      </c>
      <c r="F176" s="1"/>
      <c r="G176" s="167" t="str">
        <f>IFERROR(INDEX(Auction!$B$13:$B$672,MATCH(H176,Auction!$A$13:$A$672,0)),"")</f>
        <v/>
      </c>
      <c r="H176" s="255" t="str">
        <f t="array" ref="H176">IF($G$171=0,"",IFERROR(INDEX(Auction!$A$13:$M$672,SMALL(IF(Auction!$M$13:$M$672=$G$171,(ROW(Auction!$M$13:$M$672)-MIN(ROW(Auction!$M$13:$M$672))+1),""),ROW($G4)),1),""))</f>
        <v/>
      </c>
      <c r="I176" s="176">
        <f>IF(ISERROR(VLOOKUP(H176,Auction!$A$13:$I$672,7,FALSE)),0,VLOOKUP(H176,Auction!$A$13:$I$672,8,FALSE))</f>
        <v>0</v>
      </c>
      <c r="J176" s="177">
        <f>IFERROR(VLOOKUP(H176,Auction!$A$13:$I$672,9,FALSE)-I176,0)</f>
        <v>0</v>
      </c>
      <c r="K176" s="183" t="str">
        <f>IFERROR(INDEX(Auction!$C$13:$C$672,MATCH(H176,Auction!$A$13:$A$672,0)),"")</f>
        <v/>
      </c>
    </row>
    <row r="177" spans="1:11" x14ac:dyDescent="0.25">
      <c r="A177" s="167" t="str">
        <f>IFERROR(INDEX(Auction!$B$13:$B$672,MATCH(B177,Auction!$A$13:$A$672,0)),"")</f>
        <v/>
      </c>
      <c r="B177" s="255" t="str">
        <f t="array" ref="B177">IF($A$171=0,"",IFERROR(INDEX(Auction!$A$13:$M$672,SMALL(IF(Auction!$M$13:$M$672=$A$171,(ROW(Auction!$M$13:$M$672)-MIN(ROW(Auction!$M$13:$M$672))+1),""),ROW($A5)),1),""))</f>
        <v/>
      </c>
      <c r="C177" s="176">
        <f>IF(ISERROR(VLOOKUP(B177,Auction!$A$13:$I$672,7,FALSE)),0,VLOOKUP(B177,Auction!$A$13:$I$672,8,FALSE))</f>
        <v>0</v>
      </c>
      <c r="D177" s="177">
        <f>IFERROR(VLOOKUP(B177,Auction!$A$13:$I$672,9,FALSE)-C177,0)</f>
        <v>0</v>
      </c>
      <c r="E177" s="183" t="str">
        <f>IFERROR(INDEX(Auction!$C$13:$C$672,MATCH(B177,Auction!$A$13:$A$672,0)),"")</f>
        <v/>
      </c>
      <c r="F177" s="1"/>
      <c r="G177" s="167" t="str">
        <f>IFERROR(INDEX(Auction!$B$13:$B$672,MATCH(H177,Auction!$A$13:$A$672,0)),"")</f>
        <v/>
      </c>
      <c r="H177" s="255" t="str">
        <f t="array" ref="H177">IF($G$171=0,"",IFERROR(INDEX(Auction!$A$13:$M$672,SMALL(IF(Auction!$M$13:$M$672=$G$171,(ROW(Auction!$M$13:$M$672)-MIN(ROW(Auction!$M$13:$M$672))+1),""),ROW($G5)),1),""))</f>
        <v/>
      </c>
      <c r="I177" s="176">
        <f>IF(ISERROR(VLOOKUP(H177,Auction!$A$13:$I$672,7,FALSE)),0,VLOOKUP(H177,Auction!$A$13:$I$672,8,FALSE))</f>
        <v>0</v>
      </c>
      <c r="J177" s="177">
        <f>IFERROR(VLOOKUP(H177,Auction!$A$13:$I$672,9,FALSE)-I177,0)</f>
        <v>0</v>
      </c>
      <c r="K177" s="183" t="str">
        <f>IFERROR(INDEX(Auction!$C$13:$C$672,MATCH(H177,Auction!$A$13:$A$672,0)),"")</f>
        <v/>
      </c>
    </row>
    <row r="178" spans="1:11" x14ac:dyDescent="0.25">
      <c r="A178" s="167" t="str">
        <f>IFERROR(INDEX(Auction!$B$13:$B$672,MATCH(B178,Auction!$A$13:$A$672,0)),"")</f>
        <v/>
      </c>
      <c r="B178" s="255" t="str">
        <f t="array" ref="B178">IF($A$171=0,"",IFERROR(INDEX(Auction!$A$13:$M$672,SMALL(IF(Auction!$M$13:$M$672=$A$171,(ROW(Auction!$M$13:$M$672)-MIN(ROW(Auction!$M$13:$M$672))+1),""),ROW($A6)),1),""))</f>
        <v/>
      </c>
      <c r="C178" s="176">
        <f>IF(ISERROR(VLOOKUP(B178,Auction!$A$13:$I$672,7,FALSE)),0,VLOOKUP(B178,Auction!$A$13:$I$672,8,FALSE))</f>
        <v>0</v>
      </c>
      <c r="D178" s="177">
        <f>IFERROR(VLOOKUP(B178,Auction!$A$13:$I$672,9,FALSE)-C178,0)</f>
        <v>0</v>
      </c>
      <c r="E178" s="183" t="str">
        <f>IFERROR(INDEX(Auction!$C$13:$C$672,MATCH(B178,Auction!$A$13:$A$672,0)),"")</f>
        <v/>
      </c>
      <c r="F178" s="1"/>
      <c r="G178" s="167" t="str">
        <f>IFERROR(INDEX(Auction!$B$13:$B$672,MATCH(H178,Auction!$A$13:$A$672,0)),"")</f>
        <v/>
      </c>
      <c r="H178" s="255" t="str">
        <f t="array" ref="H178">IF($G$171=0,"",IFERROR(INDEX(Auction!$A$13:$M$672,SMALL(IF(Auction!$M$13:$M$672=$G$171,(ROW(Auction!$M$13:$M$672)-MIN(ROW(Auction!$M$13:$M$672))+1),""),ROW($G6)),1),""))</f>
        <v/>
      </c>
      <c r="I178" s="176">
        <f>IF(ISERROR(VLOOKUP(H178,Auction!$A$13:$I$672,7,FALSE)),0,VLOOKUP(H178,Auction!$A$13:$I$672,8,FALSE))</f>
        <v>0</v>
      </c>
      <c r="J178" s="177">
        <f>IFERROR(VLOOKUP(H178,Auction!$A$13:$I$672,9,FALSE)-I178,0)</f>
        <v>0</v>
      </c>
      <c r="K178" s="183" t="str">
        <f>IFERROR(INDEX(Auction!$C$13:$C$672,MATCH(H178,Auction!$A$13:$A$672,0)),"")</f>
        <v/>
      </c>
    </row>
    <row r="179" spans="1:11" x14ac:dyDescent="0.25">
      <c r="A179" s="167" t="str">
        <f>IFERROR(INDEX(Auction!$B$13:$B$672,MATCH(B179,Auction!$A$13:$A$672,0)),"")</f>
        <v/>
      </c>
      <c r="B179" s="255" t="str">
        <f t="array" ref="B179">IF($A$171=0,"",IFERROR(INDEX(Auction!$A$13:$M$672,SMALL(IF(Auction!$M$13:$M$672=$A$171,(ROW(Auction!$M$13:$M$672)-MIN(ROW(Auction!$M$13:$M$672))+1),""),ROW($A7)),1),""))</f>
        <v/>
      </c>
      <c r="C179" s="176">
        <f>IF(ISERROR(VLOOKUP(B179,Auction!$A$13:$I$672,7,FALSE)),0,VLOOKUP(B179,Auction!$A$13:$I$672,8,FALSE))</f>
        <v>0</v>
      </c>
      <c r="D179" s="177">
        <f>IFERROR(VLOOKUP(B179,Auction!$A$13:$I$672,9,FALSE)-C179,0)</f>
        <v>0</v>
      </c>
      <c r="E179" s="183" t="str">
        <f>IFERROR(INDEX(Auction!$C$13:$C$672,MATCH(B179,Auction!$A$13:$A$672,0)),"")</f>
        <v/>
      </c>
      <c r="F179" s="1"/>
      <c r="G179" s="167" t="str">
        <f>IFERROR(INDEX(Auction!$B$13:$B$672,MATCH(H179,Auction!$A$13:$A$672,0)),"")</f>
        <v/>
      </c>
      <c r="H179" s="255" t="str">
        <f t="array" ref="H179">IF($G$171=0,"",IFERROR(INDEX(Auction!$A$13:$M$672,SMALL(IF(Auction!$M$13:$M$672=$G$171,(ROW(Auction!$M$13:$M$672)-MIN(ROW(Auction!$M$13:$M$672))+1),""),ROW($G7)),1),""))</f>
        <v/>
      </c>
      <c r="I179" s="176">
        <f>IF(ISERROR(VLOOKUP(H179,Auction!$A$13:$I$672,7,FALSE)),0,VLOOKUP(H179,Auction!$A$13:$I$672,8,FALSE))</f>
        <v>0</v>
      </c>
      <c r="J179" s="177">
        <f>IFERROR(VLOOKUP(H179,Auction!$A$13:$I$672,9,FALSE)-I179,0)</f>
        <v>0</v>
      </c>
      <c r="K179" s="183" t="str">
        <f>IFERROR(INDEX(Auction!$C$13:$C$672,MATCH(H179,Auction!$A$13:$A$672,0)),"")</f>
        <v/>
      </c>
    </row>
    <row r="180" spans="1:11" x14ac:dyDescent="0.25">
      <c r="A180" s="167" t="str">
        <f>IFERROR(INDEX(Auction!$B$13:$B$672,MATCH(B180,Auction!$A$13:$A$672,0)),"")</f>
        <v/>
      </c>
      <c r="B180" s="255" t="str">
        <f t="array" ref="B180">IF($A$171=0,"",IFERROR(INDEX(Auction!$A$13:$M$672,SMALL(IF(Auction!$M$13:$M$672=$A$171,(ROW(Auction!$M$13:$M$672)-MIN(ROW(Auction!$M$13:$M$672))+1),""),ROW($A8)),1),""))</f>
        <v/>
      </c>
      <c r="C180" s="176">
        <f>IF(ISERROR(VLOOKUP(B180,Auction!$A$13:$I$672,7,FALSE)),0,VLOOKUP(B180,Auction!$A$13:$I$672,8,FALSE))</f>
        <v>0</v>
      </c>
      <c r="D180" s="177">
        <f>IFERROR(VLOOKUP(B180,Auction!$A$13:$I$672,9,FALSE)-C180,0)</f>
        <v>0</v>
      </c>
      <c r="E180" s="183" t="str">
        <f>IFERROR(INDEX(Auction!$C$13:$C$672,MATCH(B180,Auction!$A$13:$A$672,0)),"")</f>
        <v/>
      </c>
      <c r="F180" s="1"/>
      <c r="G180" s="167" t="str">
        <f>IFERROR(INDEX(Auction!$B$13:$B$672,MATCH(H180,Auction!$A$13:$A$672,0)),"")</f>
        <v/>
      </c>
      <c r="H180" s="255" t="str">
        <f t="array" ref="H180">IF($G$171=0,"",IFERROR(INDEX(Auction!$A$13:$M$672,SMALL(IF(Auction!$M$13:$M$672=$G$171,(ROW(Auction!$M$13:$M$672)-MIN(ROW(Auction!$M$13:$M$672))+1),""),ROW($G8)),1),""))</f>
        <v/>
      </c>
      <c r="I180" s="176">
        <f>IF(ISERROR(VLOOKUP(H180,Auction!$A$13:$I$672,7,FALSE)),0,VLOOKUP(H180,Auction!$A$13:$I$672,8,FALSE))</f>
        <v>0</v>
      </c>
      <c r="J180" s="177">
        <f>IFERROR(VLOOKUP(H180,Auction!$A$13:$I$672,9,FALSE)-I180,0)</f>
        <v>0</v>
      </c>
      <c r="K180" s="183" t="str">
        <f>IFERROR(INDEX(Auction!$C$13:$C$672,MATCH(H180,Auction!$A$13:$A$672,0)),"")</f>
        <v/>
      </c>
    </row>
    <row r="181" spans="1:11" x14ac:dyDescent="0.25">
      <c r="A181" s="167" t="str">
        <f>IFERROR(INDEX(Auction!$B$13:$B$672,MATCH(B181,Auction!$A$13:$A$672,0)),"")</f>
        <v/>
      </c>
      <c r="B181" s="255" t="str">
        <f t="array" ref="B181">IF($A$171=0,"",IFERROR(INDEX(Auction!$A$13:$M$672,SMALL(IF(Auction!$M$13:$M$672=$A$171,(ROW(Auction!$M$13:$M$672)-MIN(ROW(Auction!$M$13:$M$672))+1),""),ROW($A9)),1),""))</f>
        <v/>
      </c>
      <c r="C181" s="176">
        <f>IF(ISERROR(VLOOKUP(B181,Auction!$A$13:$I$672,7,FALSE)),0,VLOOKUP(B181,Auction!$A$13:$I$672,8,FALSE))</f>
        <v>0</v>
      </c>
      <c r="D181" s="177">
        <f>IFERROR(VLOOKUP(B181,Auction!$A$13:$I$672,9,FALSE)-C181,0)</f>
        <v>0</v>
      </c>
      <c r="E181" s="184" t="str">
        <f>IFERROR(INDEX(Auction!$C$13:$C$672,MATCH(B181,Auction!$A$13:$A$672,0)),"")</f>
        <v/>
      </c>
      <c r="F181" s="1"/>
      <c r="G181" s="167" t="str">
        <f>IFERROR(INDEX(Auction!$B$13:$B$672,MATCH(H181,Auction!$A$13:$A$672,0)),"")</f>
        <v/>
      </c>
      <c r="H181" s="255" t="str">
        <f t="array" ref="H181">IF($G$171=0,"",IFERROR(INDEX(Auction!$A$13:$M$672,SMALL(IF(Auction!$M$13:$M$672=$G$171,(ROW(Auction!$M$13:$M$672)-MIN(ROW(Auction!$M$13:$M$672))+1),""),ROW($G9)),1),""))</f>
        <v/>
      </c>
      <c r="I181" s="176">
        <f>IF(ISERROR(VLOOKUP(H181,Auction!$A$13:$I$672,7,FALSE)),0,VLOOKUP(H181,Auction!$A$13:$I$672,8,FALSE))</f>
        <v>0</v>
      </c>
      <c r="J181" s="177">
        <f>IFERROR(VLOOKUP(H181,Auction!$A$13:$I$672,9,FALSE)-I181,0)</f>
        <v>0</v>
      </c>
      <c r="K181" s="184" t="str">
        <f>IFERROR(INDEX(Auction!$C$13:$C$672,MATCH(H181,Auction!$A$13:$A$672,0)),"")</f>
        <v/>
      </c>
    </row>
    <row r="182" spans="1:11" x14ac:dyDescent="0.25">
      <c r="A182" s="167" t="str">
        <f>IFERROR(INDEX(Auction!$B$13:$B$672,MATCH(B182,Auction!$A$13:$A$672,0)),"")</f>
        <v/>
      </c>
      <c r="B182" s="255" t="str">
        <f t="array" ref="B182">IF($A$171=0,"",IFERROR(INDEX(Auction!$A$13:$M$672,SMALL(IF(Auction!$M$13:$M$672=$A$171,(ROW(Auction!$M$13:$M$672)-MIN(ROW(Auction!$M$13:$M$672))+1),""),ROW($A10)),1),""))</f>
        <v/>
      </c>
      <c r="C182" s="176">
        <f>IF(ISERROR(VLOOKUP(B182,Auction!$A$13:$I$672,7,FALSE)),0,VLOOKUP(B182,Auction!$A$13:$I$672,8,FALSE))</f>
        <v>0</v>
      </c>
      <c r="D182" s="177">
        <f>IFERROR(VLOOKUP(B182,Auction!$A$13:$I$672,9,FALSE)-C182,0)</f>
        <v>0</v>
      </c>
      <c r="E182" s="184" t="str">
        <f>IFERROR(INDEX(Auction!$C$13:$C$672,MATCH(B182,Auction!$A$13:$A$672,0)),"")</f>
        <v/>
      </c>
      <c r="F182" s="1"/>
      <c r="G182" s="167" t="str">
        <f>IFERROR(INDEX(Auction!$B$13:$B$672,MATCH(H182,Auction!$A$13:$A$672,0)),"")</f>
        <v/>
      </c>
      <c r="H182" s="255" t="str">
        <f t="array" ref="H182">IF($G$171=0,"",IFERROR(INDEX(Auction!$A$13:$M$672,SMALL(IF(Auction!$M$13:$M$672=$G$171,(ROW(Auction!$M$13:$M$672)-MIN(ROW(Auction!$M$13:$M$672))+1),""),ROW($G10)),1),""))</f>
        <v/>
      </c>
      <c r="I182" s="176">
        <f>IF(ISERROR(VLOOKUP(H182,Auction!$A$13:$I$672,7,FALSE)),0,VLOOKUP(H182,Auction!$A$13:$I$672,8,FALSE))</f>
        <v>0</v>
      </c>
      <c r="J182" s="177">
        <f>IFERROR(VLOOKUP(H182,Auction!$A$13:$I$672,9,FALSE)-I182,0)</f>
        <v>0</v>
      </c>
      <c r="K182" s="184" t="str">
        <f>IFERROR(INDEX(Auction!$C$13:$C$672,MATCH(H182,Auction!$A$13:$A$672,0)),"")</f>
        <v/>
      </c>
    </row>
    <row r="183" spans="1:11" x14ac:dyDescent="0.25">
      <c r="A183" s="167" t="str">
        <f>IFERROR(INDEX(Auction!$B$13:$B$672,MATCH(B183,Auction!$A$13:$A$672,0)),"")</f>
        <v/>
      </c>
      <c r="B183" s="255" t="str">
        <f t="array" ref="B183">IF($A$171=0,"",IFERROR(INDEX(Auction!$A$13:$M$672,SMALL(IF(Auction!$M$13:$M$672=$A$171,(ROW(Auction!$M$13:$M$672)-MIN(ROW(Auction!$M$13:$M$672))+1),""),ROW($A11)),1),""))</f>
        <v/>
      </c>
      <c r="C183" s="176">
        <f>IF(ISERROR(VLOOKUP(B183,Auction!$A$13:$I$672,7,FALSE)),0,VLOOKUP(B183,Auction!$A$13:$I$672,8,FALSE))</f>
        <v>0</v>
      </c>
      <c r="D183" s="177">
        <f>IFERROR(VLOOKUP(B183,Auction!$A$13:$I$672,9,FALSE)-C183,0)</f>
        <v>0</v>
      </c>
      <c r="E183" s="184" t="str">
        <f>IFERROR(INDEX(Auction!$C$13:$C$672,MATCH(B183,Auction!$A$13:$A$672,0)),"")</f>
        <v/>
      </c>
      <c r="F183" s="1"/>
      <c r="G183" s="167" t="str">
        <f>IFERROR(INDEX(Auction!$B$13:$B$672,MATCH(H183,Auction!$A$13:$A$672,0)),"")</f>
        <v/>
      </c>
      <c r="H183" s="255" t="str">
        <f t="array" ref="H183">IF($G$171=0,"",IFERROR(INDEX(Auction!$A$13:$M$672,SMALL(IF(Auction!$M$13:$M$672=$G$171,(ROW(Auction!$M$13:$M$672)-MIN(ROW(Auction!$M$13:$M$672))+1),""),ROW($G11)),1),""))</f>
        <v/>
      </c>
      <c r="I183" s="176">
        <f>IF(ISERROR(VLOOKUP(H183,Auction!$A$13:$I$672,7,FALSE)),0,VLOOKUP(H183,Auction!$A$13:$I$672,8,FALSE))</f>
        <v>0</v>
      </c>
      <c r="J183" s="177">
        <f>IFERROR(VLOOKUP(H183,Auction!$A$13:$I$672,9,FALSE)-I183,0)</f>
        <v>0</v>
      </c>
      <c r="K183" s="184" t="str">
        <f>IFERROR(INDEX(Auction!$C$13:$C$672,MATCH(H183,Auction!$A$13:$A$672,0)),"")</f>
        <v/>
      </c>
    </row>
    <row r="184" spans="1:11" x14ac:dyDescent="0.25">
      <c r="A184" s="167" t="str">
        <f>IFERROR(INDEX(Auction!$B$13:$B$672,MATCH(B184,Auction!$A$13:$A$672,0)),"")</f>
        <v/>
      </c>
      <c r="B184" s="255" t="str">
        <f t="array" ref="B184">IF($A$171=0,"",IFERROR(INDEX(Auction!$A$13:$M$672,SMALL(IF(Auction!$M$13:$M$672=$A$171,(ROW(Auction!$M$13:$M$672)-MIN(ROW(Auction!$M$13:$M$672))+1),""),ROW($A12)),1),""))</f>
        <v/>
      </c>
      <c r="C184" s="176">
        <f>IF(ISERROR(VLOOKUP(B184,Auction!$A$13:$I$672,7,FALSE)),0,VLOOKUP(B184,Auction!$A$13:$I$672,8,FALSE))</f>
        <v>0</v>
      </c>
      <c r="D184" s="177">
        <f>IFERROR(VLOOKUP(B184,Auction!$A$13:$I$672,9,FALSE)-C184,0)</f>
        <v>0</v>
      </c>
      <c r="E184" s="184" t="str">
        <f>IFERROR(INDEX(Auction!$C$13:$C$672,MATCH(B184,Auction!$A$13:$A$672,0)),"")</f>
        <v/>
      </c>
      <c r="F184" s="1"/>
      <c r="G184" s="167" t="str">
        <f>IFERROR(INDEX(Auction!$B$13:$B$672,MATCH(H184,Auction!$A$13:$A$672,0)),"")</f>
        <v/>
      </c>
      <c r="H184" s="255" t="str">
        <f t="array" ref="H184">IF($G$171=0,"",IFERROR(INDEX(Auction!$A$13:$M$672,SMALL(IF(Auction!$M$13:$M$672=$G$171,(ROW(Auction!$M$13:$M$672)-MIN(ROW(Auction!$M$13:$M$672))+1),""),ROW($G12)),1),""))</f>
        <v/>
      </c>
      <c r="I184" s="176">
        <f>IF(ISERROR(VLOOKUP(H184,Auction!$A$13:$I$672,7,FALSE)),0,VLOOKUP(H184,Auction!$A$13:$I$672,8,FALSE))</f>
        <v>0</v>
      </c>
      <c r="J184" s="177">
        <f>IFERROR(VLOOKUP(H184,Auction!$A$13:$I$672,9,FALSE)-I184,0)</f>
        <v>0</v>
      </c>
      <c r="K184" s="184" t="str">
        <f>IFERROR(INDEX(Auction!$C$13:$C$672,MATCH(H184,Auction!$A$13:$A$672,0)),"")</f>
        <v/>
      </c>
    </row>
    <row r="185" spans="1:11" x14ac:dyDescent="0.25">
      <c r="A185" s="167" t="str">
        <f>IFERROR(INDEX(Auction!$B$13:$B$672,MATCH(B185,Auction!$A$13:$A$672,0)),"")</f>
        <v/>
      </c>
      <c r="B185" s="255" t="str">
        <f t="array" ref="B185">IF($A$171=0,"",IFERROR(INDEX(Auction!$A$13:$M$672,SMALL(IF(Auction!$M$13:$M$672=$A$171,(ROW(Auction!$M$13:$M$672)-MIN(ROW(Auction!$M$13:$M$672))+1),""),ROW($A13)),1),""))</f>
        <v/>
      </c>
      <c r="C185" s="176">
        <f>IF(ISERROR(VLOOKUP(B185,Auction!$A$13:$I$672,7,FALSE)),0,VLOOKUP(B185,Auction!$A$13:$I$672,8,FALSE))</f>
        <v>0</v>
      </c>
      <c r="D185" s="177">
        <f>IFERROR(VLOOKUP(B185,Auction!$A$13:$I$672,9,FALSE)-C185,0)</f>
        <v>0</v>
      </c>
      <c r="E185" s="184" t="str">
        <f>IFERROR(INDEX(Auction!$C$13:$C$672,MATCH(B185,Auction!$A$13:$A$672,0)),"")</f>
        <v/>
      </c>
      <c r="F185" s="1"/>
      <c r="G185" s="167" t="str">
        <f>IFERROR(INDEX(Auction!$B$13:$B$672,MATCH(H185,Auction!$A$13:$A$672,0)),"")</f>
        <v/>
      </c>
      <c r="H185" s="255" t="str">
        <f t="array" ref="H185">IF($G$171=0,"",IFERROR(INDEX(Auction!$A$13:$M$672,SMALL(IF(Auction!$M$13:$M$672=$G$171,(ROW(Auction!$M$13:$M$672)-MIN(ROW(Auction!$M$13:$M$672))+1),""),ROW($G13)),1),""))</f>
        <v/>
      </c>
      <c r="I185" s="176">
        <f>IF(ISERROR(VLOOKUP(H185,Auction!$A$13:$I$672,7,FALSE)),0,VLOOKUP(H185,Auction!$A$13:$I$672,8,FALSE))</f>
        <v>0</v>
      </c>
      <c r="J185" s="177">
        <f>IFERROR(VLOOKUP(H185,Auction!$A$13:$I$672,9,FALSE)-I185,0)</f>
        <v>0</v>
      </c>
      <c r="K185" s="184" t="str">
        <f>IFERROR(INDEX(Auction!$C$13:$C$672,MATCH(H185,Auction!$A$13:$A$672,0)),"")</f>
        <v/>
      </c>
    </row>
    <row r="186" spans="1:11" x14ac:dyDescent="0.25">
      <c r="A186" s="167" t="str">
        <f>IFERROR(INDEX(Auction!$B$13:$B$672,MATCH(B186,Auction!$A$13:$A$672,0)),"")</f>
        <v/>
      </c>
      <c r="B186" s="255" t="str">
        <f t="array" ref="B186">IF($A$171=0,"",IFERROR(INDEX(Auction!$A$13:$M$672,SMALL(IF(Auction!$M$13:$M$672=$A$171,(ROW(Auction!$M$13:$M$672)-MIN(ROW(Auction!$M$13:$M$672))+1),""),ROW($A14)),1),""))</f>
        <v/>
      </c>
      <c r="C186" s="176">
        <f>IF(ISERROR(VLOOKUP(B186,Auction!$A$13:$I$672,7,FALSE)),0,VLOOKUP(B186,Auction!$A$13:$I$672,8,FALSE))</f>
        <v>0</v>
      </c>
      <c r="D186" s="177">
        <f>IFERROR(VLOOKUP(B186,Auction!$A$13:$I$672,9,FALSE)-C186,0)</f>
        <v>0</v>
      </c>
      <c r="E186" s="184" t="str">
        <f>IFERROR(INDEX(Auction!$C$13:$C$672,MATCH(B186,Auction!$A$13:$A$672,0)),"")</f>
        <v/>
      </c>
      <c r="F186" s="1"/>
      <c r="G186" s="167" t="str">
        <f>IFERROR(INDEX(Auction!$B$13:$B$672,MATCH(H186,Auction!$A$13:$A$672,0)),"")</f>
        <v/>
      </c>
      <c r="H186" s="255" t="str">
        <f t="array" ref="H186">IF($G$171=0,"",IFERROR(INDEX(Auction!$A$13:$M$672,SMALL(IF(Auction!$M$13:$M$672=$G$171,(ROW(Auction!$M$13:$M$672)-MIN(ROW(Auction!$M$13:$M$672))+1),""),ROW($G14)),1),""))</f>
        <v/>
      </c>
      <c r="I186" s="176">
        <f>IF(ISERROR(VLOOKUP(H186,Auction!$A$13:$I$672,7,FALSE)),0,VLOOKUP(H186,Auction!$A$13:$I$672,8,FALSE))</f>
        <v>0</v>
      </c>
      <c r="J186" s="177">
        <f>IFERROR(VLOOKUP(H186,Auction!$A$13:$I$672,9,FALSE)-I186,0)</f>
        <v>0</v>
      </c>
      <c r="K186" s="184" t="str">
        <f>IFERROR(INDEX(Auction!$C$13:$C$672,MATCH(H186,Auction!$A$13:$A$672,0)),"")</f>
        <v/>
      </c>
    </row>
    <row r="187" spans="1:11" x14ac:dyDescent="0.25">
      <c r="A187" s="167" t="str">
        <f>IFERROR(INDEX(Auction!$B$13:$B$672,MATCH(B187,Auction!$A$13:$A$672,0)),"")</f>
        <v/>
      </c>
      <c r="B187" s="255" t="str">
        <f t="array" ref="B187">IF($A$171=0,"",IFERROR(INDEX(Auction!$A$13:$M$672,SMALL(IF(Auction!$M$13:$M$672=$A$171,(ROW(Auction!$M$13:$M$672)-MIN(ROW(Auction!$M$13:$M$672))+1),""),ROW($A15)),1),""))</f>
        <v/>
      </c>
      <c r="C187" s="176">
        <f>IF(ISERROR(VLOOKUP(B187,Auction!$A$13:$I$672,7,FALSE)),0,VLOOKUP(B187,Auction!$A$13:$I$672,8,FALSE))</f>
        <v>0</v>
      </c>
      <c r="D187" s="177">
        <f>IFERROR(VLOOKUP(B187,Auction!$A$13:$I$672,9,FALSE)-C187,0)</f>
        <v>0</v>
      </c>
      <c r="E187" s="184" t="str">
        <f>IFERROR(INDEX(Auction!$C$13:$C$672,MATCH(B187,Auction!$A$13:$A$672,0)),"")</f>
        <v/>
      </c>
      <c r="F187" s="1"/>
      <c r="G187" s="167" t="str">
        <f>IFERROR(INDEX(Auction!$B$13:$B$672,MATCH(H187,Auction!$A$13:$A$672,0)),"")</f>
        <v/>
      </c>
      <c r="H187" s="255" t="str">
        <f t="array" ref="H187">IF($G$171=0,"",IFERROR(INDEX(Auction!$A$13:$M$672,SMALL(IF(Auction!$M$13:$M$672=$G$171,(ROW(Auction!$M$13:$M$672)-MIN(ROW(Auction!$M$13:$M$672))+1),""),ROW($G15)),1),""))</f>
        <v/>
      </c>
      <c r="I187" s="176">
        <f>IF(ISERROR(VLOOKUP(H187,Auction!$A$13:$I$672,7,FALSE)),0,VLOOKUP(H187,Auction!$A$13:$I$672,8,FALSE))</f>
        <v>0</v>
      </c>
      <c r="J187" s="177">
        <f>IFERROR(VLOOKUP(H187,Auction!$A$13:$I$672,9,FALSE)-I187,0)</f>
        <v>0</v>
      </c>
      <c r="K187" s="184" t="str">
        <f>IFERROR(INDEX(Auction!$C$13:$C$672,MATCH(H187,Auction!$A$13:$A$672,0)),"")</f>
        <v/>
      </c>
    </row>
    <row r="188" spans="1:11" x14ac:dyDescent="0.25">
      <c r="A188" s="167" t="str">
        <f>IFERROR(INDEX(Auction!$B$13:$B$672,MATCH(B188,Auction!$A$13:$A$672,0)),"")</f>
        <v/>
      </c>
      <c r="B188" s="255" t="str">
        <f t="array" ref="B188">IF($A$171=0,"",IFERROR(INDEX(Auction!$A$13:$M$672,SMALL(IF(Auction!$M$13:$M$672=$A$171,(ROW(Auction!$M$13:$M$672)-MIN(ROW(Auction!$M$13:$M$672))+1),""),ROW($A16)),1),""))</f>
        <v/>
      </c>
      <c r="C188" s="176">
        <f>IF(ISERROR(VLOOKUP(B188,Auction!$A$13:$I$672,7,FALSE)),0,VLOOKUP(B188,Auction!$A$13:$I$672,8,FALSE))</f>
        <v>0</v>
      </c>
      <c r="D188" s="177">
        <f>IFERROR(VLOOKUP(B188,Auction!$A$13:$I$672,9,FALSE)-C188,0)</f>
        <v>0</v>
      </c>
      <c r="E188" s="184" t="str">
        <f>IFERROR(INDEX(Auction!$C$13:$C$672,MATCH(B188,Auction!$A$13:$A$672,0)),"")</f>
        <v/>
      </c>
      <c r="F188" s="1"/>
      <c r="G188" s="167" t="str">
        <f>IFERROR(INDEX(Auction!$B$13:$B$672,MATCH(H188,Auction!$A$13:$A$672,0)),"")</f>
        <v/>
      </c>
      <c r="H188" s="255" t="str">
        <f t="array" ref="H188">IF($G$171=0,"",IFERROR(INDEX(Auction!$A$13:$M$672,SMALL(IF(Auction!$M$13:$M$672=$G$171,(ROW(Auction!$M$13:$M$672)-MIN(ROW(Auction!$M$13:$M$672))+1),""),ROW($G16)),1),""))</f>
        <v/>
      </c>
      <c r="I188" s="176">
        <f>IF(ISERROR(VLOOKUP(H188,Auction!$A$13:$I$672,7,FALSE)),0,VLOOKUP(H188,Auction!$A$13:$I$672,8,FALSE))</f>
        <v>0</v>
      </c>
      <c r="J188" s="177">
        <f>IFERROR(VLOOKUP(H188,Auction!$A$13:$I$672,9,FALSE)-I188,0)</f>
        <v>0</v>
      </c>
      <c r="K188" s="184" t="str">
        <f>IFERROR(INDEX(Auction!$C$13:$C$672,MATCH(H188,Auction!$A$13:$A$672,0)),"")</f>
        <v/>
      </c>
    </row>
    <row r="189" spans="1:11" x14ac:dyDescent="0.25">
      <c r="A189" s="167" t="str">
        <f>IFERROR(INDEX(Auction!$B$13:$B$672,MATCH(B189,Auction!$A$13:$A$672,0)),"")</f>
        <v/>
      </c>
      <c r="B189" s="255" t="str">
        <f t="array" ref="B189">IF($A$171=0,"",IFERROR(INDEX(Auction!$A$13:$M$672,SMALL(IF(Auction!$M$13:$M$672=$A$171,(ROW(Auction!$M$13:$M$672)-MIN(ROW(Auction!$M$13:$M$672))+1),""),ROW($A17)),1),""))</f>
        <v/>
      </c>
      <c r="C189" s="176">
        <f>IF(ISERROR(VLOOKUP(B189,Auction!$A$13:$I$672,7,FALSE)),0,VLOOKUP(B189,Auction!$A$13:$I$672,8,FALSE))</f>
        <v>0</v>
      </c>
      <c r="D189" s="177">
        <f>IFERROR(VLOOKUP(B189,Auction!$A$13:$I$672,9,FALSE)-C189,0)</f>
        <v>0</v>
      </c>
      <c r="E189" s="184" t="str">
        <f>IFERROR(INDEX(Auction!$C$13:$C$672,MATCH(B189,Auction!$A$13:$A$672,0)),"")</f>
        <v/>
      </c>
      <c r="F189" s="1"/>
      <c r="G189" s="167" t="str">
        <f>IFERROR(INDEX(Auction!$B$13:$B$672,MATCH(H189,Auction!$A$13:$A$672,0)),"")</f>
        <v/>
      </c>
      <c r="H189" s="255" t="str">
        <f t="array" ref="H189">IF($G$171=0,"",IFERROR(INDEX(Auction!$A$13:$M$672,SMALL(IF(Auction!$M$13:$M$672=$G$171,(ROW(Auction!$M$13:$M$672)-MIN(ROW(Auction!$M$13:$M$672))+1),""),ROW($G17)),1),""))</f>
        <v/>
      </c>
      <c r="I189" s="176">
        <f>IF(ISERROR(VLOOKUP(H189,Auction!$A$13:$I$672,7,FALSE)),0,VLOOKUP(H189,Auction!$A$13:$I$672,8,FALSE))</f>
        <v>0</v>
      </c>
      <c r="J189" s="177">
        <f>IFERROR(VLOOKUP(H189,Auction!$A$13:$I$672,9,FALSE)-I189,0)</f>
        <v>0</v>
      </c>
      <c r="K189" s="184" t="str">
        <f>IFERROR(INDEX(Auction!$C$13:$C$672,MATCH(H189,Auction!$A$13:$A$672,0)),"")</f>
        <v/>
      </c>
    </row>
    <row r="190" spans="1:11" x14ac:dyDescent="0.25">
      <c r="A190" s="167" t="str">
        <f>IFERROR(INDEX(Auction!$B$13:$B$672,MATCH(B190,Auction!$A$13:$A$672,0)),"")</f>
        <v/>
      </c>
      <c r="B190" s="255" t="str">
        <f t="array" ref="B190">IF($A$171=0,"",IFERROR(INDEX(Auction!$A$13:$M$672,SMALL(IF(Auction!$M$13:$M$672=$A$171,(ROW(Auction!$M$13:$M$672)-MIN(ROW(Auction!$M$13:$M$672))+1),""),ROW($A18)),1),""))</f>
        <v/>
      </c>
      <c r="C190" s="176">
        <f>IF(ISERROR(VLOOKUP(B190,Auction!$A$13:$I$672,7,FALSE)),0,VLOOKUP(B190,Auction!$A$13:$I$672,8,FALSE))</f>
        <v>0</v>
      </c>
      <c r="D190" s="177">
        <f>IFERROR(VLOOKUP(B190,Auction!$A$13:$I$672,9,FALSE)-C190,0)</f>
        <v>0</v>
      </c>
      <c r="E190" s="184" t="str">
        <f>IFERROR(INDEX(Auction!$C$13:$C$672,MATCH(B190,Auction!$A$13:$A$672,0)),"")</f>
        <v/>
      </c>
      <c r="F190" s="1"/>
      <c r="G190" s="167" t="str">
        <f>IFERROR(INDEX(Auction!$B$13:$B$672,MATCH(H190,Auction!$A$13:$A$672,0)),"")</f>
        <v/>
      </c>
      <c r="H190" s="255" t="str">
        <f t="array" ref="H190">IF($G$171=0,"",IFERROR(INDEX(Auction!$A$13:$M$672,SMALL(IF(Auction!$M$13:$M$672=$G$171,(ROW(Auction!$M$13:$M$672)-MIN(ROW(Auction!$M$13:$M$672))+1),""),ROW($G18)),1),""))</f>
        <v/>
      </c>
      <c r="I190" s="176">
        <f>IF(ISERROR(VLOOKUP(H190,Auction!$A$13:$I$672,7,FALSE)),0,VLOOKUP(H190,Auction!$A$13:$I$672,8,FALSE))</f>
        <v>0</v>
      </c>
      <c r="J190" s="177">
        <f>IFERROR(VLOOKUP(H190,Auction!$A$13:$I$672,9,FALSE)-I190,0)</f>
        <v>0</v>
      </c>
      <c r="K190" s="184" t="str">
        <f>IFERROR(INDEX(Auction!$C$13:$C$672,MATCH(H190,Auction!$A$13:$A$672,0)),"")</f>
        <v/>
      </c>
    </row>
    <row r="191" spans="1:11" x14ac:dyDescent="0.25">
      <c r="A191" s="167" t="str">
        <f>IFERROR(INDEX(Auction!$B$13:$B$672,MATCH(B191,Auction!$A$13:$A$672,0)),"")</f>
        <v/>
      </c>
      <c r="B191" s="255" t="str">
        <f t="array" ref="B191">IF($A$171=0,"",IFERROR(INDEX(Auction!$A$13:$M$672,SMALL(IF(Auction!$M$13:$M$672=$A$171,(ROW(Auction!$M$13:$M$672)-MIN(ROW(Auction!$M$13:$M$672))+1),""),ROW($A19)),1),""))</f>
        <v/>
      </c>
      <c r="C191" s="176">
        <f>IF(ISERROR(VLOOKUP(B191,Auction!$A$13:$I$672,7,FALSE)),0,VLOOKUP(B191,Auction!$A$13:$I$672,8,FALSE))</f>
        <v>0</v>
      </c>
      <c r="D191" s="177">
        <f>IFERROR(VLOOKUP(B191,Auction!$A$13:$I$672,9,FALSE)-C191,0)</f>
        <v>0</v>
      </c>
      <c r="E191" s="184" t="str">
        <f>IFERROR(INDEX(Auction!$C$13:$C$672,MATCH(B191,Auction!$A$13:$A$672,0)),"")</f>
        <v/>
      </c>
      <c r="F191" s="1"/>
      <c r="G191" s="167" t="str">
        <f>IFERROR(INDEX(Auction!$B$13:$B$672,MATCH(H191,Auction!$A$13:$A$672,0)),"")</f>
        <v/>
      </c>
      <c r="H191" s="255" t="str">
        <f t="array" ref="H191">IF($G$171=0,"",IFERROR(INDEX(Auction!$A$13:$M$672,SMALL(IF(Auction!$M$13:$M$672=$G$171,(ROW(Auction!$M$13:$M$672)-MIN(ROW(Auction!$M$13:$M$672))+1),""),ROW($G19)),1),""))</f>
        <v/>
      </c>
      <c r="I191" s="176">
        <f>IF(ISERROR(VLOOKUP(H191,Auction!$A$13:$I$672,7,FALSE)),0,VLOOKUP(H191,Auction!$A$13:$I$672,8,FALSE))</f>
        <v>0</v>
      </c>
      <c r="J191" s="177">
        <f>IFERROR(VLOOKUP(H191,Auction!$A$13:$I$672,9,FALSE)-I191,0)</f>
        <v>0</v>
      </c>
      <c r="K191" s="184" t="str">
        <f>IFERROR(INDEX(Auction!$C$13:$C$672,MATCH(H191,Auction!$A$13:$A$672,0)),"")</f>
        <v/>
      </c>
    </row>
    <row r="192" spans="1:11" x14ac:dyDescent="0.25">
      <c r="A192" s="167" t="str">
        <f>IFERROR(INDEX(Auction!$B$13:$B$672,MATCH(B192,Auction!$A$13:$A$672,0)),"")</f>
        <v/>
      </c>
      <c r="B192" s="255" t="str">
        <f t="array" ref="B192">IF($A$171=0,"",IFERROR(INDEX(Auction!$A$13:$M$672,SMALL(IF(Auction!$M$13:$M$672=$A$171,(ROW(Auction!$M$13:$M$672)-MIN(ROW(Auction!$M$13:$M$672))+1),""),ROW($A20)),1),""))</f>
        <v/>
      </c>
      <c r="C192" s="176">
        <f>IF(ISERROR(VLOOKUP(B192,Auction!$A$13:$I$672,7,FALSE)),0,VLOOKUP(B192,Auction!$A$13:$I$672,8,FALSE))</f>
        <v>0</v>
      </c>
      <c r="D192" s="177">
        <f>IFERROR(VLOOKUP(B192,Auction!$A$13:$I$672,9,FALSE)-C192,0)</f>
        <v>0</v>
      </c>
      <c r="E192" s="184" t="str">
        <f>IFERROR(INDEX(Auction!$C$13:$C$672,MATCH(B192,Auction!$A$13:$A$672,0)),"")</f>
        <v/>
      </c>
      <c r="F192" s="1"/>
      <c r="G192" s="167" t="str">
        <f>IFERROR(INDEX(Auction!$B$13:$B$672,MATCH(H192,Auction!$A$13:$A$672,0)),"")</f>
        <v/>
      </c>
      <c r="H192" s="255" t="str">
        <f t="array" ref="H192">IF($G$171=0,"",IFERROR(INDEX(Auction!$A$13:$M$672,SMALL(IF(Auction!$M$13:$M$672=$G$171,(ROW(Auction!$M$13:$M$672)-MIN(ROW(Auction!$M$13:$M$672))+1),""),ROW($G20)),1),""))</f>
        <v/>
      </c>
      <c r="I192" s="176">
        <f>IF(ISERROR(VLOOKUP(H192,Auction!$A$13:$I$672,7,FALSE)),0,VLOOKUP(H192,Auction!$A$13:$I$672,8,FALSE))</f>
        <v>0</v>
      </c>
      <c r="J192" s="177">
        <f>IFERROR(VLOOKUP(H192,Auction!$A$13:$I$672,9,FALSE)-I192,0)</f>
        <v>0</v>
      </c>
      <c r="K192" s="184" t="str">
        <f>IFERROR(INDEX(Auction!$C$13:$C$672,MATCH(H192,Auction!$A$13:$A$672,0)),"")</f>
        <v/>
      </c>
    </row>
    <row r="193" spans="1:11" x14ac:dyDescent="0.25">
      <c r="A193" s="185"/>
      <c r="B193" s="186"/>
      <c r="C193" s="187">
        <f>SUM(C173:C192)</f>
        <v>0</v>
      </c>
      <c r="D193" s="187">
        <f>SUM(D173:D192)</f>
        <v>0</v>
      </c>
      <c r="E193" s="188"/>
      <c r="F193" s="1"/>
      <c r="G193" s="185"/>
      <c r="H193" s="186"/>
      <c r="I193" s="187">
        <f>SUM(I173:I192)</f>
        <v>0</v>
      </c>
      <c r="J193" s="187">
        <f>SUM(J173:J192)</f>
        <v>0</v>
      </c>
      <c r="K193" s="188"/>
    </row>
    <row r="195" spans="1:11" x14ac:dyDescent="0.25">
      <c r="A195" s="280">
        <f>H18</f>
        <v>0</v>
      </c>
      <c r="B195" s="281"/>
      <c r="C195" s="281"/>
      <c r="D195" s="281"/>
      <c r="E195" s="282"/>
      <c r="F195" s="1"/>
      <c r="G195" s="280">
        <f>H19</f>
        <v>0</v>
      </c>
      <c r="H195" s="281"/>
      <c r="I195" s="281"/>
      <c r="J195" s="281"/>
      <c r="K195" s="282"/>
    </row>
    <row r="196" spans="1:11" x14ac:dyDescent="0.25">
      <c r="A196" s="174" t="s">
        <v>875</v>
      </c>
      <c r="B196" s="182" t="s">
        <v>89</v>
      </c>
      <c r="C196" s="164" t="s">
        <v>876</v>
      </c>
      <c r="D196" s="164" t="s">
        <v>877</v>
      </c>
      <c r="E196" s="175" t="s">
        <v>808</v>
      </c>
      <c r="F196" s="1"/>
      <c r="G196" s="174" t="s">
        <v>875</v>
      </c>
      <c r="H196" s="182" t="s">
        <v>89</v>
      </c>
      <c r="I196" s="164" t="s">
        <v>876</v>
      </c>
      <c r="J196" s="164" t="s">
        <v>877</v>
      </c>
      <c r="K196" s="175" t="s">
        <v>808</v>
      </c>
    </row>
    <row r="197" spans="1:11" x14ac:dyDescent="0.25">
      <c r="A197" s="167" t="str">
        <f>IFERROR(INDEX(Auction!$B$13:$B$672,MATCH(B197,Auction!$A$13:$A$672,0)),"")</f>
        <v/>
      </c>
      <c r="B197" s="255" t="str">
        <f t="array" ref="B197">IF($A$195=0,"",IFERROR(INDEX(Auction!$A$13:$M$672,SMALL(IF(Auction!$M$13:$M$672=$A$195,(ROW(Auction!$M$13:$M$672)-MIN(ROW(Auction!$M$13:$M$672))+1),""),ROW($A1)),1),""))</f>
        <v/>
      </c>
      <c r="C197" s="176">
        <f>IF(ISERROR(VLOOKUP(B197,Auction!$A$13:$I$672,7,FALSE)),0,VLOOKUP(B197,Auction!$A$13:$I$672,8,FALSE))</f>
        <v>0</v>
      </c>
      <c r="D197" s="177">
        <f>IFERROR(VLOOKUP(B197,Auction!$A$13:$I$672,9,FALSE)-C197,0)</f>
        <v>0</v>
      </c>
      <c r="E197" s="183" t="str">
        <f>IFERROR(INDEX(Auction!$C$13:$C$672,MATCH(B197,Auction!$A$13:$A$672,0)),"")</f>
        <v/>
      </c>
      <c r="F197" s="1"/>
      <c r="G197" s="167" t="str">
        <f>IFERROR(INDEX(Auction!$B$13:$B$672,MATCH(H197,Auction!$A$13:$A$672,0)),"")</f>
        <v/>
      </c>
      <c r="H197" s="255" t="str">
        <f t="array" ref="H197">IF($G$195=0,"",IFERROR(INDEX(Auction!$A$13:$M$672,SMALL(IF(Auction!$M$13:$M$672=$G$195,(ROW(Auction!$M$13:$M$672)-MIN(ROW(Auction!$M$13:$M$672))+1),""),ROW($G1)),1),""))</f>
        <v/>
      </c>
      <c r="I197" s="176">
        <f>IF(ISERROR(VLOOKUP(H197,Auction!$A$13:$I$672,7,FALSE)),0,VLOOKUP(H197,Auction!$A$13:$I$672,8,FALSE))</f>
        <v>0</v>
      </c>
      <c r="J197" s="177">
        <f>IFERROR(VLOOKUP(H197,Auction!$A$13:$I$672,9,FALSE)-I197,0)</f>
        <v>0</v>
      </c>
      <c r="K197" s="183" t="str">
        <f>IFERROR(INDEX(Auction!$C$13:$C$672,MATCH(H197,Auction!$A$13:$A$672,0)),"")</f>
        <v/>
      </c>
    </row>
    <row r="198" spans="1:11" x14ac:dyDescent="0.25">
      <c r="A198" s="167" t="str">
        <f>IFERROR(INDEX(Auction!$B$13:$B$672,MATCH(B198,Auction!$A$13:$A$672,0)),"")</f>
        <v/>
      </c>
      <c r="B198" s="255" t="str">
        <f t="array" ref="B198">IF($A$195=0,"",IFERROR(INDEX(Auction!$A$13:$M$672,SMALL(IF(Auction!$M$13:$M$672=$A$195,(ROW(Auction!$M$13:$M$672)-MIN(ROW(Auction!$M$13:$M$672))+1),""),ROW($A2)),1),""))</f>
        <v/>
      </c>
      <c r="C198" s="176">
        <f>IF(ISERROR(VLOOKUP(B198,Auction!$A$13:$I$672,7,FALSE)),0,VLOOKUP(B198,Auction!$A$13:$I$672,8,FALSE))</f>
        <v>0</v>
      </c>
      <c r="D198" s="177">
        <f>IFERROR(VLOOKUP(B198,Auction!$A$13:$I$672,9,FALSE)-C198,0)</f>
        <v>0</v>
      </c>
      <c r="E198" s="183" t="str">
        <f>IFERROR(INDEX(Auction!$C$13:$C$672,MATCH(B198,Auction!$A$13:$A$672,0)),"")</f>
        <v/>
      </c>
      <c r="F198" s="1"/>
      <c r="G198" s="167" t="str">
        <f>IFERROR(INDEX(Auction!$B$13:$B$672,MATCH(H198,Auction!$A$13:$A$672,0)),"")</f>
        <v/>
      </c>
      <c r="H198" s="255" t="str">
        <f t="array" ref="H198">IF($G$195=0,"",IFERROR(INDEX(Auction!$A$13:$M$672,SMALL(IF(Auction!$M$13:$M$672=$G$195,(ROW(Auction!$M$13:$M$672)-MIN(ROW(Auction!$M$13:$M$672))+1),""),ROW($G2)),1),""))</f>
        <v/>
      </c>
      <c r="I198" s="176">
        <f>IF(ISERROR(VLOOKUP(H198,Auction!$A$13:$I$672,7,FALSE)),0,VLOOKUP(H198,Auction!$A$13:$I$672,8,FALSE))</f>
        <v>0</v>
      </c>
      <c r="J198" s="177">
        <f>IFERROR(VLOOKUP(H198,Auction!$A$13:$I$672,9,FALSE)-I198,0)</f>
        <v>0</v>
      </c>
      <c r="K198" s="183" t="str">
        <f>IFERROR(INDEX(Auction!$C$13:$C$672,MATCH(H198,Auction!$A$13:$A$672,0)),"")</f>
        <v/>
      </c>
    </row>
    <row r="199" spans="1:11" x14ac:dyDescent="0.25">
      <c r="A199" s="167" t="str">
        <f>IFERROR(INDEX(Auction!$B$13:$B$672,MATCH(B199,Auction!$A$13:$A$672,0)),"")</f>
        <v/>
      </c>
      <c r="B199" s="255" t="str">
        <f t="array" ref="B199">IF($A$195=0,"",IFERROR(INDEX(Auction!$A$13:$M$672,SMALL(IF(Auction!$M$13:$M$672=$A$195,(ROW(Auction!$M$13:$M$672)-MIN(ROW(Auction!$M$13:$M$672))+1),""),ROW($A3)),1),""))</f>
        <v/>
      </c>
      <c r="C199" s="176">
        <f>IF(ISERROR(VLOOKUP(B199,Auction!$A$13:$I$672,7,FALSE)),0,VLOOKUP(B199,Auction!$A$13:$I$672,8,FALSE))</f>
        <v>0</v>
      </c>
      <c r="D199" s="177">
        <f>IFERROR(VLOOKUP(B199,Auction!$A$13:$I$672,9,FALSE)-C199,0)</f>
        <v>0</v>
      </c>
      <c r="E199" s="183" t="str">
        <f>IFERROR(INDEX(Auction!$C$13:$C$672,MATCH(B199,Auction!$A$13:$A$672,0)),"")</f>
        <v/>
      </c>
      <c r="F199" s="1"/>
      <c r="G199" s="167" t="str">
        <f>IFERROR(INDEX(Auction!$B$13:$B$672,MATCH(H199,Auction!$A$13:$A$672,0)),"")</f>
        <v/>
      </c>
      <c r="H199" s="255" t="str">
        <f t="array" ref="H199">IF($G$195=0,"",IFERROR(INDEX(Auction!$A$13:$M$672,SMALL(IF(Auction!$M$13:$M$672=$G$195,(ROW(Auction!$M$13:$M$672)-MIN(ROW(Auction!$M$13:$M$672))+1),""),ROW($G3)),1),""))</f>
        <v/>
      </c>
      <c r="I199" s="176">
        <f>IF(ISERROR(VLOOKUP(H199,Auction!$A$13:$I$672,7,FALSE)),0,VLOOKUP(H199,Auction!$A$13:$I$672,8,FALSE))</f>
        <v>0</v>
      </c>
      <c r="J199" s="177">
        <f>IFERROR(VLOOKUP(H199,Auction!$A$13:$I$672,9,FALSE)-I199,0)</f>
        <v>0</v>
      </c>
      <c r="K199" s="183" t="str">
        <f>IFERROR(INDEX(Auction!$C$13:$C$672,MATCH(H199,Auction!$A$13:$A$672,0)),"")</f>
        <v/>
      </c>
    </row>
    <row r="200" spans="1:11" x14ac:dyDescent="0.25">
      <c r="A200" s="167" t="str">
        <f>IFERROR(INDEX(Auction!$B$13:$B$672,MATCH(B200,Auction!$A$13:$A$672,0)),"")</f>
        <v/>
      </c>
      <c r="B200" s="255" t="str">
        <f t="array" ref="B200">IF($A$195=0,"",IFERROR(INDEX(Auction!$A$13:$M$672,SMALL(IF(Auction!$M$13:$M$672=$A$195,(ROW(Auction!$M$13:$M$672)-MIN(ROW(Auction!$M$13:$M$672))+1),""),ROW($A4)),1),""))</f>
        <v/>
      </c>
      <c r="C200" s="176">
        <f>IF(ISERROR(VLOOKUP(B200,Auction!$A$13:$I$672,7,FALSE)),0,VLOOKUP(B200,Auction!$A$13:$I$672,8,FALSE))</f>
        <v>0</v>
      </c>
      <c r="D200" s="177">
        <f>IFERROR(VLOOKUP(B200,Auction!$A$13:$I$672,9,FALSE)-C200,0)</f>
        <v>0</v>
      </c>
      <c r="E200" s="183" t="str">
        <f>IFERROR(INDEX(Auction!$C$13:$C$672,MATCH(B200,Auction!$A$13:$A$672,0)),"")</f>
        <v/>
      </c>
      <c r="F200" s="1"/>
      <c r="G200" s="167" t="str">
        <f>IFERROR(INDEX(Auction!$B$13:$B$672,MATCH(H200,Auction!$A$13:$A$672,0)),"")</f>
        <v/>
      </c>
      <c r="H200" s="255" t="str">
        <f t="array" ref="H200">IF($G$195=0,"",IFERROR(INDEX(Auction!$A$13:$M$672,SMALL(IF(Auction!$M$13:$M$672=$G$195,(ROW(Auction!$M$13:$M$672)-MIN(ROW(Auction!$M$13:$M$672))+1),""),ROW($G4)),1),""))</f>
        <v/>
      </c>
      <c r="I200" s="176">
        <f>IF(ISERROR(VLOOKUP(H200,Auction!$A$13:$I$672,7,FALSE)),0,VLOOKUP(H200,Auction!$A$13:$I$672,8,FALSE))</f>
        <v>0</v>
      </c>
      <c r="J200" s="177">
        <f>IFERROR(VLOOKUP(H200,Auction!$A$13:$I$672,9,FALSE)-I200,0)</f>
        <v>0</v>
      </c>
      <c r="K200" s="183" t="str">
        <f>IFERROR(INDEX(Auction!$C$13:$C$672,MATCH(H200,Auction!$A$13:$A$672,0)),"")</f>
        <v/>
      </c>
    </row>
    <row r="201" spans="1:11" x14ac:dyDescent="0.25">
      <c r="A201" s="167" t="str">
        <f>IFERROR(INDEX(Auction!$B$13:$B$672,MATCH(B201,Auction!$A$13:$A$672,0)),"")</f>
        <v/>
      </c>
      <c r="B201" s="255" t="str">
        <f t="array" ref="B201">IF($A$195=0,"",IFERROR(INDEX(Auction!$A$13:$M$672,SMALL(IF(Auction!$M$13:$M$672=$A$195,(ROW(Auction!$M$13:$M$672)-MIN(ROW(Auction!$M$13:$M$672))+1),""),ROW($A5)),1),""))</f>
        <v/>
      </c>
      <c r="C201" s="176">
        <f>IF(ISERROR(VLOOKUP(B201,Auction!$A$13:$I$672,7,FALSE)),0,VLOOKUP(B201,Auction!$A$13:$I$672,8,FALSE))</f>
        <v>0</v>
      </c>
      <c r="D201" s="177">
        <f>IFERROR(VLOOKUP(B201,Auction!$A$13:$I$672,9,FALSE)-C201,0)</f>
        <v>0</v>
      </c>
      <c r="E201" s="183" t="str">
        <f>IFERROR(INDEX(Auction!$C$13:$C$672,MATCH(B201,Auction!$A$13:$A$672,0)),"")</f>
        <v/>
      </c>
      <c r="F201" s="1"/>
      <c r="G201" s="167" t="str">
        <f>IFERROR(INDEX(Auction!$B$13:$B$672,MATCH(H201,Auction!$A$13:$A$672,0)),"")</f>
        <v/>
      </c>
      <c r="H201" s="255" t="str">
        <f t="array" ref="H201">IF($G$195=0,"",IFERROR(INDEX(Auction!$A$13:$M$672,SMALL(IF(Auction!$M$13:$M$672=$G$195,(ROW(Auction!$M$13:$M$672)-MIN(ROW(Auction!$M$13:$M$672))+1),""),ROW($G5)),1),""))</f>
        <v/>
      </c>
      <c r="I201" s="176">
        <f>IF(ISERROR(VLOOKUP(H201,Auction!$A$13:$I$672,7,FALSE)),0,VLOOKUP(H201,Auction!$A$13:$I$672,8,FALSE))</f>
        <v>0</v>
      </c>
      <c r="J201" s="177">
        <f>IFERROR(VLOOKUP(H201,Auction!$A$13:$I$672,9,FALSE)-I201,0)</f>
        <v>0</v>
      </c>
      <c r="K201" s="183" t="str">
        <f>IFERROR(INDEX(Auction!$C$13:$C$672,MATCH(H201,Auction!$A$13:$A$672,0)),"")</f>
        <v/>
      </c>
    </row>
    <row r="202" spans="1:11" x14ac:dyDescent="0.25">
      <c r="A202" s="167" t="str">
        <f>IFERROR(INDEX(Auction!$B$13:$B$672,MATCH(B202,Auction!$A$13:$A$672,0)),"")</f>
        <v/>
      </c>
      <c r="B202" s="255" t="str">
        <f t="array" ref="B202">IF($A$195=0,"",IFERROR(INDEX(Auction!$A$13:$M$672,SMALL(IF(Auction!$M$13:$M$672=$A$195,(ROW(Auction!$M$13:$M$672)-MIN(ROW(Auction!$M$13:$M$672))+1),""),ROW($A6)),1),""))</f>
        <v/>
      </c>
      <c r="C202" s="176">
        <f>IF(ISERROR(VLOOKUP(B202,Auction!$A$13:$I$672,7,FALSE)),0,VLOOKUP(B202,Auction!$A$13:$I$672,8,FALSE))</f>
        <v>0</v>
      </c>
      <c r="D202" s="177">
        <f>IFERROR(VLOOKUP(B202,Auction!$A$13:$I$672,9,FALSE)-C202,0)</f>
        <v>0</v>
      </c>
      <c r="E202" s="183" t="str">
        <f>IFERROR(INDEX(Auction!$C$13:$C$672,MATCH(B202,Auction!$A$13:$A$672,0)),"")</f>
        <v/>
      </c>
      <c r="F202" s="1"/>
      <c r="G202" s="167" t="str">
        <f>IFERROR(INDEX(Auction!$B$13:$B$672,MATCH(H202,Auction!$A$13:$A$672,0)),"")</f>
        <v/>
      </c>
      <c r="H202" s="255" t="str">
        <f t="array" ref="H202">IF($G$195=0,"",IFERROR(INDEX(Auction!$A$13:$M$672,SMALL(IF(Auction!$M$13:$M$672=$G$195,(ROW(Auction!$M$13:$M$672)-MIN(ROW(Auction!$M$13:$M$672))+1),""),ROW($G6)),1),""))</f>
        <v/>
      </c>
      <c r="I202" s="176">
        <f>IF(ISERROR(VLOOKUP(H202,Auction!$A$13:$I$672,7,FALSE)),0,VLOOKUP(H202,Auction!$A$13:$I$672,8,FALSE))</f>
        <v>0</v>
      </c>
      <c r="J202" s="177">
        <f>IFERROR(VLOOKUP(H202,Auction!$A$13:$I$672,9,FALSE)-I202,0)</f>
        <v>0</v>
      </c>
      <c r="K202" s="183" t="str">
        <f>IFERROR(INDEX(Auction!$C$13:$C$672,MATCH(H202,Auction!$A$13:$A$672,0)),"")</f>
        <v/>
      </c>
    </row>
    <row r="203" spans="1:11" x14ac:dyDescent="0.25">
      <c r="A203" s="167" t="str">
        <f>IFERROR(INDEX(Auction!$B$13:$B$672,MATCH(B203,Auction!$A$13:$A$672,0)),"")</f>
        <v/>
      </c>
      <c r="B203" s="255" t="str">
        <f t="array" ref="B203">IF($A$195=0,"",IFERROR(INDEX(Auction!$A$13:$M$672,SMALL(IF(Auction!$M$13:$M$672=$A$195,(ROW(Auction!$M$13:$M$672)-MIN(ROW(Auction!$M$13:$M$672))+1),""),ROW($A7)),1),""))</f>
        <v/>
      </c>
      <c r="C203" s="176">
        <f>IF(ISERROR(VLOOKUP(B203,Auction!$A$13:$I$672,7,FALSE)),0,VLOOKUP(B203,Auction!$A$13:$I$672,8,FALSE))</f>
        <v>0</v>
      </c>
      <c r="D203" s="177">
        <f>IFERROR(VLOOKUP(B203,Auction!$A$13:$I$672,9,FALSE)-C203,0)</f>
        <v>0</v>
      </c>
      <c r="E203" s="183" t="str">
        <f>IFERROR(INDEX(Auction!$C$13:$C$672,MATCH(B203,Auction!$A$13:$A$672,0)),"")</f>
        <v/>
      </c>
      <c r="F203" s="1"/>
      <c r="G203" s="167" t="str">
        <f>IFERROR(INDEX(Auction!$B$13:$B$672,MATCH(H203,Auction!$A$13:$A$672,0)),"")</f>
        <v/>
      </c>
      <c r="H203" s="255" t="str">
        <f t="array" ref="H203">IF($G$195=0,"",IFERROR(INDEX(Auction!$A$13:$M$672,SMALL(IF(Auction!$M$13:$M$672=$G$195,(ROW(Auction!$M$13:$M$672)-MIN(ROW(Auction!$M$13:$M$672))+1),""),ROW($G7)),1),""))</f>
        <v/>
      </c>
      <c r="I203" s="176">
        <f>IF(ISERROR(VLOOKUP(H203,Auction!$A$13:$I$672,7,FALSE)),0,VLOOKUP(H203,Auction!$A$13:$I$672,8,FALSE))</f>
        <v>0</v>
      </c>
      <c r="J203" s="177">
        <f>IFERROR(VLOOKUP(H203,Auction!$A$13:$I$672,9,FALSE)-I203,0)</f>
        <v>0</v>
      </c>
      <c r="K203" s="183" t="str">
        <f>IFERROR(INDEX(Auction!$C$13:$C$672,MATCH(H203,Auction!$A$13:$A$672,0)),"")</f>
        <v/>
      </c>
    </row>
    <row r="204" spans="1:11" x14ac:dyDescent="0.25">
      <c r="A204" s="167" t="str">
        <f>IFERROR(INDEX(Auction!$B$13:$B$672,MATCH(B204,Auction!$A$13:$A$672,0)),"")</f>
        <v/>
      </c>
      <c r="B204" s="255" t="str">
        <f t="array" ref="B204">IF($A$195=0,"",IFERROR(INDEX(Auction!$A$13:$M$672,SMALL(IF(Auction!$M$13:$M$672=$A$195,(ROW(Auction!$M$13:$M$672)-MIN(ROW(Auction!$M$13:$M$672))+1),""),ROW($A8)),1),""))</f>
        <v/>
      </c>
      <c r="C204" s="176">
        <f>IF(ISERROR(VLOOKUP(B204,Auction!$A$13:$I$672,7,FALSE)),0,VLOOKUP(B204,Auction!$A$13:$I$672,8,FALSE))</f>
        <v>0</v>
      </c>
      <c r="D204" s="177">
        <f>IFERROR(VLOOKUP(B204,Auction!$A$13:$I$672,9,FALSE)-C204,0)</f>
        <v>0</v>
      </c>
      <c r="E204" s="183" t="str">
        <f>IFERROR(INDEX(Auction!$C$13:$C$672,MATCH(B204,Auction!$A$13:$A$672,0)),"")</f>
        <v/>
      </c>
      <c r="F204" s="1"/>
      <c r="G204" s="167" t="str">
        <f>IFERROR(INDEX(Auction!$B$13:$B$672,MATCH(H204,Auction!$A$13:$A$672,0)),"")</f>
        <v/>
      </c>
      <c r="H204" s="255" t="str">
        <f t="array" ref="H204">IF($G$195=0,"",IFERROR(INDEX(Auction!$A$13:$M$672,SMALL(IF(Auction!$M$13:$M$672=$G$195,(ROW(Auction!$M$13:$M$672)-MIN(ROW(Auction!$M$13:$M$672))+1),""),ROW($G8)),1),""))</f>
        <v/>
      </c>
      <c r="I204" s="176">
        <f>IF(ISERROR(VLOOKUP(H204,Auction!$A$13:$I$672,7,FALSE)),0,VLOOKUP(H204,Auction!$A$13:$I$672,8,FALSE))</f>
        <v>0</v>
      </c>
      <c r="J204" s="177">
        <f>IFERROR(VLOOKUP(H204,Auction!$A$13:$I$672,9,FALSE)-I204,0)</f>
        <v>0</v>
      </c>
      <c r="K204" s="183" t="str">
        <f>IFERROR(INDEX(Auction!$C$13:$C$672,MATCH(H204,Auction!$A$13:$A$672,0)),"")</f>
        <v/>
      </c>
    </row>
    <row r="205" spans="1:11" x14ac:dyDescent="0.25">
      <c r="A205" s="167" t="str">
        <f>IFERROR(INDEX(Auction!$B$13:$B$672,MATCH(B205,Auction!$A$13:$A$672,0)),"")</f>
        <v/>
      </c>
      <c r="B205" s="255" t="str">
        <f t="array" ref="B205">IF($A$195=0,"",IFERROR(INDEX(Auction!$A$13:$M$672,SMALL(IF(Auction!$M$13:$M$672=$A$195,(ROW(Auction!$M$13:$M$672)-MIN(ROW(Auction!$M$13:$M$672))+1),""),ROW($A9)),1),""))</f>
        <v/>
      </c>
      <c r="C205" s="176">
        <f>IF(ISERROR(VLOOKUP(B205,Auction!$A$13:$I$672,7,FALSE)),0,VLOOKUP(B205,Auction!$A$13:$I$672,8,FALSE))</f>
        <v>0</v>
      </c>
      <c r="D205" s="177">
        <f>IFERROR(VLOOKUP(B205,Auction!$A$13:$I$672,9,FALSE)-C205,0)</f>
        <v>0</v>
      </c>
      <c r="E205" s="184" t="str">
        <f>IFERROR(INDEX(Auction!$C$13:$C$672,MATCH(B205,Auction!$A$13:$A$672,0)),"")</f>
        <v/>
      </c>
      <c r="F205" s="1"/>
      <c r="G205" s="167" t="str">
        <f>IFERROR(INDEX(Auction!$B$13:$B$672,MATCH(H205,Auction!$A$13:$A$672,0)),"")</f>
        <v/>
      </c>
      <c r="H205" s="255" t="str">
        <f t="array" ref="H205">IF($G$195=0,"",IFERROR(INDEX(Auction!$A$13:$M$672,SMALL(IF(Auction!$M$13:$M$672=$G$195,(ROW(Auction!$M$13:$M$672)-MIN(ROW(Auction!$M$13:$M$672))+1),""),ROW($G9)),1),""))</f>
        <v/>
      </c>
      <c r="I205" s="176">
        <f>IF(ISERROR(VLOOKUP(H205,Auction!$A$13:$I$672,7,FALSE)),0,VLOOKUP(H205,Auction!$A$13:$I$672,8,FALSE))</f>
        <v>0</v>
      </c>
      <c r="J205" s="177">
        <f>IFERROR(VLOOKUP(H205,Auction!$A$13:$I$672,9,FALSE)-I205,0)</f>
        <v>0</v>
      </c>
      <c r="K205" s="184" t="str">
        <f>IFERROR(INDEX(Auction!$C$13:$C$672,MATCH(H205,Auction!$A$13:$A$672,0)),"")</f>
        <v/>
      </c>
    </row>
    <row r="206" spans="1:11" x14ac:dyDescent="0.25">
      <c r="A206" s="167" t="str">
        <f>IFERROR(INDEX(Auction!$B$13:$B$672,MATCH(B206,Auction!$A$13:$A$672,0)),"")</f>
        <v/>
      </c>
      <c r="B206" s="255" t="str">
        <f t="array" ref="B206">IF($A$195=0,"",IFERROR(INDEX(Auction!$A$13:$M$672,SMALL(IF(Auction!$M$13:$M$672=$A$195,(ROW(Auction!$M$13:$M$672)-MIN(ROW(Auction!$M$13:$M$672))+1),""),ROW($A10)),1),""))</f>
        <v/>
      </c>
      <c r="C206" s="176">
        <f>IF(ISERROR(VLOOKUP(B206,Auction!$A$13:$I$672,7,FALSE)),0,VLOOKUP(B206,Auction!$A$13:$I$672,8,FALSE))</f>
        <v>0</v>
      </c>
      <c r="D206" s="177">
        <f>IFERROR(VLOOKUP(B206,Auction!$A$13:$I$672,9,FALSE)-C206,0)</f>
        <v>0</v>
      </c>
      <c r="E206" s="184" t="str">
        <f>IFERROR(INDEX(Auction!$C$13:$C$672,MATCH(B206,Auction!$A$13:$A$672,0)),"")</f>
        <v/>
      </c>
      <c r="F206" s="1"/>
      <c r="G206" s="167" t="str">
        <f>IFERROR(INDEX(Auction!$B$13:$B$672,MATCH(H206,Auction!$A$13:$A$672,0)),"")</f>
        <v/>
      </c>
      <c r="H206" s="255" t="str">
        <f t="array" ref="H206">IF($G$195=0,"",IFERROR(INDEX(Auction!$A$13:$M$672,SMALL(IF(Auction!$M$13:$M$672=$G$195,(ROW(Auction!$M$13:$M$672)-MIN(ROW(Auction!$M$13:$M$672))+1),""),ROW($G10)),1),""))</f>
        <v/>
      </c>
      <c r="I206" s="176">
        <f>IF(ISERROR(VLOOKUP(H206,Auction!$A$13:$I$672,7,FALSE)),0,VLOOKUP(H206,Auction!$A$13:$I$672,8,FALSE))</f>
        <v>0</v>
      </c>
      <c r="J206" s="177">
        <f>IFERROR(VLOOKUP(H206,Auction!$A$13:$I$672,9,FALSE)-I206,0)</f>
        <v>0</v>
      </c>
      <c r="K206" s="184" t="str">
        <f>IFERROR(INDEX(Auction!$C$13:$C$672,MATCH(H206,Auction!$A$13:$A$672,0)),"")</f>
        <v/>
      </c>
    </row>
    <row r="207" spans="1:11" x14ac:dyDescent="0.25">
      <c r="A207" s="167" t="str">
        <f>IFERROR(INDEX(Auction!$B$13:$B$672,MATCH(B207,Auction!$A$13:$A$672,0)),"")</f>
        <v/>
      </c>
      <c r="B207" s="255" t="str">
        <f t="array" ref="B207">IF($A$195=0,"",IFERROR(INDEX(Auction!$A$13:$M$672,SMALL(IF(Auction!$M$13:$M$672=$A$195,(ROW(Auction!$M$13:$M$672)-MIN(ROW(Auction!$M$13:$M$672))+1),""),ROW($A11)),1),""))</f>
        <v/>
      </c>
      <c r="C207" s="176">
        <f>IF(ISERROR(VLOOKUP(B207,Auction!$A$13:$I$672,7,FALSE)),0,VLOOKUP(B207,Auction!$A$13:$I$672,8,FALSE))</f>
        <v>0</v>
      </c>
      <c r="D207" s="177">
        <f>IFERROR(VLOOKUP(B207,Auction!$A$13:$I$672,9,FALSE)-C207,0)</f>
        <v>0</v>
      </c>
      <c r="E207" s="184" t="str">
        <f>IFERROR(INDEX(Auction!$C$13:$C$672,MATCH(B207,Auction!$A$13:$A$672,0)),"")</f>
        <v/>
      </c>
      <c r="F207" s="1"/>
      <c r="G207" s="167" t="str">
        <f>IFERROR(INDEX(Auction!$B$13:$B$672,MATCH(H207,Auction!$A$13:$A$672,0)),"")</f>
        <v/>
      </c>
      <c r="H207" s="255" t="str">
        <f t="array" ref="H207">IF($G$195=0,"",IFERROR(INDEX(Auction!$A$13:$M$672,SMALL(IF(Auction!$M$13:$M$672=$G$195,(ROW(Auction!$M$13:$M$672)-MIN(ROW(Auction!$M$13:$M$672))+1),""),ROW($G11)),1),""))</f>
        <v/>
      </c>
      <c r="I207" s="176">
        <f>IF(ISERROR(VLOOKUP(H207,Auction!$A$13:$I$672,7,FALSE)),0,VLOOKUP(H207,Auction!$A$13:$I$672,8,FALSE))</f>
        <v>0</v>
      </c>
      <c r="J207" s="177">
        <f>IFERROR(VLOOKUP(H207,Auction!$A$13:$I$672,9,FALSE)-I207,0)</f>
        <v>0</v>
      </c>
      <c r="K207" s="184" t="str">
        <f>IFERROR(INDEX(Auction!$C$13:$C$672,MATCH(H207,Auction!$A$13:$A$672,0)),"")</f>
        <v/>
      </c>
    </row>
    <row r="208" spans="1:11" x14ac:dyDescent="0.25">
      <c r="A208" s="167" t="str">
        <f>IFERROR(INDEX(Auction!$B$13:$B$672,MATCH(B208,Auction!$A$13:$A$672,0)),"")</f>
        <v/>
      </c>
      <c r="B208" s="255" t="str">
        <f t="array" ref="B208">IF($A$195=0,"",IFERROR(INDEX(Auction!$A$13:$M$672,SMALL(IF(Auction!$M$13:$M$672=$A$195,(ROW(Auction!$M$13:$M$672)-MIN(ROW(Auction!$M$13:$M$672))+1),""),ROW($A12)),1),""))</f>
        <v/>
      </c>
      <c r="C208" s="176">
        <f>IF(ISERROR(VLOOKUP(B208,Auction!$A$13:$I$672,7,FALSE)),0,VLOOKUP(B208,Auction!$A$13:$I$672,8,FALSE))</f>
        <v>0</v>
      </c>
      <c r="D208" s="177">
        <f>IFERROR(VLOOKUP(B208,Auction!$A$13:$I$672,9,FALSE)-C208,0)</f>
        <v>0</v>
      </c>
      <c r="E208" s="184" t="str">
        <f>IFERROR(INDEX(Auction!$C$13:$C$672,MATCH(B208,Auction!$A$13:$A$672,0)),"")</f>
        <v/>
      </c>
      <c r="F208" s="1"/>
      <c r="G208" s="167" t="str">
        <f>IFERROR(INDEX(Auction!$B$13:$B$672,MATCH(H208,Auction!$A$13:$A$672,0)),"")</f>
        <v/>
      </c>
      <c r="H208" s="255" t="str">
        <f t="array" ref="H208">IF($G$195=0,"",IFERROR(INDEX(Auction!$A$13:$M$672,SMALL(IF(Auction!$M$13:$M$672=$G$195,(ROW(Auction!$M$13:$M$672)-MIN(ROW(Auction!$M$13:$M$672))+1),""),ROW($G12)),1),""))</f>
        <v/>
      </c>
      <c r="I208" s="176">
        <f>IF(ISERROR(VLOOKUP(H208,Auction!$A$13:$I$672,7,FALSE)),0,VLOOKUP(H208,Auction!$A$13:$I$672,8,FALSE))</f>
        <v>0</v>
      </c>
      <c r="J208" s="177">
        <f>IFERROR(VLOOKUP(H208,Auction!$A$13:$I$672,9,FALSE)-I208,0)</f>
        <v>0</v>
      </c>
      <c r="K208" s="184" t="str">
        <f>IFERROR(INDEX(Auction!$C$13:$C$672,MATCH(H208,Auction!$A$13:$A$672,0)),"")</f>
        <v/>
      </c>
    </row>
    <row r="209" spans="1:11" x14ac:dyDescent="0.25">
      <c r="A209" s="167" t="str">
        <f>IFERROR(INDEX(Auction!$B$13:$B$672,MATCH(B209,Auction!$A$13:$A$672,0)),"")</f>
        <v/>
      </c>
      <c r="B209" s="255" t="str">
        <f t="array" ref="B209">IF($A$195=0,"",IFERROR(INDEX(Auction!$A$13:$M$672,SMALL(IF(Auction!$M$13:$M$672=$A$195,(ROW(Auction!$M$13:$M$672)-MIN(ROW(Auction!$M$13:$M$672))+1),""),ROW($A13)),1),""))</f>
        <v/>
      </c>
      <c r="C209" s="176">
        <f>IF(ISERROR(VLOOKUP(B209,Auction!$A$13:$I$672,7,FALSE)),0,VLOOKUP(B209,Auction!$A$13:$I$672,8,FALSE))</f>
        <v>0</v>
      </c>
      <c r="D209" s="177">
        <f>IFERROR(VLOOKUP(B209,Auction!$A$13:$I$672,9,FALSE)-C209,0)</f>
        <v>0</v>
      </c>
      <c r="E209" s="184" t="str">
        <f>IFERROR(INDEX(Auction!$C$13:$C$672,MATCH(B209,Auction!$A$13:$A$672,0)),"")</f>
        <v/>
      </c>
      <c r="F209" s="1"/>
      <c r="G209" s="167" t="str">
        <f>IFERROR(INDEX(Auction!$B$13:$B$672,MATCH(H209,Auction!$A$13:$A$672,0)),"")</f>
        <v/>
      </c>
      <c r="H209" s="255" t="str">
        <f t="array" ref="H209">IF($G$195=0,"",IFERROR(INDEX(Auction!$A$13:$M$672,SMALL(IF(Auction!$M$13:$M$672=$G$195,(ROW(Auction!$M$13:$M$672)-MIN(ROW(Auction!$M$13:$M$672))+1),""),ROW($G13)),1),""))</f>
        <v/>
      </c>
      <c r="I209" s="176">
        <f>IF(ISERROR(VLOOKUP(H209,Auction!$A$13:$I$672,7,FALSE)),0,VLOOKUP(H209,Auction!$A$13:$I$672,8,FALSE))</f>
        <v>0</v>
      </c>
      <c r="J209" s="177">
        <f>IFERROR(VLOOKUP(H209,Auction!$A$13:$I$672,9,FALSE)-I209,0)</f>
        <v>0</v>
      </c>
      <c r="K209" s="184" t="str">
        <f>IFERROR(INDEX(Auction!$C$13:$C$672,MATCH(H209,Auction!$A$13:$A$672,0)),"")</f>
        <v/>
      </c>
    </row>
    <row r="210" spans="1:11" x14ac:dyDescent="0.25">
      <c r="A210" s="167" t="str">
        <f>IFERROR(INDEX(Auction!$B$13:$B$672,MATCH(B210,Auction!$A$13:$A$672,0)),"")</f>
        <v/>
      </c>
      <c r="B210" s="255" t="str">
        <f t="array" ref="B210">IF($A$195=0,"",IFERROR(INDEX(Auction!$A$13:$M$672,SMALL(IF(Auction!$M$13:$M$672=$A$195,(ROW(Auction!$M$13:$M$672)-MIN(ROW(Auction!$M$13:$M$672))+1),""),ROW($A14)),1),""))</f>
        <v/>
      </c>
      <c r="C210" s="176">
        <f>IF(ISERROR(VLOOKUP(B210,Auction!$A$13:$I$672,7,FALSE)),0,VLOOKUP(B210,Auction!$A$13:$I$672,8,FALSE))</f>
        <v>0</v>
      </c>
      <c r="D210" s="177">
        <f>IFERROR(VLOOKUP(B210,Auction!$A$13:$I$672,9,FALSE)-C210,0)</f>
        <v>0</v>
      </c>
      <c r="E210" s="184" t="str">
        <f>IFERROR(INDEX(Auction!$C$13:$C$672,MATCH(B210,Auction!$A$13:$A$672,0)),"")</f>
        <v/>
      </c>
      <c r="F210" s="1"/>
      <c r="G210" s="167" t="str">
        <f>IFERROR(INDEX(Auction!$B$13:$B$672,MATCH(H210,Auction!$A$13:$A$672,0)),"")</f>
        <v/>
      </c>
      <c r="H210" s="255" t="str">
        <f t="array" ref="H210">IF($G$195=0,"",IFERROR(INDEX(Auction!$A$13:$M$672,SMALL(IF(Auction!$M$13:$M$672=$G$195,(ROW(Auction!$M$13:$M$672)-MIN(ROW(Auction!$M$13:$M$672))+1),""),ROW($G14)),1),""))</f>
        <v/>
      </c>
      <c r="I210" s="176">
        <f>IF(ISERROR(VLOOKUP(H210,Auction!$A$13:$I$672,7,FALSE)),0,VLOOKUP(H210,Auction!$A$13:$I$672,8,FALSE))</f>
        <v>0</v>
      </c>
      <c r="J210" s="177">
        <f>IFERROR(VLOOKUP(H210,Auction!$A$13:$I$672,9,FALSE)-I210,0)</f>
        <v>0</v>
      </c>
      <c r="K210" s="184" t="str">
        <f>IFERROR(INDEX(Auction!$C$13:$C$672,MATCH(H210,Auction!$A$13:$A$672,0)),"")</f>
        <v/>
      </c>
    </row>
    <row r="211" spans="1:11" x14ac:dyDescent="0.25">
      <c r="A211" s="167" t="str">
        <f>IFERROR(INDEX(Auction!$B$13:$B$672,MATCH(B211,Auction!$A$13:$A$672,0)),"")</f>
        <v/>
      </c>
      <c r="B211" s="255" t="str">
        <f t="array" ref="B211">IF($A$195=0,"",IFERROR(INDEX(Auction!$A$13:$M$672,SMALL(IF(Auction!$M$13:$M$672=$A$195,(ROW(Auction!$M$13:$M$672)-MIN(ROW(Auction!$M$13:$M$672))+1),""),ROW($A15)),1),""))</f>
        <v/>
      </c>
      <c r="C211" s="176">
        <f>IF(ISERROR(VLOOKUP(B211,Auction!$A$13:$I$672,7,FALSE)),0,VLOOKUP(B211,Auction!$A$13:$I$672,8,FALSE))</f>
        <v>0</v>
      </c>
      <c r="D211" s="177">
        <f>IFERROR(VLOOKUP(B211,Auction!$A$13:$I$672,9,FALSE)-C211,0)</f>
        <v>0</v>
      </c>
      <c r="E211" s="184" t="str">
        <f>IFERROR(INDEX(Auction!$C$13:$C$672,MATCH(B211,Auction!$A$13:$A$672,0)),"")</f>
        <v/>
      </c>
      <c r="F211" s="1"/>
      <c r="G211" s="167" t="str">
        <f>IFERROR(INDEX(Auction!$B$13:$B$672,MATCH(H211,Auction!$A$13:$A$672,0)),"")</f>
        <v/>
      </c>
      <c r="H211" s="255" t="str">
        <f t="array" ref="H211">IF($G$195=0,"",IFERROR(INDEX(Auction!$A$13:$M$672,SMALL(IF(Auction!$M$13:$M$672=$G$195,(ROW(Auction!$M$13:$M$672)-MIN(ROW(Auction!$M$13:$M$672))+1),""),ROW($G15)),1),""))</f>
        <v/>
      </c>
      <c r="I211" s="176">
        <f>IF(ISERROR(VLOOKUP(H211,Auction!$A$13:$I$672,7,FALSE)),0,VLOOKUP(H211,Auction!$A$13:$I$672,8,FALSE))</f>
        <v>0</v>
      </c>
      <c r="J211" s="177">
        <f>IFERROR(VLOOKUP(H211,Auction!$A$13:$I$672,9,FALSE)-I211,0)</f>
        <v>0</v>
      </c>
      <c r="K211" s="184" t="str">
        <f>IFERROR(INDEX(Auction!$C$13:$C$672,MATCH(H211,Auction!$A$13:$A$672,0)),"")</f>
        <v/>
      </c>
    </row>
    <row r="212" spans="1:11" x14ac:dyDescent="0.25">
      <c r="A212" s="167" t="str">
        <f>IFERROR(INDEX(Auction!$B$13:$B$672,MATCH(B212,Auction!$A$13:$A$672,0)),"")</f>
        <v/>
      </c>
      <c r="B212" s="255" t="str">
        <f t="array" ref="B212">IF($A$195=0,"",IFERROR(INDEX(Auction!$A$13:$M$672,SMALL(IF(Auction!$M$13:$M$672=$A$195,(ROW(Auction!$M$13:$M$672)-MIN(ROW(Auction!$M$13:$M$672))+1),""),ROW($A16)),1),""))</f>
        <v/>
      </c>
      <c r="C212" s="176">
        <f>IF(ISERROR(VLOOKUP(B212,Auction!$A$13:$I$672,7,FALSE)),0,VLOOKUP(B212,Auction!$A$13:$I$672,8,FALSE))</f>
        <v>0</v>
      </c>
      <c r="D212" s="177">
        <f>IFERROR(VLOOKUP(B212,Auction!$A$13:$I$672,9,FALSE)-C212,0)</f>
        <v>0</v>
      </c>
      <c r="E212" s="184" t="str">
        <f>IFERROR(INDEX(Auction!$C$13:$C$672,MATCH(B212,Auction!$A$13:$A$672,0)),"")</f>
        <v/>
      </c>
      <c r="F212" s="1"/>
      <c r="G212" s="167" t="str">
        <f>IFERROR(INDEX(Auction!$B$13:$B$672,MATCH(H212,Auction!$A$13:$A$672,0)),"")</f>
        <v/>
      </c>
      <c r="H212" s="255" t="str">
        <f t="array" ref="H212">IF($G$195=0,"",IFERROR(INDEX(Auction!$A$13:$M$672,SMALL(IF(Auction!$M$13:$M$672=$G$195,(ROW(Auction!$M$13:$M$672)-MIN(ROW(Auction!$M$13:$M$672))+1),""),ROW($G16)),1),""))</f>
        <v/>
      </c>
      <c r="I212" s="176">
        <f>IF(ISERROR(VLOOKUP(H212,Auction!$A$13:$I$672,7,FALSE)),0,VLOOKUP(H212,Auction!$A$13:$I$672,8,FALSE))</f>
        <v>0</v>
      </c>
      <c r="J212" s="177">
        <f>IFERROR(VLOOKUP(H212,Auction!$A$13:$I$672,9,FALSE)-I212,0)</f>
        <v>0</v>
      </c>
      <c r="K212" s="184" t="str">
        <f>IFERROR(INDEX(Auction!$C$13:$C$672,MATCH(H212,Auction!$A$13:$A$672,0)),"")</f>
        <v/>
      </c>
    </row>
    <row r="213" spans="1:11" x14ac:dyDescent="0.25">
      <c r="A213" s="167" t="str">
        <f>IFERROR(INDEX(Auction!$B$13:$B$672,MATCH(B213,Auction!$A$13:$A$672,0)),"")</f>
        <v/>
      </c>
      <c r="B213" s="255" t="str">
        <f t="array" ref="B213">IF($A$195=0,"",IFERROR(INDEX(Auction!$A$13:$M$672,SMALL(IF(Auction!$M$13:$M$672=$A$195,(ROW(Auction!$M$13:$M$672)-MIN(ROW(Auction!$M$13:$M$672))+1),""),ROW($A17)),1),""))</f>
        <v/>
      </c>
      <c r="C213" s="176">
        <f>IF(ISERROR(VLOOKUP(B213,Auction!$A$13:$I$672,7,FALSE)),0,VLOOKUP(B213,Auction!$A$13:$I$672,8,FALSE))</f>
        <v>0</v>
      </c>
      <c r="D213" s="177">
        <f>IFERROR(VLOOKUP(B213,Auction!$A$13:$I$672,9,FALSE)-C213,0)</f>
        <v>0</v>
      </c>
      <c r="E213" s="184" t="str">
        <f>IFERROR(INDEX(Auction!$C$13:$C$672,MATCH(B213,Auction!$A$13:$A$672,0)),"")</f>
        <v/>
      </c>
      <c r="F213" s="1"/>
      <c r="G213" s="167" t="str">
        <f>IFERROR(INDEX(Auction!$B$13:$B$672,MATCH(H213,Auction!$A$13:$A$672,0)),"")</f>
        <v/>
      </c>
      <c r="H213" s="255" t="str">
        <f t="array" ref="H213">IF($G$195=0,"",IFERROR(INDEX(Auction!$A$13:$M$672,SMALL(IF(Auction!$M$13:$M$672=$G$195,(ROW(Auction!$M$13:$M$672)-MIN(ROW(Auction!$M$13:$M$672))+1),""),ROW($G17)),1),""))</f>
        <v/>
      </c>
      <c r="I213" s="176">
        <f>IF(ISERROR(VLOOKUP(H213,Auction!$A$13:$I$672,7,FALSE)),0,VLOOKUP(H213,Auction!$A$13:$I$672,8,FALSE))</f>
        <v>0</v>
      </c>
      <c r="J213" s="177">
        <f>IFERROR(VLOOKUP(H213,Auction!$A$13:$I$672,9,FALSE)-I213,0)</f>
        <v>0</v>
      </c>
      <c r="K213" s="184" t="str">
        <f>IFERROR(INDEX(Auction!$C$13:$C$672,MATCH(H213,Auction!$A$13:$A$672,0)),"")</f>
        <v/>
      </c>
    </row>
    <row r="214" spans="1:11" x14ac:dyDescent="0.25">
      <c r="A214" s="167" t="str">
        <f>IFERROR(INDEX(Auction!$B$13:$B$672,MATCH(B214,Auction!$A$13:$A$672,0)),"")</f>
        <v/>
      </c>
      <c r="B214" s="255" t="str">
        <f t="array" ref="B214">IF($A$195=0,"",IFERROR(INDEX(Auction!$A$13:$M$672,SMALL(IF(Auction!$M$13:$M$672=$A$195,(ROW(Auction!$M$13:$M$672)-MIN(ROW(Auction!$M$13:$M$672))+1),""),ROW($A18)),1),""))</f>
        <v/>
      </c>
      <c r="C214" s="176">
        <f>IF(ISERROR(VLOOKUP(B214,Auction!$A$13:$I$672,7,FALSE)),0,VLOOKUP(B214,Auction!$A$13:$I$672,8,FALSE))</f>
        <v>0</v>
      </c>
      <c r="D214" s="177">
        <f>IFERROR(VLOOKUP(B214,Auction!$A$13:$I$672,9,FALSE)-C214,0)</f>
        <v>0</v>
      </c>
      <c r="E214" s="184" t="str">
        <f>IFERROR(INDEX(Auction!$C$13:$C$672,MATCH(B214,Auction!$A$13:$A$672,0)),"")</f>
        <v/>
      </c>
      <c r="F214" s="1"/>
      <c r="G214" s="167" t="str">
        <f>IFERROR(INDEX(Auction!$B$13:$B$672,MATCH(H214,Auction!$A$13:$A$672,0)),"")</f>
        <v/>
      </c>
      <c r="H214" s="255" t="str">
        <f t="array" ref="H214">IF($G$195=0,"",IFERROR(INDEX(Auction!$A$13:$M$672,SMALL(IF(Auction!$M$13:$M$672=$G$195,(ROW(Auction!$M$13:$M$672)-MIN(ROW(Auction!$M$13:$M$672))+1),""),ROW($G18)),1),""))</f>
        <v/>
      </c>
      <c r="I214" s="176">
        <f>IF(ISERROR(VLOOKUP(H214,Auction!$A$13:$I$672,7,FALSE)),0,VLOOKUP(H214,Auction!$A$13:$I$672,8,FALSE))</f>
        <v>0</v>
      </c>
      <c r="J214" s="177">
        <f>IFERROR(VLOOKUP(H214,Auction!$A$13:$I$672,9,FALSE)-I214,0)</f>
        <v>0</v>
      </c>
      <c r="K214" s="184" t="str">
        <f>IFERROR(INDEX(Auction!$C$13:$C$672,MATCH(H214,Auction!$A$13:$A$672,0)),"")</f>
        <v/>
      </c>
    </row>
    <row r="215" spans="1:11" x14ac:dyDescent="0.25">
      <c r="A215" s="167" t="str">
        <f>IFERROR(INDEX(Auction!$B$13:$B$672,MATCH(B215,Auction!$A$13:$A$672,0)),"")</f>
        <v/>
      </c>
      <c r="B215" s="255" t="str">
        <f t="array" ref="B215">IF($A$195=0,"",IFERROR(INDEX(Auction!$A$13:$M$672,SMALL(IF(Auction!$M$13:$M$672=$A$195,(ROW(Auction!$M$13:$M$672)-MIN(ROW(Auction!$M$13:$M$672))+1),""),ROW($A19)),1),""))</f>
        <v/>
      </c>
      <c r="C215" s="176">
        <f>IF(ISERROR(VLOOKUP(B215,Auction!$A$13:$I$672,7,FALSE)),0,VLOOKUP(B215,Auction!$A$13:$I$672,8,FALSE))</f>
        <v>0</v>
      </c>
      <c r="D215" s="177">
        <f>IFERROR(VLOOKUP(B215,Auction!$A$13:$I$672,9,FALSE)-C215,0)</f>
        <v>0</v>
      </c>
      <c r="E215" s="184" t="str">
        <f>IFERROR(INDEX(Auction!$C$13:$C$672,MATCH(B215,Auction!$A$13:$A$672,0)),"")</f>
        <v/>
      </c>
      <c r="F215" s="1"/>
      <c r="G215" s="167" t="str">
        <f>IFERROR(INDEX(Auction!$B$13:$B$672,MATCH(H215,Auction!$A$13:$A$672,0)),"")</f>
        <v/>
      </c>
      <c r="H215" s="255" t="str">
        <f t="array" ref="H215">IF($G$195=0,"",IFERROR(INDEX(Auction!$A$13:$M$672,SMALL(IF(Auction!$M$13:$M$672=$G$195,(ROW(Auction!$M$13:$M$672)-MIN(ROW(Auction!$M$13:$M$672))+1),""),ROW($G19)),1),""))</f>
        <v/>
      </c>
      <c r="I215" s="176">
        <f>IF(ISERROR(VLOOKUP(H215,Auction!$A$13:$I$672,7,FALSE)),0,VLOOKUP(H215,Auction!$A$13:$I$672,8,FALSE))</f>
        <v>0</v>
      </c>
      <c r="J215" s="177">
        <f>IFERROR(VLOOKUP(H215,Auction!$A$13:$I$672,9,FALSE)-I215,0)</f>
        <v>0</v>
      </c>
      <c r="K215" s="184" t="str">
        <f>IFERROR(INDEX(Auction!$C$13:$C$672,MATCH(H215,Auction!$A$13:$A$672,0)),"")</f>
        <v/>
      </c>
    </row>
    <row r="216" spans="1:11" x14ac:dyDescent="0.25">
      <c r="A216" s="167" t="str">
        <f>IFERROR(INDEX(Auction!$B$13:$B$672,MATCH(B216,Auction!$A$13:$A$672,0)),"")</f>
        <v/>
      </c>
      <c r="B216" s="255" t="str">
        <f t="array" ref="B216">IF($A$195=0,"",IFERROR(INDEX(Auction!$A$13:$M$672,SMALL(IF(Auction!$M$13:$M$672=$A$195,(ROW(Auction!$M$13:$M$672)-MIN(ROW(Auction!$M$13:$M$672))+1),""),ROW($A20)),1),""))</f>
        <v/>
      </c>
      <c r="C216" s="176">
        <f>IF(ISERROR(VLOOKUP(B216,Auction!$A$13:$I$672,7,FALSE)),0,VLOOKUP(B216,Auction!$A$13:$I$672,8,FALSE))</f>
        <v>0</v>
      </c>
      <c r="D216" s="177">
        <f>IFERROR(VLOOKUP(B216,Auction!$A$13:$I$672,9,FALSE)-C216,0)</f>
        <v>0</v>
      </c>
      <c r="E216" s="184" t="str">
        <f>IFERROR(INDEX(Auction!$C$13:$C$672,MATCH(B216,Auction!$A$13:$A$672,0)),"")</f>
        <v/>
      </c>
      <c r="F216" s="1"/>
      <c r="G216" s="167" t="str">
        <f>IFERROR(INDEX(Auction!$B$13:$B$672,MATCH(H216,Auction!$A$13:$A$672,0)),"")</f>
        <v/>
      </c>
      <c r="H216" s="255" t="str">
        <f t="array" ref="H216">IF($G$195=0,"",IFERROR(INDEX(Auction!$A$13:$M$672,SMALL(IF(Auction!$M$13:$M$672=$G$195,(ROW(Auction!$M$13:$M$672)-MIN(ROW(Auction!$M$13:$M$672))+1),""),ROW($G20)),1),""))</f>
        <v/>
      </c>
      <c r="I216" s="176">
        <f>IF(ISERROR(VLOOKUP(H216,Auction!$A$13:$I$672,7,FALSE)),0,VLOOKUP(H216,Auction!$A$13:$I$672,8,FALSE))</f>
        <v>0</v>
      </c>
      <c r="J216" s="177">
        <f>IFERROR(VLOOKUP(H216,Auction!$A$13:$I$672,9,FALSE)-I216,0)</f>
        <v>0</v>
      </c>
      <c r="K216" s="184" t="str">
        <f>IFERROR(INDEX(Auction!$C$13:$C$672,MATCH(H216,Auction!$A$13:$A$672,0)),"")</f>
        <v/>
      </c>
    </row>
    <row r="217" spans="1:11" x14ac:dyDescent="0.25">
      <c r="A217" s="185"/>
      <c r="B217" s="186"/>
      <c r="C217" s="187">
        <f>SUM(C197:C216)</f>
        <v>0</v>
      </c>
      <c r="D217" s="187">
        <f>SUM(D197:D216)</f>
        <v>0</v>
      </c>
      <c r="E217" s="188"/>
      <c r="F217" s="1"/>
      <c r="G217" s="185"/>
      <c r="H217" s="186"/>
      <c r="I217" s="187">
        <f>SUM(I197:I216)</f>
        <v>0</v>
      </c>
      <c r="J217" s="187">
        <f>SUM(J197:J216)</f>
        <v>0</v>
      </c>
      <c r="K217" s="188"/>
    </row>
    <row r="219" spans="1:11" x14ac:dyDescent="0.25">
      <c r="A219" s="280">
        <f>H20</f>
        <v>0</v>
      </c>
      <c r="B219" s="281"/>
      <c r="C219" s="281"/>
      <c r="D219" s="281"/>
      <c r="E219" s="282"/>
      <c r="F219" s="1"/>
      <c r="G219" s="280">
        <f>H21</f>
        <v>0</v>
      </c>
      <c r="H219" s="281"/>
      <c r="I219" s="281"/>
      <c r="J219" s="281"/>
      <c r="K219" s="282"/>
    </row>
    <row r="220" spans="1:11" x14ac:dyDescent="0.25">
      <c r="A220" s="174" t="s">
        <v>875</v>
      </c>
      <c r="B220" s="182" t="s">
        <v>89</v>
      </c>
      <c r="C220" s="164" t="s">
        <v>876</v>
      </c>
      <c r="D220" s="164" t="s">
        <v>877</v>
      </c>
      <c r="E220" s="175" t="s">
        <v>808</v>
      </c>
      <c r="F220" s="1"/>
      <c r="G220" s="174" t="s">
        <v>875</v>
      </c>
      <c r="H220" s="182" t="s">
        <v>89</v>
      </c>
      <c r="I220" s="164" t="s">
        <v>876</v>
      </c>
      <c r="J220" s="164" t="s">
        <v>877</v>
      </c>
      <c r="K220" s="175" t="s">
        <v>808</v>
      </c>
    </row>
    <row r="221" spans="1:11" x14ac:dyDescent="0.25">
      <c r="A221" s="167" t="str">
        <f>IFERROR(INDEX(Auction!$B$13:$B$672,MATCH(B221,Auction!$A$13:$A$672,0)),"")</f>
        <v/>
      </c>
      <c r="B221" s="255" t="str">
        <f t="array" ref="B221">IF($A$219=0,"",IFERROR(INDEX(Auction!$A$13:$M$672,SMALL(IF(Auction!$M$13:$M$672=$A$219,(ROW(Auction!$M$13:$M$672)-MIN(ROW(Auction!$M$13:$M$672))+1),""),ROW($A1)),1),""))</f>
        <v/>
      </c>
      <c r="C221" s="176">
        <f>IF(ISERROR(VLOOKUP(B221,Auction!$A$13:$I$672,7,FALSE)),0,VLOOKUP(B221,Auction!$A$13:$I$672,8,FALSE))</f>
        <v>0</v>
      </c>
      <c r="D221" s="177">
        <f>IFERROR(VLOOKUP(B221,Auction!$A$13:$I$672,9,FALSE)-C221,0)</f>
        <v>0</v>
      </c>
      <c r="E221" s="183" t="str">
        <f>IFERROR(INDEX(Auction!$C$13:$C$672,MATCH(B221,Auction!$A$13:$A$672,0)),"")</f>
        <v/>
      </c>
      <c r="F221" s="1"/>
      <c r="G221" s="167" t="str">
        <f>IFERROR(INDEX(Auction!$B$13:$B$672,MATCH(H221,Auction!$A$13:$A$672,0)),"")</f>
        <v/>
      </c>
      <c r="H221" s="255" t="str">
        <f t="array" ref="H221">IF($G$219=0,"",IFERROR(INDEX(Auction!$A$13:$M$672,SMALL(IF(Auction!$M$13:$M$672=$G$219,(ROW(Auction!$M$13:$M$672)-MIN(ROW(Auction!$M$13:$M$672))+1),""),ROW($G1)),1),""))</f>
        <v/>
      </c>
      <c r="I221" s="176">
        <f>IF(ISERROR(VLOOKUP(H221,Auction!$A$13:$I$672,7,FALSE)),0,VLOOKUP(H221,Auction!$A$13:$I$672,8,FALSE))</f>
        <v>0</v>
      </c>
      <c r="J221" s="177">
        <f>IFERROR(VLOOKUP(H221,Auction!$A$13:$I$672,9,FALSE)-I221,0)</f>
        <v>0</v>
      </c>
      <c r="K221" s="183" t="str">
        <f>IFERROR(INDEX(Auction!$C$13:$C$672,MATCH(H221,Auction!$A$13:$A$672,0)),"")</f>
        <v/>
      </c>
    </row>
    <row r="222" spans="1:11" x14ac:dyDescent="0.25">
      <c r="A222" s="167" t="str">
        <f>IFERROR(INDEX(Auction!$B$13:$B$672,MATCH(B222,Auction!$A$13:$A$672,0)),"")</f>
        <v/>
      </c>
      <c r="B222" s="255" t="str">
        <f t="array" ref="B222">IF($A$219=0,"",IFERROR(INDEX(Auction!$A$13:$M$672,SMALL(IF(Auction!$M$13:$M$672=$A$219,(ROW(Auction!$M$13:$M$672)-MIN(ROW(Auction!$M$13:$M$672))+1),""),ROW($A2)),1),""))</f>
        <v/>
      </c>
      <c r="C222" s="176">
        <f>IF(ISERROR(VLOOKUP(B222,Auction!$A$13:$I$672,7,FALSE)),0,VLOOKUP(B222,Auction!$A$13:$I$672,8,FALSE))</f>
        <v>0</v>
      </c>
      <c r="D222" s="177">
        <f>IFERROR(VLOOKUP(B222,Auction!$A$13:$I$672,9,FALSE)-C222,0)</f>
        <v>0</v>
      </c>
      <c r="E222" s="183" t="str">
        <f>IFERROR(INDEX(Auction!$C$13:$C$672,MATCH(B222,Auction!$A$13:$A$672,0)),"")</f>
        <v/>
      </c>
      <c r="F222" s="1"/>
      <c r="G222" s="167" t="str">
        <f>IFERROR(INDEX(Auction!$B$13:$B$672,MATCH(H222,Auction!$A$13:$A$672,0)),"")</f>
        <v/>
      </c>
      <c r="H222" s="255" t="str">
        <f t="array" ref="H222">IF($G$219=0,"",IFERROR(INDEX(Auction!$A$13:$M$672,SMALL(IF(Auction!$M$13:$M$672=$G$219,(ROW(Auction!$M$13:$M$672)-MIN(ROW(Auction!$M$13:$M$672))+1),""),ROW($G2)),1),""))</f>
        <v/>
      </c>
      <c r="I222" s="176">
        <f>IF(ISERROR(VLOOKUP(H222,Auction!$A$13:$I$672,7,FALSE)),0,VLOOKUP(H222,Auction!$A$13:$I$672,8,FALSE))</f>
        <v>0</v>
      </c>
      <c r="J222" s="177">
        <f>IFERROR(VLOOKUP(H222,Auction!$A$13:$I$672,9,FALSE)-I222,0)</f>
        <v>0</v>
      </c>
      <c r="K222" s="183" t="str">
        <f>IFERROR(INDEX(Auction!$C$13:$C$672,MATCH(H222,Auction!$A$13:$A$672,0)),"")</f>
        <v/>
      </c>
    </row>
    <row r="223" spans="1:11" x14ac:dyDescent="0.25">
      <c r="A223" s="167" t="str">
        <f>IFERROR(INDEX(Auction!$B$13:$B$672,MATCH(B223,Auction!$A$13:$A$672,0)),"")</f>
        <v/>
      </c>
      <c r="B223" s="255" t="str">
        <f t="array" ref="B223">IF($A$219=0,"",IFERROR(INDEX(Auction!$A$13:$M$672,SMALL(IF(Auction!$M$13:$M$672=$A$219,(ROW(Auction!$M$13:$M$672)-MIN(ROW(Auction!$M$13:$M$672))+1),""),ROW($A3)),1),""))</f>
        <v/>
      </c>
      <c r="C223" s="176">
        <f>IF(ISERROR(VLOOKUP(B223,Auction!$A$13:$I$672,7,FALSE)),0,VLOOKUP(B223,Auction!$A$13:$I$672,8,FALSE))</f>
        <v>0</v>
      </c>
      <c r="D223" s="177">
        <f>IFERROR(VLOOKUP(B223,Auction!$A$13:$I$672,9,FALSE)-C223,0)</f>
        <v>0</v>
      </c>
      <c r="E223" s="183" t="str">
        <f>IFERROR(INDEX(Auction!$C$13:$C$672,MATCH(B223,Auction!$A$13:$A$672,0)),"")</f>
        <v/>
      </c>
      <c r="F223" s="1"/>
      <c r="G223" s="167" t="str">
        <f>IFERROR(INDEX(Auction!$B$13:$B$672,MATCH(H223,Auction!$A$13:$A$672,0)),"")</f>
        <v/>
      </c>
      <c r="H223" s="255" t="str">
        <f t="array" ref="H223">IF($G$219=0,"",IFERROR(INDEX(Auction!$A$13:$M$672,SMALL(IF(Auction!$M$13:$M$672=$G$219,(ROW(Auction!$M$13:$M$672)-MIN(ROW(Auction!$M$13:$M$672))+1),""),ROW($G3)),1),""))</f>
        <v/>
      </c>
      <c r="I223" s="176">
        <f>IF(ISERROR(VLOOKUP(H223,Auction!$A$13:$I$672,7,FALSE)),0,VLOOKUP(H223,Auction!$A$13:$I$672,8,FALSE))</f>
        <v>0</v>
      </c>
      <c r="J223" s="177">
        <f>IFERROR(VLOOKUP(H223,Auction!$A$13:$I$672,9,FALSE)-I223,0)</f>
        <v>0</v>
      </c>
      <c r="K223" s="183" t="str">
        <f>IFERROR(INDEX(Auction!$C$13:$C$672,MATCH(H223,Auction!$A$13:$A$672,0)),"")</f>
        <v/>
      </c>
    </row>
    <row r="224" spans="1:11" x14ac:dyDescent="0.25">
      <c r="A224" s="167" t="str">
        <f>IFERROR(INDEX(Auction!$B$13:$B$672,MATCH(B224,Auction!$A$13:$A$672,0)),"")</f>
        <v/>
      </c>
      <c r="B224" s="255" t="str">
        <f t="array" ref="B224">IF($A$219=0,"",IFERROR(INDEX(Auction!$A$13:$M$672,SMALL(IF(Auction!$M$13:$M$672=$A$219,(ROW(Auction!$M$13:$M$672)-MIN(ROW(Auction!$M$13:$M$672))+1),""),ROW($A4)),1),""))</f>
        <v/>
      </c>
      <c r="C224" s="176">
        <f>IF(ISERROR(VLOOKUP(B224,Auction!$A$13:$I$672,7,FALSE)),0,VLOOKUP(B224,Auction!$A$13:$I$672,8,FALSE))</f>
        <v>0</v>
      </c>
      <c r="D224" s="177">
        <f>IFERROR(VLOOKUP(B224,Auction!$A$13:$I$672,9,FALSE)-C224,0)</f>
        <v>0</v>
      </c>
      <c r="E224" s="183" t="str">
        <f>IFERROR(INDEX(Auction!$C$13:$C$672,MATCH(B224,Auction!$A$13:$A$672,0)),"")</f>
        <v/>
      </c>
      <c r="F224" s="1"/>
      <c r="G224" s="167" t="str">
        <f>IFERROR(INDEX(Auction!$B$13:$B$672,MATCH(H224,Auction!$A$13:$A$672,0)),"")</f>
        <v/>
      </c>
      <c r="H224" s="255" t="str">
        <f t="array" ref="H224">IF($G$219=0,"",IFERROR(INDEX(Auction!$A$13:$M$672,SMALL(IF(Auction!$M$13:$M$672=$G$219,(ROW(Auction!$M$13:$M$672)-MIN(ROW(Auction!$M$13:$M$672))+1),""),ROW($G4)),1),""))</f>
        <v/>
      </c>
      <c r="I224" s="176">
        <f>IF(ISERROR(VLOOKUP(H224,Auction!$A$13:$I$672,7,FALSE)),0,VLOOKUP(H224,Auction!$A$13:$I$672,8,FALSE))</f>
        <v>0</v>
      </c>
      <c r="J224" s="177">
        <f>IFERROR(VLOOKUP(H224,Auction!$A$13:$I$672,9,FALSE)-I224,0)</f>
        <v>0</v>
      </c>
      <c r="K224" s="183" t="str">
        <f>IFERROR(INDEX(Auction!$C$13:$C$672,MATCH(H224,Auction!$A$13:$A$672,0)),"")</f>
        <v/>
      </c>
    </row>
    <row r="225" spans="1:11" x14ac:dyDescent="0.25">
      <c r="A225" s="167" t="str">
        <f>IFERROR(INDEX(Auction!$B$13:$B$672,MATCH(B225,Auction!$A$13:$A$672,0)),"")</f>
        <v/>
      </c>
      <c r="B225" s="255" t="str">
        <f t="array" ref="B225">IF($A$219=0,"",IFERROR(INDEX(Auction!$A$13:$M$672,SMALL(IF(Auction!$M$13:$M$672=$A$219,(ROW(Auction!$M$13:$M$672)-MIN(ROW(Auction!$M$13:$M$672))+1),""),ROW($A5)),1),""))</f>
        <v/>
      </c>
      <c r="C225" s="176">
        <f>IF(ISERROR(VLOOKUP(B225,Auction!$A$13:$I$672,7,FALSE)),0,VLOOKUP(B225,Auction!$A$13:$I$672,8,FALSE))</f>
        <v>0</v>
      </c>
      <c r="D225" s="177">
        <f>IFERROR(VLOOKUP(B225,Auction!$A$13:$I$672,9,FALSE)-C225,0)</f>
        <v>0</v>
      </c>
      <c r="E225" s="183" t="str">
        <f>IFERROR(INDEX(Auction!$C$13:$C$672,MATCH(B225,Auction!$A$13:$A$672,0)),"")</f>
        <v/>
      </c>
      <c r="F225" s="1"/>
      <c r="G225" s="167" t="str">
        <f>IFERROR(INDEX(Auction!$B$13:$B$672,MATCH(H225,Auction!$A$13:$A$672,0)),"")</f>
        <v/>
      </c>
      <c r="H225" s="255" t="str">
        <f t="array" ref="H225">IF($G$219=0,"",IFERROR(INDEX(Auction!$A$13:$M$672,SMALL(IF(Auction!$M$13:$M$672=$G$219,(ROW(Auction!$M$13:$M$672)-MIN(ROW(Auction!$M$13:$M$672))+1),""),ROW($G5)),1),""))</f>
        <v/>
      </c>
      <c r="I225" s="176">
        <f>IF(ISERROR(VLOOKUP(H225,Auction!$A$13:$I$672,7,FALSE)),0,VLOOKUP(H225,Auction!$A$13:$I$672,8,FALSE))</f>
        <v>0</v>
      </c>
      <c r="J225" s="177">
        <f>IFERROR(VLOOKUP(H225,Auction!$A$13:$I$672,9,FALSE)-I225,0)</f>
        <v>0</v>
      </c>
      <c r="K225" s="183" t="str">
        <f>IFERROR(INDEX(Auction!$C$13:$C$672,MATCH(H225,Auction!$A$13:$A$672,0)),"")</f>
        <v/>
      </c>
    </row>
    <row r="226" spans="1:11" x14ac:dyDescent="0.25">
      <c r="A226" s="167" t="str">
        <f>IFERROR(INDEX(Auction!$B$13:$B$672,MATCH(B226,Auction!$A$13:$A$672,0)),"")</f>
        <v/>
      </c>
      <c r="B226" s="255" t="str">
        <f t="array" ref="B226">IF($A$219=0,"",IFERROR(INDEX(Auction!$A$13:$M$672,SMALL(IF(Auction!$M$13:$M$672=$A$219,(ROW(Auction!$M$13:$M$672)-MIN(ROW(Auction!$M$13:$M$672))+1),""),ROW($A6)),1),""))</f>
        <v/>
      </c>
      <c r="C226" s="176">
        <f>IF(ISERROR(VLOOKUP(B226,Auction!$A$13:$I$672,7,FALSE)),0,VLOOKUP(B226,Auction!$A$13:$I$672,8,FALSE))</f>
        <v>0</v>
      </c>
      <c r="D226" s="177">
        <f>IFERROR(VLOOKUP(B226,Auction!$A$13:$I$672,9,FALSE)-C226,0)</f>
        <v>0</v>
      </c>
      <c r="E226" s="183" t="str">
        <f>IFERROR(INDEX(Auction!$C$13:$C$672,MATCH(B226,Auction!$A$13:$A$672,0)),"")</f>
        <v/>
      </c>
      <c r="F226" s="1"/>
      <c r="G226" s="167" t="str">
        <f>IFERROR(INDEX(Auction!$B$13:$B$672,MATCH(H226,Auction!$A$13:$A$672,0)),"")</f>
        <v/>
      </c>
      <c r="H226" s="255" t="str">
        <f t="array" ref="H226">IF($G$219=0,"",IFERROR(INDEX(Auction!$A$13:$M$672,SMALL(IF(Auction!$M$13:$M$672=$G$219,(ROW(Auction!$M$13:$M$672)-MIN(ROW(Auction!$M$13:$M$672))+1),""),ROW($G6)),1),""))</f>
        <v/>
      </c>
      <c r="I226" s="176">
        <f>IF(ISERROR(VLOOKUP(H226,Auction!$A$13:$I$672,7,FALSE)),0,VLOOKUP(H226,Auction!$A$13:$I$672,8,FALSE))</f>
        <v>0</v>
      </c>
      <c r="J226" s="177">
        <f>IFERROR(VLOOKUP(H226,Auction!$A$13:$I$672,9,FALSE)-I226,0)</f>
        <v>0</v>
      </c>
      <c r="K226" s="183" t="str">
        <f>IFERROR(INDEX(Auction!$C$13:$C$672,MATCH(H226,Auction!$A$13:$A$672,0)),"")</f>
        <v/>
      </c>
    </row>
    <row r="227" spans="1:11" x14ac:dyDescent="0.25">
      <c r="A227" s="167" t="str">
        <f>IFERROR(INDEX(Auction!$B$13:$B$672,MATCH(B227,Auction!$A$13:$A$672,0)),"")</f>
        <v/>
      </c>
      <c r="B227" s="255" t="str">
        <f t="array" ref="B227">IF($A$219=0,"",IFERROR(INDEX(Auction!$A$13:$M$672,SMALL(IF(Auction!$M$13:$M$672=$A$219,(ROW(Auction!$M$13:$M$672)-MIN(ROW(Auction!$M$13:$M$672))+1),""),ROW($A7)),1),""))</f>
        <v/>
      </c>
      <c r="C227" s="176">
        <f>IF(ISERROR(VLOOKUP(B227,Auction!$A$13:$I$672,7,FALSE)),0,VLOOKUP(B227,Auction!$A$13:$I$672,8,FALSE))</f>
        <v>0</v>
      </c>
      <c r="D227" s="177">
        <f>IFERROR(VLOOKUP(B227,Auction!$A$13:$I$672,9,FALSE)-C227,0)</f>
        <v>0</v>
      </c>
      <c r="E227" s="183" t="str">
        <f>IFERROR(INDEX(Auction!$C$13:$C$672,MATCH(B227,Auction!$A$13:$A$672,0)),"")</f>
        <v/>
      </c>
      <c r="F227" s="1"/>
      <c r="G227" s="167" t="str">
        <f>IFERROR(INDEX(Auction!$B$13:$B$672,MATCH(H227,Auction!$A$13:$A$672,0)),"")</f>
        <v/>
      </c>
      <c r="H227" s="255" t="str">
        <f t="array" ref="H227">IF($G$219=0,"",IFERROR(INDEX(Auction!$A$13:$M$672,SMALL(IF(Auction!$M$13:$M$672=$G$219,(ROW(Auction!$M$13:$M$672)-MIN(ROW(Auction!$M$13:$M$672))+1),""),ROW($G7)),1),""))</f>
        <v/>
      </c>
      <c r="I227" s="176">
        <f>IF(ISERROR(VLOOKUP(H227,Auction!$A$13:$I$672,7,FALSE)),0,VLOOKUP(H227,Auction!$A$13:$I$672,8,FALSE))</f>
        <v>0</v>
      </c>
      <c r="J227" s="177">
        <f>IFERROR(VLOOKUP(H227,Auction!$A$13:$I$672,9,FALSE)-I227,0)</f>
        <v>0</v>
      </c>
      <c r="K227" s="183" t="str">
        <f>IFERROR(INDEX(Auction!$C$13:$C$672,MATCH(H227,Auction!$A$13:$A$672,0)),"")</f>
        <v/>
      </c>
    </row>
    <row r="228" spans="1:11" x14ac:dyDescent="0.25">
      <c r="A228" s="167" t="str">
        <f>IFERROR(INDEX(Auction!$B$13:$B$672,MATCH(B228,Auction!$A$13:$A$672,0)),"")</f>
        <v/>
      </c>
      <c r="B228" s="255" t="str">
        <f t="array" ref="B228">IF($A$219=0,"",IFERROR(INDEX(Auction!$A$13:$M$672,SMALL(IF(Auction!$M$13:$M$672=$A$219,(ROW(Auction!$M$13:$M$672)-MIN(ROW(Auction!$M$13:$M$672))+1),""),ROW($A8)),1),""))</f>
        <v/>
      </c>
      <c r="C228" s="176">
        <f>IF(ISERROR(VLOOKUP(B228,Auction!$A$13:$I$672,7,FALSE)),0,VLOOKUP(B228,Auction!$A$13:$I$672,8,FALSE))</f>
        <v>0</v>
      </c>
      <c r="D228" s="177">
        <f>IFERROR(VLOOKUP(B228,Auction!$A$13:$I$672,9,FALSE)-C228,0)</f>
        <v>0</v>
      </c>
      <c r="E228" s="183" t="str">
        <f>IFERROR(INDEX(Auction!$C$13:$C$672,MATCH(B228,Auction!$A$13:$A$672,0)),"")</f>
        <v/>
      </c>
      <c r="F228" s="1"/>
      <c r="G228" s="167" t="str">
        <f>IFERROR(INDEX(Auction!$B$13:$B$672,MATCH(H228,Auction!$A$13:$A$672,0)),"")</f>
        <v/>
      </c>
      <c r="H228" s="255" t="str">
        <f t="array" ref="H228">IF($G$219=0,"",IFERROR(INDEX(Auction!$A$13:$M$672,SMALL(IF(Auction!$M$13:$M$672=$G$219,(ROW(Auction!$M$13:$M$672)-MIN(ROW(Auction!$M$13:$M$672))+1),""),ROW($G8)),1),""))</f>
        <v/>
      </c>
      <c r="I228" s="176">
        <f>IF(ISERROR(VLOOKUP(H228,Auction!$A$13:$I$672,7,FALSE)),0,VLOOKUP(H228,Auction!$A$13:$I$672,8,FALSE))</f>
        <v>0</v>
      </c>
      <c r="J228" s="177">
        <f>IFERROR(VLOOKUP(H228,Auction!$A$13:$I$672,9,FALSE)-I228,0)</f>
        <v>0</v>
      </c>
      <c r="K228" s="183" t="str">
        <f>IFERROR(INDEX(Auction!$C$13:$C$672,MATCH(H228,Auction!$A$13:$A$672,0)),"")</f>
        <v/>
      </c>
    </row>
    <row r="229" spans="1:11" x14ac:dyDescent="0.25">
      <c r="A229" s="167" t="str">
        <f>IFERROR(INDEX(Auction!$B$13:$B$672,MATCH(B229,Auction!$A$13:$A$672,0)),"")</f>
        <v/>
      </c>
      <c r="B229" s="255" t="str">
        <f t="array" ref="B229">IF($A$219=0,"",IFERROR(INDEX(Auction!$A$13:$M$672,SMALL(IF(Auction!$M$13:$M$672=$A$219,(ROW(Auction!$M$13:$M$672)-MIN(ROW(Auction!$M$13:$M$672))+1),""),ROW($A9)),1),""))</f>
        <v/>
      </c>
      <c r="C229" s="176">
        <f>IF(ISERROR(VLOOKUP(B229,Auction!$A$13:$I$672,7,FALSE)),0,VLOOKUP(B229,Auction!$A$13:$I$672,8,FALSE))</f>
        <v>0</v>
      </c>
      <c r="D229" s="177">
        <f>IFERROR(VLOOKUP(B229,Auction!$A$13:$I$672,9,FALSE)-C229,0)</f>
        <v>0</v>
      </c>
      <c r="E229" s="184" t="str">
        <f>IFERROR(INDEX(Auction!$C$13:$C$672,MATCH(B229,Auction!$A$13:$A$672,0)),"")</f>
        <v/>
      </c>
      <c r="F229" s="1"/>
      <c r="G229" s="167" t="str">
        <f>IFERROR(INDEX(Auction!$B$13:$B$672,MATCH(H229,Auction!$A$13:$A$672,0)),"")</f>
        <v/>
      </c>
      <c r="H229" s="255" t="str">
        <f t="array" ref="H229">IF($G$219=0,"",IFERROR(INDEX(Auction!$A$13:$M$672,SMALL(IF(Auction!$M$13:$M$672=$G$219,(ROW(Auction!$M$13:$M$672)-MIN(ROW(Auction!$M$13:$M$672))+1),""),ROW($G9)),1),""))</f>
        <v/>
      </c>
      <c r="I229" s="176">
        <f>IF(ISERROR(VLOOKUP(H229,Auction!$A$13:$I$672,7,FALSE)),0,VLOOKUP(H229,Auction!$A$13:$I$672,8,FALSE))</f>
        <v>0</v>
      </c>
      <c r="J229" s="177">
        <f>IFERROR(VLOOKUP(H229,Auction!$A$13:$I$672,9,FALSE)-I229,0)</f>
        <v>0</v>
      </c>
      <c r="K229" s="184" t="str">
        <f>IFERROR(INDEX(Auction!$C$13:$C$672,MATCH(H229,Auction!$A$13:$A$672,0)),"")</f>
        <v/>
      </c>
    </row>
    <row r="230" spans="1:11" x14ac:dyDescent="0.25">
      <c r="A230" s="167" t="str">
        <f>IFERROR(INDEX(Auction!$B$13:$B$672,MATCH(B230,Auction!$A$13:$A$672,0)),"")</f>
        <v/>
      </c>
      <c r="B230" s="255" t="str">
        <f t="array" ref="B230">IF($A$219=0,"",IFERROR(INDEX(Auction!$A$13:$M$672,SMALL(IF(Auction!$M$13:$M$672=$A$219,(ROW(Auction!$M$13:$M$672)-MIN(ROW(Auction!$M$13:$M$672))+1),""),ROW($A10)),1),""))</f>
        <v/>
      </c>
      <c r="C230" s="176">
        <f>IF(ISERROR(VLOOKUP(B230,Auction!$A$13:$I$672,7,FALSE)),0,VLOOKUP(B230,Auction!$A$13:$I$672,8,FALSE))</f>
        <v>0</v>
      </c>
      <c r="D230" s="177">
        <f>IFERROR(VLOOKUP(B230,Auction!$A$13:$I$672,9,FALSE)-C230,0)</f>
        <v>0</v>
      </c>
      <c r="E230" s="184" t="str">
        <f>IFERROR(INDEX(Auction!$C$13:$C$672,MATCH(B230,Auction!$A$13:$A$672,0)),"")</f>
        <v/>
      </c>
      <c r="F230" s="1"/>
      <c r="G230" s="167" t="str">
        <f>IFERROR(INDEX(Auction!$B$13:$B$672,MATCH(H230,Auction!$A$13:$A$672,0)),"")</f>
        <v/>
      </c>
      <c r="H230" s="255" t="str">
        <f t="array" ref="H230">IF($G$219=0,"",IFERROR(INDEX(Auction!$A$13:$M$672,SMALL(IF(Auction!$M$13:$M$672=$G$219,(ROW(Auction!$M$13:$M$672)-MIN(ROW(Auction!$M$13:$M$672))+1),""),ROW($G10)),1),""))</f>
        <v/>
      </c>
      <c r="I230" s="176">
        <f>IF(ISERROR(VLOOKUP(H230,Auction!$A$13:$I$672,7,FALSE)),0,VLOOKUP(H230,Auction!$A$13:$I$672,8,FALSE))</f>
        <v>0</v>
      </c>
      <c r="J230" s="177">
        <f>IFERROR(VLOOKUP(H230,Auction!$A$13:$I$672,9,FALSE)-I230,0)</f>
        <v>0</v>
      </c>
      <c r="K230" s="184" t="str">
        <f>IFERROR(INDEX(Auction!$C$13:$C$672,MATCH(H230,Auction!$A$13:$A$672,0)),"")</f>
        <v/>
      </c>
    </row>
    <row r="231" spans="1:11" x14ac:dyDescent="0.25">
      <c r="A231" s="167" t="str">
        <f>IFERROR(INDEX(Auction!$B$13:$B$672,MATCH(B231,Auction!$A$13:$A$672,0)),"")</f>
        <v/>
      </c>
      <c r="B231" s="255" t="str">
        <f t="array" ref="B231">IF($A$219=0,"",IFERROR(INDEX(Auction!$A$13:$M$672,SMALL(IF(Auction!$M$13:$M$672=$A$219,(ROW(Auction!$M$13:$M$672)-MIN(ROW(Auction!$M$13:$M$672))+1),""),ROW($A11)),1),""))</f>
        <v/>
      </c>
      <c r="C231" s="176">
        <f>IF(ISERROR(VLOOKUP(B231,Auction!$A$13:$I$672,7,FALSE)),0,VLOOKUP(B231,Auction!$A$13:$I$672,8,FALSE))</f>
        <v>0</v>
      </c>
      <c r="D231" s="177">
        <f>IFERROR(VLOOKUP(B231,Auction!$A$13:$I$672,9,FALSE)-C231,0)</f>
        <v>0</v>
      </c>
      <c r="E231" s="184" t="str">
        <f>IFERROR(INDEX(Auction!$C$13:$C$672,MATCH(B231,Auction!$A$13:$A$672,0)),"")</f>
        <v/>
      </c>
      <c r="F231" s="1"/>
      <c r="G231" s="167" t="str">
        <f>IFERROR(INDEX(Auction!$B$13:$B$672,MATCH(H231,Auction!$A$13:$A$672,0)),"")</f>
        <v/>
      </c>
      <c r="H231" s="255" t="str">
        <f t="array" ref="H231">IF($G$219=0,"",IFERROR(INDEX(Auction!$A$13:$M$672,SMALL(IF(Auction!$M$13:$M$672=$G$219,(ROW(Auction!$M$13:$M$672)-MIN(ROW(Auction!$M$13:$M$672))+1),""),ROW($G11)),1),""))</f>
        <v/>
      </c>
      <c r="I231" s="176">
        <f>IF(ISERROR(VLOOKUP(H231,Auction!$A$13:$I$672,7,FALSE)),0,VLOOKUP(H231,Auction!$A$13:$I$672,8,FALSE))</f>
        <v>0</v>
      </c>
      <c r="J231" s="177">
        <f>IFERROR(VLOOKUP(H231,Auction!$A$13:$I$672,9,FALSE)-I231,0)</f>
        <v>0</v>
      </c>
      <c r="K231" s="184" t="str">
        <f>IFERROR(INDEX(Auction!$C$13:$C$672,MATCH(H231,Auction!$A$13:$A$672,0)),"")</f>
        <v/>
      </c>
    </row>
    <row r="232" spans="1:11" x14ac:dyDescent="0.25">
      <c r="A232" s="167" t="str">
        <f>IFERROR(INDEX(Auction!$B$13:$B$672,MATCH(B232,Auction!$A$13:$A$672,0)),"")</f>
        <v/>
      </c>
      <c r="B232" s="255" t="str">
        <f t="array" ref="B232">IF($A$219=0,"",IFERROR(INDEX(Auction!$A$13:$M$672,SMALL(IF(Auction!$M$13:$M$672=$A$219,(ROW(Auction!$M$13:$M$672)-MIN(ROW(Auction!$M$13:$M$672))+1),""),ROW($A12)),1),""))</f>
        <v/>
      </c>
      <c r="C232" s="176">
        <f>IF(ISERROR(VLOOKUP(B232,Auction!$A$13:$I$672,7,FALSE)),0,VLOOKUP(B232,Auction!$A$13:$I$672,8,FALSE))</f>
        <v>0</v>
      </c>
      <c r="D232" s="177">
        <f>IFERROR(VLOOKUP(B232,Auction!$A$13:$I$672,9,FALSE)-C232,0)</f>
        <v>0</v>
      </c>
      <c r="E232" s="184" t="str">
        <f>IFERROR(INDEX(Auction!$C$13:$C$672,MATCH(B232,Auction!$A$13:$A$672,0)),"")</f>
        <v/>
      </c>
      <c r="F232" s="1"/>
      <c r="G232" s="167" t="str">
        <f>IFERROR(INDEX(Auction!$B$13:$B$672,MATCH(H232,Auction!$A$13:$A$672,0)),"")</f>
        <v/>
      </c>
      <c r="H232" s="255" t="str">
        <f t="array" ref="H232">IF($G$219=0,"",IFERROR(INDEX(Auction!$A$13:$M$672,SMALL(IF(Auction!$M$13:$M$672=$G$219,(ROW(Auction!$M$13:$M$672)-MIN(ROW(Auction!$M$13:$M$672))+1),""),ROW($G12)),1),""))</f>
        <v/>
      </c>
      <c r="I232" s="176">
        <f>IF(ISERROR(VLOOKUP(H232,Auction!$A$13:$I$672,7,FALSE)),0,VLOOKUP(H232,Auction!$A$13:$I$672,8,FALSE))</f>
        <v>0</v>
      </c>
      <c r="J232" s="177">
        <f>IFERROR(VLOOKUP(H232,Auction!$A$13:$I$672,9,FALSE)-I232,0)</f>
        <v>0</v>
      </c>
      <c r="K232" s="184" t="str">
        <f>IFERROR(INDEX(Auction!$C$13:$C$672,MATCH(H232,Auction!$A$13:$A$672,0)),"")</f>
        <v/>
      </c>
    </row>
    <row r="233" spans="1:11" x14ac:dyDescent="0.25">
      <c r="A233" s="167" t="str">
        <f>IFERROR(INDEX(Auction!$B$13:$B$672,MATCH(B233,Auction!$A$13:$A$672,0)),"")</f>
        <v/>
      </c>
      <c r="B233" s="255" t="str">
        <f t="array" ref="B233">IF($A$219=0,"",IFERROR(INDEX(Auction!$A$13:$M$672,SMALL(IF(Auction!$M$13:$M$672=$A$219,(ROW(Auction!$M$13:$M$672)-MIN(ROW(Auction!$M$13:$M$672))+1),""),ROW($A13)),1),""))</f>
        <v/>
      </c>
      <c r="C233" s="176">
        <f>IF(ISERROR(VLOOKUP(B233,Auction!$A$13:$I$672,7,FALSE)),0,VLOOKUP(B233,Auction!$A$13:$I$672,8,FALSE))</f>
        <v>0</v>
      </c>
      <c r="D233" s="177">
        <f>IFERROR(VLOOKUP(B233,Auction!$A$13:$I$672,9,FALSE)-C233,0)</f>
        <v>0</v>
      </c>
      <c r="E233" s="184" t="str">
        <f>IFERROR(INDEX(Auction!$C$13:$C$672,MATCH(B233,Auction!$A$13:$A$672,0)),"")</f>
        <v/>
      </c>
      <c r="F233" s="1"/>
      <c r="G233" s="167" t="str">
        <f>IFERROR(INDEX(Auction!$B$13:$B$672,MATCH(H233,Auction!$A$13:$A$672,0)),"")</f>
        <v/>
      </c>
      <c r="H233" s="255" t="str">
        <f t="array" ref="H233">IF($G$219=0,"",IFERROR(INDEX(Auction!$A$13:$M$672,SMALL(IF(Auction!$M$13:$M$672=$G$219,(ROW(Auction!$M$13:$M$672)-MIN(ROW(Auction!$M$13:$M$672))+1),""),ROW($G13)),1),""))</f>
        <v/>
      </c>
      <c r="I233" s="176">
        <f>IF(ISERROR(VLOOKUP(H233,Auction!$A$13:$I$672,7,FALSE)),0,VLOOKUP(H233,Auction!$A$13:$I$672,8,FALSE))</f>
        <v>0</v>
      </c>
      <c r="J233" s="177">
        <f>IFERROR(VLOOKUP(H233,Auction!$A$13:$I$672,9,FALSE)-I233,0)</f>
        <v>0</v>
      </c>
      <c r="K233" s="184" t="str">
        <f>IFERROR(INDEX(Auction!$C$13:$C$672,MATCH(H233,Auction!$A$13:$A$672,0)),"")</f>
        <v/>
      </c>
    </row>
    <row r="234" spans="1:11" x14ac:dyDescent="0.25">
      <c r="A234" s="167" t="str">
        <f>IFERROR(INDEX(Auction!$B$13:$B$672,MATCH(B234,Auction!$A$13:$A$672,0)),"")</f>
        <v/>
      </c>
      <c r="B234" s="255" t="str">
        <f t="array" ref="B234">IF($A$219=0,"",IFERROR(INDEX(Auction!$A$13:$M$672,SMALL(IF(Auction!$M$13:$M$672=$A$219,(ROW(Auction!$M$13:$M$672)-MIN(ROW(Auction!$M$13:$M$672))+1),""),ROW($A14)),1),""))</f>
        <v/>
      </c>
      <c r="C234" s="176">
        <f>IF(ISERROR(VLOOKUP(B234,Auction!$A$13:$I$672,7,FALSE)),0,VLOOKUP(B234,Auction!$A$13:$I$672,8,FALSE))</f>
        <v>0</v>
      </c>
      <c r="D234" s="177">
        <f>IFERROR(VLOOKUP(B234,Auction!$A$13:$I$672,9,FALSE)-C234,0)</f>
        <v>0</v>
      </c>
      <c r="E234" s="184" t="str">
        <f>IFERROR(INDEX(Auction!$C$13:$C$672,MATCH(B234,Auction!$A$13:$A$672,0)),"")</f>
        <v/>
      </c>
      <c r="F234" s="1"/>
      <c r="G234" s="167" t="str">
        <f>IFERROR(INDEX(Auction!$B$13:$B$672,MATCH(H234,Auction!$A$13:$A$672,0)),"")</f>
        <v/>
      </c>
      <c r="H234" s="255" t="str">
        <f t="array" ref="H234">IF($G$219=0,"",IFERROR(INDEX(Auction!$A$13:$M$672,SMALL(IF(Auction!$M$13:$M$672=$G$219,(ROW(Auction!$M$13:$M$672)-MIN(ROW(Auction!$M$13:$M$672))+1),""),ROW($G14)),1),""))</f>
        <v/>
      </c>
      <c r="I234" s="176">
        <f>IF(ISERROR(VLOOKUP(H234,Auction!$A$13:$I$672,7,FALSE)),0,VLOOKUP(H234,Auction!$A$13:$I$672,8,FALSE))</f>
        <v>0</v>
      </c>
      <c r="J234" s="177">
        <f>IFERROR(VLOOKUP(H234,Auction!$A$13:$I$672,9,FALSE)-I234,0)</f>
        <v>0</v>
      </c>
      <c r="K234" s="184" t="str">
        <f>IFERROR(INDEX(Auction!$C$13:$C$672,MATCH(H234,Auction!$A$13:$A$672,0)),"")</f>
        <v/>
      </c>
    </row>
    <row r="235" spans="1:11" x14ac:dyDescent="0.25">
      <c r="A235" s="167" t="str">
        <f>IFERROR(INDEX(Auction!$B$13:$B$672,MATCH(B235,Auction!$A$13:$A$672,0)),"")</f>
        <v/>
      </c>
      <c r="B235" s="255" t="str">
        <f t="array" ref="B235">IF($A$219=0,"",IFERROR(INDEX(Auction!$A$13:$M$672,SMALL(IF(Auction!$M$13:$M$672=$A$219,(ROW(Auction!$M$13:$M$672)-MIN(ROW(Auction!$M$13:$M$672))+1),""),ROW($A15)),1),""))</f>
        <v/>
      </c>
      <c r="C235" s="176">
        <f>IF(ISERROR(VLOOKUP(B235,Auction!$A$13:$I$672,7,FALSE)),0,VLOOKUP(B235,Auction!$A$13:$I$672,8,FALSE))</f>
        <v>0</v>
      </c>
      <c r="D235" s="177">
        <f>IFERROR(VLOOKUP(B235,Auction!$A$13:$I$672,9,FALSE)-C235,0)</f>
        <v>0</v>
      </c>
      <c r="E235" s="184" t="str">
        <f>IFERROR(INDEX(Auction!$C$13:$C$672,MATCH(B235,Auction!$A$13:$A$672,0)),"")</f>
        <v/>
      </c>
      <c r="F235" s="1"/>
      <c r="G235" s="167" t="str">
        <f>IFERROR(INDEX(Auction!$B$13:$B$672,MATCH(H235,Auction!$A$13:$A$672,0)),"")</f>
        <v/>
      </c>
      <c r="H235" s="255" t="str">
        <f t="array" ref="H235">IF($G$219=0,"",IFERROR(INDEX(Auction!$A$13:$M$672,SMALL(IF(Auction!$M$13:$M$672=$G$219,(ROW(Auction!$M$13:$M$672)-MIN(ROW(Auction!$M$13:$M$672))+1),""),ROW($G15)),1),""))</f>
        <v/>
      </c>
      <c r="I235" s="176">
        <f>IF(ISERROR(VLOOKUP(H235,Auction!$A$13:$I$672,7,FALSE)),0,VLOOKUP(H235,Auction!$A$13:$I$672,8,FALSE))</f>
        <v>0</v>
      </c>
      <c r="J235" s="177">
        <f>IFERROR(VLOOKUP(H235,Auction!$A$13:$I$672,9,FALSE)-I235,0)</f>
        <v>0</v>
      </c>
      <c r="K235" s="184" t="str">
        <f>IFERROR(INDEX(Auction!$C$13:$C$672,MATCH(H235,Auction!$A$13:$A$672,0)),"")</f>
        <v/>
      </c>
    </row>
    <row r="236" spans="1:11" x14ac:dyDescent="0.25">
      <c r="A236" s="167" t="str">
        <f>IFERROR(INDEX(Auction!$B$13:$B$672,MATCH(B236,Auction!$A$13:$A$672,0)),"")</f>
        <v/>
      </c>
      <c r="B236" s="255" t="str">
        <f t="array" ref="B236">IF($A$219=0,"",IFERROR(INDEX(Auction!$A$13:$M$672,SMALL(IF(Auction!$M$13:$M$672=$A$219,(ROW(Auction!$M$13:$M$672)-MIN(ROW(Auction!$M$13:$M$672))+1),""),ROW($A16)),1),""))</f>
        <v/>
      </c>
      <c r="C236" s="176">
        <f>IF(ISERROR(VLOOKUP(B236,Auction!$A$13:$I$672,7,FALSE)),0,VLOOKUP(B236,Auction!$A$13:$I$672,8,FALSE))</f>
        <v>0</v>
      </c>
      <c r="D236" s="177">
        <f>IFERROR(VLOOKUP(B236,Auction!$A$13:$I$672,9,FALSE)-C236,0)</f>
        <v>0</v>
      </c>
      <c r="E236" s="184" t="str">
        <f>IFERROR(INDEX(Auction!$C$13:$C$672,MATCH(B236,Auction!$A$13:$A$672,0)),"")</f>
        <v/>
      </c>
      <c r="F236" s="1"/>
      <c r="G236" s="167" t="str">
        <f>IFERROR(INDEX(Auction!$B$13:$B$672,MATCH(H236,Auction!$A$13:$A$672,0)),"")</f>
        <v/>
      </c>
      <c r="H236" s="255" t="str">
        <f t="array" ref="H236">IF($G$219=0,"",IFERROR(INDEX(Auction!$A$13:$M$672,SMALL(IF(Auction!$M$13:$M$672=$G$219,(ROW(Auction!$M$13:$M$672)-MIN(ROW(Auction!$M$13:$M$672))+1),""),ROW($G16)),1),""))</f>
        <v/>
      </c>
      <c r="I236" s="176">
        <f>IF(ISERROR(VLOOKUP(H236,Auction!$A$13:$I$672,7,FALSE)),0,VLOOKUP(H236,Auction!$A$13:$I$672,8,FALSE))</f>
        <v>0</v>
      </c>
      <c r="J236" s="177">
        <f>IFERROR(VLOOKUP(H236,Auction!$A$13:$I$672,9,FALSE)-I236,0)</f>
        <v>0</v>
      </c>
      <c r="K236" s="184" t="str">
        <f>IFERROR(INDEX(Auction!$C$13:$C$672,MATCH(H236,Auction!$A$13:$A$672,0)),"")</f>
        <v/>
      </c>
    </row>
    <row r="237" spans="1:11" x14ac:dyDescent="0.25">
      <c r="A237" s="167" t="str">
        <f>IFERROR(INDEX(Auction!$B$13:$B$672,MATCH(B237,Auction!$A$13:$A$672,0)),"")</f>
        <v/>
      </c>
      <c r="B237" s="255" t="str">
        <f t="array" ref="B237">IF($A$219=0,"",IFERROR(INDEX(Auction!$A$13:$M$672,SMALL(IF(Auction!$M$13:$M$672=$A$219,(ROW(Auction!$M$13:$M$672)-MIN(ROW(Auction!$M$13:$M$672))+1),""),ROW($A17)),1),""))</f>
        <v/>
      </c>
      <c r="C237" s="176">
        <f>IF(ISERROR(VLOOKUP(B237,Auction!$A$13:$I$672,7,FALSE)),0,VLOOKUP(B237,Auction!$A$13:$I$672,8,FALSE))</f>
        <v>0</v>
      </c>
      <c r="D237" s="177">
        <f>IFERROR(VLOOKUP(B237,Auction!$A$13:$I$672,9,FALSE)-C237,0)</f>
        <v>0</v>
      </c>
      <c r="E237" s="184" t="str">
        <f>IFERROR(INDEX(Auction!$C$13:$C$672,MATCH(B237,Auction!$A$13:$A$672,0)),"")</f>
        <v/>
      </c>
      <c r="F237" s="1"/>
      <c r="G237" s="167" t="str">
        <f>IFERROR(INDEX(Auction!$B$13:$B$672,MATCH(H237,Auction!$A$13:$A$672,0)),"")</f>
        <v/>
      </c>
      <c r="H237" s="255" t="str">
        <f t="array" ref="H237">IF($G$219=0,"",IFERROR(INDEX(Auction!$A$13:$M$672,SMALL(IF(Auction!$M$13:$M$672=$G$219,(ROW(Auction!$M$13:$M$672)-MIN(ROW(Auction!$M$13:$M$672))+1),""),ROW($G17)),1),""))</f>
        <v/>
      </c>
      <c r="I237" s="176">
        <f>IF(ISERROR(VLOOKUP(H237,Auction!$A$13:$I$672,7,FALSE)),0,VLOOKUP(H237,Auction!$A$13:$I$672,8,FALSE))</f>
        <v>0</v>
      </c>
      <c r="J237" s="177">
        <f>IFERROR(VLOOKUP(H237,Auction!$A$13:$I$672,9,FALSE)-I237,0)</f>
        <v>0</v>
      </c>
      <c r="K237" s="184" t="str">
        <f>IFERROR(INDEX(Auction!$C$13:$C$672,MATCH(H237,Auction!$A$13:$A$672,0)),"")</f>
        <v/>
      </c>
    </row>
    <row r="238" spans="1:11" x14ac:dyDescent="0.25">
      <c r="A238" s="167" t="str">
        <f>IFERROR(INDEX(Auction!$B$13:$B$672,MATCH(B238,Auction!$A$13:$A$672,0)),"")</f>
        <v/>
      </c>
      <c r="B238" s="255" t="str">
        <f t="array" ref="B238">IF($A$219=0,"",IFERROR(INDEX(Auction!$A$13:$M$672,SMALL(IF(Auction!$M$13:$M$672=$A$219,(ROW(Auction!$M$13:$M$672)-MIN(ROW(Auction!$M$13:$M$672))+1),""),ROW($A18)),1),""))</f>
        <v/>
      </c>
      <c r="C238" s="176">
        <f>IF(ISERROR(VLOOKUP(B238,Auction!$A$13:$I$672,7,FALSE)),0,VLOOKUP(B238,Auction!$A$13:$I$672,8,FALSE))</f>
        <v>0</v>
      </c>
      <c r="D238" s="177">
        <f>IFERROR(VLOOKUP(B238,Auction!$A$13:$I$672,9,FALSE)-C238,0)</f>
        <v>0</v>
      </c>
      <c r="E238" s="184" t="str">
        <f>IFERROR(INDEX(Auction!$C$13:$C$672,MATCH(B238,Auction!$A$13:$A$672,0)),"")</f>
        <v/>
      </c>
      <c r="F238" s="1"/>
      <c r="G238" s="167" t="str">
        <f>IFERROR(INDEX(Auction!$B$13:$B$672,MATCH(H238,Auction!$A$13:$A$672,0)),"")</f>
        <v/>
      </c>
      <c r="H238" s="255" t="str">
        <f t="array" ref="H238">IF($G$219=0,"",IFERROR(INDEX(Auction!$A$13:$M$672,SMALL(IF(Auction!$M$13:$M$672=$G$219,(ROW(Auction!$M$13:$M$672)-MIN(ROW(Auction!$M$13:$M$672))+1),""),ROW($G18)),1),""))</f>
        <v/>
      </c>
      <c r="I238" s="176">
        <f>IF(ISERROR(VLOOKUP(H238,Auction!$A$13:$I$672,7,FALSE)),0,VLOOKUP(H238,Auction!$A$13:$I$672,8,FALSE))</f>
        <v>0</v>
      </c>
      <c r="J238" s="177">
        <f>IFERROR(VLOOKUP(H238,Auction!$A$13:$I$672,9,FALSE)-I238,0)</f>
        <v>0</v>
      </c>
      <c r="K238" s="184" t="str">
        <f>IFERROR(INDEX(Auction!$C$13:$C$672,MATCH(H238,Auction!$A$13:$A$672,0)),"")</f>
        <v/>
      </c>
    </row>
    <row r="239" spans="1:11" x14ac:dyDescent="0.25">
      <c r="A239" s="167" t="str">
        <f>IFERROR(INDEX(Auction!$B$13:$B$672,MATCH(B239,Auction!$A$13:$A$672,0)),"")</f>
        <v/>
      </c>
      <c r="B239" s="255" t="str">
        <f t="array" ref="B239">IF($A$219=0,"",IFERROR(INDEX(Auction!$A$13:$M$672,SMALL(IF(Auction!$M$13:$M$672=$A$219,(ROW(Auction!$M$13:$M$672)-MIN(ROW(Auction!$M$13:$M$672))+1),""),ROW($A19)),1),""))</f>
        <v/>
      </c>
      <c r="C239" s="176">
        <f>IF(ISERROR(VLOOKUP(B239,Auction!$A$13:$I$672,7,FALSE)),0,VLOOKUP(B239,Auction!$A$13:$I$672,8,FALSE))</f>
        <v>0</v>
      </c>
      <c r="D239" s="177">
        <f>IFERROR(VLOOKUP(B239,Auction!$A$13:$I$672,9,FALSE)-C239,0)</f>
        <v>0</v>
      </c>
      <c r="E239" s="184" t="str">
        <f>IFERROR(INDEX(Auction!$C$13:$C$672,MATCH(B239,Auction!$A$13:$A$672,0)),"")</f>
        <v/>
      </c>
      <c r="F239" s="1"/>
      <c r="G239" s="167" t="str">
        <f>IFERROR(INDEX(Auction!$B$13:$B$672,MATCH(H239,Auction!$A$13:$A$672,0)),"")</f>
        <v/>
      </c>
      <c r="H239" s="255" t="str">
        <f t="array" ref="H239">IF($G$219=0,"",IFERROR(INDEX(Auction!$A$13:$M$672,SMALL(IF(Auction!$M$13:$M$672=$G$219,(ROW(Auction!$M$13:$M$672)-MIN(ROW(Auction!$M$13:$M$672))+1),""),ROW($G19)),1),""))</f>
        <v/>
      </c>
      <c r="I239" s="176">
        <f>IF(ISERROR(VLOOKUP(H239,Auction!$A$13:$I$672,7,FALSE)),0,VLOOKUP(H239,Auction!$A$13:$I$672,8,FALSE))</f>
        <v>0</v>
      </c>
      <c r="J239" s="177">
        <f>IFERROR(VLOOKUP(H239,Auction!$A$13:$I$672,9,FALSE)-I239,0)</f>
        <v>0</v>
      </c>
      <c r="K239" s="184" t="str">
        <f>IFERROR(INDEX(Auction!$C$13:$C$672,MATCH(H239,Auction!$A$13:$A$672,0)),"")</f>
        <v/>
      </c>
    </row>
    <row r="240" spans="1:11" x14ac:dyDescent="0.25">
      <c r="A240" s="167" t="str">
        <f>IFERROR(INDEX(Auction!$B$13:$B$672,MATCH(B240,Auction!$A$13:$A$672,0)),"")</f>
        <v/>
      </c>
      <c r="B240" s="255" t="str">
        <f t="array" ref="B240">IF($A$219=0,"",IFERROR(INDEX(Auction!$A$13:$M$672,SMALL(IF(Auction!$M$13:$M$672=$A$219,(ROW(Auction!$M$13:$M$672)-MIN(ROW(Auction!$M$13:$M$672))+1),""),ROW($A20)),1),""))</f>
        <v/>
      </c>
      <c r="C240" s="176">
        <f>IF(ISERROR(VLOOKUP(B240,Auction!$A$13:$I$672,7,FALSE)),0,VLOOKUP(B240,Auction!$A$13:$I$672,8,FALSE))</f>
        <v>0</v>
      </c>
      <c r="D240" s="177">
        <f>IFERROR(VLOOKUP(B240,Auction!$A$13:$I$672,9,FALSE)-C240,0)</f>
        <v>0</v>
      </c>
      <c r="E240" s="184" t="str">
        <f>IFERROR(INDEX(Auction!$C$13:$C$672,MATCH(B240,Auction!$A$13:$A$672,0)),"")</f>
        <v/>
      </c>
      <c r="F240" s="1"/>
      <c r="G240" s="167" t="str">
        <f>IFERROR(INDEX(Auction!$B$13:$B$672,MATCH(H240,Auction!$A$13:$A$672,0)),"")</f>
        <v/>
      </c>
      <c r="H240" s="255" t="str">
        <f t="array" ref="H240">IF($G$219=0,"",IFERROR(INDEX(Auction!$A$13:$M$672,SMALL(IF(Auction!$M$13:$M$672=$G$219,(ROW(Auction!$M$13:$M$672)-MIN(ROW(Auction!$M$13:$M$672))+1),""),ROW($G20)),1),""))</f>
        <v/>
      </c>
      <c r="I240" s="176">
        <f>IF(ISERROR(VLOOKUP(H240,Auction!$A$13:$I$672,7,FALSE)),0,VLOOKUP(H240,Auction!$A$13:$I$672,8,FALSE))</f>
        <v>0</v>
      </c>
      <c r="J240" s="177">
        <f>IFERROR(VLOOKUP(H240,Auction!$A$13:$I$672,9,FALSE)-I240,0)</f>
        <v>0</v>
      </c>
      <c r="K240" s="184" t="str">
        <f>IFERROR(INDEX(Auction!$C$13:$C$672,MATCH(H240,Auction!$A$13:$A$672,0)),"")</f>
        <v/>
      </c>
    </row>
    <row r="241" spans="1:17" x14ac:dyDescent="0.25">
      <c r="A241" s="185"/>
      <c r="B241" s="186"/>
      <c r="C241" s="187">
        <f>SUM(C221:C240)</f>
        <v>0</v>
      </c>
      <c r="D241" s="187">
        <f>SUM(D221:D240)</f>
        <v>0</v>
      </c>
      <c r="E241" s="188"/>
      <c r="F241" s="1"/>
      <c r="G241" s="185"/>
      <c r="H241" s="186"/>
      <c r="I241" s="187">
        <f>SUM(I221:I240)</f>
        <v>0</v>
      </c>
      <c r="J241" s="187">
        <f>SUM(J221:J240)</f>
        <v>0</v>
      </c>
      <c r="K241" s="188"/>
      <c r="L241" s="1"/>
      <c r="M241" s="1"/>
      <c r="N241" s="1"/>
      <c r="O241" s="1"/>
      <c r="P241" s="1"/>
      <c r="Q241" s="1"/>
    </row>
    <row r="242" spans="1:17" x14ac:dyDescent="0.25">
      <c r="A242" s="1"/>
      <c r="B242" s="1"/>
      <c r="C242" s="1"/>
      <c r="D242" s="1"/>
      <c r="E242" s="1"/>
      <c r="F242" s="1"/>
      <c r="G242" s="1"/>
      <c r="H242" s="1"/>
      <c r="I242" s="1"/>
      <c r="J242" s="1"/>
      <c r="K242" s="1"/>
      <c r="L242" s="1"/>
      <c r="M242" s="1"/>
      <c r="N242" s="1"/>
      <c r="O242" s="1"/>
      <c r="P242" s="1"/>
      <c r="Q242" s="1"/>
    </row>
    <row r="243" spans="1:17" x14ac:dyDescent="0.25">
      <c r="A243" s="280">
        <f>H22</f>
        <v>0</v>
      </c>
      <c r="B243" s="281"/>
      <c r="C243" s="281"/>
      <c r="D243" s="281"/>
      <c r="E243" s="282"/>
      <c r="F243" s="1"/>
      <c r="G243" s="1"/>
      <c r="H243" s="1"/>
      <c r="I243" s="1"/>
      <c r="J243" s="1"/>
      <c r="K243" s="1"/>
      <c r="L243" s="1"/>
      <c r="M243" s="1"/>
      <c r="N243" s="1"/>
      <c r="O243" s="1"/>
      <c r="P243" s="1"/>
      <c r="Q243" s="1"/>
    </row>
    <row r="244" spans="1:17" x14ac:dyDescent="0.25">
      <c r="A244" s="174" t="s">
        <v>875</v>
      </c>
      <c r="B244" s="182" t="s">
        <v>89</v>
      </c>
      <c r="C244" s="164" t="s">
        <v>876</v>
      </c>
      <c r="D244" s="164" t="s">
        <v>877</v>
      </c>
      <c r="E244" s="175" t="s">
        <v>808</v>
      </c>
      <c r="F244" s="1"/>
      <c r="G244" s="1"/>
      <c r="H244" s="1"/>
      <c r="I244" s="1"/>
      <c r="J244" s="1"/>
      <c r="K244" s="1"/>
      <c r="L244" s="1"/>
      <c r="M244" s="1"/>
      <c r="N244" s="1"/>
      <c r="O244" s="1"/>
      <c r="P244" s="1"/>
      <c r="Q244" s="1"/>
    </row>
    <row r="245" spans="1:17" x14ac:dyDescent="0.25">
      <c r="A245" s="167" t="str">
        <f>IFERROR(INDEX(Auction!$B$13:$B$672,MATCH(B245,Auction!$A$13:$A$672,0)),"")</f>
        <v/>
      </c>
      <c r="B245" s="255" t="str">
        <f t="array" ref="B245">IF($A$243=0,"",IFERROR(INDEX(Auction!$A$13:$M$672,SMALL(IF(Auction!$M$13:$M$672=$A$243,(ROW(Auction!$M$13:$M$672)-MIN(ROW(Auction!$M$13:$M$672))+1),""),ROW($A1)),1),""))</f>
        <v/>
      </c>
      <c r="C245" s="176">
        <f>IF(ISERROR(VLOOKUP(B245,Auction!$A$13:$I$672,7,FALSE)),0,VLOOKUP(B245,Auction!$A$13:$I$672,8,FALSE))</f>
        <v>0</v>
      </c>
      <c r="D245" s="177">
        <f>IFERROR(VLOOKUP(B245,Auction!$A$13:$I$672,9,FALSE)-C245,0)</f>
        <v>0</v>
      </c>
      <c r="E245" s="183" t="str">
        <f>IFERROR(INDEX(Auction!$C$13:$C$672,MATCH(B245,Auction!$A$13:$A$672,0)),"")</f>
        <v/>
      </c>
      <c r="F245" s="1"/>
      <c r="G245" s="1"/>
      <c r="H245" s="1"/>
      <c r="I245" s="1"/>
      <c r="J245" s="1"/>
      <c r="K245" s="1"/>
      <c r="L245" s="1"/>
      <c r="M245" s="1"/>
      <c r="N245" s="1"/>
      <c r="O245" s="1"/>
      <c r="P245" s="1"/>
      <c r="Q245" s="1"/>
    </row>
    <row r="246" spans="1:17" x14ac:dyDescent="0.25">
      <c r="A246" s="167" t="str">
        <f>IFERROR(INDEX(Auction!$B$13:$B$672,MATCH(B246,Auction!$A$13:$A$672,0)),"")</f>
        <v/>
      </c>
      <c r="B246" s="255" t="str">
        <f t="array" ref="B246">IF($A$243=0,"",IFERROR(INDEX(Auction!$A$13:$M$672,SMALL(IF(Auction!$M$13:$M$672=$A$243,(ROW(Auction!$M$13:$M$672)-MIN(ROW(Auction!$M$13:$M$672))+1),""),ROW($A2)),1),""))</f>
        <v/>
      </c>
      <c r="C246" s="176">
        <f>IF(ISERROR(VLOOKUP(B246,Auction!$A$13:$I$672,7,FALSE)),0,VLOOKUP(B246,Auction!$A$13:$I$672,8,FALSE))</f>
        <v>0</v>
      </c>
      <c r="D246" s="177">
        <f>IFERROR(VLOOKUP(B246,Auction!$A$13:$I$672,9,FALSE)-C246,0)</f>
        <v>0</v>
      </c>
      <c r="E246" s="183" t="str">
        <f>IFERROR(INDEX(Auction!$C$13:$C$672,MATCH(B246,Auction!$A$13:$A$672,0)),"")</f>
        <v/>
      </c>
      <c r="F246" s="1"/>
      <c r="G246" s="1"/>
      <c r="H246" s="1"/>
      <c r="I246" s="1"/>
      <c r="J246" s="1"/>
      <c r="K246" s="1"/>
      <c r="L246" s="1"/>
      <c r="M246" s="1"/>
      <c r="N246" s="1"/>
      <c r="O246" s="1"/>
      <c r="P246" s="1"/>
      <c r="Q246" s="1"/>
    </row>
    <row r="247" spans="1:17" x14ac:dyDescent="0.25">
      <c r="A247" s="167" t="str">
        <f>IFERROR(INDEX(Auction!$B$13:$B$672,MATCH(B247,Auction!$A$13:$A$672,0)),"")</f>
        <v/>
      </c>
      <c r="B247" s="255" t="str">
        <f t="array" ref="B247">IF($A$243=0,"",IFERROR(INDEX(Auction!$A$13:$M$672,SMALL(IF(Auction!$M$13:$M$672=$A$243,(ROW(Auction!$M$13:$M$672)-MIN(ROW(Auction!$M$13:$M$672))+1),""),ROW($A3)),1),""))</f>
        <v/>
      </c>
      <c r="C247" s="176">
        <f>IF(ISERROR(VLOOKUP(B247,Auction!$A$13:$I$672,7,FALSE)),0,VLOOKUP(B247,Auction!$A$13:$I$672,8,FALSE))</f>
        <v>0</v>
      </c>
      <c r="D247" s="177">
        <f>IFERROR(VLOOKUP(B247,Auction!$A$13:$I$672,9,FALSE)-C247,0)</f>
        <v>0</v>
      </c>
      <c r="E247" s="183" t="str">
        <f>IFERROR(INDEX(Auction!$C$13:$C$672,MATCH(B247,Auction!$A$13:$A$672,0)),"")</f>
        <v/>
      </c>
      <c r="F247" s="1"/>
      <c r="G247" s="1"/>
      <c r="H247" s="1"/>
      <c r="I247" s="1"/>
      <c r="J247" s="1"/>
      <c r="K247" s="1"/>
      <c r="L247" s="1"/>
      <c r="M247" s="1"/>
      <c r="N247" s="1"/>
      <c r="O247" s="1"/>
      <c r="P247" s="1"/>
      <c r="Q247" s="1"/>
    </row>
    <row r="248" spans="1:17" x14ac:dyDescent="0.25">
      <c r="A248" s="167" t="str">
        <f>IFERROR(INDEX(Auction!$B$13:$B$672,MATCH(B248,Auction!$A$13:$A$672,0)),"")</f>
        <v/>
      </c>
      <c r="B248" s="255" t="str">
        <f t="array" ref="B248">IF($A$243=0,"",IFERROR(INDEX(Auction!$A$13:$M$672,SMALL(IF(Auction!$M$13:$M$672=$A$243,(ROW(Auction!$M$13:$M$672)-MIN(ROW(Auction!$M$13:$M$672))+1),""),ROW($A4)),1),""))</f>
        <v/>
      </c>
      <c r="C248" s="176">
        <f>IF(ISERROR(VLOOKUP(B248,Auction!$A$13:$I$672,7,FALSE)),0,VLOOKUP(B248,Auction!$A$13:$I$672,8,FALSE))</f>
        <v>0</v>
      </c>
      <c r="D248" s="177">
        <f>IFERROR(VLOOKUP(B248,Auction!$A$13:$I$672,9,FALSE)-C248,0)</f>
        <v>0</v>
      </c>
      <c r="E248" s="183" t="str">
        <f>IFERROR(INDEX(Auction!$C$13:$C$672,MATCH(B248,Auction!$A$13:$A$672,0)),"")</f>
        <v/>
      </c>
      <c r="F248" s="1"/>
      <c r="G248" s="1"/>
      <c r="H248" s="1"/>
      <c r="I248" s="1"/>
      <c r="J248" s="1"/>
      <c r="K248" s="1"/>
      <c r="L248" s="1"/>
      <c r="M248" s="1"/>
      <c r="N248" s="1"/>
      <c r="O248" s="1"/>
      <c r="P248" s="1"/>
      <c r="Q248" s="1"/>
    </row>
    <row r="249" spans="1:17" x14ac:dyDescent="0.25">
      <c r="A249" s="167" t="str">
        <f>IFERROR(INDEX(Auction!$B$13:$B$672,MATCH(B249,Auction!$A$13:$A$672,0)),"")</f>
        <v/>
      </c>
      <c r="B249" s="255" t="str">
        <f t="array" ref="B249">IF($A$243=0,"",IFERROR(INDEX(Auction!$A$13:$M$672,SMALL(IF(Auction!$M$13:$M$672=$A$243,(ROW(Auction!$M$13:$M$672)-MIN(ROW(Auction!$M$13:$M$672))+1),""),ROW($A5)),1),""))</f>
        <v/>
      </c>
      <c r="C249" s="176">
        <f>IF(ISERROR(VLOOKUP(B249,Auction!$A$13:$I$672,7,FALSE)),0,VLOOKUP(B249,Auction!$A$13:$I$672,8,FALSE))</f>
        <v>0</v>
      </c>
      <c r="D249" s="177">
        <f>IFERROR(VLOOKUP(B249,Auction!$A$13:$I$672,9,FALSE)-C249,0)</f>
        <v>0</v>
      </c>
      <c r="E249" s="183" t="str">
        <f>IFERROR(INDEX(Auction!$C$13:$C$672,MATCH(B249,Auction!$A$13:$A$672,0)),"")</f>
        <v/>
      </c>
      <c r="F249" s="1"/>
      <c r="G249" s="1"/>
      <c r="H249" s="1"/>
      <c r="I249" s="1"/>
      <c r="J249" s="1"/>
      <c r="K249" s="1"/>
      <c r="L249" s="1"/>
      <c r="M249" s="1"/>
      <c r="N249" s="1"/>
      <c r="O249" s="1"/>
      <c r="P249" s="1"/>
      <c r="Q249" s="1"/>
    </row>
    <row r="250" spans="1:17" x14ac:dyDescent="0.25">
      <c r="A250" s="167" t="str">
        <f>IFERROR(INDEX(Auction!$B$13:$B$672,MATCH(B250,Auction!$A$13:$A$672,0)),"")</f>
        <v/>
      </c>
      <c r="B250" s="255" t="str">
        <f t="array" ref="B250">IF($A$243=0,"",IFERROR(INDEX(Auction!$A$13:$M$672,SMALL(IF(Auction!$M$13:$M$672=$A$243,(ROW(Auction!$M$13:$M$672)-MIN(ROW(Auction!$M$13:$M$672))+1),""),ROW($A6)),1),""))</f>
        <v/>
      </c>
      <c r="C250" s="176">
        <f>IF(ISERROR(VLOOKUP(B250,Auction!$A$13:$I$672,7,FALSE)),0,VLOOKUP(B250,Auction!$A$13:$I$672,8,FALSE))</f>
        <v>0</v>
      </c>
      <c r="D250" s="177">
        <f>IFERROR(VLOOKUP(B250,Auction!$A$13:$I$672,9,FALSE)-C250,0)</f>
        <v>0</v>
      </c>
      <c r="E250" s="183" t="str">
        <f>IFERROR(INDEX(Auction!$C$13:$C$672,MATCH(B250,Auction!$A$13:$A$672,0)),"")</f>
        <v/>
      </c>
      <c r="F250" s="1"/>
      <c r="G250" s="1"/>
      <c r="H250" s="1"/>
      <c r="I250" s="1"/>
      <c r="J250" s="1"/>
      <c r="K250" s="1"/>
      <c r="L250" s="1"/>
      <c r="M250" s="1"/>
      <c r="N250" s="1"/>
      <c r="O250" s="1"/>
      <c r="P250" s="1"/>
      <c r="Q250" s="1"/>
    </row>
    <row r="251" spans="1:17" x14ac:dyDescent="0.25">
      <c r="A251" s="167" t="str">
        <f>IFERROR(INDEX(Auction!$B$13:$B$672,MATCH(B251,Auction!$A$13:$A$672,0)),"")</f>
        <v/>
      </c>
      <c r="B251" s="255" t="str">
        <f t="array" ref="B251">IF($A$243=0,"",IFERROR(INDEX(Auction!$A$13:$M$672,SMALL(IF(Auction!$M$13:$M$672=$A$243,(ROW(Auction!$M$13:$M$672)-MIN(ROW(Auction!$M$13:$M$672))+1),""),ROW($A7)),1),""))</f>
        <v/>
      </c>
      <c r="C251" s="176">
        <f>IF(ISERROR(VLOOKUP(B251,Auction!$A$13:$I$672,7,FALSE)),0,VLOOKUP(B251,Auction!$A$13:$I$672,8,FALSE))</f>
        <v>0</v>
      </c>
      <c r="D251" s="177">
        <f>IFERROR(VLOOKUP(B251,Auction!$A$13:$I$672,9,FALSE)-C251,0)</f>
        <v>0</v>
      </c>
      <c r="E251" s="183" t="str">
        <f>IFERROR(INDEX(Auction!$C$13:$C$672,MATCH(B251,Auction!$A$13:$A$672,0)),"")</f>
        <v/>
      </c>
      <c r="F251" s="1"/>
      <c r="G251" s="1"/>
      <c r="H251" s="1"/>
      <c r="I251" s="1"/>
      <c r="J251" s="1"/>
      <c r="K251" s="1"/>
      <c r="L251" s="1"/>
      <c r="M251" s="1"/>
      <c r="N251" s="1"/>
      <c r="O251" s="1"/>
      <c r="P251" s="1"/>
      <c r="Q251" s="1"/>
    </row>
    <row r="252" spans="1:17" x14ac:dyDescent="0.25">
      <c r="A252" s="167" t="str">
        <f>IFERROR(INDEX(Auction!$B$13:$B$672,MATCH(B252,Auction!$A$13:$A$672,0)),"")</f>
        <v/>
      </c>
      <c r="B252" s="255" t="str">
        <f t="array" ref="B252">IF($A$243=0,"",IFERROR(INDEX(Auction!$A$13:$M$672,SMALL(IF(Auction!$M$13:$M$672=$A$243,(ROW(Auction!$M$13:$M$672)-MIN(ROW(Auction!$M$13:$M$672))+1),""),ROW($A8)),1),""))</f>
        <v/>
      </c>
      <c r="C252" s="176">
        <f>IF(ISERROR(VLOOKUP(B252,Auction!$A$13:$I$672,7,FALSE)),0,VLOOKUP(B252,Auction!$A$13:$I$672,8,FALSE))</f>
        <v>0</v>
      </c>
      <c r="D252" s="177">
        <f>IFERROR(VLOOKUP(B252,Auction!$A$13:$I$672,9,FALSE)-C252,0)</f>
        <v>0</v>
      </c>
      <c r="E252" s="183" t="str">
        <f>IFERROR(INDEX(Auction!$C$13:$C$672,MATCH(B252,Auction!$A$13:$A$672,0)),"")</f>
        <v/>
      </c>
      <c r="F252" s="1"/>
      <c r="G252" s="1"/>
      <c r="H252" s="1"/>
      <c r="I252" s="1"/>
      <c r="J252" s="1"/>
      <c r="K252" s="1"/>
      <c r="L252" s="1"/>
      <c r="M252" s="1"/>
      <c r="N252" s="1"/>
      <c r="O252" s="1"/>
      <c r="P252" s="1"/>
      <c r="Q252" s="1"/>
    </row>
    <row r="253" spans="1:17" x14ac:dyDescent="0.25">
      <c r="A253" s="167" t="str">
        <f>IFERROR(INDEX(Auction!$B$13:$B$672,MATCH(B253,Auction!$A$13:$A$672,0)),"")</f>
        <v/>
      </c>
      <c r="B253" s="255" t="str">
        <f t="array" ref="B253">IF($A$243=0,"",IFERROR(INDEX(Auction!$A$13:$M$672,SMALL(IF(Auction!$M$13:$M$672=$A$243,(ROW(Auction!$M$13:$M$672)-MIN(ROW(Auction!$M$13:$M$672))+1),""),ROW($A9)),1),""))</f>
        <v/>
      </c>
      <c r="C253" s="176">
        <f>IF(ISERROR(VLOOKUP(B253,Auction!$A$13:$I$672,7,FALSE)),0,VLOOKUP(B253,Auction!$A$13:$I$672,8,FALSE))</f>
        <v>0</v>
      </c>
      <c r="D253" s="177">
        <f>IFERROR(VLOOKUP(B253,Auction!$A$13:$I$672,9,FALSE)-C253,0)</f>
        <v>0</v>
      </c>
      <c r="E253" s="184" t="str">
        <f>IFERROR(INDEX(Auction!$C$13:$C$672,MATCH(B253,Auction!$A$13:$A$672,0)),"")</f>
        <v/>
      </c>
      <c r="F253" s="1"/>
      <c r="G253" s="1"/>
      <c r="H253" s="1"/>
      <c r="I253" s="1"/>
      <c r="J253" s="1"/>
      <c r="K253" s="1"/>
      <c r="L253" s="1"/>
      <c r="M253" s="1"/>
      <c r="N253" s="1"/>
      <c r="O253" s="1"/>
      <c r="P253" s="1"/>
      <c r="Q253" s="1"/>
    </row>
    <row r="254" spans="1:17" x14ac:dyDescent="0.25">
      <c r="A254" s="167" t="str">
        <f>IFERROR(INDEX(Auction!$B$13:$B$672,MATCH(B254,Auction!$A$13:$A$672,0)),"")</f>
        <v/>
      </c>
      <c r="B254" s="255" t="str">
        <f t="array" ref="B254">IF($A$243=0,"",IFERROR(INDEX(Auction!$A$13:$M$672,SMALL(IF(Auction!$M$13:$M$672=$A$243,(ROW(Auction!$M$13:$M$672)-MIN(ROW(Auction!$M$13:$M$672))+1),""),ROW($A10)),1),""))</f>
        <v/>
      </c>
      <c r="C254" s="176">
        <f>IF(ISERROR(VLOOKUP(B254,Auction!$A$13:$I$672,7,FALSE)),0,VLOOKUP(B254,Auction!$A$13:$I$672,8,FALSE))</f>
        <v>0</v>
      </c>
      <c r="D254" s="177">
        <f>IFERROR(VLOOKUP(B254,Auction!$A$13:$I$672,9,FALSE)-C254,0)</f>
        <v>0</v>
      </c>
      <c r="E254" s="184" t="str">
        <f>IFERROR(INDEX(Auction!$C$13:$C$672,MATCH(B254,Auction!$A$13:$A$672,0)),"")</f>
        <v/>
      </c>
      <c r="F254" s="1"/>
      <c r="G254" s="1"/>
      <c r="H254" s="1"/>
      <c r="I254" s="1"/>
      <c r="J254" s="1"/>
      <c r="K254" s="1"/>
      <c r="L254" s="1"/>
      <c r="M254" s="1"/>
      <c r="N254" s="1"/>
      <c r="O254" s="1"/>
      <c r="P254" s="1"/>
      <c r="Q254" s="1"/>
    </row>
    <row r="255" spans="1:17" x14ac:dyDescent="0.25">
      <c r="A255" s="167" t="str">
        <f>IFERROR(INDEX(Auction!$B$13:$B$672,MATCH(B255,Auction!$A$13:$A$672,0)),"")</f>
        <v/>
      </c>
      <c r="B255" s="255" t="str">
        <f t="array" ref="B255">IF($A$243=0,"",IFERROR(INDEX(Auction!$A$13:$M$672,SMALL(IF(Auction!$M$13:$M$672=$A$243,(ROW(Auction!$M$13:$M$672)-MIN(ROW(Auction!$M$13:$M$672))+1),""),ROW($A11)),1),""))</f>
        <v/>
      </c>
      <c r="C255" s="176">
        <f>IF(ISERROR(VLOOKUP(B255,Auction!$A$13:$I$672,7,FALSE)),0,VLOOKUP(B255,Auction!$A$13:$I$672,8,FALSE))</f>
        <v>0</v>
      </c>
      <c r="D255" s="177">
        <f>IFERROR(VLOOKUP(B255,Auction!$A$13:$I$672,9,FALSE)-C255,0)</f>
        <v>0</v>
      </c>
      <c r="E255" s="184" t="str">
        <f>IFERROR(INDEX(Auction!$C$13:$C$672,MATCH(B255,Auction!$A$13:$A$672,0)),"")</f>
        <v/>
      </c>
      <c r="F255" s="1"/>
      <c r="G255" s="1"/>
      <c r="H255" s="1"/>
      <c r="I255" s="1"/>
      <c r="J255" s="1"/>
      <c r="K255" s="1"/>
      <c r="L255" s="1"/>
      <c r="M255" s="1"/>
      <c r="N255" s="1"/>
      <c r="O255" s="1"/>
      <c r="P255" s="1"/>
      <c r="Q255" s="1"/>
    </row>
    <row r="256" spans="1:17" x14ac:dyDescent="0.25">
      <c r="A256" s="167" t="str">
        <f>IFERROR(INDEX(Auction!$B$13:$B$672,MATCH(B256,Auction!$A$13:$A$672,0)),"")</f>
        <v/>
      </c>
      <c r="B256" s="255" t="str">
        <f t="array" ref="B256">IF($A$243=0,"",IFERROR(INDEX(Auction!$A$13:$M$672,SMALL(IF(Auction!$M$13:$M$672=$A$243,(ROW(Auction!$M$13:$M$672)-MIN(ROW(Auction!$M$13:$M$672))+1),""),ROW($A12)),1),""))</f>
        <v/>
      </c>
      <c r="C256" s="176">
        <f>IF(ISERROR(VLOOKUP(B256,Auction!$A$13:$I$672,7,FALSE)),0,VLOOKUP(B256,Auction!$A$13:$I$672,8,FALSE))</f>
        <v>0</v>
      </c>
      <c r="D256" s="177">
        <f>IFERROR(VLOOKUP(B256,Auction!$A$13:$I$672,9,FALSE)-C256,0)</f>
        <v>0</v>
      </c>
      <c r="E256" s="184" t="str">
        <f>IFERROR(INDEX(Auction!$C$13:$C$672,MATCH(B256,Auction!$A$13:$A$672,0)),"")</f>
        <v/>
      </c>
      <c r="F256" s="1"/>
      <c r="G256" s="1"/>
      <c r="H256" s="1"/>
      <c r="I256" s="1"/>
      <c r="J256" s="1"/>
      <c r="K256" s="1"/>
      <c r="L256" s="1"/>
      <c r="M256" s="1"/>
      <c r="N256" s="1"/>
      <c r="O256" s="1"/>
      <c r="P256" s="1"/>
      <c r="Q256" s="1"/>
    </row>
    <row r="257" spans="1:17" x14ac:dyDescent="0.25">
      <c r="A257" s="167" t="str">
        <f>IFERROR(INDEX(Auction!$B$13:$B$672,MATCH(B257,Auction!$A$13:$A$672,0)),"")</f>
        <v/>
      </c>
      <c r="B257" s="255" t="str">
        <f t="array" ref="B257">IF($A$243=0,"",IFERROR(INDEX(Auction!$A$13:$M$672,SMALL(IF(Auction!$M$13:$M$672=$A$243,(ROW(Auction!$M$13:$M$672)-MIN(ROW(Auction!$M$13:$M$672))+1),""),ROW($A13)),1),""))</f>
        <v/>
      </c>
      <c r="C257" s="176">
        <f>IF(ISERROR(VLOOKUP(B257,Auction!$A$13:$I$672,7,FALSE)),0,VLOOKUP(B257,Auction!$A$13:$I$672,8,FALSE))</f>
        <v>0</v>
      </c>
      <c r="D257" s="177">
        <f>IFERROR(VLOOKUP(B257,Auction!$A$13:$I$672,9,FALSE)-C257,0)</f>
        <v>0</v>
      </c>
      <c r="E257" s="184" t="str">
        <f>IFERROR(INDEX(Auction!$C$13:$C$672,MATCH(B257,Auction!$A$13:$A$672,0)),"")</f>
        <v/>
      </c>
      <c r="F257" s="1"/>
      <c r="G257" s="1"/>
      <c r="H257" s="1"/>
      <c r="I257" s="1"/>
      <c r="J257" s="1"/>
      <c r="K257" s="1"/>
      <c r="L257" s="1"/>
      <c r="M257" s="1"/>
      <c r="N257" s="1"/>
      <c r="O257" s="1"/>
      <c r="P257" s="1"/>
      <c r="Q257" s="1"/>
    </row>
    <row r="258" spans="1:17" x14ac:dyDescent="0.25">
      <c r="A258" s="167" t="str">
        <f>IFERROR(INDEX(Auction!$B$13:$B$672,MATCH(B258,Auction!$A$13:$A$672,0)),"")</f>
        <v/>
      </c>
      <c r="B258" s="255" t="str">
        <f t="array" ref="B258">IF($A$243=0,"",IFERROR(INDEX(Auction!$A$13:$M$672,SMALL(IF(Auction!$M$13:$M$672=$A$243,(ROW(Auction!$M$13:$M$672)-MIN(ROW(Auction!$M$13:$M$672))+1),""),ROW($A14)),1),""))</f>
        <v/>
      </c>
      <c r="C258" s="176">
        <f>IF(ISERROR(VLOOKUP(B258,Auction!$A$13:$I$672,7,FALSE)),0,VLOOKUP(B258,Auction!$A$13:$I$672,8,FALSE))</f>
        <v>0</v>
      </c>
      <c r="D258" s="177">
        <f>IFERROR(VLOOKUP(B258,Auction!$A$13:$I$672,9,FALSE)-C258,0)</f>
        <v>0</v>
      </c>
      <c r="E258" s="184" t="str">
        <f>IFERROR(INDEX(Auction!$C$13:$C$672,MATCH(B258,Auction!$A$13:$A$672,0)),"")</f>
        <v/>
      </c>
      <c r="F258" s="1"/>
      <c r="G258" s="1"/>
      <c r="H258" s="1"/>
      <c r="I258" s="1"/>
      <c r="J258" s="1"/>
      <c r="K258" s="1"/>
      <c r="L258" s="1"/>
      <c r="M258" s="1"/>
      <c r="N258" s="1"/>
      <c r="O258" s="1"/>
      <c r="P258" s="1"/>
      <c r="Q258" s="1"/>
    </row>
    <row r="259" spans="1:17" x14ac:dyDescent="0.25">
      <c r="A259" s="167" t="str">
        <f>IFERROR(INDEX(Auction!$B$13:$B$672,MATCH(B259,Auction!$A$13:$A$672,0)),"")</f>
        <v/>
      </c>
      <c r="B259" s="255" t="str">
        <f t="array" ref="B259">IF($A$243=0,"",IFERROR(INDEX(Auction!$A$13:$M$672,SMALL(IF(Auction!$M$13:$M$672=$A$243,(ROW(Auction!$M$13:$M$672)-MIN(ROW(Auction!$M$13:$M$672))+1),""),ROW($A15)),1),""))</f>
        <v/>
      </c>
      <c r="C259" s="176">
        <f>IF(ISERROR(VLOOKUP(B259,Auction!$A$13:$I$672,7,FALSE)),0,VLOOKUP(B259,Auction!$A$13:$I$672,8,FALSE))</f>
        <v>0</v>
      </c>
      <c r="D259" s="177">
        <f>IFERROR(VLOOKUP(B259,Auction!$A$13:$I$672,9,FALSE)-C259,0)</f>
        <v>0</v>
      </c>
      <c r="E259" s="184" t="str">
        <f>IFERROR(INDEX(Auction!$C$13:$C$672,MATCH(B259,Auction!$A$13:$A$672,0)),"")</f>
        <v/>
      </c>
      <c r="F259" s="1"/>
      <c r="G259" s="1"/>
      <c r="H259" s="1"/>
      <c r="I259" s="1"/>
      <c r="J259" s="1"/>
      <c r="K259" s="1"/>
      <c r="L259" s="1"/>
      <c r="M259" s="1"/>
      <c r="N259" s="1"/>
      <c r="O259" s="1"/>
      <c r="P259" s="1"/>
      <c r="Q259" s="1"/>
    </row>
    <row r="260" spans="1:17" x14ac:dyDescent="0.25">
      <c r="A260" s="167" t="str">
        <f>IFERROR(INDEX(Auction!$B$13:$B$672,MATCH(B260,Auction!$A$13:$A$672,0)),"")</f>
        <v/>
      </c>
      <c r="B260" s="255" t="str">
        <f t="array" ref="B260">IF($A$243=0,"",IFERROR(INDEX(Auction!$A$13:$M$672,SMALL(IF(Auction!$M$13:$M$672=$A$243,(ROW(Auction!$M$13:$M$672)-MIN(ROW(Auction!$M$13:$M$672))+1),""),ROW($A16)),1),""))</f>
        <v/>
      </c>
      <c r="C260" s="176">
        <f>IF(ISERROR(VLOOKUP(B260,Auction!$A$13:$I$672,7,FALSE)),0,VLOOKUP(B260,Auction!$A$13:$I$672,8,FALSE))</f>
        <v>0</v>
      </c>
      <c r="D260" s="177">
        <f>IFERROR(VLOOKUP(B260,Auction!$A$13:$I$672,9,FALSE)-C260,0)</f>
        <v>0</v>
      </c>
      <c r="E260" s="184" t="str">
        <f>IFERROR(INDEX(Auction!$C$13:$C$672,MATCH(B260,Auction!$A$13:$A$672,0)),"")</f>
        <v/>
      </c>
      <c r="F260" s="1"/>
      <c r="G260" s="1"/>
      <c r="H260" s="1"/>
      <c r="I260" s="1"/>
      <c r="J260" s="1"/>
      <c r="K260" s="1"/>
      <c r="L260" s="1"/>
      <c r="M260" s="1"/>
      <c r="N260" s="1"/>
      <c r="O260" s="1"/>
      <c r="P260" s="1"/>
      <c r="Q260" s="1"/>
    </row>
    <row r="261" spans="1:17" x14ac:dyDescent="0.25">
      <c r="A261" s="167" t="str">
        <f>IFERROR(INDEX(Auction!$B$13:$B$672,MATCH(B261,Auction!$A$13:$A$672,0)),"")</f>
        <v/>
      </c>
      <c r="B261" s="255" t="str">
        <f t="array" ref="B261">IF($A$243=0,"",IFERROR(INDEX(Auction!$A$13:$M$672,SMALL(IF(Auction!$M$13:$M$672=$A$243,(ROW(Auction!$M$13:$M$672)-MIN(ROW(Auction!$M$13:$M$672))+1),""),ROW($A17)),1),""))</f>
        <v/>
      </c>
      <c r="C261" s="176">
        <f>IF(ISERROR(VLOOKUP(B261,Auction!$A$13:$I$672,7,FALSE)),0,VLOOKUP(B261,Auction!$A$13:$I$672,8,FALSE))</f>
        <v>0</v>
      </c>
      <c r="D261" s="177">
        <f>IFERROR(VLOOKUP(B261,Auction!$A$13:$I$672,9,FALSE)-C261,0)</f>
        <v>0</v>
      </c>
      <c r="E261" s="184" t="str">
        <f>IFERROR(INDEX(Auction!$C$13:$C$672,MATCH(B261,Auction!$A$13:$A$672,0)),"")</f>
        <v/>
      </c>
      <c r="F261" s="1"/>
      <c r="G261" s="1"/>
      <c r="H261" s="1"/>
      <c r="I261" s="1"/>
      <c r="J261" s="1"/>
      <c r="K261" s="1"/>
      <c r="L261" s="1"/>
      <c r="M261" s="1"/>
      <c r="N261" s="1"/>
      <c r="O261" s="1"/>
      <c r="P261" s="1"/>
      <c r="Q261" s="1"/>
    </row>
    <row r="262" spans="1:17" x14ac:dyDescent="0.25">
      <c r="A262" s="167" t="str">
        <f>IFERROR(INDEX(Auction!$B$13:$B$672,MATCH(B262,Auction!$A$13:$A$672,0)),"")</f>
        <v/>
      </c>
      <c r="B262" s="255" t="str">
        <f t="array" ref="B262">IF($A$243=0,"",IFERROR(INDEX(Auction!$A$13:$M$672,SMALL(IF(Auction!$M$13:$M$672=$A$243,(ROW(Auction!$M$13:$M$672)-MIN(ROW(Auction!$M$13:$M$672))+1),""),ROW($A18)),1),""))</f>
        <v/>
      </c>
      <c r="C262" s="176">
        <f>IF(ISERROR(VLOOKUP(B262,Auction!$A$13:$I$672,7,FALSE)),0,VLOOKUP(B262,Auction!$A$13:$I$672,8,FALSE))</f>
        <v>0</v>
      </c>
      <c r="D262" s="177">
        <f>IFERROR(VLOOKUP(B262,Auction!$A$13:$I$672,9,FALSE)-C262,0)</f>
        <v>0</v>
      </c>
      <c r="E262" s="184" t="str">
        <f>IFERROR(INDEX(Auction!$C$13:$C$672,MATCH(B262,Auction!$A$13:$A$672,0)),"")</f>
        <v/>
      </c>
      <c r="F262" s="1"/>
      <c r="G262" s="1"/>
      <c r="H262" s="1"/>
      <c r="I262" s="1"/>
      <c r="J262" s="1"/>
      <c r="K262" s="1"/>
      <c r="L262" s="1"/>
      <c r="M262" s="1"/>
      <c r="N262" s="1"/>
      <c r="O262" s="1"/>
      <c r="P262" s="1"/>
      <c r="Q262" s="1"/>
    </row>
    <row r="263" spans="1:17" x14ac:dyDescent="0.25">
      <c r="A263" s="167" t="str">
        <f>IFERROR(INDEX(Auction!$B$13:$B$672,MATCH(B263,Auction!$A$13:$A$672,0)),"")</f>
        <v/>
      </c>
      <c r="B263" s="255" t="str">
        <f t="array" ref="B263">IF($A$243=0,"",IFERROR(INDEX(Auction!$A$13:$M$672,SMALL(IF(Auction!$M$13:$M$672=$A$243,(ROW(Auction!$M$13:$M$672)-MIN(ROW(Auction!$M$13:$M$672))+1),""),ROW($A19)),1),""))</f>
        <v/>
      </c>
      <c r="C263" s="176">
        <f>IF(ISERROR(VLOOKUP(B263,Auction!$A$13:$I$672,7,FALSE)),0,VLOOKUP(B263,Auction!$A$13:$I$672,8,FALSE))</f>
        <v>0</v>
      </c>
      <c r="D263" s="177">
        <f>IFERROR(VLOOKUP(B263,Auction!$A$13:$I$672,9,FALSE)-C263,0)</f>
        <v>0</v>
      </c>
      <c r="E263" s="184" t="str">
        <f>IFERROR(INDEX(Auction!$C$13:$C$672,MATCH(B263,Auction!$A$13:$A$672,0)),"")</f>
        <v/>
      </c>
      <c r="F263" s="1"/>
      <c r="G263" s="1"/>
      <c r="H263" s="1"/>
      <c r="I263" s="1"/>
      <c r="J263" s="1"/>
      <c r="K263" s="1"/>
      <c r="L263" s="1"/>
      <c r="M263" s="1"/>
      <c r="N263" s="1"/>
      <c r="O263" s="1"/>
      <c r="P263" s="1"/>
      <c r="Q263" s="1"/>
    </row>
    <row r="264" spans="1:17" x14ac:dyDescent="0.25">
      <c r="A264" s="167" t="str">
        <f>IFERROR(INDEX(Auction!$B$13:$B$672,MATCH(B264,Auction!$A$13:$A$672,0)),"")</f>
        <v/>
      </c>
      <c r="B264" s="255" t="str">
        <f t="array" ref="B264">IF($A$243=0,"",IFERROR(INDEX(Auction!$A$13:$M$672,SMALL(IF(Auction!$M$13:$M$672=$A$243,(ROW(Auction!$M$13:$M$672)-MIN(ROW(Auction!$M$13:$M$672))+1),""),ROW($A20)),1),""))</f>
        <v/>
      </c>
      <c r="C264" s="176">
        <f>IF(ISERROR(VLOOKUP(B264,Auction!$A$13:$I$672,7,FALSE)),0,VLOOKUP(B264,Auction!$A$13:$I$672,8,FALSE))</f>
        <v>0</v>
      </c>
      <c r="D264" s="177">
        <f>IFERROR(VLOOKUP(B264,Auction!$A$13:$I$672,9,FALSE)-C264,0)</f>
        <v>0</v>
      </c>
      <c r="E264" s="184" t="str">
        <f>IFERROR(INDEX(Auction!$C$13:$C$672,MATCH(B264,Auction!$A$13:$A$672,0)),"")</f>
        <v/>
      </c>
      <c r="F264" s="1"/>
      <c r="G264" s="1"/>
      <c r="H264" s="1"/>
      <c r="I264" s="1"/>
      <c r="J264" s="1"/>
      <c r="K264" s="1"/>
      <c r="L264" s="1"/>
      <c r="M264" s="1"/>
      <c r="N264" s="1"/>
      <c r="O264" s="1"/>
      <c r="P264" s="1"/>
      <c r="Q264" s="1"/>
    </row>
    <row r="265" spans="1:17" x14ac:dyDescent="0.25">
      <c r="A265" s="185"/>
      <c r="B265" s="186"/>
      <c r="C265" s="187">
        <f>SUM(C245:C264)</f>
        <v>0</v>
      </c>
      <c r="D265" s="187">
        <f>SUM(D245:D264)</f>
        <v>0</v>
      </c>
      <c r="E265" s="188"/>
      <c r="F265" s="1"/>
      <c r="G265" s="1"/>
      <c r="H265" s="1"/>
      <c r="I265" s="1"/>
      <c r="J265" s="1"/>
      <c r="K265" s="1"/>
      <c r="L265" s="1"/>
      <c r="M265" s="1"/>
      <c r="N265" s="1"/>
      <c r="O265" s="1"/>
      <c r="P265" s="1"/>
      <c r="Q265" s="1"/>
    </row>
  </sheetData>
  <mergeCells count="23">
    <mergeCell ref="A1:E1"/>
    <mergeCell ref="G1:Q1"/>
    <mergeCell ref="W1:Z1"/>
    <mergeCell ref="R1:U1"/>
    <mergeCell ref="A27:E27"/>
    <mergeCell ref="A51:E51"/>
    <mergeCell ref="A75:E75"/>
    <mergeCell ref="G27:K27"/>
    <mergeCell ref="G51:K51"/>
    <mergeCell ref="G75:K75"/>
    <mergeCell ref="A99:E99"/>
    <mergeCell ref="G99:K99"/>
    <mergeCell ref="A123:E123"/>
    <mergeCell ref="G123:K123"/>
    <mergeCell ref="A147:E147"/>
    <mergeCell ref="G147:K147"/>
    <mergeCell ref="A243:E243"/>
    <mergeCell ref="A171:E171"/>
    <mergeCell ref="G171:K171"/>
    <mergeCell ref="A195:E195"/>
    <mergeCell ref="G195:K195"/>
    <mergeCell ref="A219:E219"/>
    <mergeCell ref="G219:K219"/>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H64"/>
  <sheetViews>
    <sheetView workbookViewId="0">
      <selection activeCell="J23" sqref="J23"/>
    </sheetView>
  </sheetViews>
  <sheetFormatPr defaultColWidth="8.85546875" defaultRowHeight="15" x14ac:dyDescent="0.25"/>
  <cols>
    <col min="1" max="1" width="18.42578125" style="1" bestFit="1" customWidth="1"/>
    <col min="2" max="2" width="4.85546875" style="1" customWidth="1"/>
    <col min="3" max="3" width="4.42578125" style="1" customWidth="1"/>
    <col min="4" max="5" width="6.42578125" style="1" bestFit="1" customWidth="1"/>
    <col min="6" max="6" width="5" style="1" customWidth="1"/>
    <col min="7" max="7" width="8.42578125" style="1" customWidth="1"/>
    <col min="8" max="8" width="4.42578125" style="1" bestFit="1" customWidth="1"/>
    <col min="9" max="9" width="1.140625" style="1" customWidth="1"/>
    <col min="10" max="10" width="20.42578125" style="1" bestFit="1" customWidth="1"/>
    <col min="11" max="12" width="4.42578125" style="1" customWidth="1"/>
    <col min="13" max="13" width="6.42578125" style="1" bestFit="1" customWidth="1"/>
    <col min="14" max="14" width="8.85546875" style="1"/>
    <col min="15" max="15" width="4.42578125" style="1" customWidth="1"/>
    <col min="16" max="16" width="8.140625" style="1" customWidth="1"/>
    <col min="17" max="17" width="4" style="1" bestFit="1" customWidth="1"/>
    <col min="18" max="18" width="1" style="1" customWidth="1"/>
    <col min="19" max="19" width="19.85546875" style="1" bestFit="1" customWidth="1"/>
    <col min="20" max="21" width="4.42578125" style="1" customWidth="1"/>
    <col min="22" max="22" width="6.42578125" style="1" bestFit="1" customWidth="1"/>
    <col min="23" max="23" width="8.85546875" style="1"/>
    <col min="24" max="24" width="4.42578125" style="1" customWidth="1"/>
    <col min="25" max="25" width="8.85546875" style="1"/>
    <col min="26" max="26" width="4.140625" style="1" customWidth="1"/>
    <col min="27" max="27" width="2.140625" style="1" customWidth="1"/>
    <col min="28" max="28" width="4.85546875" style="1" bestFit="1" customWidth="1"/>
    <col min="29" max="29" width="18" style="1" bestFit="1" customWidth="1"/>
    <col min="30" max="30" width="4.140625" style="1" bestFit="1" customWidth="1"/>
    <col min="31" max="31" width="7.42578125" style="1" bestFit="1" customWidth="1"/>
    <col min="32" max="32" width="12.42578125" style="1" bestFit="1" customWidth="1"/>
    <col min="33" max="33" width="14.42578125" style="1" bestFit="1" customWidth="1"/>
    <col min="34" max="34" width="13.42578125" style="1" bestFit="1" customWidth="1"/>
    <col min="35" max="35" width="12.42578125" style="1" bestFit="1" customWidth="1"/>
    <col min="36" max="16384" width="8.85546875" style="1"/>
  </cols>
  <sheetData>
    <row r="1" spans="1:34" ht="26.25" x14ac:dyDescent="0.4">
      <c r="A1" s="286"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"&amp;LeagueInfo!D9&amp;"DST / "&amp;LeagueInfo!D8&amp;"PK / "&amp;LeagueInfo!F5&amp;"BN"</f>
        <v>CheatSheet - $200 - 0 PPR - 12 Team - 1QB (22) / 2RB (56) / 2WR (56) / 1TE (22) / 1FLX / 1DST / 1PK / 6BN</v>
      </c>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c r="AD1" s="287"/>
      <c r="AE1" s="287"/>
    </row>
    <row r="2" spans="1:34" ht="36" customHeight="1" thickBot="1" x14ac:dyDescent="0.3">
      <c r="A2" s="26"/>
      <c r="B2" s="26"/>
      <c r="C2" s="27"/>
      <c r="D2" s="27"/>
      <c r="E2" s="27"/>
      <c r="F2" s="27"/>
      <c r="G2" s="27"/>
      <c r="H2" s="28"/>
      <c r="I2" s="26"/>
      <c r="J2" s="26"/>
      <c r="K2" s="26"/>
      <c r="L2" s="27"/>
      <c r="M2" s="29"/>
      <c r="N2" s="27"/>
      <c r="O2" s="27"/>
      <c r="P2" s="27" t="s">
        <v>890</v>
      </c>
      <c r="Q2" s="28"/>
      <c r="R2" s="26"/>
      <c r="S2" s="26"/>
      <c r="T2" s="26"/>
      <c r="U2" s="27"/>
      <c r="V2" s="29"/>
      <c r="W2" s="27"/>
      <c r="X2" s="27"/>
      <c r="Y2" s="27"/>
      <c r="Z2" s="28"/>
    </row>
    <row r="3" spans="1:34" x14ac:dyDescent="0.25">
      <c r="A3" s="288" t="str">
        <f ca="1">CONCATENATE("QB - Positional Scarcity ",TEXT(QB!$X$3,"0.00%"))</f>
        <v>QB - Positional Scarcity 100.00%</v>
      </c>
      <c r="B3" s="289"/>
      <c r="C3" s="289"/>
      <c r="D3" s="289"/>
      <c r="E3" s="289"/>
      <c r="F3" s="289"/>
      <c r="G3" s="289"/>
      <c r="H3" s="290"/>
      <c r="I3" s="30"/>
      <c r="J3" s="288" t="str">
        <f ca="1">CONCATENATE("RB - Positional Scarcity ",TEXT(RB!$X$3,"0.00%"))</f>
        <v>RB - Positional Scarcity 100.00%</v>
      </c>
      <c r="K3" s="289"/>
      <c r="L3" s="289"/>
      <c r="M3" s="289"/>
      <c r="N3" s="289"/>
      <c r="O3" s="289"/>
      <c r="P3" s="289"/>
      <c r="Q3" s="290"/>
      <c r="R3" s="30"/>
      <c r="S3" s="288" t="str">
        <f ca="1">CONCATENATE("WR - Positional Scarcity ",TEXT(WR!$X$3,"0.00%"))</f>
        <v>WR - Positional Scarcity 100.00%</v>
      </c>
      <c r="T3" s="289"/>
      <c r="U3" s="289"/>
      <c r="V3" s="289"/>
      <c r="W3" s="289"/>
      <c r="X3" s="289"/>
      <c r="Y3" s="289"/>
      <c r="Z3" s="290"/>
      <c r="AB3" s="288" t="s">
        <v>891</v>
      </c>
      <c r="AC3" s="289"/>
      <c r="AD3" s="289"/>
      <c r="AE3" s="289"/>
    </row>
    <row r="4" spans="1:34" ht="15.75" thickBot="1" x14ac:dyDescent="0.3">
      <c r="A4" s="130" t="s">
        <v>892</v>
      </c>
      <c r="B4" s="131" t="s">
        <v>331</v>
      </c>
      <c r="C4" s="131" t="s">
        <v>330</v>
      </c>
      <c r="D4" s="131" t="s">
        <v>893</v>
      </c>
      <c r="E4" s="131" t="s">
        <v>18</v>
      </c>
      <c r="F4" s="131" t="s">
        <v>348</v>
      </c>
      <c r="G4" s="131" t="s">
        <v>894</v>
      </c>
      <c r="H4" s="132" t="s">
        <v>342</v>
      </c>
      <c r="I4" s="27"/>
      <c r="J4" s="130" t="s">
        <v>892</v>
      </c>
      <c r="K4" s="131" t="s">
        <v>331</v>
      </c>
      <c r="L4" s="131" t="s">
        <v>330</v>
      </c>
      <c r="M4" s="131" t="s">
        <v>893</v>
      </c>
      <c r="N4" s="131" t="s">
        <v>18</v>
      </c>
      <c r="O4" s="131" t="s">
        <v>348</v>
      </c>
      <c r="P4" s="131" t="s">
        <v>894</v>
      </c>
      <c r="Q4" s="132" t="s">
        <v>342</v>
      </c>
      <c r="R4" s="27"/>
      <c r="S4" s="130" t="s">
        <v>892</v>
      </c>
      <c r="T4" s="131" t="s">
        <v>331</v>
      </c>
      <c r="U4" s="131" t="s">
        <v>330</v>
      </c>
      <c r="V4" s="131" t="s">
        <v>893</v>
      </c>
      <c r="W4" s="131" t="s">
        <v>18</v>
      </c>
      <c r="X4" s="131" t="s">
        <v>348</v>
      </c>
      <c r="Y4" s="131" t="s">
        <v>894</v>
      </c>
      <c r="Z4" s="132" t="s">
        <v>342</v>
      </c>
      <c r="AB4" s="130" t="s">
        <v>895</v>
      </c>
      <c r="AC4" s="131" t="s">
        <v>89</v>
      </c>
      <c r="AD4" s="142" t="s">
        <v>24</v>
      </c>
      <c r="AE4" s="134" t="s">
        <v>18</v>
      </c>
      <c r="AF4" s="244"/>
      <c r="AG4" s="244"/>
      <c r="AH4" s="244"/>
    </row>
    <row r="5" spans="1:34" x14ac:dyDescent="0.25">
      <c r="A5" s="33" t="s">
        <v>122</v>
      </c>
      <c r="B5" s="73" t="str">
        <f>INDEX(QB!E$3:E$76,MATCH(A5,QB!B$3:B$76,0))</f>
        <v>GB</v>
      </c>
      <c r="C5" s="38">
        <f>INDEX(QB!D$3:D$76,MATCH(A5,QB!B$3:B$76,0))</f>
        <v>8</v>
      </c>
      <c r="D5" s="221" t="str">
        <f>IF(INDEX(Auction!$H$13:$H$672,MATCH(A5,Auction!$A$13:$A$672,0))&gt;0,"x","")</f>
        <v/>
      </c>
      <c r="E5" s="34">
        <f ca="1">INDEX(QB!$Y$3:$Y$76,MATCH(A5,QB!$B$3:$B$76,0))</f>
        <v>98.660000000000039</v>
      </c>
      <c r="F5" s="34" t="str">
        <f ca="1">INDEX(QB!$Z$3:$Z$76,MATCH(A5,QB!$B$3:$B$76,0))</f>
        <v>QB1</v>
      </c>
      <c r="G5" s="49">
        <f ca="1">IF(D5="",IFERROR(E5/(SUMIFS($E$5:$E$34,$E$5:$E$34,"&gt;0",$D$5:$D$34,"")),1),0)</f>
        <v>0.13161879376565028</v>
      </c>
      <c r="H5" s="40">
        <f ca="1">IF(LeagueInfo!$H$7="Starter/Bench",INDEX(QB!$S$3:$S$76,MATCH(A5,QB!$B$3:$B$76,0))*InflationPct,INDEX(QB!$AA$3:$AA$76,MATCH(A5,QB!$B$3:$B$76,0))*InflationPct)</f>
        <v>44.164651898880066</v>
      </c>
      <c r="I5" s="32"/>
      <c r="J5" s="54" t="s">
        <v>94</v>
      </c>
      <c r="K5" s="75" t="str">
        <f>INDEX(RB!$E$3:$E$173,MATCH(J5,RB!$B$3:$B$173,0))</f>
        <v>ARI</v>
      </c>
      <c r="L5" s="55">
        <f>INDEX(RB!$D$3:$D$173,MATCH(J5,RB!$B$3:$B$173,0))</f>
        <v>8</v>
      </c>
      <c r="M5" s="223"/>
      <c r="N5" s="56">
        <f ca="1">INDEX(RB!Y$3:Y$173,MATCH(J5,RB!$B$3:$B$173,0))</f>
        <v>186.21000000000006</v>
      </c>
      <c r="O5" s="57" t="str">
        <f ca="1">INDEX(RB!Z$3:Z$173,MATCH(J5,RB!$B$3:$B$173,0))</f>
        <v>RB1</v>
      </c>
      <c r="P5" s="58">
        <f ca="1">IF(M5="",IFERROR(N5/(SUMIFS($N$5:$N$64,$N$5:$N$64,"&gt;0",$M$5:$M$64,"")),1),0)</f>
        <v>7.6528379119806506E-2</v>
      </c>
      <c r="Q5" s="59">
        <f ca="1">IF(LeagueInfo!$H$7="Starter/Bench",INDEX(RB!$S$3:$S$174,MATCH(J5,RB!$B$3:$B$174,0))*InflationPct,INDEX(RB!$AA$3:$AA$174,MATCH(J5,RB!$B$3:$B$174,0))*InflationPct)</f>
        <v>82.469832234858558</v>
      </c>
      <c r="S5" s="91" t="s">
        <v>102</v>
      </c>
      <c r="T5" s="92" t="str">
        <f>INDEX(WR!$E$1:$E$184,MATCH(S5,WR!$B$1:$B$184,0))</f>
        <v>ATL</v>
      </c>
      <c r="U5" s="93">
        <f>INDEX(WR!$D$1:$D$184,MATCH(S5,WR!$B$1:$B$184,0))</f>
        <v>5</v>
      </c>
      <c r="V5" s="225"/>
      <c r="W5" s="34">
        <f ca="1">INDEX(WR!Y$3:Y$184,MATCH(S5,WR!$B$3:$B$184,0))</f>
        <v>99.239999999999981</v>
      </c>
      <c r="X5" s="34" t="str">
        <f ca="1">INDEX(WR!Z$3:Z$184,MATCH(S5,WR!$B$3:$B$184,0))</f>
        <v>WR1</v>
      </c>
      <c r="Y5" s="49">
        <f ca="1">IF(V5="",IFERROR(W5/(SUMIFS($W$5:$W$64,$W$5:$W$64,"&gt;0",$V$5:$V$64,"")),1),0)</f>
        <v>6.5324284651689435E-2</v>
      </c>
      <c r="Z5" s="40">
        <f ca="1">IF(LeagueInfo!$H$7="Starter/Bench",INDEX(WR!$S$3:$S$184,MATCH(S5,WR!$B$3:$B$184,0))*InflationPct,INDEX(WR!$AA$3:$AA$184,MATCH(S5,WR!$B$3:$B$184,0))*InflationPct)</f>
        <v>44.070999836410692</v>
      </c>
      <c r="AB5" s="91">
        <f ca="1">RANK($AE5,$AE$5:$AE$64,0)</f>
        <v>1</v>
      </c>
      <c r="AC5" s="135" t="str">
        <f ca="1">IFERROR(INDEX($A$5:$A$34,MATCH(AE5,($E$5:$E$34),0)),IFERROR(INDEX($A$37:$A$64,MATCH(AE5,($E$37:$E$64),0)),IFERROR(INDEX($J$5:$J$64,MATCH(AE5,($N$5:$N$64),0)),IFERROR(INDEX($S$5:$S$64,MATCH(AE5,($W$5:$W$64),0)),0))))</f>
        <v>David Johnson</v>
      </c>
      <c r="AD5" s="206" t="str">
        <f t="shared" ref="AD5:AD21" ca="1" si="0">IF(IFERROR(INDEX($S$5:$S$64,MATCH($AC5,$S$5:$S$64,0)),0)&lt;&gt;0,"WR",IF(IFERROR(INDEX($J$5:$J$64,MATCH($AC5,$J$5:$J$64,0)),0)&lt;&gt;0,"RB",IF(IFERROR(INDEX($A$5:$A$34,MATCH($AC5,$A$5:$A$34,0)),0)&lt;&gt;0,"QB",IF(IFERROR(INDEX($A$37:$A$64,MATCH($AC5,$A$37:$A$64,0)),0)&lt;&gt;0,"TE"))))</f>
        <v>RB</v>
      </c>
      <c r="AE5" s="138">
        <f ca="1">LARGE(($E$5:$E$34,$E$37:$E$64,$N$5:$N$64,$W$5:$W$64),ROW(AE5)-4)</f>
        <v>186.21000000000006</v>
      </c>
    </row>
    <row r="6" spans="1:34" x14ac:dyDescent="0.25">
      <c r="A6" s="33" t="s">
        <v>125</v>
      </c>
      <c r="B6" s="74" t="str">
        <f>INDEX(QB!E$3:E$76,MATCH(A6,QB!B$3:B$76,0))</f>
        <v>NE</v>
      </c>
      <c r="C6" s="39">
        <f>INDEX(QB!D$3:D$76,MATCH(A6,QB!B$3:B$76,0))</f>
        <v>9</v>
      </c>
      <c r="D6" s="222" t="str">
        <f>IF(INDEX(Auction!$H$13:$H$672,MATCH(A6,Auction!$A$13:$A$672,0))&gt;0,"x","")</f>
        <v/>
      </c>
      <c r="E6" s="34">
        <f ca="1">INDEX(QB!$Y$3:$Y$76,MATCH(A6,QB!$B$3:$B$76,0))</f>
        <v>76.455999999999975</v>
      </c>
      <c r="F6" s="34" t="str">
        <f ca="1">INDEX(QB!$Z$3:$Z$76,MATCH(A6,QB!$B$3:$B$76,0))</f>
        <v>QB2</v>
      </c>
      <c r="G6" s="50">
        <f ca="1">IF(D6="",IFERROR(E6/(SUMIFS($E$5:$E$34,$E$5:$E$34,"&gt;0",$D$5:$D$34,"")),1),0)</f>
        <v>0.10199722781417546</v>
      </c>
      <c r="H6" s="41">
        <f ca="1">IF(LeagueInfo!$H$7="Starter/Bench",INDEX(QB!$S$3:$S$76,MATCH(A6,QB!$B$3:$B$76,0))*InflationPct,INDEX(QB!$AA$3:$AA$76,MATCH(A6,QB!$B$3:$B$76,0))*InflationPct)</f>
        <v>34.464062279942326</v>
      </c>
      <c r="I6" s="32"/>
      <c r="J6" s="60" t="s">
        <v>96</v>
      </c>
      <c r="K6" s="69" t="str">
        <f>INDEX(RB!$E$3:$E$173,MATCH(J6,RB!$B$3:$B$173,0))</f>
        <v>PIT</v>
      </c>
      <c r="L6" s="61">
        <f>INDEX(RB!$D$3:$D$173,MATCH(J6,RB!$B$3:$B$173,0))</f>
        <v>9</v>
      </c>
      <c r="M6" s="223"/>
      <c r="N6" s="56">
        <f ca="1">INDEX(RB!Y$3:Y$173,MATCH(J6,RB!$B$3:$B$173,0))</f>
        <v>165.4</v>
      </c>
      <c r="O6" s="56" t="str">
        <f ca="1">INDEX(RB!Z$3:Z$173,MATCH(J6,RB!$B$3:$B$173,0))</f>
        <v>RB2</v>
      </c>
      <c r="P6" s="62">
        <f ca="1">IF(M6="",IFERROR(N6/(SUMIFS($N$5:$N$64,$N$5:$N$64,"&gt;0",$M$5:$M$64,"")),1),0)</f>
        <v>6.7975908417464107E-2</v>
      </c>
      <c r="Q6" s="63">
        <f ca="1">IF(LeagueInfo!$H$7="Starter/Bench",INDEX(RB!$S$3:$S$174,MATCH(J6,RB!$B$3:$B$174,0))*InflationPct,INDEX(RB!$AA$3:$AA$174,MATCH(J6,RB!$B$3:$B$174,0))*InflationPct)</f>
        <v>73.378259996969263</v>
      </c>
      <c r="S6" s="94" t="s">
        <v>100</v>
      </c>
      <c r="T6" s="95" t="str">
        <f>INDEX(WR!$E$1:$E$184,MATCH(S6,WR!$B$1:$B$184,0))</f>
        <v>PIT</v>
      </c>
      <c r="U6" s="96">
        <f>INDEX(WR!$D$1:$D$184,MATCH(S6,WR!$B$1:$B$184,0))</f>
        <v>9</v>
      </c>
      <c r="V6" s="225" t="str">
        <f>IF(INDEX(Auction!$H$13:$H$672,MATCH(S6,Auction!$A$13:$A$672,0))&gt;0,"x","")</f>
        <v/>
      </c>
      <c r="W6" s="34">
        <f ca="1">INDEX(WR!Y$3:Y$184,MATCH(S6,WR!$B$3:$B$184,0))</f>
        <v>97.279999999999973</v>
      </c>
      <c r="X6" s="34" t="str">
        <f ca="1">INDEX(WR!Z$3:Z$184,MATCH(S6,WR!$B$3:$B$184,0))</f>
        <v>WR1</v>
      </c>
      <c r="Y6" s="49">
        <f ca="1">IF(V6="",IFERROR(W6/(SUMIFS($W$5:$W$64,$W$5:$W$64,"&gt;0",$V$5:$V$64,"")),1),0)</f>
        <v>6.4034123447363436E-2</v>
      </c>
      <c r="Z6" s="41">
        <f ca="1">IF(LeagueInfo!$H$7="Starter/Bench",INDEX(WR!$S$3:$S$184,MATCH(S6,WR!$B$3:$B$184,0))*InflationPct,INDEX(WR!$AA$3:$AA$184,MATCH(S6,WR!$B$3:$B$184,0))*InflationPct)</f>
        <v>43.214705670804591</v>
      </c>
      <c r="AB6" s="94">
        <f t="shared" ref="AB6:AB64" ca="1" si="1">RANK($AE6,$AE$5:$AE$64,0)</f>
        <v>2</v>
      </c>
      <c r="AC6" s="136" t="str">
        <f ca="1">IFERROR(INDEX($A$5:$A$34,MATCH(AE6,($E$5:$E$34),0)),IFERROR(INDEX($A$37:$A$64,MATCH(AE6,($E$37:$E$64),0)),IFERROR(INDEX($J$5:$J$64,MATCH(AE6,($N$5:$N$64),0)),IFERROR(INDEX($S$5:$S$64,MATCH(AE6,($W$5:$W$64),0)),0))))</f>
        <v>Le'Veon Bell</v>
      </c>
      <c r="AD6" s="136" t="str">
        <f t="shared" ca="1" si="0"/>
        <v>RB</v>
      </c>
      <c r="AE6" s="139">
        <f ca="1">LARGE(($E$5:$E$34,$E$37:$E$64,$N$5:$N$64,$W$5:$W$64),ROW(AE6)-4)</f>
        <v>165.4</v>
      </c>
    </row>
    <row r="7" spans="1:34" x14ac:dyDescent="0.25">
      <c r="A7" s="33" t="s">
        <v>134</v>
      </c>
      <c r="B7" s="74" t="str">
        <f>INDEX(QB!E$3:E$76,MATCH(A7,QB!B$3:B$76,0))</f>
        <v>NO</v>
      </c>
      <c r="C7" s="39">
        <f>INDEX(QB!D$3:D$76,MATCH(A7,QB!B$3:B$76,0))</f>
        <v>5</v>
      </c>
      <c r="D7" s="222" t="str">
        <f>IF(INDEX(Auction!$H$13:$H$672,MATCH(A7,Auction!$A$13:$A$672,0))&gt;0,"x","")</f>
        <v/>
      </c>
      <c r="E7" s="34">
        <f ca="1">INDEX(QB!$Y$3:$Y$76,MATCH(A7,QB!$B$3:$B$76,0))</f>
        <v>67.575999999999979</v>
      </c>
      <c r="F7" s="34" t="str">
        <f ca="1">INDEX(QB!$Z$3:$Z$76,MATCH(A7,QB!$B$3:$B$76,0))</f>
        <v>QB2</v>
      </c>
      <c r="G7" s="50">
        <f ca="1">IF(D7="",IFERROR(E7/(SUMIFS($E$5:$E$34,$E$5:$E$34,"&gt;0",$D$5:$D$34,"")),1),0)</f>
        <v>9.0150735936626564E-2</v>
      </c>
      <c r="H7" s="41">
        <f ca="1">IF(LeagueInfo!$H$7="Starter/Bench",INDEX(QB!$S$3:$S$76,MATCH(A7,QB!$B$3:$B$76,0))*InflationPct,INDEX(QB!$AA$3:$AA$76,MATCH(A7,QB!$B$3:$B$76,0))*InflationPct)</f>
        <v>30.584525448012638</v>
      </c>
      <c r="I7" s="32"/>
      <c r="J7" s="60" t="s">
        <v>104</v>
      </c>
      <c r="K7" s="69" t="str">
        <f>INDEX(RB!$E$3:$E$173,MATCH(J7,RB!$B$3:$B$173,0))</f>
        <v>BUF</v>
      </c>
      <c r="L7" s="61">
        <f>INDEX(RB!$D$3:$D$173,MATCH(J7,RB!$B$3:$B$173,0))</f>
        <v>6</v>
      </c>
      <c r="M7" s="223" t="str">
        <f>IF(INDEX(Auction!$H$13:$H$672,MATCH(J7,Auction!$A$13:$A$672,0))&gt;0,"x","")</f>
        <v/>
      </c>
      <c r="N7" s="56">
        <f ca="1">INDEX(RB!Y$3:Y$173,MATCH(J7,RB!$B$3:$B$173,0))</f>
        <v>121.55000000000004</v>
      </c>
      <c r="O7" s="56" t="str">
        <f ca="1">INDEX(RB!Z$3:Z$173,MATCH(J7,RB!$B$3:$B$173,0))</f>
        <v>RB4</v>
      </c>
      <c r="P7" s="62">
        <f ca="1">IF(M7="",IFERROR(N7/(SUMIFS($N$5:$N$64,$N$5:$N$64,"&gt;0",$M$5:$M$64,"")),1),0)</f>
        <v>4.9954484087924821E-2</v>
      </c>
      <c r="Q7" s="63">
        <f ca="1">IF(LeagueInfo!$H$7="Starter/Bench",INDEX(RB!$S$3:$S$174,MATCH(J7,RB!$B$3:$B$174,0))*InflationPct,INDEX(RB!$AA$3:$AA$174,MATCH(J7,RB!$B$3:$B$174,0))*InflationPct)</f>
        <v>54.220862465424574</v>
      </c>
      <c r="S7" s="94" t="s">
        <v>101</v>
      </c>
      <c r="T7" s="95" t="str">
        <f>INDEX(WR!$E$1:$E$184,MATCH(S7,WR!$B$1:$B$184,0))</f>
        <v>NYG</v>
      </c>
      <c r="U7" s="96">
        <f>INDEX(WR!$D$1:$D$184,MATCH(S7,WR!$B$1:$B$184,0))</f>
        <v>8</v>
      </c>
      <c r="V7" s="225" t="str">
        <f>IF(INDEX(Auction!$H$13:$H$672,MATCH(S7,Auction!$A$13:$A$672,0))&gt;0,"x","")</f>
        <v/>
      </c>
      <c r="W7" s="34">
        <f ca="1">INDEX(WR!Y$3:Y$184,MATCH(S7,WR!$B$3:$B$184,0))</f>
        <v>84.16</v>
      </c>
      <c r="X7" s="34" t="str">
        <f ca="1">INDEX(WR!Z$3:Z$184,MATCH(S7,WR!$B$3:$B$184,0))</f>
        <v>WR2</v>
      </c>
      <c r="Y7" s="49">
        <f ca="1">IF(V7="",IFERROR(W7/(SUMIFS($W$5:$W$64,$W$5:$W$64,"&gt;0",$V$5:$V$64,"")),1),0)</f>
        <v>5.539794232452825E-2</v>
      </c>
      <c r="Z7" s="41">
        <f ca="1">IF(LeagueInfo!$H$7="Starter/Bench",INDEX(WR!$S$3:$S$184,MATCH(S7,WR!$B$3:$B$184,0))*InflationPct,INDEX(WR!$AA$3:$AA$184,MATCH(S7,WR!$B$3:$B$184,0))*InflationPct)</f>
        <v>37.48277737858416</v>
      </c>
      <c r="AB7" s="94">
        <f t="shared" ca="1" si="1"/>
        <v>3</v>
      </c>
      <c r="AC7" s="136" t="str">
        <f t="shared" ref="AC7:AC64" ca="1" si="2">IFERROR(INDEX($A$5:$A$34,MATCH(AE7,($E$5:$E$34),0)),IFERROR(INDEX($A$37:$A$64,MATCH(AE7,($E$37:$E$64),0)),IFERROR(INDEX($J$5:$J$64,MATCH(AE7,($N$5:$N$64),0)),IFERROR(INDEX($S$5:$S$64,MATCH(AE7,($W$5:$W$64),0)),0))))</f>
        <v>LeSean McCoy</v>
      </c>
      <c r="AD7" s="136" t="str">
        <f t="shared" ca="1" si="0"/>
        <v>RB</v>
      </c>
      <c r="AE7" s="139">
        <f ca="1">LARGE(($E$5:$E$34,$E$37:$E$64,$N$5:$N$64,$W$5:$W$64),ROW(AE7)-4)</f>
        <v>121.55000000000004</v>
      </c>
    </row>
    <row r="8" spans="1:34" x14ac:dyDescent="0.25">
      <c r="A8" s="33" t="s">
        <v>153</v>
      </c>
      <c r="B8" s="74" t="str">
        <f>INDEX(QB!E$3:E$76,MATCH(A8,QB!B$3:B$76,0))</f>
        <v>ATL</v>
      </c>
      <c r="C8" s="39">
        <f>INDEX(QB!D$3:D$76,MATCH(A8,QB!B$3:B$76,0))</f>
        <v>5</v>
      </c>
      <c r="D8" s="222" t="str">
        <f>IF(INDEX(Auction!$H$13:$H$672,MATCH(A8,Auction!$A$13:$A$672,0))&gt;0,"x","")</f>
        <v/>
      </c>
      <c r="E8" s="34">
        <f ca="1">INDEX(QB!$Y$3:$Y$76,MATCH(A8,QB!$B$3:$B$76,0))</f>
        <v>60.931999999999974</v>
      </c>
      <c r="F8" s="34" t="str">
        <f ca="1">INDEX(QB!$Z$3:$Z$76,MATCH(A8,QB!$B$3:$B$76,0))</f>
        <v>QB2</v>
      </c>
      <c r="G8" s="50">
        <f ca="1">IF(D8="",IFERROR(E8/(SUMIFS($E$5:$E$34,$E$5:$E$34,"&gt;0",$D$5:$D$34,"")),1),0)</f>
        <v>8.1287212058874889E-2</v>
      </c>
      <c r="H8" s="41">
        <f ca="1">IF(LeagueInfo!$H$7="Starter/Bench",INDEX(QB!$S$3:$S$76,MATCH(A8,QB!$B$3:$B$76,0))*InflationPct,INDEX(QB!$AA$3:$AA$76,MATCH(A8,QB!$B$3:$B$76,0))*InflationPct)</f>
        <v>27.681862980519295</v>
      </c>
      <c r="I8" s="26"/>
      <c r="J8" s="60" t="s">
        <v>110</v>
      </c>
      <c r="K8" s="69" t="str">
        <f>INDEX(RB!$E$3:$E$173,MATCH(J8,RB!$B$3:$B$173,0))</f>
        <v>ATL</v>
      </c>
      <c r="L8" s="61">
        <f>INDEX(RB!$D$3:$D$173,MATCH(J8,RB!$B$3:$B$173,0))</f>
        <v>5</v>
      </c>
      <c r="M8" s="223" t="str">
        <f>IF(INDEX(Auction!$H$13:$H$672,MATCH(J8,Auction!$A$13:$A$672,0))&gt;0,"x","")</f>
        <v/>
      </c>
      <c r="N8" s="56">
        <f ca="1">INDEX(RB!Y$3:Y$173,MATCH(J8,RB!$B$3:$B$173,0))</f>
        <v>109.6</v>
      </c>
      <c r="O8" s="56" t="str">
        <f ca="1">INDEX(RB!Z$3:Z$173,MATCH(J8,RB!$B$3:$B$173,0))</f>
        <v>RB5</v>
      </c>
      <c r="P8" s="62">
        <f ca="1">IF(M8="",IFERROR(N8/(SUMIFS($N$5:$N$64,$N$5:$N$64,"&gt;0",$M$5:$M$64,"")),1),0)</f>
        <v>4.5043286351596531E-2</v>
      </c>
      <c r="Q8" s="63">
        <f ca="1">IF(LeagueInfo!$H$7="Starter/Bench",INDEX(RB!$S$3:$S$174,MATCH(J8,RB!$B$3:$B$174,0))*InflationPct,INDEX(RB!$AA$3:$AA$174,MATCH(J8,RB!$B$3:$B$174,0))*InflationPct)</f>
        <v>49.000089363897544</v>
      </c>
      <c r="S8" s="94" t="s">
        <v>103</v>
      </c>
      <c r="T8" s="95" t="str">
        <f>INDEX(WR!$E$1:$E$184,MATCH(S8,WR!$B$1:$B$184,0))</f>
        <v>TB</v>
      </c>
      <c r="U8" s="96">
        <f>INDEX(WR!$D$1:$D$184,MATCH(S8,WR!$B$1:$B$184,0))</f>
        <v>11</v>
      </c>
      <c r="V8" s="225" t="str">
        <f>IF(INDEX(Auction!$H$13:$H$672,MATCH(S8,Auction!$A$13:$A$672,0))&gt;0,"x","")</f>
        <v/>
      </c>
      <c r="W8" s="34">
        <f ca="1">INDEX(WR!Y$3:Y$184,MATCH(S8,WR!$B$3:$B$184,0))</f>
        <v>77.06</v>
      </c>
      <c r="X8" s="34" t="str">
        <f ca="1">INDEX(WR!Z$3:Z$184,MATCH(S8,WR!$B$3:$B$184,0))</f>
        <v>WR2</v>
      </c>
      <c r="Y8" s="49">
        <f ca="1">IF(V8="",IFERROR(W8/(SUMIFS($W$5:$W$64,$W$5:$W$64,"&gt;0",$V$5:$V$64,"")),1),0)</f>
        <v>5.0724399186408593E-2</v>
      </c>
      <c r="Z8" s="41">
        <f ca="1">IF(LeagueInfo!$H$7="Starter/Bench",INDEX(WR!$S$3:$S$184,MATCH(S8,WR!$B$3:$B$184,0))*InflationPct,INDEX(WR!$AA$3:$AA$184,MATCH(S8,WR!$B$3:$B$184,0))*InflationPct)</f>
        <v>34.380895452153894</v>
      </c>
      <c r="AB8" s="94">
        <f t="shared" ca="1" si="1"/>
        <v>4</v>
      </c>
      <c r="AC8" s="136" t="str">
        <f t="shared" ca="1" si="2"/>
        <v>Devonta Freeman</v>
      </c>
      <c r="AD8" s="136" t="str">
        <f t="shared" ca="1" si="0"/>
        <v>RB</v>
      </c>
      <c r="AE8" s="139">
        <f ca="1">LARGE(($E$5:$E$34,$E$37:$E$64,$N$5:$N$64,$W$5:$W$64),ROW(AE8)-4)</f>
        <v>109.6</v>
      </c>
    </row>
    <row r="9" spans="1:34" x14ac:dyDescent="0.25">
      <c r="A9" s="33" t="s">
        <v>165</v>
      </c>
      <c r="B9" s="74" t="str">
        <f>INDEX(QB!E$3:E$76,MATCH(A9,QB!B$3:B$76,0))</f>
        <v>SEA</v>
      </c>
      <c r="C9" s="39">
        <f>INDEX(QB!D$3:D$76,MATCH(A9,QB!B$3:B$76,0))</f>
        <v>6</v>
      </c>
      <c r="D9" s="222" t="str">
        <f>IF(INDEX(Auction!$H$13:$H$672,MATCH(A9,Auction!$A$13:$A$672,0))&gt;0,"x","")</f>
        <v/>
      </c>
      <c r="E9" s="34">
        <f ca="1">INDEX(QB!$Y$3:$Y$76,MATCH(A9,QB!$B$3:$B$76,0))</f>
        <v>52.808000000000007</v>
      </c>
      <c r="F9" s="34" t="str">
        <f ca="1">INDEX(QB!$Z$3:$Z$76,MATCH(A9,QB!$B$3:$B$76,0))</f>
        <v>QB2</v>
      </c>
      <c r="G9" s="50">
        <f ca="1">IF(D9="",IFERROR(E9/(SUMIFS($E$5:$E$34,$E$5:$E$34,"&gt;0",$D$5:$D$34,"")),1),0)</f>
        <v>7.0449272868198437E-2</v>
      </c>
      <c r="H9" s="41">
        <f ca="1">IF(LeagueInfo!$H$7="Starter/Bench",INDEX(QB!$S$3:$S$76,MATCH(A9,QB!$B$3:$B$76,0))*InflationPct,INDEX(QB!$AA$3:$AA$76,MATCH(A9,QB!$B$3:$B$76,0))*InflationPct)</f>
        <v>24.132611041037688</v>
      </c>
      <c r="I9" s="26"/>
      <c r="J9" s="60" t="s">
        <v>106</v>
      </c>
      <c r="K9" s="69" t="str">
        <f>INDEX(RB!$E$3:$E$173,MATCH(J9,RB!$B$3:$B$173,0))</f>
        <v>CHI</v>
      </c>
      <c r="L9" s="61">
        <f>INDEX(RB!$D$3:$D$173,MATCH(J9,RB!$B$3:$B$173,0))</f>
        <v>9</v>
      </c>
      <c r="M9" s="223" t="str">
        <f>IF(INDEX(Auction!$H$13:$H$672,MATCH(J9,Auction!$A$13:$A$672,0))&gt;0,"x","")</f>
        <v/>
      </c>
      <c r="N9" s="56">
        <f ca="1">INDEX(RB!Y$3:Y$173,MATCH(J9,RB!$B$3:$B$173,0))</f>
        <v>108.37</v>
      </c>
      <c r="O9" s="56" t="str">
        <f ca="1">INDEX(RB!Z$3:Z$173,MATCH(J9,RB!$B$3:$B$173,0))</f>
        <v>RB5</v>
      </c>
      <c r="P9" s="62">
        <f ca="1">IF(M9="",IFERROR(N9/(SUMIFS($N$5:$N$64,$N$5:$N$64,"&gt;0",$M$5:$M$64,"")),1),0)</f>
        <v>4.4537782316811277E-2</v>
      </c>
      <c r="Q9" s="63">
        <f ca="1">IF(LeagueInfo!$H$7="Starter/Bench",INDEX(RB!$S$3:$S$174,MATCH(J9,RB!$B$3:$B$174,0))*InflationPct,INDEX(RB!$AA$3:$AA$174,MATCH(J9,RB!$B$3:$B$174,0))*InflationPct)</f>
        <v>48.462721086501887</v>
      </c>
      <c r="S9" s="94" t="s">
        <v>109</v>
      </c>
      <c r="T9" s="95" t="str">
        <f>INDEX(WR!$E$1:$E$184,MATCH(S9,WR!$B$1:$B$184,0))</f>
        <v>GB</v>
      </c>
      <c r="U9" s="96">
        <f>INDEX(WR!$D$1:$D$184,MATCH(S9,WR!$B$1:$B$184,0))</f>
        <v>8</v>
      </c>
      <c r="V9" s="225" t="str">
        <f>IF(INDEX(Auction!$H$13:$H$672,MATCH(S9,Auction!$A$13:$A$672,0))&gt;0,"x","")</f>
        <v/>
      </c>
      <c r="W9" s="34">
        <f ca="1">INDEX(WR!Y$3:Y$184,MATCH(S9,WR!$B$3:$B$184,0))</f>
        <v>76.72999999999999</v>
      </c>
      <c r="X9" s="34" t="str">
        <f ca="1">INDEX(WR!Z$3:Z$184,MATCH(S9,WR!$B$3:$B$184,0))</f>
        <v>WR3</v>
      </c>
      <c r="Y9" s="49">
        <f ca="1">IF(V9="",IFERROR(W9/(SUMIFS($W$5:$W$64,$W$5:$W$64,"&gt;0",$V$5:$V$64,"")),1),0)</f>
        <v>5.0507178167312879E-2</v>
      </c>
      <c r="Z9" s="41">
        <f ca="1">IF(LeagueInfo!$H$7="Starter/Bench",INDEX(WR!$S$3:$S$184,MATCH(S9,WR!$B$3:$B$184,0))*InflationPct,INDEX(WR!$AA$3:$AA$184,MATCH(S9,WR!$B$3:$B$184,0))*InflationPct)</f>
        <v>34.236723475291633</v>
      </c>
      <c r="AB9" s="94">
        <f t="shared" ca="1" si="1"/>
        <v>5</v>
      </c>
      <c r="AC9" s="136" t="str">
        <f t="shared" ca="1" si="2"/>
        <v>Jordan Howard</v>
      </c>
      <c r="AD9" s="136" t="str">
        <f t="shared" ca="1" si="0"/>
        <v>RB</v>
      </c>
      <c r="AE9" s="139">
        <f ca="1">LARGE(($E$5:$E$34,$E$37:$E$64,$N$5:$N$64,$W$5:$W$64),ROW(AE9)-4)</f>
        <v>108.37</v>
      </c>
    </row>
    <row r="10" spans="1:34" x14ac:dyDescent="0.25">
      <c r="A10" s="33" t="s">
        <v>171</v>
      </c>
      <c r="B10" s="74" t="str">
        <f>INDEX(QB!E$3:E$76,MATCH(A10,QB!B$3:B$76,0))</f>
        <v>CAR</v>
      </c>
      <c r="C10" s="39">
        <f>INDEX(QB!D$3:D$76,MATCH(A10,QB!B$3:B$76,0))</f>
        <v>11</v>
      </c>
      <c r="D10" s="222" t="str">
        <f>IF(INDEX(Auction!$H$13:$H$672,MATCH(A10,Auction!$A$13:$A$672,0))&gt;0,"x","")</f>
        <v/>
      </c>
      <c r="E10" s="34">
        <f ca="1">INDEX(QB!$Y$3:$Y$76,MATCH(A10,QB!$B$3:$B$76,0))</f>
        <v>43.583999999999961</v>
      </c>
      <c r="F10" s="34" t="str">
        <f ca="1">INDEX(QB!$Z$3:$Z$76,MATCH(A10,QB!$B$3:$B$76,0))</f>
        <v>QB3</v>
      </c>
      <c r="G10" s="50">
        <f ca="1">IF(D10="",IFERROR(E10/(SUMIFS($E$5:$E$34,$E$5:$E$34,"&gt;0",$D$5:$D$34,"")),1),0)</f>
        <v>5.814386283683453E-2</v>
      </c>
      <c r="H10" s="41">
        <f ca="1">IF(LeagueInfo!$H$7="Starter/Bench",INDEX(QB!$S$3:$S$76,MATCH(A10,QB!$B$3:$B$76,0))*InflationPct,INDEX(QB!$AA$3:$AA$76,MATCH(A10,QB!$B$3:$B$76,0))*InflationPct)</f>
        <v>20.102785845348539</v>
      </c>
      <c r="I10" s="32"/>
      <c r="J10" s="60" t="s">
        <v>105</v>
      </c>
      <c r="K10" s="69" t="str">
        <f>INDEX(RB!$E$3:$E$173,MATCH(J10,RB!$B$3:$B$173,0))</f>
        <v>LAC</v>
      </c>
      <c r="L10" s="61">
        <f>INDEX(RB!$D$3:$D$173,MATCH(J10,RB!$B$3:$B$173,0))</f>
        <v>9</v>
      </c>
      <c r="M10" s="223" t="str">
        <f>IF(INDEX(Auction!$H$13:$H$672,MATCH(J10,Auction!$A$13:$A$672,0))&gt;0,"x","")</f>
        <v/>
      </c>
      <c r="N10" s="56">
        <f ca="1">INDEX(RB!Y$3:Y$173,MATCH(J10,RB!$B$3:$B$173,0))</f>
        <v>107.91999999999999</v>
      </c>
      <c r="O10" s="56" t="str">
        <f ca="1">INDEX(RB!Z$3:Z$173,MATCH(J10,RB!$B$3:$B$173,0))</f>
        <v>RB5</v>
      </c>
      <c r="P10" s="62">
        <f ca="1">IF(M10="",IFERROR(N10/(SUMIFS($N$5:$N$64,$N$5:$N$64,"&gt;0",$M$5:$M$64,"")),1),0)</f>
        <v>4.4352841816280082E-2</v>
      </c>
      <c r="Q10" s="63">
        <f ca="1">IF(LeagueInfo!$H$7="Starter/Bench",INDEX(RB!$S$3:$S$174,MATCH(J10,RB!$B$3:$B$174,0))*InflationPct,INDEX(RB!$AA$3:$AA$174,MATCH(J10,RB!$B$3:$B$174,0))*InflationPct)</f>
        <v>48.26612293623517</v>
      </c>
      <c r="S10" s="94" t="s">
        <v>107</v>
      </c>
      <c r="T10" s="95" t="str">
        <f>INDEX(WR!$E$1:$E$184,MATCH(S10,WR!$B$1:$B$184,0))</f>
        <v>CIN</v>
      </c>
      <c r="U10" s="96">
        <f>INDEX(WR!$D$1:$D$184,MATCH(S10,WR!$B$1:$B$184,0))</f>
        <v>6</v>
      </c>
      <c r="V10" s="225" t="str">
        <f>IF(INDEX(Auction!$H$13:$H$672,MATCH(S10,Auction!$A$13:$A$672,0))&gt;0,"x","")</f>
        <v/>
      </c>
      <c r="W10" s="34">
        <f ca="1">INDEX(WR!Y$3:Y$184,MATCH(S10,WR!$B$3:$B$184,0))</f>
        <v>66.480000000000018</v>
      </c>
      <c r="X10" s="34" t="str">
        <f ca="1">INDEX(WR!Z$3:Z$184,MATCH(S10,WR!$B$3:$B$184,0))</f>
        <v>WR3</v>
      </c>
      <c r="Y10" s="49">
        <f ca="1">IF(V10="",IFERROR(W10/(SUMIFS($W$5:$W$64,$W$5:$W$64,"&gt;0",$V$5:$V$64,"")),1),0)</f>
        <v>4.3760161665097899E-2</v>
      </c>
      <c r="Z10" s="41">
        <f ca="1">IF(LeagueInfo!$H$7="Starter/Bench",INDEX(WR!$S$3:$S$184,MATCH(S10,WR!$B$3:$B$184,0))*InflationPct,INDEX(WR!$AA$3:$AA$184,MATCH(S10,WR!$B$3:$B$184,0))*InflationPct)</f>
        <v>29.758654496994424</v>
      </c>
      <c r="AB10" s="94">
        <f t="shared" ca="1" si="1"/>
        <v>6</v>
      </c>
      <c r="AC10" s="136" t="str">
        <f t="shared" ca="1" si="2"/>
        <v>Melvin Gordon</v>
      </c>
      <c r="AD10" s="136" t="str">
        <f t="shared" ca="1" si="0"/>
        <v>RB</v>
      </c>
      <c r="AE10" s="139">
        <f ca="1">LARGE(($E$5:$E$34,$E$37:$E$64,$N$5:$N$64,$W$5:$W$64),ROW(AE10)-4)</f>
        <v>107.91999999999999</v>
      </c>
    </row>
    <row r="11" spans="1:34" x14ac:dyDescent="0.25">
      <c r="A11" s="33" t="s">
        <v>188</v>
      </c>
      <c r="B11" s="74" t="str">
        <f>INDEX(QB!E$3:E$76,MATCH(A11,QB!B$3:B$76,0))</f>
        <v>TB</v>
      </c>
      <c r="C11" s="39">
        <f>INDEX(QB!D$3:D$76,MATCH(A11,QB!B$3:B$76,0))</f>
        <v>11</v>
      </c>
      <c r="D11" s="222" t="str">
        <f>IF(INDEX(Auction!$H$13:$H$672,MATCH(A11,Auction!$A$13:$A$672,0))&gt;0,"x","")</f>
        <v/>
      </c>
      <c r="E11" s="34">
        <f ca="1">INDEX(QB!$Y$3:$Y$76,MATCH(A11,QB!$B$3:$B$76,0))</f>
        <v>42.38000000000001</v>
      </c>
      <c r="F11" s="34" t="str">
        <f ca="1">INDEX(QB!$Z$3:$Z$76,MATCH(A11,QB!$B$3:$B$76,0))</f>
        <v>QB3</v>
      </c>
      <c r="G11" s="50">
        <f ca="1">IF(D11="",IFERROR(E11/(SUMIFS($E$5:$E$34,$E$5:$E$34,"&gt;0",$D$5:$D$34,"")),1),0)</f>
        <v>5.6537649298482241E-2</v>
      </c>
      <c r="H11" s="41">
        <f ca="1">IF(LeagueInfo!$H$7="Starter/Bench",INDEX(QB!$S$3:$S$76,MATCH(A11,QB!$B$3:$B$76,0))*InflationPct,INDEX(QB!$AA$3:$AA$76,MATCH(A11,QB!$B$3:$B$76,0))*InflationPct)</f>
        <v>19.576776572190525</v>
      </c>
      <c r="I11" s="32"/>
      <c r="J11" s="60" t="s">
        <v>108</v>
      </c>
      <c r="K11" s="69" t="str">
        <f>INDEX(RB!$E$3:$E$173,MATCH(J11,RB!$B$3:$B$173,0))</f>
        <v>MIA</v>
      </c>
      <c r="L11" s="61">
        <f>INDEX(RB!$D$3:$D$173,MATCH(J11,RB!$B$3:$B$173,0))</f>
        <v>11</v>
      </c>
      <c r="M11" s="223" t="str">
        <f>IF(INDEX(Auction!$H$13:$H$672,MATCH(J11,Auction!$A$13:$A$672,0))&gt;0,"x","")</f>
        <v/>
      </c>
      <c r="N11" s="56">
        <f ca="1">INDEX(RB!Y$3:Y$173,MATCH(J11,RB!$B$3:$B$173,0))</f>
        <v>104.78999999999999</v>
      </c>
      <c r="O11" s="56" t="str">
        <f ca="1">INDEX(RB!Z$3:Z$173,MATCH(J11,RB!$B$3:$B$173,0))</f>
        <v>RB5</v>
      </c>
      <c r="P11" s="62">
        <f ca="1">IF(M11="",IFERROR(N11/(SUMIFS($N$5:$N$64,$N$5:$N$64,"&gt;0",$M$5:$M$64,"")),1),0)</f>
        <v>4.3066477890363136E-2</v>
      </c>
      <c r="Q11" s="63">
        <f ca="1">IF(LeagueInfo!$H$7="Starter/Bench",INDEX(RB!$S$3:$S$174,MATCH(J11,RB!$B$3:$B$174,0))*InflationPct,INDEX(RB!$AA$3:$AA$174,MATCH(J11,RB!$B$3:$B$174,0))*InflationPct)</f>
        <v>46.898673579935632</v>
      </c>
      <c r="S11" s="94" t="s">
        <v>111</v>
      </c>
      <c r="T11" s="95" t="str">
        <f>INDEX(WR!$E$1:$E$184,MATCH(S11,WR!$B$1:$B$184,0))</f>
        <v>NO</v>
      </c>
      <c r="U11" s="96">
        <f>INDEX(WR!$D$1:$D$184,MATCH(S11,WR!$B$1:$B$184,0))</f>
        <v>5</v>
      </c>
      <c r="V11" s="225" t="str">
        <f>IF(INDEX(Auction!$H$13:$H$672,MATCH(S11,Auction!$A$13:$A$672,0))&gt;0,"x","")</f>
        <v/>
      </c>
      <c r="W11" s="34">
        <f ca="1">INDEX(WR!Y$3:Y$184,MATCH(S11,WR!$B$3:$B$184,0))</f>
        <v>61.689999999999991</v>
      </c>
      <c r="X11" s="34" t="str">
        <f ca="1">INDEX(WR!Z$3:Z$184,MATCH(S11,WR!$B$3:$B$184,0))</f>
        <v>WR4</v>
      </c>
      <c r="Y11" s="49">
        <f ca="1">IF(V11="",IFERROR(W11/(SUMIFS($W$5:$W$64,$W$5:$W$64,"&gt;0",$V$5:$V$64,"")),1),0)</f>
        <v>4.0607165660648134E-2</v>
      </c>
      <c r="Z11" s="41">
        <f ca="1">IF(LeagueInfo!$H$7="Starter/Bench",INDEX(WR!$S$3:$S$184,MATCH(S11,WR!$B$3:$B$184,0))*InflationPct,INDEX(WR!$AA$3:$AA$184,MATCH(S11,WR!$B$3:$B$184,0))*InflationPct)</f>
        <v>27.66597640859991</v>
      </c>
      <c r="AB11" s="94">
        <f t="shared" ca="1" si="1"/>
        <v>7</v>
      </c>
      <c r="AC11" s="136" t="str">
        <f t="shared" ca="1" si="2"/>
        <v>Jay Ajayi</v>
      </c>
      <c r="AD11" s="136" t="str">
        <f t="shared" ca="1" si="0"/>
        <v>RB</v>
      </c>
      <c r="AE11" s="139">
        <f ca="1">LARGE(($E$5:$E$34,$E$37:$E$64,$N$5:$N$64,$W$5:$W$64),ROW(AE11)-4)</f>
        <v>104.78999999999999</v>
      </c>
    </row>
    <row r="12" spans="1:34" x14ac:dyDescent="0.25">
      <c r="A12" s="33" t="s">
        <v>164</v>
      </c>
      <c r="B12" s="74" t="str">
        <f>INDEX(QB!E$3:E$76,MATCH(A12,QB!B$3:B$76,0))</f>
        <v>TEN</v>
      </c>
      <c r="C12" s="39">
        <f>INDEX(QB!D$3:D$76,MATCH(A12,QB!B$3:B$76,0))</f>
        <v>8</v>
      </c>
      <c r="D12" s="222" t="str">
        <f>IF(INDEX(Auction!$H$13:$H$672,MATCH(A12,Auction!$A$13:$A$672,0))&gt;0,"x","")</f>
        <v/>
      </c>
      <c r="E12" s="34">
        <f ca="1">INDEX(QB!$Y$3:$Y$76,MATCH(A12,QB!$B$3:$B$76,0))</f>
        <v>31.098000000000027</v>
      </c>
      <c r="F12" s="34" t="str">
        <f ca="1">INDEX(QB!$Z$3:$Z$76,MATCH(A12,QB!$B$3:$B$76,0))</f>
        <v>QB3</v>
      </c>
      <c r="G12" s="50">
        <f ca="1">IF(D12="",IFERROR(E12/(SUMIFS($E$5:$E$34,$E$5:$E$34,"&gt;0",$D$5:$D$34,"")),1),0)</f>
        <v>4.148673473063242E-2</v>
      </c>
      <c r="H12" s="41">
        <f ca="1">IF(LeagueInfo!$H$7="Starter/Bench",INDEX(QB!$S$3:$S$76,MATCH(A12,QB!$B$3:$B$76,0))*InflationPct,INDEX(QB!$AA$3:$AA$76,MATCH(A12,QB!$B$3:$B$76,0))*InflationPct)</f>
        <v>14.647842502614997</v>
      </c>
      <c r="I12" s="32"/>
      <c r="J12" s="60" t="s">
        <v>113</v>
      </c>
      <c r="K12" s="69" t="str">
        <f>INDEX(RB!$E$3:$E$173,MATCH(J12,RB!$B$3:$B$173,0))</f>
        <v>TEN</v>
      </c>
      <c r="L12" s="61">
        <f>INDEX(RB!$D$3:$D$173,MATCH(J12,RB!$B$3:$B$173,0))</f>
        <v>8</v>
      </c>
      <c r="M12" s="223" t="str">
        <f>IF(INDEX(Auction!$H$13:$H$672,MATCH(J12,Auction!$A$13:$A$672,0))&gt;0,"x","")</f>
        <v/>
      </c>
      <c r="N12" s="56">
        <f ca="1">INDEX(RB!Y$3:Y$173,MATCH(J12,RB!$B$3:$B$173,0))</f>
        <v>94.269999999999982</v>
      </c>
      <c r="O12" s="56" t="str">
        <f ca="1">INDEX(RB!Z$3:Z$173,MATCH(J12,RB!$B$3:$B$173,0))</f>
        <v>RB6</v>
      </c>
      <c r="P12" s="62">
        <f ca="1">IF(M12="",IFERROR(N12/(SUMIFS($N$5:$N$64,$N$5:$N$64,"&gt;0",$M$5:$M$64,"")),1),0)</f>
        <v>3.8742979966833978E-2</v>
      </c>
      <c r="Q12" s="63">
        <f ca="1">IF(LeagueInfo!$H$7="Starter/Bench",INDEX(RB!$S$3:$S$174,MATCH(J12,RB!$B$3:$B$174,0))*InflationPct,INDEX(RB!$AA$3:$AA$174,MATCH(J12,RB!$B$3:$B$174,0))*InflationPct)</f>
        <v>42.302645711478377</v>
      </c>
      <c r="S12" s="94" t="s">
        <v>114</v>
      </c>
      <c r="T12" s="95" t="str">
        <f>INDEX(WR!$E$1:$E$184,MATCH(S12,WR!$B$1:$B$184,0))</f>
        <v>IND</v>
      </c>
      <c r="U12" s="96">
        <f>INDEX(WR!$D$1:$D$184,MATCH(S12,WR!$B$1:$B$184,0))</f>
        <v>11</v>
      </c>
      <c r="V12" s="225" t="str">
        <f>IF(INDEX(Auction!$H$13:$H$672,MATCH(S12,Auction!$A$13:$A$672,0))&gt;0,"x","")</f>
        <v/>
      </c>
      <c r="W12" s="34">
        <f ca="1">INDEX(WR!Y$3:Y$184,MATCH(S12,WR!$B$3:$B$184,0))</f>
        <v>56.559999999999995</v>
      </c>
      <c r="X12" s="34" t="str">
        <f ca="1">INDEX(WR!Z$3:Z$184,MATCH(S12,WR!$B$3:$B$184,0))</f>
        <v>WR4</v>
      </c>
      <c r="Y12" s="49">
        <f ca="1">IF(V12="",IFERROR(W12/(SUMIFS($W$5:$W$64,$W$5:$W$64,"&gt;0",$V$5:$V$64,"")),1),0)</f>
        <v>3.7230366181978586E-2</v>
      </c>
      <c r="Z12" s="41">
        <f ca="1">IF(LeagueInfo!$H$7="Starter/Bench",INDEX(WR!$S$3:$S$184,MATCH(S12,WR!$B$3:$B$184,0))*InflationPct,INDEX(WR!$AA$3:$AA$184,MATCH(S12,WR!$B$3:$B$184,0))*InflationPct)</f>
        <v>25.424757495559447</v>
      </c>
      <c r="AB12" s="94">
        <f t="shared" ca="1" si="1"/>
        <v>8</v>
      </c>
      <c r="AC12" s="136" t="str">
        <f t="shared" ca="1" si="2"/>
        <v>Julio Jones</v>
      </c>
      <c r="AD12" s="136" t="str">
        <f t="shared" ca="1" si="0"/>
        <v>WR</v>
      </c>
      <c r="AE12" s="139">
        <f ca="1">LARGE(($E$5:$E$34,$E$37:$E$64,$N$5:$N$64,$W$5:$W$64),ROW(AE12)-4)</f>
        <v>99.239999999999981</v>
      </c>
    </row>
    <row r="13" spans="1:34" x14ac:dyDescent="0.25">
      <c r="A13" s="33" t="s">
        <v>198</v>
      </c>
      <c r="B13" s="74" t="str">
        <f>INDEX(QB!E$3:E$76,MATCH(A13,QB!B$3:B$76,0))</f>
        <v>WAS</v>
      </c>
      <c r="C13" s="39">
        <f>INDEX(QB!D$3:D$76,MATCH(A13,QB!B$3:B$76,0))</f>
        <v>5</v>
      </c>
      <c r="D13" s="222" t="str">
        <f>IF(INDEX(Auction!$H$13:$H$672,MATCH(A13,Auction!$A$13:$A$672,0))&gt;0,"x","")</f>
        <v/>
      </c>
      <c r="E13" s="34">
        <f ca="1">INDEX(QB!$Y$3:$Y$76,MATCH(A13,QB!$B$3:$B$76,0))</f>
        <v>29.819999999999951</v>
      </c>
      <c r="F13" s="34" t="str">
        <f ca="1">INDEX(QB!$Z$3:$Z$76,MATCH(A13,QB!$B$3:$B$76,0))</f>
        <v>QB3</v>
      </c>
      <c r="G13" s="50">
        <f ca="1">IF(D13="",IFERROR(E13/(SUMIFS($E$5:$E$34,$E$5:$E$34,"&gt;0",$D$5:$D$34,"")),1),0)</f>
        <v>3.9781800426633727E-2</v>
      </c>
      <c r="H13" s="41">
        <f ca="1">IF(LeagueInfo!$H$7="Starter/Bench",INDEX(QB!$S$3:$S$76,MATCH(A13,QB!$B$3:$B$76,0))*InflationPct,INDEX(QB!$AA$3:$AA$76,MATCH(A13,QB!$B$3:$B$76,0))*InflationPct)</f>
        <v>14.089503755857516</v>
      </c>
      <c r="I13" s="32"/>
      <c r="J13" s="60" t="s">
        <v>118</v>
      </c>
      <c r="K13" s="69" t="str">
        <f>INDEX(RB!$E$3:$E$173,MATCH(J13,RB!$B$3:$B$173,0))</f>
        <v>LAR</v>
      </c>
      <c r="L13" s="61">
        <f>INDEX(RB!$D$3:$D$173,MATCH(J13,RB!$B$3:$B$173,0))</f>
        <v>8</v>
      </c>
      <c r="M13" s="223" t="str">
        <f>IF(INDEX(Auction!$H$13:$H$672,MATCH(J13,Auction!$A$13:$A$672,0))&gt;0,"x","")</f>
        <v/>
      </c>
      <c r="N13" s="56">
        <f ca="1">INDEX(RB!Y$3:Y$173,MATCH(J13,RB!$B$3:$B$173,0))</f>
        <v>88.330000000000013</v>
      </c>
      <c r="O13" s="56" t="str">
        <f ca="1">INDEX(RB!Z$3:Z$173,MATCH(J13,RB!$B$3:$B$173,0))</f>
        <v>RB6</v>
      </c>
      <c r="P13" s="62">
        <f ca="1">IF(M13="",IFERROR(N13/(SUMIFS($N$5:$N$64,$N$5:$N$64,"&gt;0",$M$5:$M$64,"")),1),0)</f>
        <v>3.6301765359822283E-2</v>
      </c>
      <c r="Q13" s="63">
        <f ca="1">IF(LeagueInfo!$H$7="Starter/Bench",INDEX(RB!$S$3:$S$174,MATCH(J13,RB!$B$3:$B$174,0))*InflationPct,INDEX(RB!$AA$3:$AA$174,MATCH(J13,RB!$B$3:$B$174,0))*InflationPct)</f>
        <v>39.707550127957859</v>
      </c>
      <c r="S13" s="94" t="s">
        <v>112</v>
      </c>
      <c r="T13" s="95" t="str">
        <f>INDEX(WR!$E$1:$E$184,MATCH(S13,WR!$B$1:$B$184,0))</f>
        <v>DAL</v>
      </c>
      <c r="U13" s="96">
        <f>INDEX(WR!$D$1:$D$184,MATCH(S13,WR!$B$1:$B$184,0))</f>
        <v>6</v>
      </c>
      <c r="V13" s="225" t="str">
        <f>IF(INDEX(Auction!$H$13:$H$672,MATCH(S13,Auction!$A$13:$A$672,0))&gt;0,"x","")</f>
        <v/>
      </c>
      <c r="W13" s="34">
        <f ca="1">INDEX(WR!Y$3:Y$184,MATCH(S13,WR!$B$3:$B$184,0))</f>
        <v>52.100000000000016</v>
      </c>
      <c r="X13" s="34" t="str">
        <f ca="1">INDEX(WR!Z$3:Z$184,MATCH(S13,WR!$B$3:$B$184,0))</f>
        <v>WR4</v>
      </c>
      <c r="Y13" s="49">
        <f ca="1">IF(V13="",IFERROR(W13/(SUMIFS($W$5:$W$64,$W$5:$W$64,"&gt;0",$V$5:$V$64,"")),1),0)</f>
        <v>3.4294591196624556E-2</v>
      </c>
      <c r="Z13" s="41">
        <f ca="1">IF(LeagueInfo!$H$7="Starter/Bench",INDEX(WR!$S$3:$S$184,MATCH(S13,WR!$B$3:$B$184,0))*InflationPct,INDEX(WR!$AA$3:$AA$184,MATCH(S13,WR!$B$3:$B$184,0))*InflationPct)</f>
        <v>23.476251384027201</v>
      </c>
      <c r="AB13" s="94">
        <f t="shared" ca="1" si="1"/>
        <v>9</v>
      </c>
      <c r="AC13" s="136" t="str">
        <f t="shared" ca="1" si="2"/>
        <v>Aaron Rodgers</v>
      </c>
      <c r="AD13" s="136" t="str">
        <f t="shared" ca="1" si="0"/>
        <v>QB</v>
      </c>
      <c r="AE13" s="139">
        <f ca="1">LARGE(($E$5:$E$34,$E$37:$E$64,$N$5:$N$64,$W$5:$W$64),ROW(AE13)-4)</f>
        <v>98.660000000000039</v>
      </c>
    </row>
    <row r="14" spans="1:34" x14ac:dyDescent="0.25">
      <c r="A14" s="33" t="s">
        <v>142</v>
      </c>
      <c r="B14" s="74" t="str">
        <f>INDEX(QB!E$3:E$76,MATCH(A14,QB!B$3:B$76,0))</f>
        <v>IND</v>
      </c>
      <c r="C14" s="39">
        <f>INDEX(QB!D$3:D$76,MATCH(A14,QB!B$3:B$76,0))</f>
        <v>11</v>
      </c>
      <c r="D14" s="222" t="str">
        <f>IF(INDEX(Auction!$H$13:$H$672,MATCH(A14,Auction!$A$13:$A$672,0))&gt;0,"x","")</f>
        <v/>
      </c>
      <c r="E14" s="34">
        <f ca="1">INDEX(QB!$Y$3:$Y$76,MATCH(A14,QB!$B$3:$B$76,0))</f>
        <v>28.969999999999985</v>
      </c>
      <c r="F14" s="34" t="str">
        <f ca="1">INDEX(QB!$Z$3:$Z$76,MATCH(A14,QB!$B$3:$B$76,0))</f>
        <v>QB3</v>
      </c>
      <c r="G14" s="50">
        <f ca="1">IF(D14="",IFERROR(E14/(SUMIFS($E$5:$E$34,$E$5:$E$34,"&gt;0",$D$5:$D$34,"")),1),0)</f>
        <v>3.8647845686102626E-2</v>
      </c>
      <c r="H14" s="41">
        <f ca="1">IF(LeagueInfo!$H$7="Starter/Bench",INDEX(QB!$S$3:$S$76,MATCH(A14,QB!$B$3:$B$76,0))*InflationPct,INDEX(QB!$AA$3:$AA$76,MATCH(A14,QB!$B$3:$B$76,0))*InflationPct)</f>
        <v>13.718151694242639</v>
      </c>
      <c r="I14" s="26"/>
      <c r="J14" s="60" t="s">
        <v>120</v>
      </c>
      <c r="K14" s="69" t="str">
        <f>INDEX(RB!$E$3:$E$173,MATCH(J14,RB!$B$3:$B$173,0))</f>
        <v>HOU</v>
      </c>
      <c r="L14" s="61">
        <f>INDEX(RB!$D$3:$D$173,MATCH(J14,RB!$B$3:$B$173,0))</f>
        <v>7</v>
      </c>
      <c r="M14" s="223" t="str">
        <f>IF(INDEX(Auction!$H$13:$H$672,MATCH(J14,Auction!$A$13:$A$672,0))&gt;0,"x","")</f>
        <v/>
      </c>
      <c r="N14" s="56">
        <f ca="1">INDEX(RB!Y$3:Y$173,MATCH(J14,RB!$B$3:$B$173,0))</f>
        <v>79.53000000000003</v>
      </c>
      <c r="O14" s="56" t="str">
        <f ca="1">INDEX(RB!Z$3:Z$173,MATCH(J14,RB!$B$3:$B$173,0))</f>
        <v>RB6</v>
      </c>
      <c r="P14" s="62">
        <f ca="1">IF(M14="",IFERROR(N14/(SUMIFS($N$5:$N$64,$N$5:$N$64,"&gt;0",$M$5:$M$64,"")),1),0)</f>
        <v>3.2685151127212347E-2</v>
      </c>
      <c r="Q14" s="63">
        <f ca="1">IF(LeagueInfo!$H$7="Starter/Bench",INDEX(RB!$S$3:$S$174,MATCH(J14,RB!$B$3:$B$174,0))*InflationPct,INDEX(RB!$AA$3:$AA$174,MATCH(J14,RB!$B$3:$B$174,0))*InflationPct)</f>
        <v>35.862964078297807</v>
      </c>
      <c r="S14" s="94" t="s">
        <v>116</v>
      </c>
      <c r="T14" s="95" t="str">
        <f>INDEX(WR!$E$1:$E$184,MATCH(S14,WR!$B$1:$B$184,0))</f>
        <v>SEA</v>
      </c>
      <c r="U14" s="96">
        <f>INDEX(WR!$D$1:$D$184,MATCH(S14,WR!$B$1:$B$184,0))</f>
        <v>6</v>
      </c>
      <c r="V14" s="225" t="str">
        <f>IF(INDEX(Auction!$H$13:$H$672,MATCH(S14,Auction!$A$13:$A$672,0))&gt;0,"x","")</f>
        <v/>
      </c>
      <c r="W14" s="34">
        <f ca="1">INDEX(WR!Y$3:Y$184,MATCH(S14,WR!$B$3:$B$184,0))</f>
        <v>50.809999999999995</v>
      </c>
      <c r="X14" s="34" t="str">
        <f ca="1">INDEX(WR!Z$3:Z$184,MATCH(S14,WR!$B$3:$B$184,0))</f>
        <v>WR4</v>
      </c>
      <c r="Y14" s="49">
        <f ca="1">IF(V14="",IFERROR(W14/(SUMIFS($W$5:$W$64,$W$5:$W$64,"&gt;0",$V$5:$V$64,"")),1),0)</f>
        <v>3.3445454485614069E-2</v>
      </c>
      <c r="Z14" s="41">
        <f ca="1">IF(LeagueInfo!$H$7="Starter/Bench",INDEX(WR!$S$3:$S$184,MATCH(S14,WR!$B$3:$B$184,0))*InflationPct,INDEX(WR!$AA$3:$AA$184,MATCH(S14,WR!$B$3:$B$184,0))*InflationPct)</f>
        <v>22.912670019929301</v>
      </c>
      <c r="AB14" s="94">
        <f t="shared" ca="1" si="1"/>
        <v>10</v>
      </c>
      <c r="AC14" s="136" t="str">
        <f t="shared" ca="1" si="2"/>
        <v>Antonio Brown</v>
      </c>
      <c r="AD14" s="136" t="str">
        <f t="shared" ca="1" si="0"/>
        <v>WR</v>
      </c>
      <c r="AE14" s="139">
        <f ca="1">LARGE(($E$5:$E$34,$E$37:$E$64,$N$5:$N$64,$W$5:$W$64),ROW(AE14)-4)</f>
        <v>97.279999999999973</v>
      </c>
    </row>
    <row r="15" spans="1:34" x14ac:dyDescent="0.25">
      <c r="A15" s="33" t="s">
        <v>190</v>
      </c>
      <c r="B15" s="74" t="str">
        <f>INDEX(QB!E$3:E$76,MATCH(A15,QB!B$3:B$76,0))</f>
        <v>DAL</v>
      </c>
      <c r="C15" s="39">
        <f>INDEX(QB!D$3:D$76,MATCH(A15,QB!B$3:B$76,0))</f>
        <v>6</v>
      </c>
      <c r="D15" s="222" t="str">
        <f>IF(INDEX(Auction!$H$13:$H$672,MATCH(A15,Auction!$A$13:$A$672,0))&gt;0,"x","")</f>
        <v/>
      </c>
      <c r="E15" s="34">
        <f ca="1">INDEX(QB!$Y$3:$Y$76,MATCH(A15,QB!$B$3:$B$76,0))</f>
        <v>26.950000000000003</v>
      </c>
      <c r="F15" s="34" t="str">
        <f ca="1">INDEX(QB!$Z$3:$Z$76,MATCH(A15,QB!$B$3:$B$76,0))</f>
        <v>QB3</v>
      </c>
      <c r="G15" s="50">
        <f ca="1">IF(D15="",IFERROR(E15/(SUMIFS($E$5:$E$34,$E$5:$E$34,"&gt;0",$D$5:$D$34,"")),1),0)</f>
        <v>3.5953035596840405E-2</v>
      </c>
      <c r="H15" s="41">
        <f ca="1">IF(LeagueInfo!$H$7="Starter/Bench",INDEX(QB!$S$3:$S$76,MATCH(A15,QB!$B$3:$B$76,0))*InflationPct,INDEX(QB!$AA$3:$AA$76,MATCH(A15,QB!$B$3:$B$76,0))*InflationPct)</f>
        <v>12.835644441934317</v>
      </c>
      <c r="I15" s="32"/>
      <c r="J15" s="60" t="s">
        <v>121</v>
      </c>
      <c r="K15" s="69" t="str">
        <f>INDEX(RB!$E$3:$E$173,MATCH(J15,RB!$B$3:$B$173,0))</f>
        <v>JAC</v>
      </c>
      <c r="L15" s="61">
        <f>INDEX(RB!$D$3:$D$173,MATCH(J15,RB!$B$3:$B$173,0))</f>
        <v>8</v>
      </c>
      <c r="M15" s="223" t="str">
        <f>IF(INDEX(Auction!$H$13:$H$672,MATCH(J15,Auction!$A$13:$A$672,0))&gt;0,"x","")</f>
        <v/>
      </c>
      <c r="N15" s="56">
        <f ca="1">INDEX(RB!Y$3:Y$173,MATCH(J15,RB!$B$3:$B$173,0))</f>
        <v>76.449999999999989</v>
      </c>
      <c r="O15" s="56" t="str">
        <f ca="1">INDEX(RB!Z$3:Z$173,MATCH(J15,RB!$B$3:$B$173,0))</f>
        <v>RB6</v>
      </c>
      <c r="P15" s="62">
        <f ca="1">IF(M15="",IFERROR(N15/(SUMIFS($N$5:$N$64,$N$5:$N$64,"&gt;0",$M$5:$M$64,"")),1),0)</f>
        <v>3.1419336145798851E-2</v>
      </c>
      <c r="Q15" s="63">
        <f ca="1">IF(LeagueInfo!$H$7="Starter/Bench",INDEX(RB!$S$3:$S$174,MATCH(J15,RB!$B$3:$B$174,0))*InflationPct,INDEX(RB!$AA$3:$AA$174,MATCH(J15,RB!$B$3:$B$174,0))*InflationPct)</f>
        <v>34.517358960916781</v>
      </c>
      <c r="S15" s="94" t="s">
        <v>115</v>
      </c>
      <c r="T15" s="95" t="str">
        <f>INDEX(WR!$E$1:$E$184,MATCH(S15,WR!$B$1:$B$184,0))</f>
        <v>OAK</v>
      </c>
      <c r="U15" s="96">
        <f>INDEX(WR!$D$1:$D$184,MATCH(S15,WR!$B$1:$B$184,0))</f>
        <v>10</v>
      </c>
      <c r="V15" s="225" t="str">
        <f>IF(INDEX(Auction!$H$13:$H$672,MATCH(S15,Auction!$A$13:$A$672,0))&gt;0,"x","")</f>
        <v/>
      </c>
      <c r="W15" s="34">
        <f ca="1">INDEX(WR!Y$3:Y$184,MATCH(S15,WR!$B$3:$B$184,0))</f>
        <v>50.279999999999994</v>
      </c>
      <c r="X15" s="34" t="str">
        <f ca="1">INDEX(WR!Z$3:Z$184,MATCH(S15,WR!$B$3:$B$184,0))</f>
        <v>WR4</v>
      </c>
      <c r="Y15" s="49">
        <f ca="1">IF(V15="",IFERROR(W15/(SUMIFS($W$5:$W$64,$W$5:$W$64,"&gt;0",$V$5:$V$64,"")),1),0)</f>
        <v>3.3096584364036126E-2</v>
      </c>
      <c r="Z15" s="41">
        <f ca="1">IF(LeagueInfo!$H$7="Starter/Bench",INDEX(WR!$S$3:$S$184,MATCH(S15,WR!$B$3:$B$184,0))*InflationPct,INDEX(WR!$AA$3:$AA$184,MATCH(S15,WR!$B$3:$B$184,0))*InflationPct)</f>
        <v>22.681121087392956</v>
      </c>
      <c r="AB15" s="94">
        <f t="shared" ca="1" si="1"/>
        <v>11</v>
      </c>
      <c r="AC15" s="136" t="str">
        <f t="shared" ca="1" si="2"/>
        <v>DeMarco Murray</v>
      </c>
      <c r="AD15" s="136" t="str">
        <f t="shared" ca="1" si="0"/>
        <v>RB</v>
      </c>
      <c r="AE15" s="139">
        <f ca="1">LARGE(($E$5:$E$34,$E$37:$E$64,$N$5:$N$64,$W$5:$W$64),ROW(AE15)-4)</f>
        <v>94.269999999999982</v>
      </c>
    </row>
    <row r="16" spans="1:34" x14ac:dyDescent="0.25">
      <c r="A16" s="33" t="s">
        <v>224</v>
      </c>
      <c r="B16" s="74" t="str">
        <f>INDEX(QB!E$3:E$76,MATCH(A16,QB!B$3:B$76,0))</f>
        <v>DET</v>
      </c>
      <c r="C16" s="39">
        <f>INDEX(QB!D$3:D$76,MATCH(A16,QB!B$3:B$76,0))</f>
        <v>7</v>
      </c>
      <c r="D16" s="222" t="str">
        <f>IF(INDEX(Auction!$H$13:$H$672,MATCH(A16,Auction!$A$13:$A$672,0))&gt;0,"x","")</f>
        <v/>
      </c>
      <c r="E16" s="34">
        <f ca="1">INDEX(QB!$Y$3:$Y$76,MATCH(A16,QB!$B$3:$B$76,0))</f>
        <v>25.212000000000003</v>
      </c>
      <c r="F16" s="34" t="str">
        <f ca="1">INDEX(QB!$Z$3:$Z$76,MATCH(A16,QB!$B$3:$B$76,0))</f>
        <v>QB3</v>
      </c>
      <c r="G16" s="50">
        <f ca="1">IF(D16="",IFERROR(E16/(SUMIFS($E$5:$E$34,$E$5:$E$34,"&gt;0",$D$5:$D$34,"")),1),0)</f>
        <v>3.3634431668554371E-2</v>
      </c>
      <c r="H16" s="41">
        <f ca="1">IF(LeagueInfo!$H$7="Starter/Bench",INDEX(QB!$S$3:$S$76,MATCH(A16,QB!$B$3:$B$76,0))*InflationPct,INDEX(QB!$AA$3:$AA$76,MATCH(A16,QB!$B$3:$B$76,0))*InflationPct)</f>
        <v>12.076338697126456</v>
      </c>
      <c r="I16" s="26"/>
      <c r="J16" s="60" t="s">
        <v>98</v>
      </c>
      <c r="K16" s="76" t="str">
        <f>INDEX(RB!$E$3:$E$173,MATCH(J16,RB!$B$3:$B$173,0))</f>
        <v>DAL</v>
      </c>
      <c r="L16" s="61">
        <f>INDEX(RB!$D$3:$D$173,MATCH(J16,RB!$B$3:$B$173,0))</f>
        <v>6</v>
      </c>
      <c r="M16" s="223" t="str">
        <f>IF(INDEX(Auction!$H$13:$H$672,MATCH(J16,Auction!$A$13:$A$672,0))&gt;0,"x","")</f>
        <v/>
      </c>
      <c r="N16" s="56">
        <f ca="1">INDEX(RB!Y$3:Y$173,MATCH(J16,RB!$B$3:$B$173,0))</f>
        <v>73.150000000000006</v>
      </c>
      <c r="O16" s="56" t="str">
        <f ca="1">INDEX(RB!Z$3:Z$173,MATCH(J16,RB!$B$3:$B$173,0))</f>
        <v>RB7</v>
      </c>
      <c r="P16" s="62">
        <f ca="1">IF(M16="",IFERROR(N16/(SUMIFS($N$5:$N$64,$N$5:$N$64,"&gt;0",$M$5:$M$64,"")),1),0)</f>
        <v>3.0063105808570131E-2</v>
      </c>
      <c r="Q16" s="63">
        <f ca="1">IF(LeagueInfo!$H$7="Starter/Bench",INDEX(RB!$S$3:$S$174,MATCH(J16,RB!$B$3:$B$174,0))*InflationPct,INDEX(RB!$AA$3:$AA$174,MATCH(J16,RB!$B$3:$B$174,0))*InflationPct)</f>
        <v>33.075639192294261</v>
      </c>
      <c r="S16" s="94" t="s">
        <v>123</v>
      </c>
      <c r="T16" s="95" t="str">
        <f>INDEX(WR!$E$1:$E$184,MATCH(S16,WR!$B$1:$B$184,0))</f>
        <v>NE</v>
      </c>
      <c r="U16" s="96">
        <f>INDEX(WR!$D$1:$D$184,MATCH(S16,WR!$B$1:$B$184,0))</f>
        <v>9</v>
      </c>
      <c r="V16" s="225" t="str">
        <f>IF(INDEX(Auction!$H$13:$H$672,MATCH(S16,Auction!$A$13:$A$672,0))&gt;0,"x","")</f>
        <v/>
      </c>
      <c r="W16" s="34">
        <f ca="1">INDEX(WR!Y$3:Y$184,MATCH(S16,WR!$B$3:$B$184,0))</f>
        <v>48.249999999999993</v>
      </c>
      <c r="X16" s="34" t="str">
        <f ca="1">INDEX(WR!Z$3:Z$184,MATCH(S16,WR!$B$3:$B$184,0))</f>
        <v>WR4</v>
      </c>
      <c r="Y16" s="49">
        <f ca="1">IF(V16="",IFERROR(W16/(SUMIFS($W$5:$W$64,$W$5:$W$64,"&gt;0",$V$5:$V$64,"")),1),0)</f>
        <v>3.1760345973841343E-2</v>
      </c>
      <c r="Z16" s="41">
        <f ca="1">IF(LeagueInfo!$H$7="Starter/Bench",INDEX(WR!$S$3:$S$184,MATCH(S16,WR!$B$3:$B$184,0))*InflationPct,INDEX(WR!$AA$3:$AA$184,MATCH(S16,WR!$B$3:$B$184,0))*InflationPct)</f>
        <v>21.794244987300921</v>
      </c>
      <c r="AB16" s="94">
        <f t="shared" ca="1" si="1"/>
        <v>12</v>
      </c>
      <c r="AC16" s="136" t="str">
        <f t="shared" ca="1" si="2"/>
        <v>Todd Gurley</v>
      </c>
      <c r="AD16" s="136" t="str">
        <f t="shared" ca="1" si="0"/>
        <v>RB</v>
      </c>
      <c r="AE16" s="139">
        <f ca="1">LARGE(($E$5:$E$34,$E$37:$E$64,$N$5:$N$64,$W$5:$W$64),ROW(AE16)-4)</f>
        <v>88.330000000000013</v>
      </c>
    </row>
    <row r="17" spans="1:31" x14ac:dyDescent="0.25">
      <c r="A17" s="33" t="s">
        <v>181</v>
      </c>
      <c r="B17" s="74" t="str">
        <f>INDEX(QB!E$3:E$76,MATCH(A17,QB!B$3:B$76,0))</f>
        <v>PIT</v>
      </c>
      <c r="C17" s="39">
        <f>INDEX(QB!D$3:D$76,MATCH(A17,QB!B$3:B$76,0))</f>
        <v>9</v>
      </c>
      <c r="D17" s="222" t="str">
        <f>IF(INDEX(Auction!$H$13:$H$672,MATCH(A17,Auction!$A$13:$A$672,0))&gt;0,"x","")</f>
        <v/>
      </c>
      <c r="E17" s="34">
        <f ca="1">INDEX(QB!$Y$3:$Y$76,MATCH(A17,QB!$B$3:$B$76,0))</f>
        <v>24.395000000000024</v>
      </c>
      <c r="F17" s="34" t="str">
        <f ca="1">INDEX(QB!$Z$3:$Z$76,MATCH(A17,QB!$B$3:$B$76,0))</f>
        <v>QB3</v>
      </c>
      <c r="G17" s="50">
        <f ca="1">IF(D17="",IFERROR(E17/(SUMIFS($E$5:$E$34,$E$5:$E$34,"&gt;0",$D$5:$D$34,"")),1),0)</f>
        <v>3.2544501053243871E-2</v>
      </c>
      <c r="H17" s="41">
        <f ca="1">IF(LeagueInfo!$H$7="Starter/Bench",INDEX(QB!$S$3:$S$76,MATCH(A17,QB!$B$3:$B$76,0))*InflationPct,INDEX(QB!$AA$3:$AA$76,MATCH(A17,QB!$B$3:$B$76,0))*InflationPct)</f>
        <v>11.685002479628755</v>
      </c>
      <c r="I17" s="27"/>
      <c r="J17" s="60" t="s">
        <v>130</v>
      </c>
      <c r="K17" s="69" t="str">
        <f>INDEX(RB!$E$3:$E$173,MATCH(J17,RB!$B$3:$B$173,0))</f>
        <v>CLE</v>
      </c>
      <c r="L17" s="61">
        <f>INDEX(RB!$D$3:$D$173,MATCH(J17,RB!$B$3:$B$173,0))</f>
        <v>9</v>
      </c>
      <c r="M17" s="223" t="str">
        <f>IF(INDEX(Auction!$H$13:$H$672,MATCH(J17,Auction!$A$13:$A$672,0))&gt;0,"x","")</f>
        <v/>
      </c>
      <c r="N17" s="56">
        <f ca="1">INDEX(RB!Y$3:Y$173,MATCH(J17,RB!$B$3:$B$173,0))</f>
        <v>65.819999999999993</v>
      </c>
      <c r="O17" s="56" t="str">
        <f ca="1">INDEX(RB!Z$3:Z$173,MATCH(J17,RB!$B$3:$B$173,0))</f>
        <v>RB7</v>
      </c>
      <c r="P17" s="62">
        <f ca="1">IF(M17="",IFERROR(N17/(SUMIFS($N$5:$N$64,$N$5:$N$64,"&gt;0",$M$5:$M$64,"")),1),0)</f>
        <v>2.7050630544362075E-2</v>
      </c>
      <c r="Q17" s="63">
        <f ca="1">IF(LeagueInfo!$H$7="Starter/Bench",INDEX(RB!$S$3:$S$174,MATCH(J17,RB!$B$3:$B$174,0))*InflationPct,INDEX(RB!$AA$3:$AA$174,MATCH(J17,RB!$B$3:$B$174,0))*InflationPct)</f>
        <v>29.873273766838782</v>
      </c>
      <c r="S17" s="94" t="s">
        <v>119</v>
      </c>
      <c r="T17" s="95" t="str">
        <f>INDEX(WR!$E$1:$E$184,MATCH(S17,WR!$B$1:$B$184,0))</f>
        <v>HOU</v>
      </c>
      <c r="U17" s="96">
        <f>INDEX(WR!$D$1:$D$184,MATCH(S17,WR!$B$1:$B$184,0))</f>
        <v>7</v>
      </c>
      <c r="V17" s="225" t="str">
        <f>IF(INDEX(Auction!$H$13:$H$672,MATCH(S17,Auction!$A$13:$A$672,0))&gt;0,"x","")</f>
        <v/>
      </c>
      <c r="W17" s="34">
        <f ca="1">INDEX(WR!Y$3:Y$184,MATCH(S17,WR!$B$3:$B$184,0))</f>
        <v>38.659999999999989</v>
      </c>
      <c r="X17" s="34" t="str">
        <f ca="1">INDEX(WR!Z$3:Z$184,MATCH(S17,WR!$B$3:$B$184,0))</f>
        <v>WR5</v>
      </c>
      <c r="Y17" s="49">
        <f ca="1">IF(V17="",IFERROR(W17/(SUMIFS($W$5:$W$64,$W$5:$W$64,"&gt;0",$V$5:$V$64,"")),1),0)</f>
        <v>2.5447771509817748E-2</v>
      </c>
      <c r="Z17" s="41">
        <f ca="1">IF(LeagueInfo!$H$7="Starter/Bench",INDEX(WR!$S$3:$S$184,MATCH(S17,WR!$B$3:$B$184,0))*InflationPct,INDEX(WR!$AA$3:$AA$184,MATCH(S17,WR!$B$3:$B$184,0))*InflationPct)</f>
        <v>17.604519962728201</v>
      </c>
      <c r="AB17" s="94">
        <f t="shared" ca="1" si="1"/>
        <v>13</v>
      </c>
      <c r="AC17" s="136" t="str">
        <f t="shared" ca="1" si="2"/>
        <v>Odell Beckham Jr.</v>
      </c>
      <c r="AD17" s="136" t="str">
        <f t="shared" ca="1" si="0"/>
        <v>WR</v>
      </c>
      <c r="AE17" s="139">
        <f ca="1">LARGE(($E$5:$E$34,$E$37:$E$64,$N$5:$N$64,$W$5:$W$64),ROW(AE17)-4)</f>
        <v>84.16</v>
      </c>
    </row>
    <row r="18" spans="1:31" x14ac:dyDescent="0.25">
      <c r="A18" s="33" t="s">
        <v>231</v>
      </c>
      <c r="B18" s="74" t="str">
        <f>INDEX(QB!E$3:E$76,MATCH(A18,QB!B$3:B$76,0))</f>
        <v>LAC</v>
      </c>
      <c r="C18" s="39">
        <f>INDEX(QB!D$3:D$76,MATCH(A18,QB!B$3:B$76,0))</f>
        <v>9</v>
      </c>
      <c r="D18" s="222" t="str">
        <f>IF(INDEX(Auction!$H$13:$H$672,MATCH(A18,Auction!$A$13:$A$672,0))&gt;0,"x","")</f>
        <v/>
      </c>
      <c r="E18" s="34">
        <f ca="1">INDEX(QB!$Y$3:$Y$76,MATCH(A18,QB!$B$3:$B$76,0))</f>
        <v>24.333999999999961</v>
      </c>
      <c r="F18" s="34" t="str">
        <f ca="1">INDEX(QB!$Z$3:$Z$76,MATCH(A18,QB!$B$3:$B$76,0))</f>
        <v>QB3</v>
      </c>
      <c r="G18" s="50">
        <f ca="1">IF(D18="",IFERROR(E18/(SUMIFS($E$5:$E$34,$E$5:$E$34,"&gt;0",$D$5:$D$34,"")),1),0)</f>
        <v>3.2463123124805669E-2</v>
      </c>
      <c r="H18" s="41">
        <f ca="1">IF(LeagueInfo!$H$7="Starter/Bench",INDEX(QB!$S$3:$S$76,MATCH(A18,QB!$B$3:$B$76,0))*InflationPct,INDEX(QB!$AA$3:$AA$76,MATCH(A18,QB!$B$3:$B$76,0))*InflationPct)</f>
        <v>11.655783986033423</v>
      </c>
      <c r="I18" s="32"/>
      <c r="J18" s="60" t="s">
        <v>136</v>
      </c>
      <c r="K18" s="69" t="str">
        <f>INDEX(RB!$E$3:$E$173,MATCH(J18,RB!$B$3:$B$173,0))</f>
        <v>OAK</v>
      </c>
      <c r="L18" s="61">
        <f>INDEX(RB!$D$3:$D$173,MATCH(J18,RB!$B$3:$B$173,0))</f>
        <v>10</v>
      </c>
      <c r="M18" s="223" t="str">
        <f>IF(INDEX(Auction!$H$13:$H$672,MATCH(J18,Auction!$A$13:$A$672,0))&gt;0,"x","")</f>
        <v/>
      </c>
      <c r="N18" s="56">
        <f ca="1">INDEX(RB!Y$3:Y$173,MATCH(J18,RB!$B$3:$B$173,0))</f>
        <v>62.650000000000006</v>
      </c>
      <c r="O18" s="56" t="str">
        <f ca="1">INDEX(RB!Z$3:Z$173,MATCH(J18,RB!$B$3:$B$173,0))</f>
        <v>RB7</v>
      </c>
      <c r="P18" s="62">
        <f ca="1">IF(M18="",IFERROR(N18/(SUMIFS($N$5:$N$64,$N$5:$N$64,"&gt;0",$M$5:$M$64,"")),1),0)</f>
        <v>2.5747827462842363E-2</v>
      </c>
      <c r="Q18" s="63">
        <f ca="1">IF(LeagueInfo!$H$7="Starter/Bench",INDEX(RB!$S$3:$S$174,MATCH(J18,RB!$B$3:$B$174,0))*InflationPct,INDEX(RB!$AA$3:$AA$174,MATCH(J18,RB!$B$3:$B$174,0))*InflationPct)</f>
        <v>28.488349019404428</v>
      </c>
      <c r="S18" s="94" t="s">
        <v>124</v>
      </c>
      <c r="T18" s="95" t="str">
        <f>INDEX(WR!$E$1:$E$184,MATCH(S18,WR!$B$1:$B$184,0))</f>
        <v>DEN</v>
      </c>
      <c r="U18" s="96">
        <f>INDEX(WR!$D$1:$D$184,MATCH(S18,WR!$B$1:$B$184,0))</f>
        <v>5</v>
      </c>
      <c r="V18" s="225" t="str">
        <f>IF(INDEX(Auction!$H$13:$H$672,MATCH(S18,Auction!$A$13:$A$672,0))&gt;0,"x","")</f>
        <v/>
      </c>
      <c r="W18" s="34">
        <f ca="1">INDEX(WR!Y$3:Y$184,MATCH(S18,WR!$B$3:$B$184,0))</f>
        <v>37.229999999999983</v>
      </c>
      <c r="X18" s="34" t="str">
        <f ca="1">INDEX(WR!Z$3:Z$184,MATCH(S18,WR!$B$3:$B$184,0))</f>
        <v>WR5</v>
      </c>
      <c r="Y18" s="49">
        <f ca="1">IF(V18="",IFERROR(W18/(SUMIFS($W$5:$W$64,$W$5:$W$64,"&gt;0",$V$5:$V$64,"")),1),0)</f>
        <v>2.45064804270697E-2</v>
      </c>
      <c r="Z18" s="41">
        <f ca="1">IF(LeagueInfo!$H$7="Starter/Bench",INDEX(WR!$S$3:$S$184,MATCH(S18,WR!$B$3:$B$184,0))*InflationPct,INDEX(WR!$AA$3:$AA$184,MATCH(S18,WR!$B$3:$B$184,0))*InflationPct)</f>
        <v>16.979774729658438</v>
      </c>
      <c r="AB18" s="94">
        <f t="shared" ca="1" si="1"/>
        <v>14</v>
      </c>
      <c r="AC18" s="136" t="str">
        <f t="shared" ca="1" si="2"/>
        <v>Rob Gronkowski</v>
      </c>
      <c r="AD18" s="136" t="str">
        <f t="shared" ca="1" si="0"/>
        <v>TE</v>
      </c>
      <c r="AE18" s="139">
        <f ca="1">LARGE(($E$5:$E$34,$E$37:$E$64,$N$5:$N$64,$W$5:$W$64),ROW(AE18)-4)</f>
        <v>81.025000000000006</v>
      </c>
    </row>
    <row r="19" spans="1:31" x14ac:dyDescent="0.25">
      <c r="A19" s="33" t="s">
        <v>195</v>
      </c>
      <c r="B19" s="74" t="str">
        <f>INDEX(QB!E$3:E$76,MATCH(A19,QB!B$3:B$76,0))</f>
        <v>OAK</v>
      </c>
      <c r="C19" s="39">
        <f>INDEX(QB!D$3:D$76,MATCH(A19,QB!B$3:B$76,0))</f>
        <v>10</v>
      </c>
      <c r="D19" s="222" t="str">
        <f>IF(INDEX(Auction!$H$13:$H$672,MATCH(A19,Auction!$A$13:$A$672,0))&gt;0,"x","")</f>
        <v/>
      </c>
      <c r="E19" s="34">
        <f ca="1">INDEX(QB!$Y$3:$Y$76,MATCH(A19,QB!$B$3:$B$76,0))</f>
        <v>22.586999999999975</v>
      </c>
      <c r="F19" s="34" t="str">
        <f ca="1">INDEX(QB!$Z$3:$Z$76,MATCH(A19,QB!$B$3:$B$76,0))</f>
        <v>QB3</v>
      </c>
      <c r="G19" s="50">
        <f ca="1">IF(D19="",IFERROR(E19/(SUMIFS($E$5:$E$34,$E$5:$E$34,"&gt;0",$D$5:$D$34,"")),1),0)</f>
        <v>3.0132512616914034E-2</v>
      </c>
      <c r="H19" s="41">
        <f ca="1">IF(LeagueInfo!$H$7="Starter/Bench",INDEX(QB!$S$3:$S$76,MATCH(A19,QB!$B$3:$B$76,0))*InflationPct,INDEX(QB!$AA$3:$AA$76,MATCH(A19,QB!$B$3:$B$76,0))*InflationPct)</f>
        <v>10.818985489131958</v>
      </c>
      <c r="I19" s="32"/>
      <c r="J19" s="60" t="s">
        <v>156</v>
      </c>
      <c r="K19" s="69" t="str">
        <f>INDEX(RB!$E$3:$E$173,MATCH(J19,RB!$B$3:$B$173,0))</f>
        <v>MIN</v>
      </c>
      <c r="L19" s="61">
        <f>INDEX(RB!$D$3:$D$173,MATCH(J19,RB!$B$3:$B$173,0))</f>
        <v>9</v>
      </c>
      <c r="M19" s="223" t="str">
        <f>IF(INDEX(Auction!$H$13:$H$672,MATCH(J19,Auction!$A$13:$A$672,0))&gt;0,"x","")</f>
        <v/>
      </c>
      <c r="N19" s="56">
        <f ca="1">INDEX(RB!Y$3:Y$173,MATCH(J19,RB!$B$3:$B$173,0))</f>
        <v>62.34</v>
      </c>
      <c r="O19" s="56" t="str">
        <f ca="1">INDEX(RB!Z$3:Z$173,MATCH(J19,RB!$B$3:$B$173,0))</f>
        <v>RB7</v>
      </c>
      <c r="P19" s="62">
        <f ca="1">IF(M19="",IFERROR(N19/(SUMIFS($N$5:$N$64,$N$5:$N$64,"&gt;0",$M$5:$M$64,"")),1),0)</f>
        <v>2.5620424006920876E-2</v>
      </c>
      <c r="Q19" s="63">
        <f ca="1">IF(LeagueInfo!$H$7="Starter/Bench",INDEX(RB!$S$3:$S$174,MATCH(J19,RB!$B$3:$B$174,0))*InflationPct,INDEX(RB!$AA$3:$AA$174,MATCH(J19,RB!$B$3:$B$174,0))*InflationPct)</f>
        <v>28.352914738109583</v>
      </c>
      <c r="S19" s="94" t="s">
        <v>127</v>
      </c>
      <c r="T19" s="95" t="str">
        <f>INDEX(WR!$E$1:$E$184,MATCH(S19,WR!$B$1:$B$184,0))</f>
        <v>JAC</v>
      </c>
      <c r="U19" s="96">
        <f>INDEX(WR!$D$1:$D$184,MATCH(S19,WR!$B$1:$B$184,0))</f>
        <v>8</v>
      </c>
      <c r="V19" s="225" t="str">
        <f>IF(INDEX(Auction!$H$13:$H$672,MATCH(S19,Auction!$A$13:$A$672,0))&gt;0,"x","")</f>
        <v/>
      </c>
      <c r="W19" s="34">
        <f ca="1">INDEX(WR!Y$3:Y$184,MATCH(S19,WR!$B$3:$B$184,0))</f>
        <v>37.079999999999977</v>
      </c>
      <c r="X19" s="34" t="str">
        <f ca="1">INDEX(WR!Z$3:Z$184,MATCH(S19,WR!$B$3:$B$184,0))</f>
        <v>WR5</v>
      </c>
      <c r="Y19" s="49">
        <f ca="1">IF(V19="",IFERROR(W19/(SUMIFS($W$5:$W$64,$W$5:$W$64,"&gt;0",$V$5:$V$64,"")),1),0)</f>
        <v>2.4407743600208011E-2</v>
      </c>
      <c r="Z19" s="41">
        <f ca="1">IF(LeagueInfo!$H$7="Starter/Bench",INDEX(WR!$S$3:$S$184,MATCH(S19,WR!$B$3:$B$184,0))*InflationPct,INDEX(WR!$AA$3:$AA$184,MATCH(S19,WR!$B$3:$B$184,0))*InflationPct)</f>
        <v>16.914242012902868</v>
      </c>
      <c r="AB19" s="94">
        <f t="shared" ca="1" si="1"/>
        <v>15</v>
      </c>
      <c r="AC19" s="136" t="str">
        <f t="shared" ca="1" si="2"/>
        <v>Lamar Miller</v>
      </c>
      <c r="AD19" s="136" t="str">
        <f t="shared" ca="1" si="0"/>
        <v>RB</v>
      </c>
      <c r="AE19" s="139">
        <f ca="1">LARGE(($E$5:$E$34,$E$37:$E$64,$N$5:$N$64,$W$5:$W$64),ROW(AE19)-4)</f>
        <v>79.53000000000003</v>
      </c>
    </row>
    <row r="20" spans="1:31" x14ac:dyDescent="0.25">
      <c r="A20" s="33" t="s">
        <v>237</v>
      </c>
      <c r="B20" s="74" t="str">
        <f>INDEX(QB!E$3:E$76,MATCH(A20,QB!B$3:B$76,0))</f>
        <v>CIN</v>
      </c>
      <c r="C20" s="39">
        <f>INDEX(QB!D$3:D$76,MATCH(A20,QB!B$3:B$76,0))</f>
        <v>6</v>
      </c>
      <c r="D20" s="222" t="str">
        <f>IF(INDEX(Auction!$H$13:$H$672,MATCH(A20,Auction!$A$13:$A$672,0))&gt;0,"x","")</f>
        <v/>
      </c>
      <c r="E20" s="34">
        <f ca="1">INDEX(QB!$Y$3:$Y$76,MATCH(A20,QB!$B$3:$B$76,0))</f>
        <v>21.138999999999996</v>
      </c>
      <c r="F20" s="34" t="str">
        <f ca="1">INDEX(QB!$Z$3:$Z$76,MATCH(A20,QB!$B$3:$B$76,0))</f>
        <v>QB3</v>
      </c>
      <c r="G20" s="50">
        <f ca="1">IF(D20="",IFERROR(E20/(SUMIFS($E$5:$E$34,$E$5:$E$34,"&gt;0",$D$5:$D$34,"")),1),0)</f>
        <v>2.820078736480924E-2</v>
      </c>
      <c r="H20" s="41">
        <f ca="1">IF(LeagueInfo!$H$7="Starter/Bench",INDEX(QB!$S$3:$S$76,MATCH(A20,QB!$B$3:$B$76,0))*InflationPct,INDEX(QB!$AA$3:$AA$76,MATCH(A20,QB!$B$3:$B$76,0))*InflationPct)</f>
        <v>10.125405510017297</v>
      </c>
      <c r="I20" s="32"/>
      <c r="J20" s="60" t="s">
        <v>149</v>
      </c>
      <c r="K20" s="69" t="str">
        <f>INDEX(RB!$E$3:$E$173,MATCH(J20,RB!$B$3:$B$173,0))</f>
        <v>GB</v>
      </c>
      <c r="L20" s="61">
        <f>INDEX(RB!$D$3:$D$173,MATCH(J20,RB!$B$3:$B$173,0))</f>
        <v>8</v>
      </c>
      <c r="M20" s="223" t="str">
        <f>IF(INDEX(Auction!$H$13:$H$672,MATCH(J20,Auction!$A$13:$A$672,0))&gt;0,"x","")</f>
        <v/>
      </c>
      <c r="N20" s="56">
        <f ca="1">INDEX(RB!Y$3:Y$173,MATCH(J20,RB!$B$3:$B$173,0))</f>
        <v>54.22</v>
      </c>
      <c r="O20" s="56" t="str">
        <f ca="1">INDEX(RB!Z$3:Z$173,MATCH(J20,RB!$B$3:$B$173,0))</f>
        <v>RB8</v>
      </c>
      <c r="P20" s="62">
        <f ca="1">IF(M20="",IFERROR(N20/(SUMIFS($N$5:$N$64,$N$5:$N$64,"&gt;0",$M$5:$M$64,"")),1),0)</f>
        <v>2.2283275419558064E-2</v>
      </c>
      <c r="Q20" s="63">
        <f ca="1">IF(LeagueInfo!$H$7="Starter/Bench",INDEX(RB!$S$3:$S$174,MATCH(J20,RB!$B$3:$B$174,0))*InflationPct,INDEX(RB!$AA$3:$AA$174,MATCH(J20,RB!$B$3:$B$174,0))*InflationPct)</f>
        <v>24.805410337741442</v>
      </c>
      <c r="S20" s="94" t="s">
        <v>148</v>
      </c>
      <c r="T20" s="95" t="str">
        <f>INDEX(WR!$E$1:$E$184,MATCH(S20,WR!$B$1:$B$184,0))</f>
        <v>OAK</v>
      </c>
      <c r="U20" s="96">
        <f>INDEX(WR!$D$1:$D$184,MATCH(S20,WR!$B$1:$B$184,0))</f>
        <v>10</v>
      </c>
      <c r="V20" s="225" t="str">
        <f>IF(INDEX(Auction!$H$13:$H$672,MATCH(S20,Auction!$A$13:$A$672,0))&gt;0,"x","")</f>
        <v/>
      </c>
      <c r="W20" s="34">
        <f ca="1">INDEX(WR!Y$3:Y$184,MATCH(S20,WR!$B$3:$B$184,0))</f>
        <v>33.289999999999985</v>
      </c>
      <c r="X20" s="34" t="str">
        <f ca="1">INDEX(WR!Z$3:Z$184,MATCH(S20,WR!$B$3:$B$184,0))</f>
        <v>WR5</v>
      </c>
      <c r="Y20" s="49">
        <f ca="1">IF(V20="",IFERROR(W20/(SUMIFS($W$5:$W$64,$W$5:$W$64,"&gt;0",$V$5:$V$64,"")),1),0)</f>
        <v>2.1912993108169493E-2</v>
      </c>
      <c r="Z20" s="41">
        <f ca="1">IF(LeagueInfo!$H$7="Starter/Bench",INDEX(WR!$S$3:$S$184,MATCH(S20,WR!$B$3:$B$184,0))*InflationPct,INDEX(WR!$AA$3:$AA$184,MATCH(S20,WR!$B$3:$B$184,0))*InflationPct)</f>
        <v>15.258448702878827</v>
      </c>
      <c r="AB20" s="94">
        <f t="shared" ca="1" si="1"/>
        <v>16</v>
      </c>
      <c r="AC20" s="136" t="str">
        <f t="shared" ca="1" si="2"/>
        <v>Mike Evans</v>
      </c>
      <c r="AD20" s="136" t="str">
        <f t="shared" ca="1" si="0"/>
        <v>WR</v>
      </c>
      <c r="AE20" s="139">
        <f ca="1">LARGE(($E$5:$E$34,$E$37:$E$64,$N$5:$N$64,$W$5:$W$64),ROW(AE20)-4)</f>
        <v>77.06</v>
      </c>
    </row>
    <row r="21" spans="1:31" x14ac:dyDescent="0.25">
      <c r="A21" s="33" t="s">
        <v>238</v>
      </c>
      <c r="B21" s="74" t="str">
        <f>INDEX(QB!E$3:E$76,MATCH(A21,QB!B$3:B$76,0))</f>
        <v>BUF</v>
      </c>
      <c r="C21" s="39">
        <f>INDEX(QB!D$3:D$76,MATCH(A21,QB!B$3:B$76,0))</f>
        <v>6</v>
      </c>
      <c r="D21" s="222" t="str">
        <f>IF(INDEX(Auction!$H$13:$H$672,MATCH(A21,Auction!$A$13:$A$672,0))&gt;0,"x","")</f>
        <v/>
      </c>
      <c r="E21" s="34">
        <f ca="1">INDEX(QB!$Y$3:$Y$76,MATCH(A21,QB!$B$3:$B$76,0))</f>
        <v>20.180999999999997</v>
      </c>
      <c r="F21" s="34" t="str">
        <f ca="1">INDEX(QB!$Z$3:$Z$76,MATCH(A21,QB!$B$3:$B$76,0))</f>
        <v>QB3</v>
      </c>
      <c r="G21" s="50">
        <f ca="1">IF(D21="",IFERROR(E21/(SUMIFS($E$5:$E$34,$E$5:$E$34,"&gt;0",$D$5:$D$34,"")),1),0)</f>
        <v>2.6922753669010611E-2</v>
      </c>
      <c r="H21" s="41">
        <f ca="1">IF(LeagueInfo!$H$7="Starter/Bench",INDEX(QB!$S$3:$S$76,MATCH(A21,QB!$B$3:$B$76,0))*InflationPct,INDEX(QB!$AA$3:$AA$76,MATCH(A21,QB!$B$3:$B$76,0))*InflationPct)</f>
        <v>9.6665314630615953</v>
      </c>
      <c r="I21" s="32"/>
      <c r="J21" s="60" t="s">
        <v>126</v>
      </c>
      <c r="K21" s="69" t="str">
        <f>INDEX(RB!$E$3:$E$173,MATCH(J21,RB!$B$3:$B$173,0))</f>
        <v>CAR</v>
      </c>
      <c r="L21" s="61">
        <f>INDEX(RB!$D$3:$D$173,MATCH(J21,RB!$B$3:$B$173,0))</f>
        <v>11</v>
      </c>
      <c r="M21" s="223" t="str">
        <f>IF(INDEX(Auction!$H$13:$H$672,MATCH(J21,Auction!$A$13:$A$672,0))&gt;0,"x","")</f>
        <v/>
      </c>
      <c r="N21" s="56">
        <f ca="1">INDEX(RB!Y$3:Y$173,MATCH(J21,RB!$B$3:$B$173,0))</f>
        <v>53.31</v>
      </c>
      <c r="O21" s="56" t="str">
        <f ca="1">INDEX(RB!Z$3:Z$173,MATCH(J21,RB!$B$3:$B$173,0))</f>
        <v>RB8</v>
      </c>
      <c r="P21" s="62">
        <f ca="1">IF(M21="",IFERROR(N21/(SUMIFS($N$5:$N$64,$N$5:$N$64,"&gt;0",$M$5:$M$64,"")),1),0)</f>
        <v>2.1909284629594992E-2</v>
      </c>
      <c r="Q21" s="63">
        <f ca="1">IF(LeagueInfo!$H$7="Starter/Bench",INDEX(RB!$S$3:$S$174,MATCH(J21,RB!$B$3:$B$174,0))*InflationPct,INDEX(RB!$AA$3:$AA$174,MATCH(J21,RB!$B$3:$B$174,0))*InflationPct)</f>
        <v>24.407845189424322</v>
      </c>
      <c r="S21" s="94" t="s">
        <v>129</v>
      </c>
      <c r="T21" s="95" t="str">
        <f>INDEX(WR!$E$1:$E$184,MATCH(S21,WR!$B$1:$B$184,0))</f>
        <v>PHI</v>
      </c>
      <c r="U21" s="96">
        <f>INDEX(WR!$D$1:$D$184,MATCH(S21,WR!$B$1:$B$184,0))</f>
        <v>10</v>
      </c>
      <c r="V21" s="225" t="str">
        <f>IF(INDEX(Auction!$H$13:$H$672,MATCH(S21,Auction!$A$13:$A$672,0))&gt;0,"x","")</f>
        <v/>
      </c>
      <c r="W21" s="34">
        <f ca="1">INDEX(WR!Y$3:Y$184,MATCH(S21,WR!$B$3:$B$184,0))</f>
        <v>32.599999999999959</v>
      </c>
      <c r="X21" s="34" t="str">
        <f ca="1">INDEX(WR!Z$3:Z$184,MATCH(S21,WR!$B$3:$B$184,0))</f>
        <v>WR5</v>
      </c>
      <c r="Y21" s="49">
        <f ca="1">IF(V21="",IFERROR(W21/(SUMIFS($W$5:$W$64,$W$5:$W$64,"&gt;0",$V$5:$V$64,"")),1),0)</f>
        <v>2.1458803704605737E-2</v>
      </c>
      <c r="Z21" s="41">
        <f ca="1">IF(LeagueInfo!$H$7="Starter/Bench",INDEX(WR!$S$3:$S$184,MATCH(S21,WR!$B$3:$B$184,0))*InflationPct,INDEX(WR!$AA$3:$AA$184,MATCH(S21,WR!$B$3:$B$184,0))*InflationPct)</f>
        <v>14.956998205803197</v>
      </c>
      <c r="AB21" s="94">
        <f t="shared" ca="1" si="1"/>
        <v>17</v>
      </c>
      <c r="AC21" s="136" t="str">
        <f t="shared" ca="1" si="2"/>
        <v>Jordy Nelson</v>
      </c>
      <c r="AD21" s="136" t="str">
        <f t="shared" ca="1" si="0"/>
        <v>WR</v>
      </c>
      <c r="AE21" s="139">
        <f ca="1">LARGE(($E$5:$E$34,$E$37:$E$64,$N$5:$N$64,$W$5:$W$64),ROW(AE21)-4)</f>
        <v>76.72999999999999</v>
      </c>
    </row>
    <row r="22" spans="1:31" x14ac:dyDescent="0.25">
      <c r="A22" s="33" t="s">
        <v>239</v>
      </c>
      <c r="B22" s="74" t="str">
        <f>INDEX(QB!E$3:E$76,MATCH(A22,QB!B$3:B$76,0))</f>
        <v>NYG</v>
      </c>
      <c r="C22" s="39">
        <f>INDEX(QB!D$3:D$76,MATCH(A22,QB!B$3:B$76,0))</f>
        <v>8</v>
      </c>
      <c r="D22" s="222" t="str">
        <f>IF(INDEX(Auction!$H$13:$H$672,MATCH(A22,Auction!$A$13:$A$672,0))&gt;0,"x","")</f>
        <v/>
      </c>
      <c r="E22" s="34">
        <f ca="1">INDEX(QB!$Y$3:$Y$76,MATCH(A22,QB!$B$3:$B$76,0))</f>
        <v>15.28100000000002</v>
      </c>
      <c r="F22" s="34" t="str">
        <f ca="1">INDEX(QB!$Z$3:$Z$76,MATCH(A22,QB!$B$3:$B$76,0))</f>
        <v>QB4</v>
      </c>
      <c r="G22" s="50">
        <f ca="1">IF(D22="",IFERROR(E22/(SUMIFS($E$5:$E$34,$E$5:$E$34,"&gt;0",$D$5:$D$34,"")),1),0)</f>
        <v>2.0385838105948753E-2</v>
      </c>
      <c r="H22" s="41">
        <f ca="1">IF(LeagueInfo!$H$7="Starter/Bench",INDEX(QB!$S$3:$S$76,MATCH(A22,QB!$B$3:$B$76,0))*InflationPct,INDEX(QB!$AA$3:$AA$76,MATCH(A22,QB!$B$3:$B$76,0))*InflationPct)</f>
        <v>7.3194721414719019</v>
      </c>
      <c r="I22" s="32"/>
      <c r="J22" s="60" t="s">
        <v>141</v>
      </c>
      <c r="K22" s="69" t="str">
        <f>INDEX(RB!$E$3:$E$173,MATCH(J22,RB!$B$3:$B$173,0))</f>
        <v>NO</v>
      </c>
      <c r="L22" s="61">
        <f>INDEX(RB!$D$3:$D$173,MATCH(J22,RB!$B$3:$B$173,0))</f>
        <v>5</v>
      </c>
      <c r="M22" s="223" t="str">
        <f>IF(INDEX(Auction!$H$13:$H$672,MATCH(J22,Auction!$A$13:$A$672,0))&gt;0,"x","")</f>
        <v/>
      </c>
      <c r="N22" s="56">
        <f ca="1">INDEX(RB!Y$3:Y$173,MATCH(J22,RB!$B$3:$B$173,0))</f>
        <v>53.06</v>
      </c>
      <c r="O22" s="56" t="str">
        <f ca="1">INDEX(RB!Z$3:Z$173,MATCH(J22,RB!$B$3:$B$173,0))</f>
        <v>RB8</v>
      </c>
      <c r="P22" s="62">
        <f ca="1">IF(M22="",IFERROR(N22/(SUMIFS($N$5:$N$64,$N$5:$N$64,"&gt;0",$M$5:$M$64,"")),1),0)</f>
        <v>2.1806539907077663E-2</v>
      </c>
      <c r="Q22" s="63">
        <f ca="1">IF(LeagueInfo!$H$7="Starter/Bench",INDEX(RB!$S$3:$S$174,MATCH(J22,RB!$B$3:$B$174,0))*InflationPct,INDEX(RB!$AA$3:$AA$174,MATCH(J22,RB!$B$3:$B$174,0))*InflationPct)</f>
        <v>24.298623994831708</v>
      </c>
      <c r="S22" s="94" t="s">
        <v>549</v>
      </c>
      <c r="T22" s="95" t="str">
        <f>INDEX(WR!$E$1:$E$184,MATCH(S22,WR!$B$1:$B$184,0))</f>
        <v>WAS</v>
      </c>
      <c r="U22" s="96">
        <f>INDEX(WR!$D$1:$D$184,MATCH(S22,WR!$B$1:$B$184,0))</f>
        <v>5</v>
      </c>
      <c r="V22" s="225" t="str">
        <f>IF(INDEX(Auction!$H$13:$H$672,MATCH(S22,Auction!$A$13:$A$672,0))&gt;0,"x","")</f>
        <v/>
      </c>
      <c r="W22" s="34">
        <f ca="1">INDEX(WR!Y$3:Y$184,MATCH(S22,WR!$B$3:$B$184,0))</f>
        <v>28.65</v>
      </c>
      <c r="X22" s="34" t="str">
        <f ca="1">INDEX(WR!Z$3:Z$184,MATCH(S22,WR!$B$3:$B$184,0))</f>
        <v>WR6</v>
      </c>
      <c r="Y22" s="49">
        <f ca="1">IF(V22="",IFERROR(W22/(SUMIFS($W$5:$W$64,$W$5:$W$64,"&gt;0",$V$5:$V$64,"")),1),0)</f>
        <v>1.8858733930581444E-2</v>
      </c>
      <c r="Z22" s="41">
        <f ca="1">IF(LeagueInfo!$H$7="Starter/Bench",INDEX(WR!$S$3:$S$184,MATCH(S22,WR!$B$3:$B$184,0))*InflationPct,INDEX(WR!$AA$3:$AA$184,MATCH(S22,WR!$B$3:$B$184,0))*InflationPct)</f>
        <v>13.231303331239896</v>
      </c>
      <c r="AB22" s="94">
        <f t="shared" ca="1" si="1"/>
        <v>18</v>
      </c>
      <c r="AC22" s="136" t="str">
        <f t="shared" ca="1" si="2"/>
        <v>Tom Brady</v>
      </c>
      <c r="AD22" s="136" t="str">
        <f t="shared" ref="AD22:AD64" ca="1" si="3">IF(IFERROR(INDEX($S$5:$S$64,MATCH($AC22,$S$5:$S$64,0)),0)&lt;&gt;0,"WR",IF(IFERROR(INDEX($J$5:$J$64,MATCH($AC22,$J$5:$J$64,0)),0)&lt;&gt;0,"RB",IF(IFERROR(INDEX($A$5:$A$34,MATCH($AC22,$A$5:$A$34,0)),0)&lt;&gt;0,"QB",IF(IFERROR(INDEX($A$37:$A$64,MATCH($AC22,$A$37:$A$64,0)),0)&lt;&gt;0,"TE"))))</f>
        <v>QB</v>
      </c>
      <c r="AE22" s="139">
        <f ca="1">LARGE(($E$5:$E$34,$E$37:$E$64,$N$5:$N$64,$W$5:$W$64),ROW(AE22)-4)</f>
        <v>76.455999999999975</v>
      </c>
    </row>
    <row r="23" spans="1:31" x14ac:dyDescent="0.25">
      <c r="A23" s="33" t="s">
        <v>251</v>
      </c>
      <c r="B23" s="74" t="str">
        <f>INDEX(QB!E$3:E$76,MATCH(A23,QB!B$3:B$76,0))</f>
        <v>PHI</v>
      </c>
      <c r="C23" s="39">
        <f>INDEX(QB!D$3:D$76,MATCH(A23,QB!B$3:B$76,0))</f>
        <v>10</v>
      </c>
      <c r="D23" s="222" t="str">
        <f>IF(INDEX(Auction!$H$13:$H$672,MATCH(A23,Auction!$A$13:$A$672,0))&gt;0,"x","")</f>
        <v/>
      </c>
      <c r="E23" s="34">
        <f ca="1">INDEX(QB!$Y$3:$Y$76,MATCH(A23,QB!$B$3:$B$76,0))</f>
        <v>13.153999999999996</v>
      </c>
      <c r="F23" s="34" t="str">
        <f ca="1">INDEX(QB!$Z$3:$Z$76,MATCH(A23,QB!$B$3:$B$76,0))</f>
        <v>QB4</v>
      </c>
      <c r="G23" s="50">
        <f ca="1">IF(D23="",IFERROR(E23/(SUMIFS($E$5:$E$34,$E$5:$E$34,"&gt;0",$D$5:$D$34,"")),1),0)</f>
        <v>1.754828312581961E-2</v>
      </c>
      <c r="H23" s="41">
        <f ca="1">IF(LeagueInfo!$H$7="Starter/Bench",INDEX(QB!$S$3:$S$76,MATCH(A23,QB!$B$3:$B$76,0))*InflationPct,INDEX(QB!$AA$3:$AA$76,MATCH(A23,QB!$B$3:$B$76,0))*InflationPct)</f>
        <v>6.3006567992226454</v>
      </c>
      <c r="I23" s="32"/>
      <c r="J23" s="60" t="s">
        <v>187</v>
      </c>
      <c r="K23" s="69" t="str">
        <f>INDEX(RB!$E$3:$E$173,MATCH(J23,RB!$B$3:$B$173,0))</f>
        <v>KC</v>
      </c>
      <c r="L23" s="61">
        <f>INDEX(RB!$D$3:$D$173,MATCH(J23,RB!$B$3:$B$173,0))</f>
        <v>10</v>
      </c>
      <c r="M23" s="223" t="str">
        <f>IF(INDEX(Auction!$H$13:$H$672,MATCH(J23,Auction!$A$13:$A$672,0))&gt;0,"x","")</f>
        <v/>
      </c>
      <c r="N23" s="56">
        <f ca="1">INDEX(RB!Y$3:Y$173,MATCH(J23,RB!$B$3:$B$173,0))</f>
        <v>51.389999999999986</v>
      </c>
      <c r="O23" s="56" t="str">
        <f ca="1">INDEX(RB!Z$3:Z$173,MATCH(J23,RB!$B$3:$B$173,0))</f>
        <v>RB8</v>
      </c>
      <c r="P23" s="62">
        <f ca="1">IF(M23="",IFERROR(N23/(SUMIFS($N$5:$N$64,$N$5:$N$64,"&gt;0",$M$5:$M$64,"")),1),0)</f>
        <v>2.1120205160661907E-2</v>
      </c>
      <c r="Q23" s="63">
        <f ca="1">IF(LeagueInfo!$H$7="Starter/Bench",INDEX(RB!$S$3:$S$174,MATCH(J23,RB!$B$3:$B$174,0))*InflationPct,INDEX(RB!$AA$3:$AA$174,MATCH(J23,RB!$B$3:$B$174,0))*InflationPct)</f>
        <v>23.569026414953033</v>
      </c>
      <c r="S23" s="94" t="s">
        <v>146</v>
      </c>
      <c r="T23" s="95" t="str">
        <f>INDEX(WR!$E$1:$E$184,MATCH(S23,WR!$B$1:$B$184,0))</f>
        <v>KC</v>
      </c>
      <c r="U23" s="96">
        <f>INDEX(WR!$D$1:$D$184,MATCH(S23,WR!$B$1:$B$184,0))</f>
        <v>10</v>
      </c>
      <c r="V23" s="225" t="str">
        <f>IF(INDEX(Auction!$H$13:$H$672,MATCH(S23,Auction!$A$13:$A$672,0))&gt;0,"x","")</f>
        <v/>
      </c>
      <c r="W23" s="34">
        <f ca="1">INDEX(WR!Y$3:Y$184,MATCH(S23,WR!$B$3:$B$184,0))</f>
        <v>26.790000000000013</v>
      </c>
      <c r="X23" s="34" t="str">
        <f ca="1">INDEX(WR!Z$3:Z$184,MATCH(S23,WR!$B$3:$B$184,0))</f>
        <v>WR6</v>
      </c>
      <c r="Y23" s="49">
        <f ca="1">IF(V23="",IFERROR(W23/(SUMIFS($W$5:$W$64,$W$5:$W$64,"&gt;0",$V$5:$V$64,"")),1),0)</f>
        <v>1.7634397277496584E-2</v>
      </c>
      <c r="Z23" s="41">
        <f ca="1">IF(LeagueInfo!$H$7="Starter/Bench",INDEX(WR!$S$3:$S$184,MATCH(S23,WR!$B$3:$B$184,0))*InflationPct,INDEX(WR!$AA$3:$AA$184,MATCH(S23,WR!$B$3:$B$184,0))*InflationPct)</f>
        <v>12.418697643470844</v>
      </c>
      <c r="AB23" s="94">
        <f t="shared" ca="1" si="1"/>
        <v>19</v>
      </c>
      <c r="AC23" s="136" t="str">
        <f t="shared" ca="1" si="2"/>
        <v>Leonard Fournette</v>
      </c>
      <c r="AD23" s="136" t="str">
        <f t="shared" ca="1" si="3"/>
        <v>RB</v>
      </c>
      <c r="AE23" s="139">
        <f ca="1">LARGE(($E$5:$E$34,$E$37:$E$64,$N$5:$N$64,$W$5:$W$64),ROW(AE23)-4)</f>
        <v>76.449999999999989</v>
      </c>
    </row>
    <row r="24" spans="1:31" x14ac:dyDescent="0.25">
      <c r="A24" s="33" t="s">
        <v>253</v>
      </c>
      <c r="B24" s="74" t="str">
        <f>INDEX(QB!E$3:E$76,MATCH(A24,QB!B$3:B$76,0))</f>
        <v>ARI</v>
      </c>
      <c r="C24" s="39">
        <f>INDEX(QB!D$3:D$76,MATCH(A24,QB!B$3:B$76,0))</f>
        <v>8</v>
      </c>
      <c r="D24" s="222" t="str">
        <f>IF(INDEX(Auction!$H$13:$H$672,MATCH(A24,Auction!$A$13:$A$672,0))&gt;0,"x","")</f>
        <v/>
      </c>
      <c r="E24" s="34">
        <f ca="1">INDEX(QB!$Y$3:$Y$76,MATCH(A24,QB!$B$3:$B$76,0))</f>
        <v>11.84899999999999</v>
      </c>
      <c r="F24" s="34" t="str">
        <f ca="1">INDEX(QB!$Z$3:$Z$76,MATCH(A24,QB!$B$3:$B$76,0))</f>
        <v>QB4</v>
      </c>
      <c r="G24" s="50">
        <f ca="1">IF(D24="",IFERROR(E24/(SUMIFS($E$5:$E$34,$E$5:$E$34,"&gt;0",$D$5:$D$34,"")),1),0)</f>
        <v>1.5807329083004137E-2</v>
      </c>
      <c r="H24" s="41">
        <f ca="1">IF(LeagueInfo!$H$7="Starter/Bench",INDEX(QB!$S$3:$S$76,MATCH(A24,QB!$B$3:$B$76,0))*InflationPct,INDEX(QB!$AA$3:$AA$76,MATCH(A24,QB!$B$3:$B$76,0))*InflationPct)</f>
        <v>5.6755726329625276</v>
      </c>
      <c r="I24" s="32"/>
      <c r="J24" s="60" t="s">
        <v>137</v>
      </c>
      <c r="K24" s="69" t="str">
        <f>INDEX(RB!$E$3:$E$173,MATCH(J24,RB!$B$3:$B$173,0))</f>
        <v>SF</v>
      </c>
      <c r="L24" s="61">
        <f>INDEX(RB!$D$3:$D$173,MATCH(J24,RB!$B$3:$B$173,0))</f>
        <v>11</v>
      </c>
      <c r="M24" s="223" t="str">
        <f>IF(INDEX(Auction!$H$13:$H$672,MATCH(J24,Auction!$A$13:$A$672,0))&gt;0,"x","")</f>
        <v/>
      </c>
      <c r="N24" s="56">
        <f ca="1">INDEX(RB!Y$3:Y$173,MATCH(J24,RB!$B$3:$B$173,0))</f>
        <v>51.169999999999987</v>
      </c>
      <c r="O24" s="56" t="str">
        <f ca="1">INDEX(RB!Z$3:Z$173,MATCH(J24,RB!$B$3:$B$173,0))</f>
        <v>RB8</v>
      </c>
      <c r="P24" s="62">
        <f ca="1">IF(M24="",IFERROR(N24/(SUMIFS($N$5:$N$64,$N$5:$N$64,"&gt;0",$M$5:$M$64,"")),1),0)</f>
        <v>2.1029789804846658E-2</v>
      </c>
      <c r="Q24" s="63">
        <f ca="1">IF(LeagueInfo!$H$7="Starter/Bench",INDEX(RB!$S$3:$S$174,MATCH(J24,RB!$B$3:$B$174,0))*InflationPct,INDEX(RB!$AA$3:$AA$174,MATCH(J24,RB!$B$3:$B$174,0))*InflationPct)</f>
        <v>23.472911763711529</v>
      </c>
      <c r="S24" s="94" t="s">
        <v>138</v>
      </c>
      <c r="T24" s="95" t="str">
        <f>INDEX(WR!$E$1:$E$184,MATCH(S24,WR!$B$1:$B$184,0))</f>
        <v>GB</v>
      </c>
      <c r="U24" s="96">
        <f>INDEX(WR!$D$1:$D$184,MATCH(S24,WR!$B$1:$B$184,0))</f>
        <v>8</v>
      </c>
      <c r="V24" s="225" t="str">
        <f>IF(INDEX(Auction!$H$13:$H$672,MATCH(S24,Auction!$A$13:$A$672,0))&gt;0,"x","")</f>
        <v/>
      </c>
      <c r="W24" s="34">
        <f ca="1">INDEX(WR!Y$3:Y$184,MATCH(S24,WR!$B$3:$B$184,0))</f>
        <v>26.609999999999978</v>
      </c>
      <c r="X24" s="34" t="str">
        <f ca="1">INDEX(WR!Z$3:Z$184,MATCH(S24,WR!$B$3:$B$184,0))</f>
        <v>WR6</v>
      </c>
      <c r="Y24" s="49">
        <f ca="1">IF(V24="",IFERROR(W24/(SUMIFS($W$5:$W$64,$W$5:$W$64,"&gt;0",$V$5:$V$64,"")),1),0)</f>
        <v>1.7515913085262541E-2</v>
      </c>
      <c r="Z24" s="41">
        <f ca="1">IF(LeagueInfo!$H$7="Starter/Bench",INDEX(WR!$S$3:$S$184,MATCH(S24,WR!$B$3:$B$184,0))*InflationPct,INDEX(WR!$AA$3:$AA$184,MATCH(S24,WR!$B$3:$B$184,0))*InflationPct)</f>
        <v>12.340058383364147</v>
      </c>
      <c r="AB24" s="94">
        <f t="shared" ca="1" si="1"/>
        <v>20</v>
      </c>
      <c r="AC24" s="136" t="str">
        <f t="shared" ca="1" si="2"/>
        <v>Ezekiel Elliott</v>
      </c>
      <c r="AD24" s="136" t="str">
        <f t="shared" ca="1" si="3"/>
        <v>RB</v>
      </c>
      <c r="AE24" s="139">
        <f ca="1">LARGE(($E$5:$E$34,$E$37:$E$64,$N$5:$N$64,$W$5:$W$64),ROW(AE24)-4)</f>
        <v>73.150000000000006</v>
      </c>
    </row>
    <row r="25" spans="1:31" x14ac:dyDescent="0.25">
      <c r="A25" s="33" t="s">
        <v>229</v>
      </c>
      <c r="B25" s="74" t="str">
        <f>INDEX(QB!E$3:E$76,MATCH(A25,QB!B$3:B$76,0))</f>
        <v>BAL</v>
      </c>
      <c r="C25" s="39">
        <f>INDEX(QB!D$3:D$76,MATCH(A25,QB!B$3:B$76,0))</f>
        <v>10</v>
      </c>
      <c r="D25" s="222" t="str">
        <f>IF(INDEX(Auction!$H$13:$H$672,MATCH(A25,Auction!$A$13:$A$672,0))&gt;0,"x","")</f>
        <v/>
      </c>
      <c r="E25" s="34">
        <f ca="1">INDEX(QB!$Y$3:$Y$76,MATCH(A25,QB!$B$3:$B$76,0))</f>
        <v>8.8789999999999907</v>
      </c>
      <c r="F25" s="34" t="str">
        <f ca="1">INDEX(QB!$Z$3:$Z$76,MATCH(A25,QB!$B$3:$B$76,0))</f>
        <v>QB4</v>
      </c>
      <c r="G25" s="50">
        <f ca="1">IF(D25="",IFERROR(E25/(SUMIFS($E$5:$E$34,$E$5:$E$34,"&gt;0",$D$5:$D$34,"")),1),0)</f>
        <v>1.1845157813148259E-2</v>
      </c>
      <c r="H25" s="41">
        <f ca="1">IF(LeagueInfo!$H$7="Starter/Bench",INDEX(QB!$S$3:$S$76,MATCH(A25,QB!$B$3:$B$76,0))*InflationPct,INDEX(QB!$AA$3:$AA$76,MATCH(A25,QB!$B$3:$B$76,0))*InflationPct)</f>
        <v>4.2529672890601971</v>
      </c>
      <c r="I25" s="26"/>
      <c r="J25" s="60" t="s">
        <v>128</v>
      </c>
      <c r="K25" s="69" t="str">
        <f>INDEX(RB!$E$3:$E$173,MATCH(J25,RB!$B$3:$B$173,0))</f>
        <v>CIN</v>
      </c>
      <c r="L25" s="61">
        <f>INDEX(RB!$D$3:$D$173,MATCH(J25,RB!$B$3:$B$173,0))</f>
        <v>6</v>
      </c>
      <c r="M25" s="223" t="str">
        <f>IF(INDEX(Auction!$H$13:$H$672,MATCH(J25,Auction!$A$13:$A$672,0))&gt;0,"x","")</f>
        <v/>
      </c>
      <c r="N25" s="56">
        <f ca="1">INDEX(RB!Y$3:Y$173,MATCH(J25,RB!$B$3:$B$173,0))</f>
        <v>49.75</v>
      </c>
      <c r="O25" s="56" t="str">
        <f ca="1">INDEX(RB!Z$3:Z$173,MATCH(J25,RB!$B$3:$B$173,0))</f>
        <v>RB8</v>
      </c>
      <c r="P25" s="62">
        <f ca="1">IF(M25="",IFERROR(N25/(SUMIFS($N$5:$N$64,$N$5:$N$64,"&gt;0",$M$5:$M$64,"")),1),0)</f>
        <v>2.0446199780948242E-2</v>
      </c>
      <c r="Q25" s="63">
        <f ca="1">IF(LeagueInfo!$H$7="Starter/Bench",INDEX(RB!$S$3:$S$174,MATCH(J25,RB!$B$3:$B$174,0))*InflationPct,INDEX(RB!$AA$3:$AA$174,MATCH(J25,RB!$B$3:$B$174,0))*InflationPct)</f>
        <v>22.852535378425483</v>
      </c>
      <c r="S25" s="94" t="s">
        <v>169</v>
      </c>
      <c r="T25" s="95" t="str">
        <f>INDEX(WR!$E$1:$E$184,MATCH(S25,WR!$B$1:$B$184,0))</f>
        <v>DET</v>
      </c>
      <c r="U25" s="96">
        <f>INDEX(WR!$D$1:$D$184,MATCH(S25,WR!$B$1:$B$184,0))</f>
        <v>7</v>
      </c>
      <c r="V25" s="225" t="str">
        <f>IF(INDEX(Auction!$H$13:$H$672,MATCH(S25,Auction!$A$13:$A$672,0))&gt;0,"x","")</f>
        <v/>
      </c>
      <c r="W25" s="34">
        <f ca="1">INDEX(WR!Y$3:Y$184,MATCH(S25,WR!$B$3:$B$184,0))</f>
        <v>26.319999999999986</v>
      </c>
      <c r="X25" s="34" t="str">
        <f ca="1">INDEX(WR!Z$3:Z$184,MATCH(S25,WR!$B$3:$B$184,0))</f>
        <v>WR6</v>
      </c>
      <c r="Y25" s="49">
        <f ca="1">IF(V25="",IFERROR(W25/(SUMIFS($W$5:$W$64,$W$5:$W$64,"&gt;0",$V$5:$V$64,"")),1),0)</f>
        <v>1.7325021886663294E-2</v>
      </c>
      <c r="Z25" s="41">
        <f ca="1">IF(LeagueInfo!$H$7="Starter/Bench",INDEX(WR!$S$3:$S$184,MATCH(S25,WR!$B$3:$B$184,0))*InflationPct,INDEX(WR!$AA$3:$AA$184,MATCH(S25,WR!$B$3:$B$184,0))*InflationPct)</f>
        <v>12.213361797636717</v>
      </c>
      <c r="AB25" s="94">
        <f t="shared" ca="1" si="1"/>
        <v>21</v>
      </c>
      <c r="AC25" s="136" t="str">
        <f t="shared" ca="1" si="2"/>
        <v>Drew Brees</v>
      </c>
      <c r="AD25" s="136" t="str">
        <f t="shared" ca="1" si="3"/>
        <v>QB</v>
      </c>
      <c r="AE25" s="139">
        <f ca="1">LARGE(($E$5:$E$34,$E$37:$E$64,$N$5:$N$64,$W$5:$W$64),ROW(AE25)-4)</f>
        <v>67.575999999999979</v>
      </c>
    </row>
    <row r="26" spans="1:31" x14ac:dyDescent="0.25">
      <c r="A26" s="33" t="s">
        <v>245</v>
      </c>
      <c r="B26" s="74" t="str">
        <f>INDEX(QB!E$3:E$76,MATCH(A26,QB!B$3:B$76,0))</f>
        <v>KC</v>
      </c>
      <c r="C26" s="39">
        <f>INDEX(QB!D$3:D$76,MATCH(A26,QB!B$3:B$76,0))</f>
        <v>10</v>
      </c>
      <c r="D26" s="222" t="str">
        <f>IF(INDEX(Auction!$H$13:$H$672,MATCH(A26,Auction!$A$13:$A$672,0))&gt;0,"x","")</f>
        <v/>
      </c>
      <c r="E26" s="34">
        <f ca="1">INDEX(QB!$Y$3:$Y$76,MATCH(A26,QB!$B$3:$B$76,0))</f>
        <v>3.3440000000000083</v>
      </c>
      <c r="F26" s="34" t="str">
        <f ca="1">INDEX(QB!$Z$3:$Z$76,MATCH(A26,QB!$B$3:$B$76,0))</f>
        <v>QB4</v>
      </c>
      <c r="G26" s="50">
        <f ca="1">IF(D26="",IFERROR(E26/(SUMIFS($E$5:$E$34,$E$5:$E$34,"&gt;0",$D$5:$D$34,"")),1),0)</f>
        <v>4.4611113556895952E-3</v>
      </c>
      <c r="H26" s="41">
        <f ca="1">IF(LeagueInfo!$H$7="Starter/Bench",INDEX(QB!$S$3:$S$76,MATCH(A26,QB!$B$3:$B$76,0))*InflationPct,INDEX(QB!$AA$3:$AA$76,MATCH(A26,QB!$B$3:$B$76,0))*InflationPct)</f>
        <v>1.6017482390604063</v>
      </c>
      <c r="I26" s="26"/>
      <c r="J26" s="60" t="s">
        <v>180</v>
      </c>
      <c r="K26" s="69" t="str">
        <f>INDEX(RB!$E$3:$E$173,MATCH(J26,RB!$B$3:$B$173,0))</f>
        <v>NYJ</v>
      </c>
      <c r="L26" s="61">
        <f>INDEX(RB!$D$3:$D$173,MATCH(J26,RB!$B$3:$B$173,0))</f>
        <v>11</v>
      </c>
      <c r="M26" s="223" t="str">
        <f>IF(INDEX(Auction!$H$13:$H$672,MATCH(J26,Auction!$A$13:$A$672,0))&gt;0,"x","")</f>
        <v/>
      </c>
      <c r="N26" s="56">
        <f ca="1">INDEX(RB!Y$3:Y$173,MATCH(J26,RB!$B$3:$B$173,0))</f>
        <v>48.16</v>
      </c>
      <c r="O26" s="56" t="str">
        <f ca="1">INDEX(RB!Z$3:Z$173,MATCH(J26,RB!$B$3:$B$173,0))</f>
        <v>RB8</v>
      </c>
      <c r="P26" s="62">
        <f ca="1">IF(M26="",IFERROR(N26/(SUMIFS($N$5:$N$64,$N$5:$N$64,"&gt;0",$M$5:$M$64,"")),1),0)</f>
        <v>1.9792743345738037E-2</v>
      </c>
      <c r="Q26" s="63">
        <f ca="1">IF(LeagueInfo!$H$7="Starter/Bench",INDEX(RB!$S$3:$S$174,MATCH(J26,RB!$B$3:$B$174,0))*InflationPct,INDEX(RB!$AA$3:$AA$174,MATCH(J26,RB!$B$3:$B$174,0))*InflationPct)</f>
        <v>22.157888580816447</v>
      </c>
      <c r="S26" s="94" t="s">
        <v>167</v>
      </c>
      <c r="T26" s="95" t="str">
        <f>INDEX(WR!$E$1:$E$184,MATCH(S26,WR!$B$1:$B$184,0))</f>
        <v>CAR</v>
      </c>
      <c r="U26" s="96">
        <f>INDEX(WR!$D$1:$D$184,MATCH(S26,WR!$B$1:$B$184,0))</f>
        <v>11</v>
      </c>
      <c r="V26" s="225" t="str">
        <f>IF(INDEX(Auction!$H$13:$H$672,MATCH(S26,Auction!$A$13:$A$672,0))&gt;0,"x","")</f>
        <v/>
      </c>
      <c r="W26" s="34">
        <f ca="1">INDEX(WR!Y$3:Y$184,MATCH(S26,WR!$B$3:$B$184,0))</f>
        <v>26.089999999999968</v>
      </c>
      <c r="X26" s="34" t="str">
        <f ca="1">INDEX(WR!Z$3:Z$184,MATCH(S26,WR!$B$3:$B$184,0))</f>
        <v>WR6</v>
      </c>
      <c r="Y26" s="49">
        <f ca="1">IF(V26="",IFERROR(W26/(SUMIFS($W$5:$W$64,$W$5:$W$64,"&gt;0",$V$5:$V$64,"")),1),0)</f>
        <v>1.7173625418808701E-2</v>
      </c>
      <c r="Z26" s="41">
        <f ca="1">IF(LeagueInfo!$H$7="Starter/Bench",INDEX(WR!$S$3:$S$184,MATCH(S26,WR!$B$3:$B$184,0))*InflationPct,INDEX(WR!$AA$3:$AA$184,MATCH(S26,WR!$B$3:$B$184,0))*InflationPct)</f>
        <v>12.112878298611502</v>
      </c>
      <c r="AB26" s="94">
        <f t="shared" ca="1" si="1"/>
        <v>22</v>
      </c>
      <c r="AC26" s="136" t="str">
        <f t="shared" ca="1" si="2"/>
        <v>A.J. Green</v>
      </c>
      <c r="AD26" s="136" t="str">
        <f t="shared" ca="1" si="3"/>
        <v>WR</v>
      </c>
      <c r="AE26" s="139">
        <f ca="1">LARGE(($E$5:$E$34,$E$37:$E$64,$N$5:$N$64,$W$5:$W$64),ROW(AE26)-4)</f>
        <v>66.480000000000018</v>
      </c>
    </row>
    <row r="27" spans="1:31" x14ac:dyDescent="0.25">
      <c r="A27" s="33" t="s">
        <v>260</v>
      </c>
      <c r="B27" s="74" t="str">
        <f>INDEX(QB!E$3:E$76,MATCH(A27,QB!B$3:B$76,0))</f>
        <v>MIN</v>
      </c>
      <c r="C27" s="39">
        <f>INDEX(QB!D$3:D$76,MATCH(A27,QB!B$3:B$76,0))</f>
        <v>9</v>
      </c>
      <c r="D27" s="222" t="str">
        <f>IF(INDEX(Auction!$H$13:$H$672,MATCH(A27,Auction!$A$13:$A$672,0))&gt;0,"x","")</f>
        <v/>
      </c>
      <c r="E27" s="34">
        <f ca="1">INDEX(QB!$Y$3:$Y$76,MATCH(A27,QB!$B$3:$B$76,0))</f>
        <v>0</v>
      </c>
      <c r="F27" s="34" t="str">
        <f ca="1">INDEX(QB!$Z$3:$Z$76,MATCH(A27,QB!$B$3:$B$76,0))</f>
        <v>QB4</v>
      </c>
      <c r="G27" s="50">
        <f ca="1">IF(D27="",IFERROR(E27/(SUMIFS($E$5:$E$34,$E$5:$E$34,"&gt;0",$D$5:$D$34,"")),1),0)</f>
        <v>0</v>
      </c>
      <c r="H27" s="41">
        <f ca="1">IF(LeagueInfo!$H$7="Starter/Bench",INDEX(QB!$S$3:$S$76,MATCH(A27,QB!$B$3:$B$76,0))*InflationPct,INDEX(QB!$AA$3:$AA$76,MATCH(A27,QB!$B$3:$B$76,0))*InflationPct)</f>
        <v>0</v>
      </c>
      <c r="I27" s="32"/>
      <c r="J27" s="60" t="s">
        <v>159</v>
      </c>
      <c r="K27" s="69" t="str">
        <f>INDEX(RB!$E$3:$E$173,MATCH(J27,RB!$B$3:$B$173,0))</f>
        <v>ATL</v>
      </c>
      <c r="L27" s="61">
        <f>INDEX(RB!$D$3:$D$173,MATCH(J27,RB!$B$3:$B$173,0))</f>
        <v>5</v>
      </c>
      <c r="M27" s="223" t="str">
        <f>IF(INDEX(Auction!$H$13:$H$672,MATCH(J27,Auction!$A$13:$A$672,0))&gt;0,"x","")</f>
        <v/>
      </c>
      <c r="N27" s="56">
        <f ca="1">INDEX(RB!Y$3:Y$173,MATCH(J27,RB!$B$3:$B$173,0))</f>
        <v>41.129999999999995</v>
      </c>
      <c r="O27" s="56" t="str">
        <f ca="1">INDEX(RB!Z$3:Z$173,MATCH(J27,RB!$B$3:$B$173,0))</f>
        <v>RB8</v>
      </c>
      <c r="P27" s="62">
        <f ca="1">IF(M27="",IFERROR(N27/(SUMIFS($N$5:$N$64,$N$5:$N$64,"&gt;0",$M$5:$M$64,"")),1),0)</f>
        <v>1.6903561748550778E-2</v>
      </c>
      <c r="Q27" s="63">
        <f ca="1">IF(LeagueInfo!$H$7="Starter/Bench",INDEX(RB!$S$3:$S$174,MATCH(J27,RB!$B$3:$B$174,0))*InflationPct,INDEX(RB!$AA$3:$AA$174,MATCH(J27,RB!$B$3:$B$174,0))*InflationPct)</f>
        <v>19.086588588872111</v>
      </c>
      <c r="S27" s="94" t="s">
        <v>154</v>
      </c>
      <c r="T27" s="95" t="str">
        <f>INDEX(WR!$E$1:$E$184,MATCH(S27,WR!$B$1:$B$184,0))</f>
        <v>DEN</v>
      </c>
      <c r="U27" s="96">
        <f>INDEX(WR!$D$1:$D$184,MATCH(S27,WR!$B$1:$B$184,0))</f>
        <v>5</v>
      </c>
      <c r="V27" s="225" t="str">
        <f>IF(INDEX(Auction!$H$13:$H$672,MATCH(S27,Auction!$A$13:$A$672,0))&gt;0,"x","")</f>
        <v/>
      </c>
      <c r="W27" s="34">
        <f ca="1">INDEX(WR!Y$3:Y$184,MATCH(S27,WR!$B$3:$B$184,0))</f>
        <v>25.4</v>
      </c>
      <c r="X27" s="34" t="str">
        <f ca="1">INDEX(WR!Z$3:Z$184,MATCH(S27,WR!$B$3:$B$184,0))</f>
        <v>WR6</v>
      </c>
      <c r="Y27" s="49">
        <f ca="1">IF(V27="",IFERROR(W27/(SUMIFS($W$5:$W$64,$W$5:$W$64,"&gt;0",$V$5:$V$64,"")),1),0)</f>
        <v>1.671943601524498E-2</v>
      </c>
      <c r="Z27" s="41">
        <f ca="1">IF(LeagueInfo!$H$7="Starter/Bench",INDEX(WR!$S$3:$S$184,MATCH(S27,WR!$B$3:$B$184,0))*InflationPct,INDEX(WR!$AA$3:$AA$184,MATCH(S27,WR!$B$3:$B$184,0))*InflationPct)</f>
        <v>11.811427801535899</v>
      </c>
      <c r="AB27" s="94">
        <f t="shared" ca="1" si="1"/>
        <v>23</v>
      </c>
      <c r="AC27" s="136" t="str">
        <f t="shared" ca="1" si="2"/>
        <v>Isaiah Crowell</v>
      </c>
      <c r="AD27" s="136" t="str">
        <f t="shared" ca="1" si="3"/>
        <v>RB</v>
      </c>
      <c r="AE27" s="139">
        <f ca="1">LARGE(($E$5:$E$34,$E$37:$E$64,$N$5:$N$64,$W$5:$W$64),ROW(AE27)-4)</f>
        <v>65.819999999999993</v>
      </c>
    </row>
    <row r="28" spans="1:31" x14ac:dyDescent="0.25">
      <c r="A28" s="33" t="s">
        <v>896</v>
      </c>
      <c r="B28" s="74" t="str">
        <f>INDEX(QB!E$3:E$76,MATCH(A28,QB!B$3:B$76,0))</f>
        <v>MIA</v>
      </c>
      <c r="C28" s="129">
        <f>INDEX(QB!D$3:D$76,MATCH(A28,QB!B$3:B$76,0))</f>
        <v>11</v>
      </c>
      <c r="D28" s="222" t="str">
        <f>IF(INDEX(Auction!$H$13:$H$672,MATCH(A28,Auction!$A$13:$A$672,0))&gt;0,"x","")</f>
        <v/>
      </c>
      <c r="E28" s="34">
        <f ca="1">INDEX(QB!$Y$3:$Y$76,MATCH(A28,QB!$B$3:$B$76,0))</f>
        <v>-3.9740000000000038</v>
      </c>
      <c r="F28" s="34" t="str">
        <f ca="1">INDEX(QB!$Z$3:$Z$76,MATCH(A28,QB!$B$3:$B$76,0))</f>
        <v>QB4</v>
      </c>
      <c r="G28" s="50">
        <f ca="1">IF(D28="",IFERROR(E28/(SUMIFS($E$5:$E$34,$E$5:$E$34,"&gt;0",$D$5:$D$34,"")),1),0)</f>
        <v>-5.301571928083261E-3</v>
      </c>
      <c r="H28" s="41">
        <f ca="1">IF(LeagueInfo!$H$7="Starter/Bench",INDEX(QB!$S$3:$S$76,MATCH(A28,QB!$B$3:$B$76,0))*InflationPct,INDEX(QB!$AA$3:$AA$76,MATCH(A28,QB!$B$3:$B$76,0))*InflationPct)</f>
        <v>-1.9035130089790804</v>
      </c>
      <c r="I28" s="26"/>
      <c r="J28" s="60" t="s">
        <v>183</v>
      </c>
      <c r="K28" s="69" t="str">
        <f>INDEX(RB!$E$3:$E$173,MATCH(J28,RB!$B$3:$B$173,0))</f>
        <v>DET</v>
      </c>
      <c r="L28" s="61">
        <f>INDEX(RB!$D$3:$D$173,MATCH(J28,RB!$B$3:$B$173,0))</f>
        <v>7</v>
      </c>
      <c r="M28" s="223" t="str">
        <f>IF(INDEX(Auction!$H$13:$H$672,MATCH(J28,Auction!$A$13:$A$672,0))&gt;0,"x","")</f>
        <v/>
      </c>
      <c r="N28" s="56">
        <f ca="1">INDEX(RB!Y$3:Y$173,MATCH(J28,RB!$B$3:$B$173,0))</f>
        <v>40.909999999999997</v>
      </c>
      <c r="O28" s="56" t="str">
        <f ca="1">INDEX(RB!Z$3:Z$173,MATCH(J28,RB!$B$3:$B$173,0))</f>
        <v>RB8</v>
      </c>
      <c r="P28" s="62">
        <f ca="1">IF(M28="",IFERROR(N28/(SUMIFS($N$5:$N$64,$N$5:$N$64,"&gt;0",$M$5:$M$64,"")),1),0)</f>
        <v>1.6813146392735529E-2</v>
      </c>
      <c r="Q28" s="63">
        <f ca="1">IF(LeagueInfo!$H$7="Starter/Bench",INDEX(RB!$S$3:$S$174,MATCH(J28,RB!$B$3:$B$174,0))*InflationPct,INDEX(RB!$AA$3:$AA$174,MATCH(J28,RB!$B$3:$B$174,0))*InflationPct)</f>
        <v>18.990473937630611</v>
      </c>
      <c r="S28" s="94" t="s">
        <v>168</v>
      </c>
      <c r="T28" s="95" t="str">
        <f>INDEX(WR!$E$1:$E$184,MATCH(S28,WR!$B$1:$B$184,0))</f>
        <v>ARI</v>
      </c>
      <c r="U28" s="96">
        <f>INDEX(WR!$D$1:$D$184,MATCH(S28,WR!$B$1:$B$184,0))</f>
        <v>8</v>
      </c>
      <c r="V28" s="225" t="str">
        <f>IF(INDEX(Auction!$H$13:$H$672,MATCH(S28,Auction!$A$13:$A$672,0))&gt;0,"x","")</f>
        <v/>
      </c>
      <c r="W28" s="34">
        <f ca="1">INDEX(WR!Y$3:Y$184,MATCH(S28,WR!$B$3:$B$184,0))</f>
        <v>25.319999999999986</v>
      </c>
      <c r="X28" s="34" t="str">
        <f ca="1">INDEX(WR!Z$3:Z$184,MATCH(S28,WR!$B$3:$B$184,0))</f>
        <v>WR6</v>
      </c>
      <c r="Y28" s="49">
        <f ca="1">IF(V28="",IFERROR(W28/(SUMIFS($W$5:$W$64,$W$5:$W$64,"&gt;0",$V$5:$V$64,"")),1),0)</f>
        <v>1.6666776374252075E-2</v>
      </c>
      <c r="Z28" s="41">
        <f ca="1">IF(LeagueInfo!$H$7="Starter/Bench",INDEX(WR!$S$3:$S$184,MATCH(S28,WR!$B$3:$B$184,0))*InflationPct,INDEX(WR!$AA$3:$AA$184,MATCH(S28,WR!$B$3:$B$184,0))*InflationPct)</f>
        <v>11.776477019266256</v>
      </c>
      <c r="AB28" s="94">
        <f t="shared" ca="1" si="1"/>
        <v>24</v>
      </c>
      <c r="AC28" s="136" t="str">
        <f t="shared" ca="1" si="2"/>
        <v>Marshawn Lynch</v>
      </c>
      <c r="AD28" s="136" t="str">
        <f t="shared" ca="1" si="3"/>
        <v>RB</v>
      </c>
      <c r="AE28" s="139">
        <f ca="1">LARGE(($E$5:$E$34,$E$37:$E$64,$N$5:$N$64,$W$5:$W$64),ROW(AE28)-4)</f>
        <v>62.650000000000006</v>
      </c>
    </row>
    <row r="29" spans="1:31" x14ac:dyDescent="0.25">
      <c r="A29" s="33" t="s">
        <v>269</v>
      </c>
      <c r="B29" s="74" t="str">
        <f>INDEX(QB!E$3:E$76,MATCH(A29,QB!B$3:B$76,0))</f>
        <v>JAC</v>
      </c>
      <c r="C29" s="39">
        <f>INDEX(QB!D$3:D$76,MATCH(A29,QB!B$3:B$76,0))</f>
        <v>8</v>
      </c>
      <c r="D29" s="222" t="str">
        <f>IF(INDEX(Auction!$H$13:$H$672,MATCH(A29,Auction!$A$13:$A$672,0))&gt;0,"x","")</f>
        <v/>
      </c>
      <c r="E29" s="34">
        <f ca="1">INDEX(QB!$Y$3:$Y$76,MATCH(A29,QB!$B$3:$B$76,0))</f>
        <v>-9.2149999999999892</v>
      </c>
      <c r="F29" s="34" t="str">
        <f ca="1">INDEX(QB!$Z$3:$Z$76,MATCH(A29,QB!$B$3:$B$76,0))</f>
        <v>QB4</v>
      </c>
      <c r="G29" s="50">
        <f ca="1">IF(D29="",IFERROR(E29/(SUMIFS($E$5:$E$34,$E$5:$E$34,"&gt;0",$D$5:$D$34,"")),1),0)</f>
        <v>-1.2293403451758216E-2</v>
      </c>
      <c r="H29" s="41">
        <f ca="1">IF(LeagueInfo!$H$7="Starter/Bench",INDEX(QB!$S$3:$S$76,MATCH(A29,QB!$B$3:$B$76,0))*InflationPct,INDEX(QB!$AA$3:$AA$76,MATCH(A29,QB!$B$3:$B$76,0))*InflationPct)</f>
        <v>-4.4139084996834903</v>
      </c>
      <c r="I29" s="30"/>
      <c r="J29" s="60" t="s">
        <v>189</v>
      </c>
      <c r="K29" s="69" t="str">
        <f>INDEX(RB!$E$3:$E$173,MATCH(J29,RB!$B$3:$B$173,0))</f>
        <v>IND</v>
      </c>
      <c r="L29" s="61">
        <f>INDEX(RB!$D$3:$D$173,MATCH(J29,RB!$B$3:$B$173,0))</f>
        <v>11</v>
      </c>
      <c r="M29" s="223" t="str">
        <f>IF(INDEX(Auction!$H$13:$H$672,MATCH(J29,Auction!$A$13:$A$672,0))&gt;0,"x","")</f>
        <v/>
      </c>
      <c r="N29" s="56">
        <f ca="1">INDEX(RB!Y$3:Y$173,MATCH(J29,RB!$B$3:$B$173,0))</f>
        <v>39.130000000000024</v>
      </c>
      <c r="O29" s="56" t="str">
        <f ca="1">INDEX(RB!Z$3:Z$173,MATCH(J29,RB!$B$3:$B$173,0))</f>
        <v>RB8</v>
      </c>
      <c r="P29" s="62">
        <f ca="1">IF(M29="",IFERROR(N29/(SUMIFS($N$5:$N$64,$N$5:$N$64,"&gt;0",$M$5:$M$64,"")),1),0)</f>
        <v>1.6081603968412166E-2</v>
      </c>
      <c r="Q29" s="63">
        <f ca="1">IF(LeagueInfo!$H$7="Starter/Bench",INDEX(RB!$S$3:$S$174,MATCH(J29,RB!$B$3:$B$174,0))*InflationPct,INDEX(RB!$AA$3:$AA$174,MATCH(J29,RB!$B$3:$B$174,0))*InflationPct)</f>
        <v>18.2128190321312</v>
      </c>
      <c r="S29" s="94" t="s">
        <v>131</v>
      </c>
      <c r="T29" s="95" t="str">
        <f>INDEX(WR!$E$1:$E$184,MATCH(S29,WR!$B$1:$B$184,0))</f>
        <v>LAR</v>
      </c>
      <c r="U29" s="96">
        <f>INDEX(WR!$D$1:$D$184,MATCH(S29,WR!$B$1:$B$184,0))</f>
        <v>8</v>
      </c>
      <c r="V29" s="225" t="str">
        <f>IF(INDEX(Auction!$H$13:$H$672,MATCH(S29,Auction!$A$13:$A$672,0))&gt;0,"x","")</f>
        <v/>
      </c>
      <c r="W29" s="34">
        <f ca="1">INDEX(WR!Y$3:Y$184,MATCH(S29,WR!$B$3:$B$184,0))</f>
        <v>21.490000000000002</v>
      </c>
      <c r="X29" s="34" t="str">
        <f ca="1">INDEX(WR!Z$3:Z$184,MATCH(S29,WR!$B$3:$B$184,0))</f>
        <v>WR6</v>
      </c>
      <c r="Y29" s="49">
        <f ca="1">IF(V29="",IFERROR(W29/(SUMIFS($W$5:$W$64,$W$5:$W$64,"&gt;0",$V$5:$V$64,"")),1),0)</f>
        <v>1.4145696061717113E-2</v>
      </c>
      <c r="Z29" s="41">
        <f ca="1">IF(LeagueInfo!$H$7="Starter/Bench",INDEX(WR!$S$3:$S$184,MATCH(S29,WR!$B$3:$B$184,0))*InflationPct,INDEX(WR!$AA$3:$AA$184,MATCH(S29,WR!$B$3:$B$184,0))*InflationPct)</f>
        <v>10.103208318107399</v>
      </c>
      <c r="AB29" s="94">
        <f t="shared" ca="1" si="1"/>
        <v>25</v>
      </c>
      <c r="AC29" s="136" t="str">
        <f t="shared" ca="1" si="2"/>
        <v>Dalvin Cook</v>
      </c>
      <c r="AD29" s="136" t="str">
        <f t="shared" ca="1" si="3"/>
        <v>RB</v>
      </c>
      <c r="AE29" s="139">
        <f ca="1">LARGE(($E$5:$E$34,$E$37:$E$64,$N$5:$N$64,$W$5:$W$64),ROW(AE29)-4)</f>
        <v>62.34</v>
      </c>
    </row>
    <row r="30" spans="1:31" x14ac:dyDescent="0.25">
      <c r="A30" s="33" t="s">
        <v>379</v>
      </c>
      <c r="B30" s="74" t="str">
        <f>INDEX(QB!E$3:E$76,MATCH(A30,QB!B$3:B$76,0))</f>
        <v>LAR</v>
      </c>
      <c r="C30" s="39">
        <f>INDEX(QB!D$3:D$76,MATCH(A30,QB!B$3:B$76,0))</f>
        <v>8</v>
      </c>
      <c r="D30" s="222" t="str">
        <f>IF(INDEX(Auction!$H$13:$H$672,MATCH(A30,Auction!$A$13:$A$672,0))&gt;0,"x","")</f>
        <v/>
      </c>
      <c r="E30" s="34">
        <f ca="1">INDEX(QB!$Y$3:$Y$76,MATCH(A30,QB!$B$3:$B$76,0))</f>
        <v>-16.881000000000014</v>
      </c>
      <c r="F30" s="34" t="str">
        <f ca="1">INDEX(QB!$Z$3:$Z$76,MATCH(A30,QB!$B$3:$B$76,0))</f>
        <v>QB5</v>
      </c>
      <c r="G30" s="50">
        <f ca="1">IF(D30="",IFERROR(E30/(SUMIFS($E$5:$E$34,$E$5:$E$34,"&gt;0",$D$5:$D$34,"")),1),0)</f>
        <v>-2.2520341146948546E-2</v>
      </c>
      <c r="H30" s="41">
        <f ca="1">IF(LeagueInfo!$H$7="Starter/Bench",INDEX(QB!$S$3:$S$76,MATCH(A30,QB!$B$3:$B$76,0))*InflationPct,INDEX(QB!$AA$3:$AA$76,MATCH(A30,QB!$B$3:$B$76,0))*InflationPct)</f>
        <v>-8.0858588587256808</v>
      </c>
      <c r="I30" s="26"/>
      <c r="J30" s="60" t="s">
        <v>145</v>
      </c>
      <c r="K30" s="69" t="str">
        <f>INDEX(RB!$E$3:$E$173,MATCH(J30,RB!$B$3:$B$173,0))</f>
        <v>DEN</v>
      </c>
      <c r="L30" s="61">
        <f>INDEX(RB!$D$3:$D$173,MATCH(J30,RB!$B$3:$B$173,0))</f>
        <v>5</v>
      </c>
      <c r="M30" s="223" t="str">
        <f>IF(INDEX(Auction!$H$13:$H$672,MATCH(J30,Auction!$A$13:$A$672,0))&gt;0,"x","")</f>
        <v/>
      </c>
      <c r="N30" s="56">
        <f ca="1">INDEX(RB!Y$3:Y$173,MATCH(J30,RB!$B$3:$B$173,0))</f>
        <v>34.049999999999983</v>
      </c>
      <c r="O30" s="56" t="str">
        <f ca="1">INDEX(RB!Z$3:Z$173,MATCH(J30,RB!$B$3:$B$173,0))</f>
        <v>RB9</v>
      </c>
      <c r="P30" s="62">
        <f ca="1">IF(M30="",IFERROR(N30/(SUMIFS($N$5:$N$64,$N$5:$N$64,"&gt;0",$M$5:$M$64,"")),1),0)</f>
        <v>1.3993831206860046E-2</v>
      </c>
      <c r="Q30" s="63">
        <f ca="1">IF(LeagueInfo!$H$7="Starter/Bench",INDEX(RB!$S$3:$S$174,MATCH(J30,RB!$B$3:$B$174,0))*InflationPct,INDEX(RB!$AA$3:$AA$174,MATCH(J30,RB!$B$3:$B$174,0))*InflationPct)</f>
        <v>15.993444358009246</v>
      </c>
      <c r="S30" s="94" t="s">
        <v>152</v>
      </c>
      <c r="T30" s="95" t="str">
        <f>INDEX(WR!$E$1:$E$184,MATCH(S30,WR!$B$1:$B$184,0))</f>
        <v>MIA</v>
      </c>
      <c r="U30" s="96">
        <f>INDEX(WR!$D$1:$D$184,MATCH(S30,WR!$B$1:$B$184,0))</f>
        <v>11</v>
      </c>
      <c r="V30" s="225" t="str">
        <f>IF(INDEX(Auction!$H$13:$H$672,MATCH(S30,Auction!$A$13:$A$672,0))&gt;0,"x","")</f>
        <v/>
      </c>
      <c r="W30" s="34">
        <f ca="1">INDEX(WR!Y$3:Y$184,MATCH(S30,WR!$B$3:$B$184,0))</f>
        <v>20.810000000000009</v>
      </c>
      <c r="X30" s="34" t="str">
        <f ca="1">INDEX(WR!Z$3:Z$184,MATCH(S30,WR!$B$3:$B$184,0))</f>
        <v>WR6</v>
      </c>
      <c r="Y30" s="49">
        <f ca="1">IF(V30="",IFERROR(W30/(SUMIFS($W$5:$W$64,$W$5:$W$64,"&gt;0",$V$5:$V$64,"")),1),0)</f>
        <v>1.3698089113277488E-2</v>
      </c>
      <c r="Z30" s="41">
        <f ca="1">IF(LeagueInfo!$H$7="Starter/Bench",INDEX(WR!$S$3:$S$184,MATCH(S30,WR!$B$3:$B$184,0))*InflationPct,INDEX(WR!$AA$3:$AA$184,MATCH(S30,WR!$B$3:$B$184,0))*InflationPct)</f>
        <v>9.8061266688154891</v>
      </c>
      <c r="AB30" s="94">
        <f t="shared" ca="1" si="1"/>
        <v>26</v>
      </c>
      <c r="AC30" s="136" t="str">
        <f t="shared" ca="1" si="2"/>
        <v>Michael Thomas</v>
      </c>
      <c r="AD30" s="136" t="str">
        <f t="shared" ca="1" si="3"/>
        <v>WR</v>
      </c>
      <c r="AE30" s="139">
        <f ca="1">LARGE(($E$5:$E$34,$E$37:$E$64,$N$5:$N$64,$W$5:$W$64),ROW(AE30)-4)</f>
        <v>61.689999999999991</v>
      </c>
    </row>
    <row r="31" spans="1:31" x14ac:dyDescent="0.25">
      <c r="A31" s="33" t="s">
        <v>383</v>
      </c>
      <c r="B31" s="74" t="str">
        <f>INDEX(QB!E$3:E$76,MATCH(A31,QB!B$3:B$76,0))</f>
        <v>DEN</v>
      </c>
      <c r="C31" s="39">
        <f>INDEX(QB!D$3:D$76,MATCH(A31,QB!B$3:B$76,0))</f>
        <v>5</v>
      </c>
      <c r="D31" s="222" t="str">
        <f>IF(INDEX(Auction!$H$13:$H$672,MATCH(A31,Auction!$A$13:$A$672,0))&gt;0,"x","")</f>
        <v/>
      </c>
      <c r="E31" s="34">
        <f ca="1">INDEX(QB!$Y$3:$Y$76,MATCH(A31,QB!$B$3:$B$76,0))</f>
        <v>-18.296999999999983</v>
      </c>
      <c r="F31" s="34" t="str">
        <f ca="1">INDEX(QB!$Z$3:$Z$76,MATCH(A31,QB!$B$3:$B$76,0))</f>
        <v>QB5</v>
      </c>
      <c r="G31" s="50">
        <f ca="1">IF(D31="",IFERROR(E31/(SUMIFS($E$5:$E$34,$E$5:$E$34,"&gt;0",$D$5:$D$34,"")),1),0)</f>
        <v>-2.4409376338233327E-2</v>
      </c>
      <c r="H31" s="41">
        <f ca="1">IF(LeagueInfo!$H$7="Starter/Bench",INDEX(QB!$S$3:$S$76,MATCH(A31,QB!$B$3:$B$76,0))*InflationPct,INDEX(QB!$AA$3:$AA$76,MATCH(A31,QB!$B$3:$B$76,0))*InflationPct)</f>
        <v>-8.7641111034952619</v>
      </c>
      <c r="I31" s="32"/>
      <c r="J31" s="60" t="s">
        <v>205</v>
      </c>
      <c r="K31" s="69" t="str">
        <f>INDEX(RB!$E$3:$E$173,MATCH(J31,RB!$B$3:$B$173,0))</f>
        <v>BAL</v>
      </c>
      <c r="L31" s="61">
        <f>INDEX(RB!$D$3:$D$173,MATCH(J31,RB!$B$3:$B$173,0))</f>
        <v>10</v>
      </c>
      <c r="M31" s="223" t="str">
        <f>IF(INDEX(Auction!$H$13:$H$672,MATCH(J31,Auction!$A$13:$A$672,0))&gt;0,"x","")</f>
        <v/>
      </c>
      <c r="N31" s="56">
        <f ca="1">INDEX(RB!Y$3:Y$173,MATCH(J31,RB!$B$3:$B$173,0))</f>
        <v>31.909999999999997</v>
      </c>
      <c r="O31" s="56" t="str">
        <f ca="1">INDEX(RB!Z$3:Z$173,MATCH(J31,RB!$B$3:$B$173,0))</f>
        <v>RB9</v>
      </c>
      <c r="P31" s="62">
        <f ca="1">IF(M31="",IFERROR(N31/(SUMIFS($N$5:$N$64,$N$5:$N$64,"&gt;0",$M$5:$M$64,"")),1),0)</f>
        <v>1.3114336382111725E-2</v>
      </c>
      <c r="Q31" s="63">
        <f ca="1">IF(LeagueInfo!$H$7="Starter/Bench",INDEX(RB!$S$3:$S$174,MATCH(J31,RB!$B$3:$B$174,0))*InflationPct,INDEX(RB!$AA$3:$AA$174,MATCH(J31,RB!$B$3:$B$174,0))*InflationPct)</f>
        <v>15.058510932296464</v>
      </c>
      <c r="S31" s="94" t="s">
        <v>143</v>
      </c>
      <c r="T31" s="95" t="str">
        <f>INDEX(WR!$E$1:$E$184,MATCH(S31,WR!$B$1:$B$184,0))</f>
        <v>LAC</v>
      </c>
      <c r="U31" s="96">
        <f>INDEX(WR!$D$1:$D$184,MATCH(S31,WR!$B$1:$B$184,0))</f>
        <v>9</v>
      </c>
      <c r="V31" s="225" t="str">
        <f>IF(INDEX(Auction!$H$13:$H$672,MATCH(S31,Auction!$A$13:$A$672,0))&gt;0,"x","")</f>
        <v/>
      </c>
      <c r="W31" s="34">
        <f ca="1">INDEX(WR!Y$3:Y$184,MATCH(S31,WR!$B$3:$B$184,0))</f>
        <v>20.240000000000016</v>
      </c>
      <c r="X31" s="34" t="str">
        <f ca="1">INDEX(WR!Z$3:Z$184,MATCH(S31,WR!$B$3:$B$184,0))</f>
        <v>WR6</v>
      </c>
      <c r="Y31" s="49">
        <f ca="1">IF(V31="",IFERROR(W31/(SUMIFS($W$5:$W$64,$W$5:$W$64,"&gt;0",$V$5:$V$64,"")),1),0)</f>
        <v>1.3322889171203098E-2</v>
      </c>
      <c r="Z31" s="41">
        <f ca="1">IF(LeagueInfo!$H$7="Starter/Bench",INDEX(WR!$S$3:$S$184,MATCH(S31,WR!$B$3:$B$184,0))*InflationPct,INDEX(WR!$AA$3:$AA$184,MATCH(S31,WR!$B$3:$B$184,0))*InflationPct)</f>
        <v>9.5571023451443295</v>
      </c>
      <c r="AB31" s="94">
        <f t="shared" ca="1" si="1"/>
        <v>27</v>
      </c>
      <c r="AC31" s="136" t="str">
        <f t="shared" ca="1" si="2"/>
        <v>Matt Ryan</v>
      </c>
      <c r="AD31" s="136" t="str">
        <f t="shared" ca="1" si="3"/>
        <v>QB</v>
      </c>
      <c r="AE31" s="139">
        <f ca="1">LARGE(($E$5:$E$34,$E$37:$E$64,$N$5:$N$64,$W$5:$W$64),ROW(AE31)-4)</f>
        <v>60.931999999999974</v>
      </c>
    </row>
    <row r="32" spans="1:31" x14ac:dyDescent="0.25">
      <c r="A32" s="33" t="s">
        <v>377</v>
      </c>
      <c r="B32" s="74" t="str">
        <f>INDEX(QB!E$3:E$76,MATCH(A32,QB!B$3:B$76,0))</f>
        <v>SF</v>
      </c>
      <c r="C32" s="39">
        <f>INDEX(QB!D$3:D$76,MATCH(A32,QB!B$3:B$76,0))</f>
        <v>11</v>
      </c>
      <c r="D32" s="222" t="str">
        <f>IF(INDEX(Auction!$H$13:$H$672,MATCH(A32,Auction!$A$13:$A$672,0))&gt;0,"x","")</f>
        <v/>
      </c>
      <c r="E32" s="34">
        <f ca="1">INDEX(QB!$Y$3:$Y$76,MATCH(A32,QB!$B$3:$B$76,0))</f>
        <v>-21.026999999999987</v>
      </c>
      <c r="F32" s="34" t="str">
        <f ca="1">INDEX(QB!$Z$3:$Z$76,MATCH(A32,QB!$B$3:$B$76,0))</f>
        <v>QB5</v>
      </c>
      <c r="G32" s="50">
        <f ca="1">IF(D32="",IFERROR(E32/(SUMIFS($E$5:$E$34,$E$5:$E$34,"&gt;0",$D$5:$D$34,"")),1),0)</f>
        <v>-2.8051372151939244E-2</v>
      </c>
      <c r="H32" s="41">
        <f ca="1">IF(LeagueInfo!$H$7="Starter/Bench",INDEX(QB!$S$3:$S$76,MATCH(A32,QB!$B$3:$B$76,0))*InflationPct,INDEX(QB!$AA$3:$AA$76,MATCH(A32,QB!$B$3:$B$76,0))*InflationPct)</f>
        <v>-10.071758439809528</v>
      </c>
      <c r="I32" s="32"/>
      <c r="J32" s="60" t="s">
        <v>173</v>
      </c>
      <c r="K32" s="69" t="str">
        <f>INDEX(RB!$E$3:$E$173,MATCH(J32,RB!$B$3:$B$173,0))</f>
        <v>NYG</v>
      </c>
      <c r="L32" s="61">
        <f>INDEX(RB!$D$3:$D$173,MATCH(J32,RB!$B$3:$B$173,0))</f>
        <v>8</v>
      </c>
      <c r="M32" s="223" t="str">
        <f>IF(INDEX(Auction!$H$13:$H$672,MATCH(J32,Auction!$A$13:$A$672,0))&gt;0,"x","")</f>
        <v/>
      </c>
      <c r="N32" s="56">
        <f ca="1">INDEX(RB!Y$3:Y$173,MATCH(J32,RB!$B$3:$B$173,0))</f>
        <v>29.860000000000014</v>
      </c>
      <c r="O32" s="56" t="str">
        <f ca="1">INDEX(RB!Z$3:Z$173,MATCH(J32,RB!$B$3:$B$173,0))</f>
        <v>RB9</v>
      </c>
      <c r="P32" s="62">
        <f ca="1">IF(M32="",IFERROR(N32/(SUMIFS($N$5:$N$64,$N$5:$N$64,"&gt;0",$M$5:$M$64,"")),1),0)</f>
        <v>1.2271829657469644E-2</v>
      </c>
      <c r="Q32" s="63">
        <f ca="1">IF(LeagueInfo!$H$7="Starter/Bench",INDEX(RB!$S$3:$S$174,MATCH(J32,RB!$B$3:$B$174,0))*InflationPct,INDEX(RB!$AA$3:$AA$174,MATCH(J32,RB!$B$3:$B$174,0))*InflationPct)</f>
        <v>14.162897136637028</v>
      </c>
      <c r="S32" s="94" t="s">
        <v>200</v>
      </c>
      <c r="T32" s="95" t="str">
        <f>INDEX(WR!$E$1:$E$184,MATCH(S32,WR!$B$1:$B$184,0))</f>
        <v>MIN</v>
      </c>
      <c r="U32" s="96">
        <f>INDEX(WR!$D$1:$D$184,MATCH(S32,WR!$B$1:$B$184,0))</f>
        <v>9</v>
      </c>
      <c r="V32" s="225" t="str">
        <f>IF(INDEX(Auction!$H$13:$H$672,MATCH(S32,Auction!$A$13:$A$672,0))&gt;0,"x","")</f>
        <v/>
      </c>
      <c r="W32" s="34">
        <f ca="1">INDEX(WR!Y$3:Y$184,MATCH(S32,WR!$B$3:$B$184,0))</f>
        <v>18.839999999999982</v>
      </c>
      <c r="X32" s="34" t="str">
        <f ca="1">INDEX(WR!Z$3:Z$184,MATCH(S32,WR!$B$3:$B$184,0))</f>
        <v>WR6</v>
      </c>
      <c r="Y32" s="49">
        <f ca="1">IF(V32="",IFERROR(W32/(SUMIFS($W$5:$W$64,$W$5:$W$64,"&gt;0",$V$5:$V$64,"")),1),0)</f>
        <v>1.2401345453827367E-2</v>
      </c>
      <c r="Z32" s="41">
        <f ca="1">IF(LeagueInfo!$H$7="Starter/Bench",INDEX(WR!$S$3:$S$184,MATCH(S32,WR!$B$3:$B$184,0))*InflationPct,INDEX(WR!$AA$3:$AA$184,MATCH(S32,WR!$B$3:$B$184,0))*InflationPct)</f>
        <v>8.9454636554256695</v>
      </c>
      <c r="AB32" s="94">
        <f t="shared" ca="1" si="1"/>
        <v>28</v>
      </c>
      <c r="AC32" s="136" t="str">
        <f t="shared" ca="1" si="2"/>
        <v>T.Y. Hilton</v>
      </c>
      <c r="AD32" s="136" t="str">
        <f t="shared" ca="1" si="3"/>
        <v>WR</v>
      </c>
      <c r="AE32" s="139">
        <f ca="1">LARGE(($E$5:$E$34,$E$37:$E$64,$N$5:$N$64,$W$5:$W$64),ROW(AE32)-4)</f>
        <v>56.559999999999995</v>
      </c>
    </row>
    <row r="33" spans="1:31" x14ac:dyDescent="0.25">
      <c r="A33" s="33" t="s">
        <v>375</v>
      </c>
      <c r="B33" s="74" t="str">
        <f>INDEX(QB!E$3:E$76,MATCH(A33,QB!B$3:B$76,0))</f>
        <v>CHI</v>
      </c>
      <c r="C33" s="39">
        <f>INDEX(QB!D$3:D$76,MATCH(A33,QB!B$3:B$76,0))</f>
        <v>9</v>
      </c>
      <c r="D33" s="222" t="str">
        <f>IF(INDEX(Auction!$H$13:$H$672,MATCH(A33,Auction!$A$13:$A$672,0))&gt;0,"x","")</f>
        <v/>
      </c>
      <c r="E33" s="34">
        <f ca="1">INDEX(QB!$Y$3:$Y$76,MATCH(A33,QB!$B$3:$B$76,0))</f>
        <v>-26.919999999999987</v>
      </c>
      <c r="F33" s="34" t="str">
        <f ca="1">INDEX(QB!$Z$3:$Z$76,MATCH(A33,QB!$B$3:$B$76,0))</f>
        <v>QB5</v>
      </c>
      <c r="G33" s="50">
        <f ca="1">IF(D33="",IFERROR(E33/(SUMIFS($E$5:$E$34,$E$5:$E$34,"&gt;0",$D$5:$D$34,"")),1),0)</f>
        <v>-3.5913013664821636E-2</v>
      </c>
      <c r="H33" s="41">
        <f ca="1">IF(LeagueInfo!$H$7="Starter/Bench",INDEX(QB!$S$3:$S$76,MATCH(A33,QB!$B$3:$B$76,0))*InflationPct,INDEX(QB!$AA$3:$AA$76,MATCH(A33,QB!$B$3:$B$76,0))*InflationPct)</f>
        <v>-12.894456517794859</v>
      </c>
      <c r="I33" s="32"/>
      <c r="J33" s="60" t="s">
        <v>140</v>
      </c>
      <c r="K33" s="69" t="str">
        <f>INDEX(RB!$E$3:$E$173,MATCH(J33,RB!$B$3:$B$173,0))</f>
        <v>NE</v>
      </c>
      <c r="L33" s="61">
        <f>INDEX(RB!$D$3:$D$173,MATCH(J33,RB!$B$3:$B$173,0))</f>
        <v>9</v>
      </c>
      <c r="M33" s="223" t="str">
        <f>IF(INDEX(Auction!$H$13:$H$672,MATCH(J33,Auction!$A$13:$A$672,0))&gt;0,"x","")</f>
        <v/>
      </c>
      <c r="N33" s="56">
        <f ca="1">INDEX(RB!Y$3:Y$173,MATCH(J33,RB!$B$3:$B$173,0))</f>
        <v>28.649999999999991</v>
      </c>
      <c r="O33" s="56" t="str">
        <f ca="1">INDEX(RB!Z$3:Z$173,MATCH(J33,RB!$B$3:$B$173,0))</f>
        <v>RB9</v>
      </c>
      <c r="P33" s="62">
        <f ca="1">IF(M33="",IFERROR(N33/(SUMIFS($N$5:$N$64,$N$5:$N$64,"&gt;0",$M$5:$M$64,"")),1),0)</f>
        <v>1.1774545200485768E-2</v>
      </c>
      <c r="Q33" s="63">
        <f ca="1">IF(LeagueInfo!$H$7="Starter/Bench",INDEX(RB!$S$3:$S$174,MATCH(J33,RB!$B$3:$B$174,0))*InflationPct,INDEX(RB!$AA$3:$AA$174,MATCH(J33,RB!$B$3:$B$174,0))*InflationPct)</f>
        <v>13.634266554808761</v>
      </c>
      <c r="S33" s="94" t="s">
        <v>176</v>
      </c>
      <c r="T33" s="95" t="str">
        <f>INDEX(WR!$E$1:$E$184,MATCH(S33,WR!$B$1:$B$184,0))</f>
        <v>NO</v>
      </c>
      <c r="U33" s="96">
        <f>INDEX(WR!$D$1:$D$184,MATCH(S33,WR!$B$1:$B$184,0))</f>
        <v>5</v>
      </c>
      <c r="V33" s="225" t="str">
        <f>IF(INDEX(Auction!$H$13:$H$672,MATCH(S33,Auction!$A$13:$A$672,0))&gt;0,"x","")</f>
        <v/>
      </c>
      <c r="W33" s="34">
        <f ca="1">INDEX(WR!Y$3:Y$184,MATCH(S33,WR!$B$3:$B$184,0))</f>
        <v>18.529999999999994</v>
      </c>
      <c r="X33" s="34" t="str">
        <f ca="1">INDEX(WR!Z$3:Z$184,MATCH(S33,WR!$B$3:$B$184,0))</f>
        <v>WR6</v>
      </c>
      <c r="Y33" s="49">
        <f ca="1">IF(V33="",IFERROR(W33/(SUMIFS($W$5:$W$64,$W$5:$W$64,"&gt;0",$V$5:$V$64,"")),1),0)</f>
        <v>1.2197289344979897E-2</v>
      </c>
      <c r="Z33" s="41">
        <f ca="1">IF(LeagueInfo!$H$7="Starter/Bench",INDEX(WR!$S$3:$S$184,MATCH(S33,WR!$B$3:$B$184,0))*InflationPct,INDEX(WR!$AA$3:$AA$184,MATCH(S33,WR!$B$3:$B$184,0))*InflationPct)</f>
        <v>8.8100293741308313</v>
      </c>
      <c r="AB33" s="94">
        <f t="shared" ca="1" si="1"/>
        <v>29</v>
      </c>
      <c r="AC33" s="136" t="str">
        <f t="shared" ca="1" si="2"/>
        <v>Ty Montgomery</v>
      </c>
      <c r="AD33" s="136" t="str">
        <f t="shared" ca="1" si="3"/>
        <v>RB</v>
      </c>
      <c r="AE33" s="139">
        <f ca="1">LARGE(($E$5:$E$34,$E$37:$E$64,$N$5:$N$64,$W$5:$W$64),ROW(AE33)-4)</f>
        <v>54.22</v>
      </c>
    </row>
    <row r="34" spans="1:31" ht="15.75" thickBot="1" x14ac:dyDescent="0.3">
      <c r="A34" s="33" t="s">
        <v>388</v>
      </c>
      <c r="B34" s="74" t="str">
        <f>INDEX(QB!E$3:E$76,MATCH(A34,QB!B$3:B$76,0))</f>
        <v>CLE</v>
      </c>
      <c r="C34" s="39">
        <f>INDEX(QB!D$3:D$76,MATCH(A34,QB!B$3:B$76,0))</f>
        <v>9</v>
      </c>
      <c r="D34" s="222" t="str">
        <f>IF(INDEX(Auction!$H$13:$H$672,MATCH(A34,Auction!$A$13:$A$672,0))&gt;0,"x","")</f>
        <v/>
      </c>
      <c r="E34" s="34">
        <f ca="1">INDEX(QB!$Y$3:$Y$76,MATCH(A34,QB!$B$3:$B$76,0))</f>
        <v>-29.149999999999991</v>
      </c>
      <c r="F34" s="34" t="str">
        <f ca="1">INDEX(QB!$Z$3:$Z$76,MATCH(A34,QB!$B$3:$B$76,0))</f>
        <v>QB5</v>
      </c>
      <c r="G34" s="50">
        <f ca="1">IF(D34="",IFERROR(E34/(SUMIFS($E$5:$E$34,$E$5:$E$34,"&gt;0",$D$5:$D$34,"")),1),0)</f>
        <v>-3.8887977278215115E-2</v>
      </c>
      <c r="H34" s="41">
        <f ca="1">IF(LeagueInfo!$H$7="Starter/Bench",INDEX(QB!$S$3:$S$76,MATCH(A34,QB!$B$3:$B$76,0))*InflationPct,INDEX(QB!$AA$3:$AA$76,MATCH(A34,QB!$B$3:$B$76,0))*InflationPct)</f>
        <v>-13.96260800496732</v>
      </c>
      <c r="I34" s="26"/>
      <c r="J34" s="60" t="s">
        <v>432</v>
      </c>
      <c r="K34" s="69" t="str">
        <f>INDEX(RB!$E$3:$E$173,MATCH(J34,RB!$B$3:$B$173,0))</f>
        <v>WAS</v>
      </c>
      <c r="L34" s="61">
        <f>INDEX(RB!$D$3:$D$173,MATCH(J34,RB!$B$3:$B$173,0))</f>
        <v>5</v>
      </c>
      <c r="M34" s="223" t="str">
        <f>IF(INDEX(Auction!$H$13:$H$672,MATCH(J34,Auction!$A$13:$A$672,0))&gt;0,"x","")</f>
        <v/>
      </c>
      <c r="N34" s="56">
        <f ca="1">INDEX(RB!Y$3:Y$173,MATCH(J34,RB!$B$3:$B$173,0))</f>
        <v>26.539999999999992</v>
      </c>
      <c r="O34" s="56" t="str">
        <f ca="1">INDEX(RB!Z$3:Z$173,MATCH(J34,RB!$B$3:$B$173,0))</f>
        <v>RB9</v>
      </c>
      <c r="P34" s="62">
        <f ca="1">IF(M34="",IFERROR(N34/(SUMIFS($N$5:$N$64,$N$5:$N$64,"&gt;0",$M$5:$M$64,"")),1),0)</f>
        <v>1.0907379742439521E-2</v>
      </c>
      <c r="Q34" s="63">
        <f ca="1">IF(LeagueInfo!$H$7="Starter/Bench",INDEX(RB!$S$3:$S$174,MATCH(J34,RB!$B$3:$B$174,0))*InflationPct,INDEX(RB!$AA$3:$AA$174,MATCH(J34,RB!$B$3:$B$174,0))*InflationPct)</f>
        <v>12.71243967244709</v>
      </c>
      <c r="S34" s="94" t="s">
        <v>151</v>
      </c>
      <c r="T34" s="95" t="str">
        <f>INDEX(WR!$E$1:$E$184,MATCH(S34,WR!$B$1:$B$184,0))</f>
        <v>PIT</v>
      </c>
      <c r="U34" s="96">
        <f>INDEX(WR!$D$1:$D$184,MATCH(S34,WR!$B$1:$B$184,0))</f>
        <v>9</v>
      </c>
      <c r="V34" s="225" t="str">
        <f>IF(INDEX(Auction!$H$13:$H$672,MATCH(S34,Auction!$A$13:$A$672,0))&gt;0,"x","")</f>
        <v/>
      </c>
      <c r="W34" s="34">
        <f ca="1">INDEX(WR!Y$3:Y$184,MATCH(S34,WR!$B$3:$B$184,0))</f>
        <v>16.970000000000006</v>
      </c>
      <c r="X34" s="34" t="str">
        <f ca="1">INDEX(WR!Z$3:Z$184,MATCH(S34,WR!$B$3:$B$184,0))</f>
        <v>WR7</v>
      </c>
      <c r="Y34" s="49">
        <f ca="1">IF(V34="",IFERROR(W34/(SUMIFS($W$5:$W$64,$W$5:$W$64,"&gt;0",$V$5:$V$64,"")),1),0)</f>
        <v>1.1170426345618403E-2</v>
      </c>
      <c r="Z34" s="41">
        <f ca="1">IF(LeagueInfo!$H$7="Starter/Bench",INDEX(WR!$S$3:$S$184,MATCH(S34,WR!$B$3:$B$184,0))*InflationPct,INDEX(WR!$AA$3:$AA$184,MATCH(S34,WR!$B$3:$B$184,0))*InflationPct)</f>
        <v>8.1284891198729188</v>
      </c>
      <c r="AB34" s="94">
        <f t="shared" ca="1" si="1"/>
        <v>30</v>
      </c>
      <c r="AC34" s="136" t="str">
        <f t="shared" ca="1" si="2"/>
        <v>Travis Kelce</v>
      </c>
      <c r="AD34" s="136" t="str">
        <f t="shared" ca="1" si="3"/>
        <v>TE</v>
      </c>
      <c r="AE34" s="139">
        <f ca="1">LARGE(($E$5:$E$34,$E$37:$E$64,$N$5:$N$64,$W$5:$W$64),ROW(AE34)-4)</f>
        <v>53.974999999999987</v>
      </c>
    </row>
    <row r="35" spans="1:31" x14ac:dyDescent="0.25">
      <c r="A35" s="288" t="str">
        <f ca="1">CONCATENATE("TE - Positional Scarcity ",TEXT(TE!$X$3,"0.00%"))</f>
        <v>TE - Positional Scarcity 100.00%</v>
      </c>
      <c r="B35" s="289"/>
      <c r="C35" s="289"/>
      <c r="D35" s="289"/>
      <c r="E35" s="289"/>
      <c r="F35" s="289"/>
      <c r="G35" s="289"/>
      <c r="H35" s="290"/>
      <c r="I35" s="32"/>
      <c r="J35" s="60" t="s">
        <v>132</v>
      </c>
      <c r="K35" s="69" t="str">
        <f>INDEX(RB!$E$3:$E$173,MATCH(J35,RB!$B$3:$B$173,0))</f>
        <v>SEA</v>
      </c>
      <c r="L35" s="61">
        <f>INDEX(RB!$D$3:$D$173,MATCH(J35,RB!$B$3:$B$173,0))</f>
        <v>6</v>
      </c>
      <c r="M35" s="223" t="str">
        <f>IF(INDEX(Auction!$H$13:$H$672,MATCH(J35,Auction!$A$13:$A$672,0))&gt;0,"x","")</f>
        <v/>
      </c>
      <c r="N35" s="56">
        <f ca="1">INDEX(RB!Y$3:Y$173,MATCH(J35,RB!$B$3:$B$173,0))</f>
        <v>26.325000000000003</v>
      </c>
      <c r="O35" s="56" t="str">
        <f ca="1">INDEX(RB!Z$3:Z$173,MATCH(J35,RB!$B$3:$B$173,0))</f>
        <v>RB9</v>
      </c>
      <c r="P35" s="62">
        <f ca="1">IF(M35="",IFERROR(N35/(SUMIFS($N$5:$N$64,$N$5:$N$64,"&gt;0",$M$5:$M$64,"")),1),0)</f>
        <v>1.0819019281074625E-2</v>
      </c>
      <c r="Q35" s="63">
        <f ca="1">IF(LeagueInfo!$H$7="Starter/Bench",INDEX(RB!$S$3:$S$174,MATCH(J35,RB!$B$3:$B$174,0))*InflationPct,INDEX(RB!$AA$3:$AA$174,MATCH(J35,RB!$B$3:$B$174,0))*InflationPct)</f>
        <v>12.609456457316117</v>
      </c>
      <c r="S35" s="94" t="s">
        <v>172</v>
      </c>
      <c r="T35" s="95" t="str">
        <f>INDEX(WR!$E$1:$E$184,MATCH(S35,WR!$B$1:$B$184,0))</f>
        <v>WAS</v>
      </c>
      <c r="U35" s="96">
        <f>INDEX(WR!$D$1:$D$184,MATCH(S35,WR!$B$1:$B$184,0))</f>
        <v>5</v>
      </c>
      <c r="V35" s="225" t="str">
        <f>IF(INDEX(Auction!$H$13:$H$672,MATCH(S35,Auction!$A$13:$A$672,0))&gt;0,"x","")</f>
        <v/>
      </c>
      <c r="W35" s="34">
        <f ca="1">INDEX(WR!Y$3:Y$184,MATCH(S35,WR!$B$3:$B$184,0))</f>
        <v>15.509999999999998</v>
      </c>
      <c r="X35" s="34" t="str">
        <f ca="1">INDEX(WR!Z$3:Z$184,MATCH(S35,WR!$B$3:$B$184,0))</f>
        <v>WR7</v>
      </c>
      <c r="Y35" s="49">
        <f ca="1">IF(V35="",IFERROR(W35/(SUMIFS($W$5:$W$64,$W$5:$W$64,"&gt;0",$V$5:$V$64,"")),1),0)</f>
        <v>1.0209387897498015E-2</v>
      </c>
      <c r="Z35" s="41">
        <f ca="1">IF(LeagueInfo!$H$7="Starter/Bench",INDEX(WR!$S$3:$S$184,MATCH(S35,WR!$B$3:$B$184,0))*InflationPct,INDEX(WR!$AA$3:$AA$184,MATCH(S35,WR!$B$3:$B$184,0))*InflationPct)</f>
        <v>7.4291612403788392</v>
      </c>
      <c r="AB35" s="94">
        <f t="shared" ca="1" si="1"/>
        <v>31</v>
      </c>
      <c r="AC35" s="136" t="str">
        <f t="shared" ca="1" si="2"/>
        <v>Christian McCaffrey</v>
      </c>
      <c r="AD35" s="136" t="str">
        <f t="shared" ca="1" si="3"/>
        <v>RB</v>
      </c>
      <c r="AE35" s="139">
        <f ca="1">LARGE(($E$5:$E$34,$E$37:$E$64,$N$5:$N$64,$W$5:$W$64),ROW(AE35)-4)</f>
        <v>53.31</v>
      </c>
    </row>
    <row r="36" spans="1:31" ht="15.75" thickBot="1" x14ac:dyDescent="0.3">
      <c r="A36" s="130" t="s">
        <v>892</v>
      </c>
      <c r="B36" s="131" t="s">
        <v>331</v>
      </c>
      <c r="C36" s="131" t="s">
        <v>330</v>
      </c>
      <c r="D36" s="131" t="s">
        <v>893</v>
      </c>
      <c r="E36" s="131" t="s">
        <v>18</v>
      </c>
      <c r="F36" s="131" t="s">
        <v>348</v>
      </c>
      <c r="G36" s="131" t="s">
        <v>894</v>
      </c>
      <c r="H36" s="132" t="s">
        <v>342</v>
      </c>
      <c r="I36" s="32"/>
      <c r="J36" s="60" t="s">
        <v>158</v>
      </c>
      <c r="K36" s="69" t="str">
        <f>INDEX(RB!$E$3:$E$173,MATCH(J36,RB!$B$3:$B$173,0))</f>
        <v>TB</v>
      </c>
      <c r="L36" s="61">
        <f>INDEX(RB!$D$3:$D$173,MATCH(J36,RB!$B$3:$B$173,0))</f>
        <v>11</v>
      </c>
      <c r="M36" s="223" t="str">
        <f>IF(INDEX(Auction!$H$13:$H$672,MATCH(J36,Auction!$A$13:$A$672,0))&gt;0,"x","")</f>
        <v/>
      </c>
      <c r="N36" s="56">
        <f ca="1">INDEX(RB!Y$3:Y$173,MATCH(J36,RB!$B$3:$B$173,0))</f>
        <v>22.984999999999992</v>
      </c>
      <c r="O36" s="56" t="str">
        <f ca="1">INDEX(RB!Z$3:Z$173,MATCH(J36,RB!$B$3:$B$173,0))</f>
        <v>RB9</v>
      </c>
      <c r="P36" s="62">
        <f ca="1">IF(M36="",IFERROR(N36/(SUMIFS($N$5:$N$64,$N$5:$N$64,"&gt;0",$M$5:$M$64,"")),1),0)</f>
        <v>9.4463497882431198E-3</v>
      </c>
      <c r="Q36" s="63">
        <f ca="1">IF(LeagueInfo!$H$7="Starter/Bench",INDEX(RB!$S$3:$S$174,MATCH(J36,RB!$B$3:$B$174,0))*InflationPct,INDEX(RB!$AA$3:$AA$174,MATCH(J36,RB!$B$3:$B$174,0))*InflationPct)</f>
        <v>11.009624185048844</v>
      </c>
      <c r="S36" s="94" t="s">
        <v>550</v>
      </c>
      <c r="T36" s="95" t="str">
        <f>INDEX(WR!$E$1:$E$184,MATCH(S36,WR!$B$1:$B$184,0))</f>
        <v>MIA</v>
      </c>
      <c r="U36" s="96">
        <f>INDEX(WR!$D$1:$D$184,MATCH(S36,WR!$B$1:$B$184,0))</f>
        <v>11</v>
      </c>
      <c r="V36" s="225" t="str">
        <f>IF(INDEX(Auction!$H$13:$H$672,MATCH(S36,Auction!$A$13:$A$672,0))&gt;0,"x","")</f>
        <v/>
      </c>
      <c r="W36" s="34">
        <f ca="1">INDEX(WR!Y$3:Y$184,MATCH(S36,WR!$B$3:$B$184,0))</f>
        <v>14.950000000000003</v>
      </c>
      <c r="X36" s="34" t="str">
        <f ca="1">INDEX(WR!Z$3:Z$184,MATCH(S36,WR!$B$3:$B$184,0))</f>
        <v>WR7</v>
      </c>
      <c r="Y36" s="49">
        <f ca="1">IF(V36="",IFERROR(W36/(SUMIFS($W$5:$W$64,$W$5:$W$64,"&gt;0",$V$5:$V$64,"")),1),0)</f>
        <v>9.8407704105477369E-3</v>
      </c>
      <c r="Z36" s="41">
        <f ca="1">IF(LeagueInfo!$H$7="Starter/Bench",INDEX(WR!$S$3:$S$184,MATCH(S36,WR!$B$3:$B$184,0))*InflationPct,INDEX(WR!$AA$3:$AA$184,MATCH(S36,WR!$B$3:$B$184,0))*InflationPct)</f>
        <v>7.1609258893400183</v>
      </c>
      <c r="AB36" s="94">
        <f t="shared" ca="1" si="1"/>
        <v>32</v>
      </c>
      <c r="AC36" s="136" t="str">
        <f t="shared" ca="1" si="2"/>
        <v>Mark Ingram</v>
      </c>
      <c r="AD36" s="136" t="str">
        <f t="shared" ca="1" si="3"/>
        <v>RB</v>
      </c>
      <c r="AE36" s="139">
        <f ca="1">LARGE(($E$5:$E$34,$E$37:$E$64,$N$5:$N$64,$W$5:$W$64),ROW(AE36)-4)</f>
        <v>53.06</v>
      </c>
    </row>
    <row r="37" spans="1:31" x14ac:dyDescent="0.25">
      <c r="A37" s="31" t="s">
        <v>117</v>
      </c>
      <c r="B37" s="106" t="str">
        <f>INDEX(TE!E$3:E$129,MATCH(A37,TE!B$3:B$129,0))</f>
        <v>NE</v>
      </c>
      <c r="C37" s="39">
        <f>INDEX(TE!D$3:D$129,MATCH(A37,TE!B$3:B$129,0))</f>
        <v>9</v>
      </c>
      <c r="D37" s="227" t="str">
        <f>IF(INDEX(Auction!$H$13:$H$672,MATCH(A37,Auction!$A$13:$A$672,0))&gt;0,"x","")</f>
        <v/>
      </c>
      <c r="E37" s="34">
        <f ca="1">INDEX(TE!Y$3:Y$129,MATCH(A37,TE!$B$3:$B$129,0))</f>
        <v>81.025000000000006</v>
      </c>
      <c r="F37" s="34" t="str">
        <f ca="1">INDEX(TE!Z$3:Z$129,MATCH(A37,TE!$B$3:$B$129,0))</f>
        <v>TE1</v>
      </c>
      <c r="G37" s="49">
        <f ca="1">IF(D37="",IFERROR(E37/(SUMIFS($E$37:$E$64,$E$37:$E$64,"&gt;0",$D$37:$D$64,"")),1),0)</f>
        <v>0.16426594763357691</v>
      </c>
      <c r="H37" s="40">
        <f ca="1">IF(LeagueInfo!$H$7="Starter/Bench",INDEX(TE!$S$3:$S$129,MATCH(A37,TE!$B$3:$B$129,0))*InflationPct,INDEX(TE!$AA$3:$AA$129,MATCH(A37,TE!$B$3:$B$129,0))*InflationPct)</f>
        <v>36.002191864421611</v>
      </c>
      <c r="I37" s="32"/>
      <c r="J37" s="60" t="s">
        <v>185</v>
      </c>
      <c r="K37" s="69" t="str">
        <f>INDEX(RB!$E$3:$E$173,MATCH(J37,RB!$B$3:$B$173,0))</f>
        <v>CAR</v>
      </c>
      <c r="L37" s="61">
        <f>INDEX(RB!$D$3:$D$173,MATCH(J37,RB!$B$3:$B$173,0))</f>
        <v>11</v>
      </c>
      <c r="M37" s="223" t="str">
        <f>IF(INDEX(Auction!$H$13:$H$672,MATCH(J37,Auction!$A$13:$A$672,0))&gt;0,"x","")</f>
        <v/>
      </c>
      <c r="N37" s="56">
        <f ca="1">INDEX(RB!Y$3:Y$173,MATCH(J37,RB!$B$3:$B$173,0))</f>
        <v>21.384999999999998</v>
      </c>
      <c r="O37" s="56" t="str">
        <f ca="1">INDEX(RB!Z$3:Z$173,MATCH(J37,RB!$B$3:$B$173,0))</f>
        <v>RB9</v>
      </c>
      <c r="P37" s="62">
        <f ca="1">IF(M37="",IFERROR(N37/(SUMIFS($N$5:$N$64,$N$5:$N$64,"&gt;0",$M$5:$M$64,"")),1),0)</f>
        <v>8.7887835641322232E-3</v>
      </c>
      <c r="Q37" s="63">
        <f ca="1">IF(LeagueInfo!$H$7="Starter/Bench",INDEX(RB!$S$3:$S$174,MATCH(J37,RB!$B$3:$B$174,0))*InflationPct,INDEX(RB!$AA$3:$AA$174,MATCH(J37,RB!$B$3:$B$174,0))*InflationPct)</f>
        <v>10.243237467795065</v>
      </c>
      <c r="S37" s="94" t="s">
        <v>222</v>
      </c>
      <c r="T37" s="95" t="str">
        <f>INDEX(WR!$E$1:$E$184,MATCH(S37,WR!$B$1:$B$184,0))</f>
        <v>SF</v>
      </c>
      <c r="U37" s="96">
        <f>INDEX(WR!$D$1:$D$184,MATCH(S37,WR!$B$1:$B$184,0))</f>
        <v>11</v>
      </c>
      <c r="V37" s="225" t="str">
        <f>IF(INDEX(Auction!$H$13:$H$672,MATCH(S37,Auction!$A$13:$A$672,0))&gt;0,"x","")</f>
        <v/>
      </c>
      <c r="W37" s="34">
        <f ca="1">INDEX(WR!Y$3:Y$184,MATCH(S37,WR!$B$3:$B$184,0))</f>
        <v>14.619999999999997</v>
      </c>
      <c r="X37" s="34" t="str">
        <f ca="1">INDEX(WR!Z$3:Z$184,MATCH(S37,WR!$B$3:$B$184,0))</f>
        <v>WR7</v>
      </c>
      <c r="Y37" s="49">
        <f ca="1">IF(V37="",IFERROR(W37/(SUMIFS($W$5:$W$64,$W$5:$W$64,"&gt;0",$V$5:$V$64,"")),1),0)</f>
        <v>9.6235493914520309E-3</v>
      </c>
      <c r="Z37" s="41">
        <f ca="1">IF(LeagueInfo!$H$7="Starter/Bench",INDEX(WR!$S$3:$S$184,MATCH(S37,WR!$B$3:$B$184,0))*InflationPct,INDEX(WR!$AA$3:$AA$184,MATCH(S37,WR!$B$3:$B$184,0))*InflationPct)</f>
        <v>7.0028586289064227</v>
      </c>
      <c r="AB37" s="94">
        <f t="shared" ca="1" si="1"/>
        <v>33</v>
      </c>
      <c r="AC37" s="136" t="str">
        <f t="shared" ca="1" si="2"/>
        <v>Russell Wilson</v>
      </c>
      <c r="AD37" s="136" t="str">
        <f t="shared" ca="1" si="3"/>
        <v>QB</v>
      </c>
      <c r="AE37" s="139">
        <f ca="1">LARGE(($E$5:$E$34,$E$37:$E$64,$N$5:$N$64,$W$5:$W$64),ROW(AE37)-4)</f>
        <v>52.808000000000007</v>
      </c>
    </row>
    <row r="38" spans="1:31" x14ac:dyDescent="0.25">
      <c r="A38" s="33" t="s">
        <v>133</v>
      </c>
      <c r="B38" s="71" t="str">
        <f>INDEX(TE!E$3:E$129,MATCH(A38,TE!B$3:B$129,0))</f>
        <v>KC</v>
      </c>
      <c r="C38" s="39">
        <f>INDEX(TE!D$3:D$129,MATCH(A38,TE!B$3:B$129,0))</f>
        <v>10</v>
      </c>
      <c r="D38" s="222" t="str">
        <f>IF(INDEX(Auction!$H$13:$H$672,MATCH(A38,Auction!$A$13:$A$672,0))&gt;0,"x","")</f>
        <v/>
      </c>
      <c r="E38" s="34">
        <f ca="1">INDEX(TE!Y$3:Y$129,MATCH(A38,TE!$B$3:$B$129,0))</f>
        <v>53.974999999999987</v>
      </c>
      <c r="F38" s="44" t="str">
        <f ca="1">INDEX(TE!Z$3:Z$129,MATCH(A38,TE!$B$3:$B$129,0))</f>
        <v>TE4</v>
      </c>
      <c r="G38" s="50">
        <f ca="1">IF(D38="",IFERROR(E38/(SUMIFS($E$37:$E$64,$E$37:$E$64,"&gt;0",$D$37:$D$64,"")),1),0)</f>
        <v>0.10942615888333614</v>
      </c>
      <c r="H38" s="41">
        <f ca="1">IF(LeagueInfo!$H$7="Starter/Bench",INDEX(TE!$S$3:$S$129,MATCH(A38,TE!$B$3:$B$129,0))*InflationPct,INDEX(TE!$AA$3:$AA$129,MATCH(A38,TE!$B$3:$B$129,0))*InflationPct)</f>
        <v>24.184458609500648</v>
      </c>
      <c r="I38" s="32"/>
      <c r="J38" s="60" t="s">
        <v>194</v>
      </c>
      <c r="K38" s="69" t="str">
        <f>INDEX(RB!$E$3:$E$173,MATCH(J38,RB!$B$3:$B$173,0))</f>
        <v>BAL</v>
      </c>
      <c r="L38" s="61">
        <f>INDEX(RB!$D$3:$D$173,MATCH(J38,RB!$B$3:$B$173,0))</f>
        <v>10</v>
      </c>
      <c r="M38" s="223" t="str">
        <f>IF(INDEX(Auction!$H$13:$H$672,MATCH(J38,Auction!$A$13:$A$672,0))&gt;0,"x","")</f>
        <v/>
      </c>
      <c r="N38" s="56">
        <f ca="1">INDEX(RB!Y$3:Y$173,MATCH(J38,RB!$B$3:$B$173,0))</f>
        <v>20.78</v>
      </c>
      <c r="O38" s="56" t="str">
        <f ca="1">INDEX(RB!Z$3:Z$173,MATCH(J38,RB!$B$3:$B$173,0))</f>
        <v>RB9</v>
      </c>
      <c r="P38" s="62">
        <f ca="1">IF(M38="",IFERROR(N38/(SUMIFS($N$5:$N$64,$N$5:$N$64,"&gt;0",$M$5:$M$64,"")),1),0)</f>
        <v>8.540141335640291E-3</v>
      </c>
      <c r="Q38" s="63">
        <f ca="1">IF(LeagueInfo!$H$7="Starter/Bench",INDEX(RB!$S$3:$S$174,MATCH(J38,RB!$B$3:$B$174,0))*InflationPct,INDEX(RB!$AA$3:$AA$174,MATCH(J38,RB!$B$3:$B$174,0))*InflationPct)</f>
        <v>9.9534474903334811</v>
      </c>
      <c r="S38" s="94" t="s">
        <v>166</v>
      </c>
      <c r="T38" s="95" t="str">
        <f>INDEX(WR!$E$1:$E$184,MATCH(S38,WR!$B$1:$B$184,0))</f>
        <v>NYG</v>
      </c>
      <c r="U38" s="96">
        <f>INDEX(WR!$D$1:$D$184,MATCH(S38,WR!$B$1:$B$184,0))</f>
        <v>8</v>
      </c>
      <c r="V38" s="225" t="str">
        <f>IF(INDEX(Auction!$H$13:$H$672,MATCH(S38,Auction!$A$13:$A$672,0))&gt;0,"x","")</f>
        <v/>
      </c>
      <c r="W38" s="34">
        <f ca="1">INDEX(WR!Y$3:Y$184,MATCH(S38,WR!$B$3:$B$184,0))</f>
        <v>13.835000000000001</v>
      </c>
      <c r="X38" s="34" t="str">
        <f ca="1">INDEX(WR!Z$3:Z$184,MATCH(S38,WR!$B$3:$B$184,0))</f>
        <v>WR7</v>
      </c>
      <c r="Y38" s="49">
        <f ca="1">IF(V38="",IFERROR(W38/(SUMIFS($W$5:$W$64,$W$5:$W$64,"&gt;0",$V$5:$V$64,"")),1),0)</f>
        <v>9.106826664209226E-3</v>
      </c>
      <c r="Z38" s="41">
        <f ca="1">IF(LeagueInfo!$H$7="Starter/Bench",INDEX(WR!$S$3:$S$184,MATCH(S38,WR!$B$3:$B$184,0))*InflationPct,INDEX(WR!$AA$3:$AA$184,MATCH(S38,WR!$B$3:$B$184,0))*InflationPct)</f>
        <v>6.6268501457537887</v>
      </c>
      <c r="AB38" s="94">
        <f t="shared" ca="1" si="1"/>
        <v>34</v>
      </c>
      <c r="AC38" s="136" t="str">
        <f t="shared" ca="1" si="2"/>
        <v>Dez Bryant</v>
      </c>
      <c r="AD38" s="136" t="str">
        <f t="shared" ca="1" si="3"/>
        <v>WR</v>
      </c>
      <c r="AE38" s="139">
        <f ca="1">LARGE(($E$5:$E$34,$E$37:$E$64,$N$5:$N$64,$W$5:$W$64),ROW(AE38)-4)</f>
        <v>52.100000000000016</v>
      </c>
    </row>
    <row r="39" spans="1:31" x14ac:dyDescent="0.25">
      <c r="A39" s="33" t="s">
        <v>147</v>
      </c>
      <c r="B39" s="71" t="str">
        <f>INDEX(TE!E$3:E$129,MATCH(A39,TE!B$3:B$129,0))</f>
        <v>CAR</v>
      </c>
      <c r="C39" s="39">
        <f>INDEX(TE!D$3:D$129,MATCH(A39,TE!B$3:B$129,0))</f>
        <v>11</v>
      </c>
      <c r="D39" s="222" t="str">
        <f>IF(INDEX(Auction!$H$13:$H$672,MATCH(A39,Auction!$A$13:$A$672,0))&gt;0,"x","")</f>
        <v/>
      </c>
      <c r="E39" s="34">
        <f ca="1">INDEX(TE!Y$3:Y$129,MATCH(A39,TE!$B$3:$B$129,0))</f>
        <v>51.034999999999989</v>
      </c>
      <c r="F39" s="44" t="str">
        <f ca="1">INDEX(TE!Z$3:Z$129,MATCH(A39,TE!$B$3:$B$129,0))</f>
        <v>TE4</v>
      </c>
      <c r="G39" s="50">
        <f ca="1">IF(D39="",IFERROR(E39/(SUMIFS($E$37:$E$64,$E$37:$E$64,"&gt;0",$D$37:$D$64,"")),1),0)</f>
        <v>0.10346575300807893</v>
      </c>
      <c r="H39" s="41">
        <f ca="1">IF(LeagueInfo!$H$7="Starter/Bench",INDEX(TE!$S$3:$S$129,MATCH(A39,TE!$B$3:$B$129,0))*InflationPct,INDEX(TE!$AA$3:$AA$129,MATCH(A39,TE!$B$3:$B$129,0))*InflationPct)</f>
        <v>22.900017361091493</v>
      </c>
      <c r="I39" s="32"/>
      <c r="J39" s="60" t="s">
        <v>211</v>
      </c>
      <c r="K39" s="69" t="str">
        <f>INDEX(RB!$E$3:$E$173,MATCH(J39,RB!$B$3:$B$173,0))</f>
        <v>DET</v>
      </c>
      <c r="L39" s="61">
        <f>INDEX(RB!$D$3:$D$173,MATCH(J39,RB!$B$3:$B$173,0))</f>
        <v>7</v>
      </c>
      <c r="M39" s="223" t="str">
        <f>IF(INDEX(Auction!$H$13:$H$672,MATCH(J39,Auction!$A$13:$A$672,0))&gt;0,"x","")</f>
        <v/>
      </c>
      <c r="N39" s="56">
        <f ca="1">INDEX(RB!Y$3:Y$173,MATCH(J39,RB!$B$3:$B$173,0))</f>
        <v>20.11</v>
      </c>
      <c r="O39" s="56" t="str">
        <f ca="1">INDEX(RB!Z$3:Z$173,MATCH(J39,RB!$B$3:$B$173,0))</f>
        <v>RB9</v>
      </c>
      <c r="P39" s="62">
        <f ca="1">IF(M39="",IFERROR(N39/(SUMIFS($N$5:$N$64,$N$5:$N$64,"&gt;0",$M$5:$M$64,"")),1),0)</f>
        <v>8.2647854792938531E-3</v>
      </c>
      <c r="Q39" s="63">
        <f ca="1">IF(LeagueInfo!$H$7="Starter/Bench",INDEX(RB!$S$3:$S$174,MATCH(J39,RB!$B$3:$B$174,0))*InflationPct,INDEX(RB!$AA$3:$AA$174,MATCH(J39,RB!$B$3:$B$174,0))*InflationPct)</f>
        <v>9.6325230524834602</v>
      </c>
      <c r="S39" s="94" t="s">
        <v>225</v>
      </c>
      <c r="T39" s="95" t="str">
        <f>INDEX(WR!$E$1:$E$184,MATCH(S39,WR!$B$1:$B$184,0))</f>
        <v>GB</v>
      </c>
      <c r="U39" s="96">
        <f>INDEX(WR!$D$1:$D$184,MATCH(S39,WR!$B$1:$B$184,0))</f>
        <v>8</v>
      </c>
      <c r="V39" s="225" t="str">
        <f>IF(INDEX(Auction!$H$13:$H$672,MATCH(S39,Auction!$A$13:$A$672,0))&gt;0,"x","")</f>
        <v/>
      </c>
      <c r="W39" s="34">
        <f ca="1">INDEX(WR!Y$3:Y$184,MATCH(S39,WR!$B$3:$B$184,0))</f>
        <v>13.18</v>
      </c>
      <c r="X39" s="34" t="str">
        <f ca="1">INDEX(WR!Z$3:Z$184,MATCH(S39,WR!$B$3:$B$184,0))</f>
        <v>WR7</v>
      </c>
      <c r="Y39" s="49">
        <f ca="1">IF(V39="",IFERROR(W39/(SUMIFS($W$5:$W$64,$W$5:$W$64,"&gt;0",$V$5:$V$64,"")),1),0)</f>
        <v>8.6756758535798759E-3</v>
      </c>
      <c r="Z39" s="41">
        <f ca="1">IF(LeagueInfo!$H$7="Starter/Bench",INDEX(WR!$S$3:$S$184,MATCH(S39,WR!$B$3:$B$184,0))*InflationPct,INDEX(WR!$AA$3:$AA$184,MATCH(S39,WR!$B$3:$B$184,0))*InflationPct)</f>
        <v>6.3131105833780214</v>
      </c>
      <c r="AB39" s="94">
        <f t="shared" ca="1" si="1"/>
        <v>35</v>
      </c>
      <c r="AC39" s="136" t="str">
        <f t="shared" ca="1" si="2"/>
        <v>Kareem Hunt</v>
      </c>
      <c r="AD39" s="136" t="str">
        <f t="shared" ca="1" si="3"/>
        <v>RB</v>
      </c>
      <c r="AE39" s="139">
        <f ca="1">LARGE(($E$5:$E$34,$E$37:$E$64,$N$5:$N$64,$W$5:$W$64),ROW(AE39)-4)</f>
        <v>51.389999999999986</v>
      </c>
    </row>
    <row r="40" spans="1:31" x14ac:dyDescent="0.25">
      <c r="A40" s="33" t="s">
        <v>139</v>
      </c>
      <c r="B40" s="71" t="str">
        <f>INDEX(TE!E$3:E$129,MATCH(A40,TE!B$3:B$129,0))</f>
        <v>WAS</v>
      </c>
      <c r="C40" s="39">
        <f>INDEX(TE!D$3:D$129,MATCH(A40,TE!B$3:B$129,0))</f>
        <v>5</v>
      </c>
      <c r="D40" s="222" t="str">
        <f>IF(INDEX(Auction!$H$13:$H$672,MATCH(A40,Auction!$A$13:$A$672,0))&gt;0,"x","")</f>
        <v/>
      </c>
      <c r="E40" s="34">
        <f ca="1">INDEX(TE!Y$3:Y$129,MATCH(A40,TE!$B$3:$B$129,0))</f>
        <v>38.725000000000001</v>
      </c>
      <c r="F40" s="44" t="str">
        <f ca="1">INDEX(TE!Z$3:Z$129,MATCH(A40,TE!$B$3:$B$129,0))</f>
        <v>TE5</v>
      </c>
      <c r="G40" s="50">
        <f ca="1">IF(D40="",IFERROR(E40/(SUMIFS($E$37:$E$64,$E$37:$E$64,"&gt;0",$D$37:$D$64,"")),1),0)</f>
        <v>7.8509087591610807E-2</v>
      </c>
      <c r="H40" s="41">
        <f ca="1">IF(LeagueInfo!$H$7="Starter/Bench",INDEX(TE!$S$3:$S$129,MATCH(A40,TE!$B$3:$B$129,0))*InflationPct,INDEX(TE!$AA$3:$AA$129,MATCH(A40,TE!$B$3:$B$129,0))*InflationPct)</f>
        <v>17.521965739351128</v>
      </c>
      <c r="I40" s="32"/>
      <c r="J40" s="60" t="s">
        <v>160</v>
      </c>
      <c r="K40" s="69" t="str">
        <f>INDEX(RB!$E$3:$E$173,MATCH(J40,RB!$B$3:$B$173,0))</f>
        <v>NO</v>
      </c>
      <c r="L40" s="61">
        <f>INDEX(RB!$D$3:$D$173,MATCH(J40,RB!$B$3:$B$173,0))</f>
        <v>5</v>
      </c>
      <c r="M40" s="223" t="str">
        <f>IF(INDEX(Auction!$H$13:$H$672,MATCH(J40,Auction!$A$13:$A$672,0))&gt;0,"x","")</f>
        <v/>
      </c>
      <c r="N40" s="56">
        <f ca="1">INDEX(RB!Y$3:Y$173,MATCH(J40,RB!$B$3:$B$173,0))</f>
        <v>19.560000000000002</v>
      </c>
      <c r="O40" s="56" t="str">
        <f ca="1">INDEX(RB!Z$3:Z$173,MATCH(J40,RB!$B$3:$B$173,0))</f>
        <v>RB9</v>
      </c>
      <c r="P40" s="62">
        <f ca="1">IF(M40="",IFERROR(N40/(SUMIFS($N$5:$N$64,$N$5:$N$64,"&gt;0",$M$5:$M$64,"")),1),0)</f>
        <v>8.038747089755733E-3</v>
      </c>
      <c r="Q40" s="63">
        <f ca="1">IF(LeagueInfo!$H$7="Starter/Bench",INDEX(RB!$S$3:$S$174,MATCH(J40,RB!$B$3:$B$174,0))*InflationPct,INDEX(RB!$AA$3:$AA$174,MATCH(J40,RB!$B$3:$B$174,0))*InflationPct)</f>
        <v>9.3690776184274736</v>
      </c>
      <c r="S40" s="94" t="s">
        <v>174</v>
      </c>
      <c r="T40" s="95" t="str">
        <f>INDEX(WR!$E$1:$E$184,MATCH(S40,WR!$B$1:$B$184,0))</f>
        <v>TB</v>
      </c>
      <c r="U40" s="96">
        <f>INDEX(WR!$D$1:$D$184,MATCH(S40,WR!$B$1:$B$184,0))</f>
        <v>11</v>
      </c>
      <c r="V40" s="225" t="str">
        <f>IF(INDEX(Auction!$H$13:$H$672,MATCH(S40,Auction!$A$13:$A$672,0))&gt;0,"x","")</f>
        <v/>
      </c>
      <c r="W40" s="34">
        <f ca="1">INDEX(WR!Y$3:Y$184,MATCH(S40,WR!$B$3:$B$184,0))</f>
        <v>12.725000000000001</v>
      </c>
      <c r="X40" s="34" t="str">
        <f ca="1">INDEX(WR!Z$3:Z$184,MATCH(S40,WR!$B$3:$B$184,0))</f>
        <v>WR7</v>
      </c>
      <c r="Y40" s="49">
        <f ca="1">IF(V40="",IFERROR(W40/(SUMIFS($W$5:$W$64,$W$5:$W$64,"&gt;0",$V$5:$V$64,"")),1),0)</f>
        <v>8.3761741454327718E-3</v>
      </c>
      <c r="Z40" s="41">
        <f ca="1">IF(LeagueInfo!$H$7="Starter/Bench",INDEX(WR!$S$3:$S$184,MATCH(S40,WR!$B$3:$B$184,0))*InflationPct,INDEX(WR!$AA$3:$AA$184,MATCH(S40,WR!$B$3:$B$184,0))*InflationPct)</f>
        <v>6.0951693606589776</v>
      </c>
      <c r="AB40" s="94">
        <f t="shared" ca="1" si="1"/>
        <v>36</v>
      </c>
      <c r="AC40" s="136" t="str">
        <f t="shared" ca="1" si="2"/>
        <v>Carlos Hyde</v>
      </c>
      <c r="AD40" s="136" t="str">
        <f t="shared" ca="1" si="3"/>
        <v>RB</v>
      </c>
      <c r="AE40" s="139">
        <f ca="1">LARGE(($E$5:$E$34,$E$37:$E$64,$N$5:$N$64,$W$5:$W$64),ROW(AE40)-4)</f>
        <v>51.169999999999987</v>
      </c>
    </row>
    <row r="41" spans="1:31" x14ac:dyDescent="0.25">
      <c r="A41" s="33" t="s">
        <v>157</v>
      </c>
      <c r="B41" s="71" t="str">
        <f>INDEX(TE!E$3:E$129,MATCH(A41,TE!B$3:B$129,0))</f>
        <v>SEA</v>
      </c>
      <c r="C41" s="39">
        <f>INDEX(TE!D$3:D$129,MATCH(A41,TE!B$3:B$129,0))</f>
        <v>6</v>
      </c>
      <c r="D41" s="222" t="str">
        <f>IF(INDEX(Auction!$H$13:$H$672,MATCH(A41,Auction!$A$13:$A$672,0))&gt;0,"x","")</f>
        <v/>
      </c>
      <c r="E41" s="34">
        <f ca="1">INDEX(TE!Y$3:Y$129,MATCH(A41,TE!$B$3:$B$129,0))</f>
        <v>38.675000000000018</v>
      </c>
      <c r="F41" s="44" t="str">
        <f ca="1">INDEX(TE!Z$3:Z$129,MATCH(A41,TE!$B$3:$B$129,0))</f>
        <v>TE5</v>
      </c>
      <c r="G41" s="50">
        <f ca="1">IF(D41="",IFERROR(E41/(SUMIFS($E$37:$E$64,$E$37:$E$64,"&gt;0",$D$37:$D$64,"")),1),0)</f>
        <v>7.8407720144752724E-2</v>
      </c>
      <c r="H41" s="41">
        <f ca="1">IF(LeagueInfo!$H$7="Starter/Bench",INDEX(TE!$S$3:$S$129,MATCH(A41,TE!$B$3:$B$129,0))*InflationPct,INDEX(TE!$AA$3:$AA$129,MATCH(A41,TE!$B$3:$B$129,0))*InflationPct)</f>
        <v>17.500121500432613</v>
      </c>
      <c r="I41" s="32"/>
      <c r="J41" s="60" t="s">
        <v>163</v>
      </c>
      <c r="K41" s="69" t="str">
        <f>INDEX(RB!$E$3:$E$173,MATCH(J41,RB!$B$3:$B$173,0))</f>
        <v>PHI</v>
      </c>
      <c r="L41" s="61">
        <f>INDEX(RB!$D$3:$D$173,MATCH(J41,RB!$B$3:$B$173,0))</f>
        <v>10</v>
      </c>
      <c r="M41" s="223" t="str">
        <f>IF(INDEX(Auction!$H$13:$H$672,MATCH(J41,Auction!$A$13:$A$672,0))&gt;0,"x","")</f>
        <v/>
      </c>
      <c r="N41" s="56">
        <f ca="1">INDEX(RB!Y$3:Y$173,MATCH(J41,RB!$B$3:$B$173,0))</f>
        <v>19.519999999999996</v>
      </c>
      <c r="O41" s="56" t="str">
        <f ca="1">INDEX(RB!Z$3:Z$173,MATCH(J41,RB!$B$3:$B$173,0))</f>
        <v>RB9</v>
      </c>
      <c r="P41" s="62">
        <f ca="1">IF(M41="",IFERROR(N41/(SUMIFS($N$5:$N$64,$N$5:$N$64,"&gt;0",$M$5:$M$64,"")),1),0)</f>
        <v>8.0223079341529575E-3</v>
      </c>
      <c r="Q41" s="63">
        <f ca="1">IF(LeagueInfo!$H$7="Starter/Bench",INDEX(RB!$S$3:$S$174,MATCH(J41,RB!$B$3:$B$174,0))*InflationPct,INDEX(RB!$AA$3:$AA$174,MATCH(J41,RB!$B$3:$B$174,0))*InflationPct)</f>
        <v>9.3499179504961276</v>
      </c>
      <c r="S41" s="94" t="s">
        <v>265</v>
      </c>
      <c r="T41" s="95" t="str">
        <f>INDEX(WR!$E$1:$E$184,MATCH(S41,WR!$B$1:$B$184,0))</f>
        <v>CLE</v>
      </c>
      <c r="U41" s="96">
        <f>INDEX(WR!$D$1:$D$184,MATCH(S41,WR!$B$1:$B$184,0))</f>
        <v>9</v>
      </c>
      <c r="V41" s="225" t="str">
        <f>IF(INDEX(Auction!$H$13:$H$672,MATCH(S41,Auction!$A$13:$A$672,0))&gt;0,"x","")</f>
        <v/>
      </c>
      <c r="W41" s="34">
        <f ca="1">INDEX(WR!Y$3:Y$184,MATCH(S41,WR!$B$3:$B$184,0))</f>
        <v>12.114999999999995</v>
      </c>
      <c r="X41" s="34" t="str">
        <f ca="1">INDEX(WR!Z$3:Z$184,MATCH(S41,WR!$B$3:$B$184,0))</f>
        <v>WR7</v>
      </c>
      <c r="Y41" s="49">
        <f ca="1">IF(V41="",IFERROR(W41/(SUMIFS($W$5:$W$64,$W$5:$W$64,"&gt;0",$V$5:$V$64,"")),1),0)</f>
        <v>7.9746443828619239E-3</v>
      </c>
      <c r="Z41" s="41">
        <f ca="1">IF(LeagueInfo!$H$7="Starter/Bench",INDEX(WR!$S$3:$S$184,MATCH(S41,WR!$B$3:$B$184,0))*InflationPct,INDEX(WR!$AA$3:$AA$184,MATCH(S41,WR!$B$3:$B$184,0))*InflationPct)</f>
        <v>5.8029844247059712</v>
      </c>
      <c r="AB41" s="94">
        <f t="shared" ca="1" si="1"/>
        <v>37</v>
      </c>
      <c r="AC41" s="136" t="str">
        <f t="shared" ca="1" si="2"/>
        <v>Greg Olsen</v>
      </c>
      <c r="AD41" s="136" t="str">
        <f t="shared" ca="1" si="3"/>
        <v>TE</v>
      </c>
      <c r="AE41" s="139">
        <f ca="1">LARGE(($E$5:$E$34,$E$37:$E$64,$N$5:$N$64,$W$5:$W$64),ROW(AE41)-4)</f>
        <v>51.034999999999989</v>
      </c>
    </row>
    <row r="42" spans="1:31" x14ac:dyDescent="0.25">
      <c r="A42" s="33" t="s">
        <v>204</v>
      </c>
      <c r="B42" s="71" t="str">
        <f>INDEX(TE!E$3:E$129,MATCH(A42,TE!B$3:B$129,0))</f>
        <v>MIN</v>
      </c>
      <c r="C42" s="39">
        <f>INDEX(TE!D$3:D$129,MATCH(A42,TE!B$3:B$129,0))</f>
        <v>9</v>
      </c>
      <c r="D42" s="222" t="str">
        <f>IF(INDEX(Auction!$H$13:$H$672,MATCH(A42,Auction!$A$13:$A$672,0))&gt;0,"x","")</f>
        <v/>
      </c>
      <c r="E42" s="34">
        <f ca="1">INDEX(TE!Y$3:Y$129,MATCH(A42,TE!$B$3:$B$129,0))</f>
        <v>28.854999999999997</v>
      </c>
      <c r="F42" s="44" t="str">
        <f ca="1">INDEX(TE!Z$3:Z$129,MATCH(A42,TE!$B$3:$B$129,0))</f>
        <v>TE6</v>
      </c>
      <c r="G42" s="50">
        <f ca="1">IF(D42="",IFERROR(E42/(SUMIFS($E$37:$E$64,$E$37:$E$64,"&gt;0",$D$37:$D$64,"")),1),0)</f>
        <v>5.8499153581818709E-2</v>
      </c>
      <c r="H42" s="41">
        <f ca="1">IF(LeagueInfo!$H$7="Starter/Bench",INDEX(TE!$S$3:$S$129,MATCH(A42,TE!$B$3:$B$129,0))*InflationPct,INDEX(TE!$AA$3:$AA$129,MATCH(A42,TE!$B$3:$B$129,0))*InflationPct)</f>
        <v>13.20991297683468</v>
      </c>
      <c r="I42" s="26"/>
      <c r="J42" s="60" t="s">
        <v>208</v>
      </c>
      <c r="K42" s="69" t="str">
        <f>INDEX(RB!$E$3:$E$173,MATCH(J42,RB!$B$3:$B$173,0))</f>
        <v>NYJ</v>
      </c>
      <c r="L42" s="61">
        <f>INDEX(RB!$D$3:$D$173,MATCH(J42,RB!$B$3:$B$173,0))</f>
        <v>11</v>
      </c>
      <c r="M42" s="223" t="str">
        <f>IF(INDEX(Auction!$H$13:$H$672,MATCH(J42,Auction!$A$13:$A$672,0))&gt;0,"x","")</f>
        <v/>
      </c>
      <c r="N42" s="56">
        <f ca="1">INDEX(RB!Y$3:Y$173,MATCH(J42,RB!$B$3:$B$173,0))</f>
        <v>19.074999999999996</v>
      </c>
      <c r="O42" s="56" t="str">
        <f ca="1">INDEX(RB!Z$3:Z$173,MATCH(J42,RB!$B$3:$B$173,0))</f>
        <v>RB9</v>
      </c>
      <c r="P42" s="62">
        <f ca="1">IF(M42="",IFERROR(N42/(SUMIFS($N$5:$N$64,$N$5:$N$64,"&gt;0",$M$5:$M$64,"")),1),0)</f>
        <v>7.8394223280721133E-3</v>
      </c>
      <c r="Q42" s="63">
        <f ca="1">IF(LeagueInfo!$H$7="Starter/Bench",INDEX(RB!$S$3:$S$174,MATCH(J42,RB!$B$3:$B$174,0))*InflationPct,INDEX(RB!$AA$3:$AA$174,MATCH(J42,RB!$B$3:$B$174,0))*InflationPct)</f>
        <v>9.1367666447599181</v>
      </c>
      <c r="S42" s="94" t="s">
        <v>199</v>
      </c>
      <c r="T42" s="95" t="str">
        <f>INDEX(WR!$E$1:$E$184,MATCH(S42,WR!$B$1:$B$184,0))</f>
        <v>TEN</v>
      </c>
      <c r="U42" s="96">
        <f>INDEX(WR!$D$1:$D$184,MATCH(S42,WR!$B$1:$B$184,0))</f>
        <v>8</v>
      </c>
      <c r="V42" s="225" t="str">
        <f>IF(INDEX(Auction!$H$13:$H$672,MATCH(S42,Auction!$A$13:$A$672,0))&gt;0,"x","")</f>
        <v/>
      </c>
      <c r="W42" s="34">
        <f ca="1">INDEX(WR!Y$3:Y$184,MATCH(S42,WR!$B$3:$B$184,0))</f>
        <v>11.869999999999997</v>
      </c>
      <c r="X42" s="34" t="str">
        <f ca="1">INDEX(WR!Z$3:Z$184,MATCH(S42,WR!$B$3:$B$184,0))</f>
        <v>WR7</v>
      </c>
      <c r="Y42" s="49">
        <f ca="1">IF(V42="",IFERROR(W42/(SUMIFS($W$5:$W$64,$W$5:$W$64,"&gt;0",$V$5:$V$64,"")),1),0)</f>
        <v>7.8133742323211759E-3</v>
      </c>
      <c r="Z42" s="41">
        <f ca="1">IF(LeagueInfo!$H$7="Starter/Bench",INDEX(WR!$S$3:$S$184,MATCH(S42,WR!$B$3:$B$184,0))*InflationPct,INDEX(WR!$AA$3:$AA$184,MATCH(S42,WR!$B$3:$B$184,0))*InflationPct)</f>
        <v>5.6856314586264869</v>
      </c>
      <c r="AB42" s="94">
        <f t="shared" ca="1" si="1"/>
        <v>38</v>
      </c>
      <c r="AC42" s="136" t="str">
        <f t="shared" ca="1" si="2"/>
        <v>Doug Baldwin</v>
      </c>
      <c r="AD42" s="136" t="str">
        <f t="shared" ca="1" si="3"/>
        <v>WR</v>
      </c>
      <c r="AE42" s="139">
        <f ca="1">LARGE(($E$5:$E$34,$E$37:$E$64,$N$5:$N$64,$W$5:$W$64),ROW(AE42)-4)</f>
        <v>50.809999999999995</v>
      </c>
    </row>
    <row r="43" spans="1:31" x14ac:dyDescent="0.25">
      <c r="A43" s="33" t="s">
        <v>178</v>
      </c>
      <c r="B43" s="71" t="str">
        <f>INDEX(TE!E$3:E$129,MATCH(A43,TE!B$3:B$129,0))</f>
        <v>CIN</v>
      </c>
      <c r="C43" s="39">
        <f>INDEX(TE!D$3:D$129,MATCH(A43,TE!B$3:B$129,0))</f>
        <v>6</v>
      </c>
      <c r="D43" s="222" t="str">
        <f>IF(INDEX(Auction!$H$13:$H$672,MATCH(A43,Auction!$A$13:$A$672,0))&gt;0,"x","")</f>
        <v/>
      </c>
      <c r="E43" s="34">
        <f ca="1">INDEX(TE!Y$3:Y$129,MATCH(A43,TE!$B$3:$B$129,0))</f>
        <v>28.785000000000004</v>
      </c>
      <c r="F43" s="44" t="str">
        <f ca="1">INDEX(TE!Z$3:Z$129,MATCH(A43,TE!$B$3:$B$129,0))</f>
        <v>TE6</v>
      </c>
      <c r="G43" s="50">
        <f ca="1">IF(D43="",IFERROR(E43/(SUMIFS($E$37:$E$64,$E$37:$E$64,"&gt;0",$D$37:$D$64,"")),1),0)</f>
        <v>5.8357239156217357E-2</v>
      </c>
      <c r="H43" s="41">
        <f ca="1">IF(LeagueInfo!$H$7="Starter/Bench",INDEX(TE!$S$3:$S$129,MATCH(A43,TE!$B$3:$B$129,0))*InflationPct,INDEX(TE!$AA$3:$AA$129,MATCH(A43,TE!$B$3:$B$129,0))*InflationPct)</f>
        <v>13.179331042348752</v>
      </c>
      <c r="I43" s="26"/>
      <c r="J43" s="60" t="s">
        <v>433</v>
      </c>
      <c r="K43" s="69" t="str">
        <f>INDEX(RB!$E$3:$E$173,MATCH(J43,RB!$B$3:$B$173,0))</f>
        <v>CLE</v>
      </c>
      <c r="L43" s="61">
        <f>INDEX(RB!$D$3:$D$173,MATCH(J43,RB!$B$3:$B$173,0))</f>
        <v>9</v>
      </c>
      <c r="M43" s="223" t="str">
        <f>IF(INDEX(Auction!$H$13:$H$672,MATCH(J43,Auction!$A$13:$A$672,0))&gt;0,"x","")</f>
        <v/>
      </c>
      <c r="N43" s="56">
        <f ca="1">INDEX(RB!Y$3:Y$173,MATCH(J43,RB!$B$3:$B$173,0))</f>
        <v>18.304999999999993</v>
      </c>
      <c r="O43" s="56" t="str">
        <f ca="1">INDEX(RB!Z$3:Z$173,MATCH(J43,RB!$B$3:$B$173,0))</f>
        <v>RB9</v>
      </c>
      <c r="P43" s="62">
        <f ca="1">IF(M43="",IFERROR(N43/(SUMIFS($N$5:$N$64,$N$5:$N$64,"&gt;0",$M$5:$M$64,"")),1),0)</f>
        <v>7.5229685827187427E-3</v>
      </c>
      <c r="Q43" s="63">
        <f ca="1">IF(LeagueInfo!$H$7="Starter/Bench",INDEX(RB!$S$3:$S$174,MATCH(J43,RB!$B$3:$B$174,0))*InflationPct,INDEX(RB!$AA$3:$AA$174,MATCH(J43,RB!$B$3:$B$174,0))*InflationPct)</f>
        <v>8.767943037081535</v>
      </c>
      <c r="S43" s="94" t="s">
        <v>209</v>
      </c>
      <c r="T43" s="95" t="str">
        <f>INDEX(WR!$E$1:$E$184,MATCH(S43,WR!$B$1:$B$184,0))</f>
        <v>LAC</v>
      </c>
      <c r="U43" s="96">
        <f>INDEX(WR!$D$1:$D$184,MATCH(S43,WR!$B$1:$B$184,0))</f>
        <v>9</v>
      </c>
      <c r="V43" s="225" t="str">
        <f>IF(INDEX(Auction!$H$13:$H$672,MATCH(S43,Auction!$A$13:$A$672,0))&gt;0,"x","")</f>
        <v/>
      </c>
      <c r="W43" s="34">
        <f ca="1">INDEX(WR!Y$3:Y$184,MATCH(S43,WR!$B$3:$B$184,0))</f>
        <v>11.035000000000004</v>
      </c>
      <c r="X43" s="34" t="str">
        <f ca="1">INDEX(WR!Z$3:Z$184,MATCH(S43,WR!$B$3:$B$184,0))</f>
        <v>WR7</v>
      </c>
      <c r="Y43" s="49">
        <f ca="1">IF(V43="",IFERROR(W43/(SUMIFS($W$5:$W$64,$W$5:$W$64,"&gt;0",$V$5:$V$64,"")),1),0)</f>
        <v>7.2637392294578121E-3</v>
      </c>
      <c r="Z43" s="41">
        <f ca="1">IF(LeagueInfo!$H$7="Starter/Bench",INDEX(WR!$S$3:$S$184,MATCH(S43,WR!$B$3:$B$184,0))*InflationPct,INDEX(WR!$AA$3:$AA$184,MATCH(S43,WR!$B$3:$B$184,0))*InflationPct)</f>
        <v>5.2856733905596727</v>
      </c>
      <c r="AB43" s="94">
        <f t="shared" ca="1" si="1"/>
        <v>39</v>
      </c>
      <c r="AC43" s="136" t="str">
        <f t="shared" ca="1" si="2"/>
        <v>Amari Cooper</v>
      </c>
      <c r="AD43" s="136" t="str">
        <f t="shared" ca="1" si="3"/>
        <v>WR</v>
      </c>
      <c r="AE43" s="139">
        <f ca="1">LARGE(($E$5:$E$34,$E$37:$E$64,$N$5:$N$64,$W$5:$W$64),ROW(AE43)-4)</f>
        <v>50.279999999999994</v>
      </c>
    </row>
    <row r="44" spans="1:31" x14ac:dyDescent="0.25">
      <c r="A44" s="33" t="s">
        <v>177</v>
      </c>
      <c r="B44" s="71" t="str">
        <f>INDEX(TE!E$3:E$129,MATCH(A44,TE!B$3:B$129,0))</f>
        <v>TEN</v>
      </c>
      <c r="C44" s="39">
        <f>INDEX(TE!D$3:D$129,MATCH(A44,TE!B$3:B$129,0))</f>
        <v>8</v>
      </c>
      <c r="D44" s="222" t="str">
        <f>IF(INDEX(Auction!$H$13:$H$672,MATCH(A44,Auction!$A$13:$A$672,0))&gt;0,"x","")</f>
        <v/>
      </c>
      <c r="E44" s="34">
        <f ca="1">INDEX(TE!Y$3:Y$129,MATCH(A44,TE!$B$3:$B$129,0))</f>
        <v>25.354999999999997</v>
      </c>
      <c r="F44" s="44" t="str">
        <f ca="1">INDEX(TE!Z$3:Z$129,MATCH(A44,TE!$B$3:$B$129,0))</f>
        <v>TE6</v>
      </c>
      <c r="G44" s="50">
        <f ca="1">IF(D44="",IFERROR(E44/(SUMIFS($E$37:$E$64,$E$37:$E$64,"&gt;0",$D$37:$D$64,"")),1),0)</f>
        <v>5.1403432301750596E-2</v>
      </c>
      <c r="H44" s="41">
        <f ca="1">IF(LeagueInfo!$H$7="Starter/Bench",INDEX(TE!$S$3:$S$129,MATCH(A44,TE!$B$3:$B$129,0))*InflationPct,INDEX(TE!$AA$3:$AA$129,MATCH(A44,TE!$B$3:$B$129,0))*InflationPct)</f>
        <v>11.680816252538069</v>
      </c>
      <c r="I44" s="26"/>
      <c r="J44" s="60" t="s">
        <v>170</v>
      </c>
      <c r="K44" s="69" t="str">
        <f>INDEX(RB!$E$3:$E$173,MATCH(J44,RB!$B$3:$B$173,0))</f>
        <v>TEN</v>
      </c>
      <c r="L44" s="61">
        <f>INDEX(RB!$D$3:$D$173,MATCH(J44,RB!$B$3:$B$173,0))</f>
        <v>8</v>
      </c>
      <c r="M44" s="223" t="str">
        <f>IF(INDEX(Auction!$H$13:$H$672,MATCH(J44,Auction!$A$13:$A$672,0))&gt;0,"x","")</f>
        <v/>
      </c>
      <c r="N44" s="56">
        <f ca="1">INDEX(RB!Y$3:Y$173,MATCH(J44,RB!$B$3:$B$173,0))</f>
        <v>17.989999999999995</v>
      </c>
      <c r="O44" s="56" t="str">
        <f ca="1">INDEX(RB!Z$3:Z$173,MATCH(J44,RB!$B$3:$B$173,0))</f>
        <v>RB9</v>
      </c>
      <c r="P44" s="62">
        <f ca="1">IF(M44="",IFERROR(N44/(SUMIFS($N$5:$N$64,$N$5:$N$64,"&gt;0",$M$5:$M$64,"")),1),0)</f>
        <v>7.3935102323469098E-3</v>
      </c>
      <c r="Q44" s="63">
        <f ca="1">IF(LeagueInfo!$H$7="Starter/Bench",INDEX(RB!$S$3:$S$174,MATCH(J44,RB!$B$3:$B$174,0))*InflationPct,INDEX(RB!$AA$3:$AA$174,MATCH(J44,RB!$B$3:$B$174,0))*InflationPct)</f>
        <v>8.6170606521221984</v>
      </c>
      <c r="S44" s="94" t="s">
        <v>248</v>
      </c>
      <c r="T44" s="95" t="str">
        <f>INDEX(WR!$E$1:$E$184,MATCH(S44,WR!$B$1:$B$184,0))</f>
        <v>BAL</v>
      </c>
      <c r="U44" s="96">
        <f>INDEX(WR!$D$1:$D$184,MATCH(S44,WR!$B$1:$B$184,0))</f>
        <v>10</v>
      </c>
      <c r="V44" s="225" t="str">
        <f>IF(INDEX(Auction!$H$13:$H$672,MATCH(S44,Auction!$A$13:$A$672,0))&gt;0,"x","")</f>
        <v/>
      </c>
      <c r="W44" s="34">
        <f ca="1">INDEX(WR!Y$3:Y$184,MATCH(S44,WR!$B$3:$B$184,0))</f>
        <v>10.834999999999994</v>
      </c>
      <c r="X44" s="34" t="str">
        <f ca="1">INDEX(WR!Z$3:Z$184,MATCH(S44,WR!$B$3:$B$184,0))</f>
        <v>WR7</v>
      </c>
      <c r="Y44" s="49">
        <f ca="1">IF(V44="",IFERROR(W44/(SUMIFS($W$5:$W$64,$W$5:$W$64,"&gt;0",$V$5:$V$64,"")),1),0)</f>
        <v>7.1320901269755618E-3</v>
      </c>
      <c r="Z44" s="41">
        <f ca="1">IF(LeagueInfo!$H$7="Starter/Bench",INDEX(WR!$S$3:$S$184,MATCH(S44,WR!$B$3:$B$184,0))*InflationPct,INDEX(WR!$AA$3:$AA$184,MATCH(S44,WR!$B$3:$B$184,0))*InflationPct)</f>
        <v>5.1898750509029457</v>
      </c>
      <c r="AB44" s="94">
        <f t="shared" ca="1" si="1"/>
        <v>40</v>
      </c>
      <c r="AC44" s="136" t="str">
        <f t="shared" ca="1" si="2"/>
        <v>Joe Mixon</v>
      </c>
      <c r="AD44" s="136" t="str">
        <f t="shared" ca="1" si="3"/>
        <v>RB</v>
      </c>
      <c r="AE44" s="139">
        <f ca="1">LARGE(($E$5:$E$34,$E$37:$E$64,$N$5:$N$64,$W$5:$W$64),ROW(AE44)-4)</f>
        <v>49.75</v>
      </c>
    </row>
    <row r="45" spans="1:31" x14ac:dyDescent="0.25">
      <c r="A45" s="33" t="s">
        <v>223</v>
      </c>
      <c r="B45" s="71" t="str">
        <f>INDEX(TE!E$3:E$129,MATCH(A45,TE!B$3:B$129,0))</f>
        <v>PHI</v>
      </c>
      <c r="C45" s="39">
        <f>INDEX(TE!D$3:D$129,MATCH(A45,TE!B$3:B$129,0))</f>
        <v>10</v>
      </c>
      <c r="D45" s="222" t="str">
        <f>IF(INDEX(Auction!$H$13:$H$672,MATCH(A45,Auction!$A$13:$A$672,0))&gt;0,"x","")</f>
        <v/>
      </c>
      <c r="E45" s="34">
        <f ca="1">INDEX(TE!Y$3:Y$129,MATCH(A45,TE!$B$3:$B$129,0))</f>
        <v>24.095000000000006</v>
      </c>
      <c r="F45" s="44" t="str">
        <f ca="1">INDEX(TE!Z$3:Z$129,MATCH(A45,TE!$B$3:$B$129,0))</f>
        <v>TE6</v>
      </c>
      <c r="G45" s="50">
        <f ca="1">IF(D45="",IFERROR(E45/(SUMIFS($E$37:$E$64,$E$37:$E$64,"&gt;0",$D$37:$D$64,"")),1),0)</f>
        <v>4.8848972640926087E-2</v>
      </c>
      <c r="H45" s="41">
        <f ca="1">IF(LeagueInfo!$H$7="Starter/Bench",INDEX(TE!$S$3:$S$129,MATCH(A45,TE!$B$3:$B$129,0))*InflationPct,INDEX(TE!$AA$3:$AA$129,MATCH(A45,TE!$B$3:$B$129,0))*InflationPct)</f>
        <v>11.130341431791294</v>
      </c>
      <c r="I45" s="26"/>
      <c r="J45" s="60" t="s">
        <v>295</v>
      </c>
      <c r="K45" s="69" t="str">
        <f>INDEX(RB!$E$3:$E$173,MATCH(J45,RB!$B$3:$B$173,0))</f>
        <v>PHI</v>
      </c>
      <c r="L45" s="61">
        <f>INDEX(RB!$D$3:$D$173,MATCH(J45,RB!$B$3:$B$173,0))</f>
        <v>10</v>
      </c>
      <c r="M45" s="223" t="str">
        <f>IF(INDEX(Auction!$H$13:$H$672,MATCH(J45,Auction!$A$13:$A$672,0))&gt;0,"x","")</f>
        <v/>
      </c>
      <c r="N45" s="56">
        <f ca="1">INDEX(RB!Y$3:Y$173,MATCH(J45,RB!$B$3:$B$173,0))</f>
        <v>13.524999999999991</v>
      </c>
      <c r="O45" s="56" t="str">
        <f ca="1">INDEX(RB!Z$3:Z$173,MATCH(J45,RB!$B$3:$B$173,0))</f>
        <v>RB10</v>
      </c>
      <c r="P45" s="62">
        <f ca="1">IF(M45="",IFERROR(N45/(SUMIFS($N$5:$N$64,$N$5:$N$64,"&gt;0",$M$5:$M$64,"")),1),0)</f>
        <v>5.558489488187433E-3</v>
      </c>
      <c r="Q45" s="63">
        <f ca="1">IF(LeagueInfo!$H$7="Starter/Bench",INDEX(RB!$S$3:$S$174,MATCH(J45,RB!$B$3:$B$174,0))*InflationPct,INDEX(RB!$AA$3:$AA$174,MATCH(J45,RB!$B$3:$B$174,0))*InflationPct)</f>
        <v>6.4783627192858635</v>
      </c>
      <c r="S45" s="94" t="s">
        <v>161</v>
      </c>
      <c r="T45" s="95" t="str">
        <f>INDEX(WR!$E$1:$E$184,MATCH(S45,WR!$B$1:$B$184,0))</f>
        <v>IND</v>
      </c>
      <c r="U45" s="96">
        <f>INDEX(WR!$D$1:$D$184,MATCH(S45,WR!$B$1:$B$184,0))</f>
        <v>11</v>
      </c>
      <c r="V45" s="225" t="str">
        <f>IF(INDEX(Auction!$H$13:$H$672,MATCH(S45,Auction!$A$13:$A$672,0))&gt;0,"x","")</f>
        <v/>
      </c>
      <c r="W45" s="34">
        <f ca="1">INDEX(WR!Y$3:Y$184,MATCH(S45,WR!$B$3:$B$184,0))</f>
        <v>9.5749999999999957</v>
      </c>
      <c r="X45" s="34" t="str">
        <f ca="1">INDEX(WR!Z$3:Z$184,MATCH(S45,WR!$B$3:$B$184,0))</f>
        <v>WR7</v>
      </c>
      <c r="Y45" s="49">
        <f ca="1">IF(V45="",IFERROR(W45/(SUMIFS($W$5:$W$64,$W$5:$W$64,"&gt;0",$V$5:$V$64,"")),1),0)</f>
        <v>6.3027007813374258E-3</v>
      </c>
      <c r="Z45" s="41">
        <f ca="1">IF(LeagueInfo!$H$7="Starter/Bench",INDEX(WR!$S$3:$S$184,MATCH(S45,WR!$B$3:$B$184,0))*InflationPct,INDEX(WR!$AA$3:$AA$184,MATCH(S45,WR!$B$3:$B$184,0))*InflationPct)</f>
        <v>4.586345511065594</v>
      </c>
      <c r="AB45" s="94">
        <f t="shared" ca="1" si="1"/>
        <v>41</v>
      </c>
      <c r="AC45" s="136" t="str">
        <f t="shared" ca="1" si="2"/>
        <v>Brandin Cooks</v>
      </c>
      <c r="AD45" s="136" t="str">
        <f t="shared" ca="1" si="3"/>
        <v>WR</v>
      </c>
      <c r="AE45" s="139">
        <f ca="1">LARGE(($E$5:$E$34,$E$37:$E$64,$N$5:$N$64,$W$5:$W$64),ROW(AE45)-4)</f>
        <v>48.249999999999993</v>
      </c>
    </row>
    <row r="46" spans="1:31" x14ac:dyDescent="0.25">
      <c r="A46" s="33" t="s">
        <v>184</v>
      </c>
      <c r="B46" s="71" t="str">
        <f>INDEX(TE!E$3:E$129,MATCH(A46,TE!B$3:B$129,0))</f>
        <v>GB</v>
      </c>
      <c r="C46" s="39">
        <f>INDEX(TE!D$3:D$129,MATCH(A46,TE!B$3:B$129,0))</f>
        <v>8</v>
      </c>
      <c r="D46" s="222" t="str">
        <f>IF(INDEX(Auction!$H$13:$H$672,MATCH(A46,Auction!$A$13:$A$672,0))&gt;0,"x","")</f>
        <v/>
      </c>
      <c r="E46" s="34">
        <f ca="1">INDEX(TE!Y$3:Y$129,MATCH(A46,TE!$B$3:$B$129,0))</f>
        <v>22.535000000000004</v>
      </c>
      <c r="F46" s="44" t="str">
        <f ca="1">INDEX(TE!Z$3:Z$129,MATCH(A46,TE!$B$3:$B$129,0))</f>
        <v>TE7</v>
      </c>
      <c r="G46" s="50">
        <f ca="1">IF(D46="",IFERROR(E46/(SUMIFS($E$37:$E$64,$E$37:$E$64,"&gt;0",$D$37:$D$64,"")),1),0)</f>
        <v>4.5686308298952864E-2</v>
      </c>
      <c r="H46" s="41">
        <f ca="1">IF(LeagueInfo!$H$7="Starter/Bench",INDEX(TE!$S$3:$S$129,MATCH(A46,TE!$B$3:$B$129,0))*InflationPct,INDEX(TE!$AA$3:$AA$129,MATCH(A46,TE!$B$3:$B$129,0))*InflationPct)</f>
        <v>10.448801177533372</v>
      </c>
      <c r="I46" s="32"/>
      <c r="J46" s="60" t="s">
        <v>203</v>
      </c>
      <c r="K46" s="69" t="str">
        <f>INDEX(RB!$E$3:$E$173,MATCH(J46,RB!$B$3:$B$173,0))</f>
        <v>DAL</v>
      </c>
      <c r="L46" s="61">
        <f>INDEX(RB!$D$3:$D$173,MATCH(J46,RB!$B$3:$B$173,0))</f>
        <v>6</v>
      </c>
      <c r="M46" s="223" t="str">
        <f>IF(INDEX(Auction!$H$13:$H$672,MATCH(J46,Auction!$A$13:$A$672,0))&gt;0,"x","")</f>
        <v/>
      </c>
      <c r="N46" s="56">
        <f ca="1">INDEX(RB!Y$3:Y$173,MATCH(J46,RB!$B$3:$B$173,0))</f>
        <v>12.274999999999991</v>
      </c>
      <c r="O46" s="56" t="str">
        <f ca="1">INDEX(RB!Z$3:Z$173,MATCH(J46,RB!$B$3:$B$173,0))</f>
        <v>RB10</v>
      </c>
      <c r="P46" s="62">
        <f ca="1">IF(M46="",IFERROR(N46/(SUMIFS($N$5:$N$64,$N$5:$N$64,"&gt;0",$M$5:$M$64,"")),1),0)</f>
        <v>5.0447658756007938E-3</v>
      </c>
      <c r="Q46" s="63">
        <f ca="1">IF(LeagueInfo!$H$7="Starter/Bench",INDEX(RB!$S$3:$S$174,MATCH(J46,RB!$B$3:$B$174,0))*InflationPct,INDEX(RB!$AA$3:$AA$174,MATCH(J46,RB!$B$3:$B$174,0))*InflationPct)</f>
        <v>5.879623096431347</v>
      </c>
      <c r="S46" s="94" t="s">
        <v>215</v>
      </c>
      <c r="T46" s="95" t="str">
        <f>INDEX(WR!$E$1:$E$184,MATCH(S46,WR!$B$1:$B$184,0))</f>
        <v>BAL</v>
      </c>
      <c r="U46" s="96">
        <f>INDEX(WR!$D$1:$D$184,MATCH(S46,WR!$B$1:$B$184,0))</f>
        <v>10</v>
      </c>
      <c r="V46" s="225" t="str">
        <f>IF(INDEX(Auction!$H$13:$H$672,MATCH(S46,Auction!$A$13:$A$672,0))&gt;0,"x","")</f>
        <v/>
      </c>
      <c r="W46" s="34">
        <f ca="1">INDEX(WR!Y$3:Y$184,MATCH(S46,WR!$B$3:$B$184,0))</f>
        <v>9.4649999999999963</v>
      </c>
      <c r="X46" s="34" t="str">
        <f ca="1">INDEX(WR!Z$3:Z$184,MATCH(S46,WR!$B$3:$B$184,0))</f>
        <v>WR7</v>
      </c>
      <c r="Y46" s="49">
        <f ca="1">IF(V46="",IFERROR(W46/(SUMIFS($W$5:$W$64,$W$5:$W$64,"&gt;0",$V$5:$V$64,"")),1),0)</f>
        <v>6.2302937749721919E-3</v>
      </c>
      <c r="Z46" s="41">
        <f ca="1">IF(LeagueInfo!$H$7="Starter/Bench",INDEX(WR!$S$3:$S$184,MATCH(S46,WR!$B$3:$B$184,0))*InflationPct,INDEX(WR!$AA$3:$AA$184,MATCH(S46,WR!$B$3:$B$184,0))*InflationPct)</f>
        <v>4.5336564242543966</v>
      </c>
      <c r="AB46" s="94">
        <f t="shared" ca="1" si="1"/>
        <v>42</v>
      </c>
      <c r="AC46" s="136" t="str">
        <f t="shared" ca="1" si="2"/>
        <v>Bilal Powell</v>
      </c>
      <c r="AD46" s="136" t="str">
        <f t="shared" ca="1" si="3"/>
        <v>RB</v>
      </c>
      <c r="AE46" s="139">
        <f ca="1">LARGE(($E$5:$E$34,$E$37:$E$64,$N$5:$N$64,$W$5:$W$64),ROW(AE46)-4)</f>
        <v>48.16</v>
      </c>
    </row>
    <row r="47" spans="1:31" x14ac:dyDescent="0.25">
      <c r="A47" s="33" t="s">
        <v>226</v>
      </c>
      <c r="B47" s="71" t="str">
        <f>INDEX(TE!E$3:E$129,MATCH(A47,TE!B$3:B$129,0))</f>
        <v>LAC</v>
      </c>
      <c r="C47" s="39">
        <f>INDEX(TE!D$3:D$129,MATCH(A47,TE!B$3:B$129,0))</f>
        <v>10</v>
      </c>
      <c r="D47" s="222" t="str">
        <f>IF(INDEX(Auction!$H$13:$H$672,MATCH(A47,Auction!$A$13:$A$672,0))&gt;0,"x","")</f>
        <v/>
      </c>
      <c r="E47" s="34">
        <f ca="1">INDEX(TE!Y$3:Y$129,MATCH(A47,TE!$B$3:$B$129,0))</f>
        <v>18.164999999999999</v>
      </c>
      <c r="F47" s="44" t="str">
        <f ca="1">INDEX(TE!Z$3:Z$129,MATCH(A47,TE!$B$3:$B$129,0))</f>
        <v>TE7</v>
      </c>
      <c r="G47" s="50">
        <f ca="1">IF(D47="",IFERROR(E47/(SUMIFS($E$37:$E$64,$E$37:$E$64,"&gt;0",$D$37:$D$64,"")),1),0)</f>
        <v>3.6826793443553524E-2</v>
      </c>
      <c r="H47" s="41">
        <f ca="1">IF(LeagueInfo!$H$7="Starter/Bench",INDEX(TE!$S$3:$S$129,MATCH(A47,TE!$B$3:$B$129,0))*InflationPct,INDEX(TE!$AA$3:$AA$129,MATCH(A47,TE!$B$3:$B$129,0))*InflationPct)</f>
        <v>8.5396146960544588</v>
      </c>
      <c r="I47" s="32"/>
      <c r="J47" s="60" t="s">
        <v>254</v>
      </c>
      <c r="K47" s="69" t="str">
        <f>INDEX(RB!$E$3:$E$173,MATCH(J47,RB!$B$3:$B$173,0))</f>
        <v>NE</v>
      </c>
      <c r="L47" s="61">
        <f>INDEX(RB!$D$3:$D$173,MATCH(J47,RB!$B$3:$B$173,0))</f>
        <v>9</v>
      </c>
      <c r="M47" s="223" t="str">
        <f>IF(INDEX(Auction!$H$13:$H$672,MATCH(J47,Auction!$A$13:$A$672,0))&gt;0,"x","")</f>
        <v/>
      </c>
      <c r="N47" s="56">
        <f ca="1">INDEX(RB!Y$3:Y$173,MATCH(J47,RB!$B$3:$B$173,0))</f>
        <v>12.144999999999989</v>
      </c>
      <c r="O47" s="56" t="str">
        <f ca="1">INDEX(RB!Z$3:Z$173,MATCH(J47,RB!$B$3:$B$173,0))</f>
        <v>RB10</v>
      </c>
      <c r="P47" s="62">
        <f ca="1">IF(M47="",IFERROR(N47/(SUMIFS($N$5:$N$64,$N$5:$N$64,"&gt;0",$M$5:$M$64,"")),1),0)</f>
        <v>4.9913386198917825E-3</v>
      </c>
      <c r="Q47" s="63">
        <f ca="1">IF(LeagueInfo!$H$7="Starter/Bench",INDEX(RB!$S$3:$S$174,MATCH(J47,RB!$B$3:$B$174,0))*InflationPct,INDEX(RB!$AA$3:$AA$174,MATCH(J47,RB!$B$3:$B$174,0))*InflationPct)</f>
        <v>5.8173541756544767</v>
      </c>
      <c r="S47" s="94" t="s">
        <v>227</v>
      </c>
      <c r="T47" s="95" t="str">
        <f>INDEX(WR!$E$1:$E$184,MATCH(S47,WR!$B$1:$B$184,0))</f>
        <v>TEN</v>
      </c>
      <c r="U47" s="96">
        <f>INDEX(WR!$D$1:$D$184,MATCH(S47,WR!$B$1:$B$184,0))</f>
        <v>8</v>
      </c>
      <c r="V47" s="225" t="str">
        <f>IF(INDEX(Auction!$H$13:$H$672,MATCH(S47,Auction!$A$13:$A$672,0))&gt;0,"x","")</f>
        <v/>
      </c>
      <c r="W47" s="34">
        <f ca="1">INDEX(WR!Y$3:Y$184,MATCH(S47,WR!$B$3:$B$184,0))</f>
        <v>8.9950000000000045</v>
      </c>
      <c r="X47" s="34" t="str">
        <f ca="1">INDEX(WR!Z$3:Z$184,MATCH(S47,WR!$B$3:$B$184,0))</f>
        <v>WR7</v>
      </c>
      <c r="Y47" s="49">
        <f ca="1">IF(V47="",IFERROR(W47/(SUMIFS($W$5:$W$64,$W$5:$W$64,"&gt;0",$V$5:$V$64,"")),1),0)</f>
        <v>5.9209183841389245E-3</v>
      </c>
      <c r="Z47" s="41">
        <f ca="1">IF(LeagueInfo!$H$7="Starter/Bench",INDEX(WR!$S$3:$S$184,MATCH(S47,WR!$B$3:$B$184,0))*InflationPct,INDEX(WR!$AA$3:$AA$184,MATCH(S47,WR!$B$3:$B$184,0))*InflationPct)</f>
        <v>4.3085303260611028</v>
      </c>
      <c r="AB47" s="94">
        <f t="shared" ca="1" si="1"/>
        <v>43</v>
      </c>
      <c r="AC47" s="136" t="str">
        <f t="shared" ca="1" si="2"/>
        <v>Cam Newton</v>
      </c>
      <c r="AD47" s="136" t="str">
        <f t="shared" ca="1" si="3"/>
        <v>QB</v>
      </c>
      <c r="AE47" s="139">
        <f ca="1">LARGE(($E$5:$E$34,$E$37:$E$64,$N$5:$N$64,$W$5:$W$64),ROW(AE47)-4)</f>
        <v>43.583999999999961</v>
      </c>
    </row>
    <row r="48" spans="1:31" x14ac:dyDescent="0.25">
      <c r="A48" s="33" t="s">
        <v>268</v>
      </c>
      <c r="B48" s="71" t="str">
        <f>INDEX(TE!E$3:E$129,MATCH(A48,TE!B$3:B$129,0))</f>
        <v>DET</v>
      </c>
      <c r="C48" s="39">
        <f>INDEX(TE!D$3:D$129,MATCH(A48,TE!B$3:B$129,0))</f>
        <v>7</v>
      </c>
      <c r="D48" s="222" t="str">
        <f>IF(INDEX(Auction!$H$13:$H$672,MATCH(A48,Auction!$A$13:$A$672,0))&gt;0,"x","")</f>
        <v/>
      </c>
      <c r="E48" s="34">
        <f ca="1">INDEX(TE!Y$3:Y$129,MATCH(A48,TE!$B$3:$B$129,0))</f>
        <v>14.335000000000001</v>
      </c>
      <c r="F48" s="44" t="str">
        <f ca="1">INDEX(TE!Z$3:Z$129,MATCH(A48,TE!$B$3:$B$129,0))</f>
        <v>TE7</v>
      </c>
      <c r="G48" s="50">
        <f ca="1">IF(D48="",IFERROR(E48/(SUMIFS($E$37:$E$64,$E$37:$E$64,"&gt;0",$D$37:$D$64,"")),1),0)</f>
        <v>2.9062047014221843E-2</v>
      </c>
      <c r="H48" s="41">
        <f ca="1">IF(LeagueInfo!$H$7="Starter/Bench",INDEX(TE!$S$3:$S$129,MATCH(A48,TE!$B$3:$B$129,0))*InflationPct,INDEX(TE!$AA$3:$AA$129,MATCH(A48,TE!$B$3:$B$129,0))*InflationPct)</f>
        <v>6.8663459948955952</v>
      </c>
      <c r="I48" s="26"/>
      <c r="J48" s="60" t="s">
        <v>434</v>
      </c>
      <c r="K48" s="69" t="str">
        <f>INDEX(RB!$E$3:$E$173,MATCH(J48,RB!$B$3:$B$173,0))</f>
        <v>CIN</v>
      </c>
      <c r="L48" s="61">
        <f>INDEX(RB!$D$3:$D$173,MATCH(J48,RB!$B$3:$B$173,0))</f>
        <v>6</v>
      </c>
      <c r="M48" s="223" t="str">
        <f>IF(INDEX(Auction!$H$13:$H$672,MATCH(J48,Auction!$A$13:$A$672,0))&gt;0,"x","")</f>
        <v/>
      </c>
      <c r="N48" s="56">
        <f ca="1">INDEX(RB!Y$3:Y$173,MATCH(J48,RB!$B$3:$B$173,0))</f>
        <v>9.36</v>
      </c>
      <c r="O48" s="56" t="str">
        <f ca="1">INDEX(RB!Z$3:Z$173,MATCH(J48,RB!$B$3:$B$173,0))</f>
        <v>RB10</v>
      </c>
      <c r="P48" s="62">
        <f ca="1">IF(M48="",IFERROR(N48/(SUMIFS($N$5:$N$64,$N$5:$N$64,"&gt;0",$M$5:$M$64,"")),1),0)</f>
        <v>3.8467624110487546E-3</v>
      </c>
      <c r="Q48" s="63">
        <f ca="1">IF(LeagueInfo!$H$7="Starter/Bench",INDEX(RB!$S$3:$S$174,MATCH(J48,RB!$B$3:$B$174,0))*InflationPct,INDEX(RB!$AA$3:$AA$174,MATCH(J48,RB!$B$3:$B$174,0))*InflationPct)</f>
        <v>4.4833622959346187</v>
      </c>
      <c r="S48" s="94" t="s">
        <v>266</v>
      </c>
      <c r="T48" s="95" t="str">
        <f>INDEX(WR!$E$1:$E$184,MATCH(S48,WR!$B$1:$B$184,0))</f>
        <v>MIN</v>
      </c>
      <c r="U48" s="96">
        <f>INDEX(WR!$D$1:$D$184,MATCH(S48,WR!$B$1:$B$184,0))</f>
        <v>9</v>
      </c>
      <c r="V48" s="225" t="str">
        <f>IF(INDEX(Auction!$H$13:$H$672,MATCH(S48,Auction!$A$13:$A$672,0))&gt;0,"x","")</f>
        <v/>
      </c>
      <c r="W48" s="34">
        <f ca="1">INDEX(WR!Y$3:Y$184,MATCH(S48,WR!$B$3:$B$184,0))</f>
        <v>8.5150000000000006</v>
      </c>
      <c r="X48" s="34" t="str">
        <f ca="1">INDEX(WR!Z$3:Z$184,MATCH(S48,WR!$B$3:$B$184,0))</f>
        <v>WR7</v>
      </c>
      <c r="Y48" s="49">
        <f ca="1">IF(V48="",IFERROR(W48/(SUMIFS($W$5:$W$64,$W$5:$W$64,"&gt;0",$V$5:$V$64,"")),1),0)</f>
        <v>5.6049605381815358E-3</v>
      </c>
      <c r="Z48" s="41">
        <f ca="1">IF(LeagueInfo!$H$7="Starter/Bench",INDEX(WR!$S$3:$S$184,MATCH(S48,WR!$B$3:$B$184,0))*InflationPct,INDEX(WR!$AA$3:$AA$184,MATCH(S48,WR!$B$3:$B$184,0))*InflationPct)</f>
        <v>4.0786143108849666</v>
      </c>
      <c r="AB48" s="94">
        <f t="shared" ca="1" si="1"/>
        <v>44</v>
      </c>
      <c r="AC48" s="136" t="str">
        <f t="shared" ca="1" si="2"/>
        <v>Jameis Winston</v>
      </c>
      <c r="AD48" s="136" t="str">
        <f t="shared" ca="1" si="3"/>
        <v>QB</v>
      </c>
      <c r="AE48" s="139">
        <f ca="1">LARGE(($E$5:$E$34,$E$37:$E$64,$N$5:$N$64,$W$5:$W$64),ROW(AE48)-4)</f>
        <v>42.38000000000001</v>
      </c>
    </row>
    <row r="49" spans="1:31" x14ac:dyDescent="0.25">
      <c r="A49" s="33" t="s">
        <v>257</v>
      </c>
      <c r="B49" s="71" t="str">
        <f>INDEX(TE!E$3:E$129,MATCH(A49,TE!B$3:B$129,0))</f>
        <v>NO</v>
      </c>
      <c r="C49" s="39">
        <f>INDEX(TE!D$3:D$129,MATCH(A49,TE!B$3:B$129,0))</f>
        <v>5</v>
      </c>
      <c r="D49" s="222" t="str">
        <f>IF(INDEX(Auction!$H$13:$H$672,MATCH(A49,Auction!$A$13:$A$672,0))&gt;0,"x","")</f>
        <v/>
      </c>
      <c r="E49" s="34">
        <f ca="1">INDEX(TE!Y$3:Y$129,MATCH(A49,TE!$B$3:$B$129,0))</f>
        <v>11.064999999999998</v>
      </c>
      <c r="F49" s="44" t="str">
        <f ca="1">INDEX(TE!Z$3:Z$129,MATCH(A49,TE!$B$3:$B$129,0))</f>
        <v>TE8</v>
      </c>
      <c r="G49" s="50">
        <f ca="1">IF(D49="",IFERROR(E49/(SUMIFS($E$37:$E$64,$E$37:$E$64,"&gt;0",$D$37:$D$64,"")),1),0)</f>
        <v>2.2432615989701057E-2</v>
      </c>
      <c r="H49" s="41">
        <f ca="1">IF(LeagueInfo!$H$7="Starter/Bench",INDEX(TE!$S$3:$S$129,MATCH(A49,TE!$B$3:$B$129,0))*InflationPct,INDEX(TE!$AA$3:$AA$129,MATCH(A49,TE!$B$3:$B$129,0))*InflationPct)</f>
        <v>5.3000431415081781</v>
      </c>
      <c r="I49" s="32"/>
      <c r="J49" s="60" t="s">
        <v>206</v>
      </c>
      <c r="K49" s="69" t="str">
        <f>INDEX(RB!$E$3:$E$173,MATCH(J49,RB!$B$3:$B$173,0))</f>
        <v>DEN</v>
      </c>
      <c r="L49" s="61">
        <f>INDEX(RB!$D$3:$D$173,MATCH(J49,RB!$B$3:$B$173,0))</f>
        <v>5</v>
      </c>
      <c r="M49" s="223" t="str">
        <f>IF(INDEX(Auction!$H$13:$H$672,MATCH(J49,Auction!$A$13:$A$672,0))&gt;0,"x","")</f>
        <v/>
      </c>
      <c r="N49" s="56">
        <f ca="1">INDEX(RB!Y$3:Y$173,MATCH(J49,RB!$B$3:$B$173,0))</f>
        <v>7.9650000000000034</v>
      </c>
      <c r="O49" s="56" t="str">
        <f ca="1">INDEX(RB!Z$3:Z$173,MATCH(J49,RB!$B$3:$B$173,0))</f>
        <v>RB10</v>
      </c>
      <c r="P49" s="62">
        <f ca="1">IF(M49="",IFERROR(N49/(SUMIFS($N$5:$N$64,$N$5:$N$64,"&gt;0",$M$5:$M$64,"")),1),0)</f>
        <v>3.2734468594020666E-3</v>
      </c>
      <c r="Q49" s="63">
        <f ca="1">IF(LeagueInfo!$H$7="Starter/Bench",INDEX(RB!$S$3:$S$174,MATCH(J49,RB!$B$3:$B$174,0))*InflationPct,INDEX(RB!$AA$3:$AA$174,MATCH(J49,RB!$B$3:$B$174,0))*InflationPct)</f>
        <v>3.8151688768289804</v>
      </c>
      <c r="S49" s="94" t="s">
        <v>267</v>
      </c>
      <c r="T49" s="95" t="str">
        <f>INDEX(WR!$E$1:$E$184,MATCH(S49,WR!$B$1:$B$184,0))</f>
        <v>BUF</v>
      </c>
      <c r="U49" s="96">
        <f>INDEX(WR!$D$1:$D$184,MATCH(S49,WR!$B$1:$B$184,0))</f>
        <v>6</v>
      </c>
      <c r="V49" s="225" t="str">
        <f>IF(INDEX(Auction!$H$13:$H$672,MATCH(S49,Auction!$A$13:$A$672,0))&gt;0,"x","")</f>
        <v/>
      </c>
      <c r="W49" s="34">
        <f ca="1">INDEX(WR!Y$3:Y$184,MATCH(S49,WR!$B$3:$B$184,0))</f>
        <v>8.0549999999999997</v>
      </c>
      <c r="X49" s="34" t="str">
        <f ca="1">INDEX(WR!Z$3:Z$184,MATCH(S49,WR!$B$3:$B$184,0))</f>
        <v>WR7</v>
      </c>
      <c r="Y49" s="49">
        <f ca="1">IF(V49="",IFERROR(W49/(SUMIFS($W$5:$W$64,$W$5:$W$64,"&gt;0",$V$5:$V$64,"")),1),0)</f>
        <v>5.3021676024723749E-3</v>
      </c>
      <c r="Z49" s="41">
        <f ca="1">IF(LeagueInfo!$H$7="Starter/Bench",INDEX(WR!$S$3:$S$184,MATCH(S49,WR!$B$3:$B$184,0))*InflationPct,INDEX(WR!$AA$3:$AA$184,MATCH(S49,WR!$B$3:$B$184,0))*InflationPct)</f>
        <v>3.8582781296745039</v>
      </c>
      <c r="AB49" s="94">
        <f t="shared" ca="1" si="1"/>
        <v>45</v>
      </c>
      <c r="AC49" s="136" t="str">
        <f t="shared" ca="1" si="2"/>
        <v>Tevin Coleman</v>
      </c>
      <c r="AD49" s="136" t="str">
        <f t="shared" ca="1" si="3"/>
        <v>RB</v>
      </c>
      <c r="AE49" s="139">
        <f ca="1">LARGE(($E$5:$E$34,$E$37:$E$64,$N$5:$N$64,$W$5:$W$64),ROW(AE49)-4)</f>
        <v>41.129999999999995</v>
      </c>
    </row>
    <row r="50" spans="1:31" x14ac:dyDescent="0.25">
      <c r="A50" s="33" t="s">
        <v>247</v>
      </c>
      <c r="B50" s="71" t="str">
        <f>INDEX(TE!E$3:E$129,MATCH(A50,TE!B$3:B$129,0))</f>
        <v>IND</v>
      </c>
      <c r="C50" s="39">
        <f>INDEX(TE!D$3:D$129,MATCH(A50,TE!B$3:B$129,0))</f>
        <v>11</v>
      </c>
      <c r="D50" s="222" t="str">
        <f>IF(INDEX(Auction!$H$13:$H$672,MATCH(A50,Auction!$A$13:$A$672,0))&gt;0,"x","")</f>
        <v/>
      </c>
      <c r="E50" s="34">
        <f ca="1">INDEX(TE!Y$3:Y$129,MATCH(A50,TE!$B$3:$B$129,0))</f>
        <v>11.020000000000003</v>
      </c>
      <c r="F50" s="44" t="str">
        <f ca="1">INDEX(TE!Z$3:Z$129,MATCH(A50,TE!$B$3:$B$129,0))</f>
        <v>TE8</v>
      </c>
      <c r="G50" s="50">
        <f ca="1">IF(D50="",IFERROR(E50/(SUMIFS($E$37:$E$64,$E$37:$E$64,"&gt;0",$D$37:$D$64,"")),1),0)</f>
        <v>2.2341385287528763E-2</v>
      </c>
      <c r="H50" s="41">
        <f ca="1">IF(LeagueInfo!$H$7="Starter/Bench",INDEX(TE!$S$3:$S$129,MATCH(A50,TE!$B$3:$B$129,0))*InflationPct,INDEX(TE!$AA$3:$AA$129,MATCH(A50,TE!$B$3:$B$129,0))*InflationPct)</f>
        <v>5.2784885150854182</v>
      </c>
      <c r="I50" s="32"/>
      <c r="J50" s="60" t="s">
        <v>435</v>
      </c>
      <c r="K50" s="69" t="str">
        <f>INDEX(RB!$E$3:$E$173,MATCH(J50,RB!$B$3:$B$173,0))</f>
        <v>WAS</v>
      </c>
      <c r="L50" s="61">
        <f>INDEX(RB!$D$3:$D$173,MATCH(J50,RB!$B$3:$B$173,0))</f>
        <v>5</v>
      </c>
      <c r="M50" s="223" t="str">
        <f>IF(INDEX(Auction!$H$13:$H$672,MATCH(J50,Auction!$A$13:$A$672,0))&gt;0,"x","")</f>
        <v/>
      </c>
      <c r="N50" s="56">
        <f ca="1">INDEX(RB!Y$3:Y$173,MATCH(J50,RB!$B$3:$B$173,0))</f>
        <v>6.769999999999996</v>
      </c>
      <c r="O50" s="56" t="str">
        <f ca="1">INDEX(RB!Z$3:Z$173,MATCH(J50,RB!$B$3:$B$173,0))</f>
        <v>RB10</v>
      </c>
      <c r="P50" s="62">
        <f ca="1">IF(M50="",IFERROR(N50/(SUMIFS($N$5:$N$64,$N$5:$N$64,"&gt;0",$M$5:$M$64,"")),1),0)</f>
        <v>2.7823270857692366E-3</v>
      </c>
      <c r="Q50" s="63">
        <f ca="1">IF(LeagueInfo!$H$7="Starter/Bench",INDEX(RB!$S$3:$S$174,MATCH(J50,RB!$B$3:$B$174,0))*InflationPct,INDEX(RB!$AA$3:$AA$174,MATCH(J50,RB!$B$3:$B$174,0))*InflationPct)</f>
        <v>3.242773797380059</v>
      </c>
      <c r="S50" s="94" t="s">
        <v>551</v>
      </c>
      <c r="T50" s="95" t="str">
        <f>INDEX(WR!$E$1:$E$184,MATCH(S50,WR!$B$1:$B$184,0))</f>
        <v>DET</v>
      </c>
      <c r="U50" s="96">
        <f>INDEX(WR!$D$1:$D$184,MATCH(S50,WR!$B$1:$B$184,0))</f>
        <v>7</v>
      </c>
      <c r="V50" s="225" t="str">
        <f>IF(INDEX(Auction!$H$13:$H$672,MATCH(S50,Auction!$A$13:$A$672,0))&gt;0,"x","")</f>
        <v/>
      </c>
      <c r="W50" s="34">
        <f ca="1">INDEX(WR!Y$3:Y$184,MATCH(S50,WR!$B$3:$B$184,0))</f>
        <v>6.9649999999999963</v>
      </c>
      <c r="X50" s="34" t="str">
        <f ca="1">INDEX(WR!Z$3:Z$184,MATCH(S50,WR!$B$3:$B$184,0))</f>
        <v>WR7</v>
      </c>
      <c r="Y50" s="49">
        <f ca="1">IF(V50="",IFERROR(W50/(SUMIFS($W$5:$W$64,$W$5:$W$64,"&gt;0",$V$5:$V$64,"")),1),0)</f>
        <v>4.5846799939441426E-3</v>
      </c>
      <c r="Z50" s="41">
        <f ca="1">IF(LeagueInfo!$H$7="Starter/Bench",INDEX(WR!$S$3:$S$184,MATCH(S50,WR!$B$3:$B$184,0))*InflationPct,INDEX(WR!$AA$3:$AA$184,MATCH(S50,WR!$B$3:$B$184,0))*InflationPct)</f>
        <v>3.336177178545364</v>
      </c>
      <c r="AB50" s="94">
        <f t="shared" ca="1" si="1"/>
        <v>46</v>
      </c>
      <c r="AC50" s="136" t="str">
        <f t="shared" ca="1" si="2"/>
        <v>Ameer Abdullah</v>
      </c>
      <c r="AD50" s="136" t="str">
        <f t="shared" ca="1" si="3"/>
        <v>RB</v>
      </c>
      <c r="AE50" s="139">
        <f ca="1">LARGE(($E$5:$E$34,$E$37:$E$64,$N$5:$N$64,$W$5:$W$64),ROW(AE50)-4)</f>
        <v>40.909999999999997</v>
      </c>
    </row>
    <row r="51" spans="1:31" x14ac:dyDescent="0.25">
      <c r="A51" s="33" t="s">
        <v>294</v>
      </c>
      <c r="B51" s="71" t="str">
        <f>INDEX(TE!E$3:E$129,MATCH(A51,TE!B$3:B$129,0))</f>
        <v>ATL</v>
      </c>
      <c r="C51" s="39">
        <f>INDEX(TE!D$3:D$129,MATCH(A51,TE!B$3:B$129,0))</f>
        <v>5</v>
      </c>
      <c r="D51" s="222" t="str">
        <f>IF(INDEX(Auction!$H$13:$H$672,MATCH(A51,Auction!$A$13:$A$672,0))&gt;0,"x","")</f>
        <v/>
      </c>
      <c r="E51" s="34">
        <f ca="1">INDEX(TE!Y$3:Y$129,MATCH(A51,TE!$B$3:$B$129,0))</f>
        <v>8.5350000000000037</v>
      </c>
      <c r="F51" s="44" t="str">
        <f ca="1">INDEX(TE!Z$3:Z$129,MATCH(A51,TE!$B$3:$B$129,0))</f>
        <v>TE8</v>
      </c>
      <c r="G51" s="50">
        <f ca="1">IF(D51="",IFERROR(E51/(SUMIFS($E$37:$E$64,$E$37:$E$64,"&gt;0",$D$37:$D$64,"")),1),0)</f>
        <v>1.7303423178680399E-2</v>
      </c>
      <c r="H51" s="41">
        <f ca="1">IF(LeagueInfo!$H$7="Starter/Bench",INDEX(TE!$S$3:$S$129,MATCH(A51,TE!$B$3:$B$129,0))*InflationPct,INDEX(TE!$AA$3:$AA$129,MATCH(A51,TE!$B$3:$B$129,0))*InflationPct)</f>
        <v>4.0881941448506405</v>
      </c>
      <c r="I51" s="32"/>
      <c r="J51" s="60" t="s">
        <v>242</v>
      </c>
      <c r="K51" s="69" t="str">
        <f>INDEX(RB!$E$3:$E$173,MATCH(J51,RB!$B$3:$B$173,0))</f>
        <v>SEA</v>
      </c>
      <c r="L51" s="61">
        <f>INDEX(RB!$D$3:$D$173,MATCH(J51,RB!$B$3:$B$173,0))</f>
        <v>6</v>
      </c>
      <c r="M51" s="223" t="str">
        <f>IF(INDEX(Auction!$H$13:$H$672,MATCH(J51,Auction!$A$13:$A$672,0))&gt;0,"x","")</f>
        <v/>
      </c>
      <c r="N51" s="56">
        <f ca="1">INDEX(RB!Y$3:Y$173,MATCH(J51,RB!$B$3:$B$173,0))</f>
        <v>6.5750000000000028</v>
      </c>
      <c r="O51" s="56" t="str">
        <f ca="1">INDEX(RB!Z$3:Z$173,MATCH(J51,RB!$B$3:$B$173,0))</f>
        <v>RB10</v>
      </c>
      <c r="P51" s="62">
        <f ca="1">IF(M51="",IFERROR(N51/(SUMIFS($N$5:$N$64,$N$5:$N$64,"&gt;0",$M$5:$M$64,"")),1),0)</f>
        <v>2.7021862022057236E-3</v>
      </c>
      <c r="Q51" s="63">
        <f ca="1">IF(LeagueInfo!$H$7="Starter/Bench",INDEX(RB!$S$3:$S$174,MATCH(J51,RB!$B$3:$B$174,0))*InflationPct,INDEX(RB!$AA$3:$AA$174,MATCH(J51,RB!$B$3:$B$174,0))*InflationPct)</f>
        <v>3.149370416214758</v>
      </c>
      <c r="S51" s="94" t="s">
        <v>308</v>
      </c>
      <c r="T51" s="95" t="str">
        <f>INDEX(WR!$E$1:$E$184,MATCH(S51,WR!$B$1:$B$184,0))</f>
        <v>NE</v>
      </c>
      <c r="U51" s="96">
        <f>INDEX(WR!$D$1:$D$184,MATCH(S51,WR!$B$1:$B$184,0))</f>
        <v>9</v>
      </c>
      <c r="V51" s="225" t="str">
        <f>IF(INDEX(Auction!$H$13:$H$672,MATCH(S51,Auction!$A$13:$A$672,0))&gt;0,"x","")</f>
        <v/>
      </c>
      <c r="W51" s="34">
        <f ca="1">INDEX(WR!Y$3:Y$184,MATCH(S51,WR!$B$3:$B$184,0))</f>
        <v>6.1199999999999974</v>
      </c>
      <c r="X51" s="34" t="str">
        <f ca="1">INDEX(WR!Z$3:Z$184,MATCH(S51,WR!$B$3:$B$184,0))</f>
        <v>WR7</v>
      </c>
      <c r="Y51" s="49">
        <f ca="1">IF(V51="",IFERROR(W51/(SUMIFS($W$5:$W$64,$W$5:$W$64,"&gt;0",$V$5:$V$64,"")),1),0)</f>
        <v>4.0284625359566627E-3</v>
      </c>
      <c r="Z51" s="41">
        <f ca="1">IF(LeagueInfo!$H$7="Starter/Bench",INDEX(WR!$S$3:$S$184,MATCH(S51,WR!$B$3:$B$184,0))*InflationPct,INDEX(WR!$AA$3:$AA$184,MATCH(S51,WR!$B$3:$B$184,0))*InflationPct)</f>
        <v>2.9314291934957111</v>
      </c>
      <c r="AB51" s="94">
        <f t="shared" ca="1" si="1"/>
        <v>47</v>
      </c>
      <c r="AC51" s="136" t="str">
        <f t="shared" ca="1" si="2"/>
        <v>Frank Gore</v>
      </c>
      <c r="AD51" s="136" t="str">
        <f t="shared" ca="1" si="3"/>
        <v>RB</v>
      </c>
      <c r="AE51" s="139">
        <f ca="1">LARGE(($E$5:$E$34,$E$37:$E$64,$N$5:$N$64,$W$5:$W$64),ROW(AE51)-4)</f>
        <v>39.130000000000024</v>
      </c>
    </row>
    <row r="52" spans="1:31" x14ac:dyDescent="0.25">
      <c r="A52" s="33" t="s">
        <v>293</v>
      </c>
      <c r="B52" s="71" t="str">
        <f>INDEX(TE!E$3:E$129,MATCH(A52,TE!B$3:B$129,0))</f>
        <v>DAL</v>
      </c>
      <c r="C52" s="39">
        <f>INDEX(TE!D$3:D$129,MATCH(A52,TE!B$3:B$129,0))</f>
        <v>6</v>
      </c>
      <c r="D52" s="222" t="str">
        <f>IF(INDEX(Auction!$H$13:$H$672,MATCH(A52,Auction!$A$13:$A$672,0))&gt;0,"x","")</f>
        <v/>
      </c>
      <c r="E52" s="34">
        <f ca="1">INDEX(TE!Y$3:Y$129,MATCH(A52,TE!$B$3:$B$129,0))</f>
        <v>7.6500000000000057</v>
      </c>
      <c r="F52" s="44" t="str">
        <f ca="1">INDEX(TE!Z$3:Z$129,MATCH(A52,TE!$B$3:$B$129,0))</f>
        <v>TE8</v>
      </c>
      <c r="G52" s="50">
        <f ca="1">IF(D52="",IFERROR(E52/(SUMIFS($E$37:$E$64,$E$37:$E$64,"&gt;0",$D$37:$D$64,"")),1),0)</f>
        <v>1.5509219369291751E-2</v>
      </c>
      <c r="H52" s="41">
        <f ca="1">IF(LeagueInfo!$H$7="Starter/Bench",INDEX(TE!$S$3:$S$129,MATCH(A52,TE!$B$3:$B$129,0))*InflationPct,INDEX(TE!$AA$3:$AA$129,MATCH(A52,TE!$B$3:$B$129,0))*InflationPct)</f>
        <v>3.6642864918696434</v>
      </c>
      <c r="I52" s="26"/>
      <c r="J52" s="60" t="s">
        <v>216</v>
      </c>
      <c r="K52" s="69" t="str">
        <f>INDEX(RB!$E$3:$E$173,MATCH(J52,RB!$B$3:$B$173,0))</f>
        <v>SEA</v>
      </c>
      <c r="L52" s="61">
        <f>INDEX(RB!$D$3:$D$173,MATCH(J52,RB!$B$3:$B$173,0))</f>
        <v>6</v>
      </c>
      <c r="M52" s="223" t="str">
        <f>IF(INDEX(Auction!$H$13:$H$672,MATCH(J52,Auction!$A$13:$A$672,0))&gt;0,"x","")</f>
        <v/>
      </c>
      <c r="N52" s="56">
        <f ca="1">INDEX(RB!Y$3:Y$173,MATCH(J52,RB!$B$3:$B$173,0))</f>
        <v>5.2800000000000011</v>
      </c>
      <c r="O52" s="56" t="str">
        <f ca="1">INDEX(RB!Z$3:Z$173,MATCH(J52,RB!$B$3:$B$173,0))</f>
        <v>RB10</v>
      </c>
      <c r="P52" s="62">
        <f ca="1">IF(M52="",IFERROR(N52/(SUMIFS($N$5:$N$64,$N$5:$N$64,"&gt;0",$M$5:$M$64,"")),1),0)</f>
        <v>2.1699685395659648E-3</v>
      </c>
      <c r="Q52" s="63">
        <f ca="1">IF(LeagueInfo!$H$7="Starter/Bench",INDEX(RB!$S$3:$S$174,MATCH(J52,RB!$B$3:$B$174,0))*InflationPct,INDEX(RB!$AA$3:$AA$174,MATCH(J52,RB!$B$3:$B$174,0))*InflationPct)</f>
        <v>2.5290761669374779</v>
      </c>
      <c r="S52" s="94" t="s">
        <v>555</v>
      </c>
      <c r="T52" s="95" t="str">
        <f>INDEX(WR!$E$1:$E$184,MATCH(S52,WR!$B$1:$B$184,0))</f>
        <v>NYJ</v>
      </c>
      <c r="U52" s="96">
        <f>INDEX(WR!$D$1:$D$184,MATCH(S52,WR!$B$1:$B$184,0))</f>
        <v>11</v>
      </c>
      <c r="V52" s="225" t="str">
        <f>IF(INDEX(Auction!$H$13:$H$672,MATCH(S52,Auction!$A$13:$A$672,0))&gt;0,"x","")</f>
        <v/>
      </c>
      <c r="W52" s="34">
        <f ca="1">INDEX(WR!Y$3:Y$184,MATCH(S52,WR!$B$3:$B$184,0))</f>
        <v>5.8699999999999974</v>
      </c>
      <c r="X52" s="34" t="str">
        <f ca="1">INDEX(WR!Z$3:Z$184,MATCH(S52,WR!$B$3:$B$184,0))</f>
        <v>WR7</v>
      </c>
      <c r="Y52" s="49">
        <f ca="1">IF(V52="",IFERROR(W52/(SUMIFS($W$5:$W$64,$W$5:$W$64,"&gt;0",$V$5:$V$64,"")),1),0)</f>
        <v>3.8639011578538579E-3</v>
      </c>
      <c r="Z52" s="41">
        <f ca="1">IF(LeagueInfo!$H$7="Starter/Bench",INDEX(WR!$S$3:$S$184,MATCH(S52,WR!$B$3:$B$184,0))*InflationPct,INDEX(WR!$AA$3:$AA$184,MATCH(S52,WR!$B$3:$B$184,0))*InflationPct)</f>
        <v>2.8116812689248079</v>
      </c>
      <c r="AB52" s="94">
        <f t="shared" ca="1" si="1"/>
        <v>48</v>
      </c>
      <c r="AC52" s="136" t="str">
        <f t="shared" ca="1" si="2"/>
        <v>Jordan Reed</v>
      </c>
      <c r="AD52" s="136" t="str">
        <f t="shared" ca="1" si="3"/>
        <v>TE</v>
      </c>
      <c r="AE52" s="139">
        <f ca="1">LARGE(($E$5:$E$34,$E$37:$E$64,$N$5:$N$64,$W$5:$W$64),ROW(AE52)-4)</f>
        <v>38.725000000000001</v>
      </c>
    </row>
    <row r="53" spans="1:31" x14ac:dyDescent="0.25">
      <c r="A53" s="33" t="s">
        <v>291</v>
      </c>
      <c r="B53" s="71" t="str">
        <f>INDEX(TE!E$3:E$129,MATCH(A53,TE!B$3:B$129,0))</f>
        <v>TB</v>
      </c>
      <c r="C53" s="39">
        <f>INDEX(TE!D$3:D$129,MATCH(A53,TE!B$3:B$129,0))</f>
        <v>11</v>
      </c>
      <c r="D53" s="222" t="str">
        <f>IF(INDEX(Auction!$H$13:$H$672,MATCH(A53,Auction!$A$13:$A$672,0))&gt;0,"x","")</f>
        <v/>
      </c>
      <c r="E53" s="34">
        <f ca="1">INDEX(TE!Y$3:Y$129,MATCH(A53,TE!$B$3:$B$129,0))</f>
        <v>6.2800000000000011</v>
      </c>
      <c r="F53" s="44" t="str">
        <f ca="1">INDEX(TE!Z$3:Z$129,MATCH(A53,TE!$B$3:$B$129,0))</f>
        <v>TE8</v>
      </c>
      <c r="G53" s="50">
        <f ca="1">IF(D53="",IFERROR(E53/(SUMIFS($E$37:$E$64,$E$37:$E$64,"&gt;0",$D$37:$D$64,"")),1),0)</f>
        <v>1.2731751325379365E-2</v>
      </c>
      <c r="H53" s="41">
        <f ca="1">IF(LeagueInfo!$H$7="Starter/Bench",INDEX(TE!$S$3:$S$129,MATCH(A53,TE!$B$3:$B$129,0))*InflationPct,INDEX(TE!$AA$3:$AA$129,MATCH(A53,TE!$B$3:$B$129,0))*InflationPct)</f>
        <v>3.0080678652210913</v>
      </c>
      <c r="I53" s="32"/>
      <c r="J53" s="60" t="s">
        <v>436</v>
      </c>
      <c r="K53" s="69" t="str">
        <f>INDEX(RB!$E$3:$E$173,MATCH(J53,RB!$B$3:$B$173,0))</f>
        <v>NYG</v>
      </c>
      <c r="L53" s="61">
        <f>INDEX(RB!$D$3:$D$173,MATCH(J53,RB!$B$3:$B$173,0))</f>
        <v>8</v>
      </c>
      <c r="M53" s="223" t="str">
        <f>IF(INDEX(Auction!$H$13:$H$672,MATCH(J53,Auction!$A$13:$A$672,0))&gt;0,"x","")</f>
        <v/>
      </c>
      <c r="N53" s="56">
        <f ca="1">INDEX(RB!Y$3:Y$173,MATCH(J53,RB!$B$3:$B$173,0))</f>
        <v>3.7999999999999972</v>
      </c>
      <c r="O53" s="56" t="str">
        <f ca="1">INDEX(RB!Z$3:Z$173,MATCH(J53,RB!$B$3:$B$173,0))</f>
        <v>RB10</v>
      </c>
      <c r="P53" s="62">
        <f ca="1">IF(M53="",IFERROR(N53/(SUMIFS($N$5:$N$64,$N$5:$N$64,"&gt;0",$M$5:$M$64,"")),1),0)</f>
        <v>1.5617197822633822E-3</v>
      </c>
      <c r="Q53" s="63">
        <f ca="1">IF(LeagueInfo!$H$7="Starter/Bench",INDEX(RB!$S$3:$S$174,MATCH(J53,RB!$B$3:$B$174,0))*InflationPct,INDEX(RB!$AA$3:$AA$174,MATCH(J53,RB!$B$3:$B$174,0))*InflationPct)</f>
        <v>1.8201684534777287</v>
      </c>
      <c r="S53" s="94" t="s">
        <v>249</v>
      </c>
      <c r="T53" s="95" t="str">
        <f>INDEX(WR!$E$1:$E$184,MATCH(S53,WR!$B$1:$B$184,0))</f>
        <v>CLE</v>
      </c>
      <c r="U53" s="96">
        <f>INDEX(WR!$D$1:$D$184,MATCH(S53,WR!$B$1:$B$184,0))</f>
        <v>9</v>
      </c>
      <c r="V53" s="225" t="str">
        <f>IF(INDEX(Auction!$H$13:$H$672,MATCH(S53,Auction!$A$13:$A$672,0))&gt;0,"x","")</f>
        <v/>
      </c>
      <c r="W53" s="34">
        <f ca="1">INDEX(WR!Y$3:Y$184,MATCH(S53,WR!$B$3:$B$184,0))</f>
        <v>5.7549999999999955</v>
      </c>
      <c r="X53" s="34" t="str">
        <f ca="1">INDEX(WR!Z$3:Z$184,MATCH(S53,WR!$B$3:$B$184,0))</f>
        <v>WR7</v>
      </c>
      <c r="Y53" s="49">
        <f ca="1">IF(V53="",IFERROR(W53/(SUMIFS($W$5:$W$64,$W$5:$W$64,"&gt;0",$V$5:$V$64,"")),1),0)</f>
        <v>3.7882029239265664E-3</v>
      </c>
      <c r="Z53" s="41">
        <f ca="1">IF(LeagueInfo!$H$7="Starter/Bench",INDEX(WR!$S$3:$S$184,MATCH(S53,WR!$B$3:$B$184,0))*InflationPct,INDEX(WR!$AA$3:$AA$184,MATCH(S53,WR!$B$3:$B$184,0))*InflationPct)</f>
        <v>2.7565972236221916</v>
      </c>
      <c r="AB53" s="94">
        <f t="shared" ca="1" si="1"/>
        <v>49</v>
      </c>
      <c r="AC53" s="136" t="str">
        <f t="shared" ca="1" si="2"/>
        <v>Jimmy Graham</v>
      </c>
      <c r="AD53" s="136" t="str">
        <f t="shared" ca="1" si="3"/>
        <v>TE</v>
      </c>
      <c r="AE53" s="139">
        <f ca="1">LARGE(($E$5:$E$34,$E$37:$E$64,$N$5:$N$64,$W$5:$W$64),ROW(AE53)-4)</f>
        <v>38.675000000000018</v>
      </c>
    </row>
    <row r="54" spans="1:31" x14ac:dyDescent="0.25">
      <c r="A54" s="33" t="s">
        <v>715</v>
      </c>
      <c r="B54" s="71" t="str">
        <f>INDEX(TE!E$3:E$129,MATCH(A54,TE!B$3:B$129,0))</f>
        <v>BUF</v>
      </c>
      <c r="C54" s="39">
        <f>INDEX(TE!D$3:D$129,MATCH(A54,TE!B$3:B$129,0))</f>
        <v>6</v>
      </c>
      <c r="D54" s="222" t="str">
        <f>IF(INDEX(Auction!$H$13:$H$672,MATCH(A54,Auction!$A$13:$A$672,0))&gt;0,"x","")</f>
        <v/>
      </c>
      <c r="E54" s="34">
        <f ca="1">INDEX(TE!Y$3:Y$129,MATCH(A54,TE!$B$3:$B$129,0))</f>
        <v>5.8500000000000014</v>
      </c>
      <c r="F54" s="44" t="str">
        <f ca="1">INDEX(TE!Z$3:Z$129,MATCH(A54,TE!$B$3:$B$129,0))</f>
        <v>TE8</v>
      </c>
      <c r="G54" s="50">
        <f ca="1">IF(D54="",IFERROR(E54/(SUMIFS($E$37:$E$64,$E$37:$E$64,"&gt;0",$D$37:$D$64,"")),1),0)</f>
        <v>1.1859991282399569E-2</v>
      </c>
      <c r="H54" s="41">
        <f ca="1">IF(LeagueInfo!$H$7="Starter/Bench",INDEX(TE!$S$3:$S$129,MATCH(A54,TE!$B$3:$B$129,0))*InflationPct,INDEX(TE!$AA$3:$AA$129,MATCH(A54,TE!$B$3:$B$129,0))*InflationPct)</f>
        <v>2.8021014349591375</v>
      </c>
      <c r="I54" s="32"/>
      <c r="J54" s="60" t="s">
        <v>220</v>
      </c>
      <c r="K54" s="69" t="str">
        <f>INDEX(RB!$E$3:$E$173,MATCH(J54,RB!$B$3:$B$173,0))</f>
        <v>GB</v>
      </c>
      <c r="L54" s="61">
        <f>INDEX(RB!$D$3:$D$173,MATCH(J54,RB!$B$3:$B$173,0))</f>
        <v>8</v>
      </c>
      <c r="M54" s="223" t="str">
        <f>IF(INDEX(Auction!$H$13:$H$672,MATCH(J54,Auction!$A$13:$A$672,0))&gt;0,"x","")</f>
        <v/>
      </c>
      <c r="N54" s="56">
        <f ca="1">INDEX(RB!Y$3:Y$173,MATCH(J54,RB!$B$3:$B$173,0))</f>
        <v>3.0300000000000011</v>
      </c>
      <c r="O54" s="56" t="str">
        <f ca="1">INDEX(RB!Z$3:Z$173,MATCH(J54,RB!$B$3:$B$173,0))</f>
        <v>RB10</v>
      </c>
      <c r="P54" s="62">
        <f ca="1">IF(M54="",IFERROR(N54/(SUMIFS($N$5:$N$64,$N$5:$N$64,"&gt;0",$M$5:$M$64,"")),1),0)</f>
        <v>1.245266036910014E-3</v>
      </c>
      <c r="Q54" s="63">
        <f ca="1">IF(LeagueInfo!$H$7="Starter/Bench",INDEX(RB!$S$3:$S$174,MATCH(J54,RB!$B$3:$B$174,0))*InflationPct,INDEX(RB!$AA$3:$AA$174,MATCH(J54,RB!$B$3:$B$174,0))*InflationPct)</f>
        <v>1.4513448457993483</v>
      </c>
      <c r="S54" s="94" t="s">
        <v>210</v>
      </c>
      <c r="T54" s="95" t="str">
        <f>INDEX(WR!$E$1:$E$184,MATCH(S54,WR!$B$1:$B$184,0))</f>
        <v>ARI</v>
      </c>
      <c r="U54" s="96">
        <f>INDEX(WR!$D$1:$D$184,MATCH(S54,WR!$B$1:$B$184,0))</f>
        <v>8</v>
      </c>
      <c r="V54" s="225" t="str">
        <f>IF(INDEX(Auction!$H$13:$H$672,MATCH(S54,Auction!$A$13:$A$672,0))&gt;0,"x","")</f>
        <v/>
      </c>
      <c r="W54" s="34">
        <f ca="1">INDEX(WR!Y$3:Y$184,MATCH(S54,WR!$B$3:$B$184,0))</f>
        <v>5.3149999999999977</v>
      </c>
      <c r="X54" s="34" t="str">
        <f ca="1">INDEX(WR!Z$3:Z$184,MATCH(S54,WR!$B$3:$B$184,0))</f>
        <v>WR7</v>
      </c>
      <c r="Y54" s="49">
        <f ca="1">IF(V54="",IFERROR(W54/(SUMIFS($W$5:$W$64,$W$5:$W$64,"&gt;0",$V$5:$V$64,"")),1),0)</f>
        <v>3.4985748984656313E-3</v>
      </c>
      <c r="Z54" s="41">
        <f ca="1">IF(LeagueInfo!$H$7="Starter/Bench",INDEX(WR!$S$3:$S$184,MATCH(S54,WR!$B$3:$B$184,0))*InflationPct,INDEX(WR!$AA$3:$AA$184,MATCH(S54,WR!$B$3:$B$184,0))*InflationPct)</f>
        <v>2.5458408763774028</v>
      </c>
      <c r="AB54" s="94">
        <f t="shared" ca="1" si="1"/>
        <v>50</v>
      </c>
      <c r="AC54" s="136" t="str">
        <f t="shared" ca="1" si="2"/>
        <v>DeAndre Hopkins</v>
      </c>
      <c r="AD54" s="136" t="str">
        <f t="shared" ca="1" si="3"/>
        <v>WR</v>
      </c>
      <c r="AE54" s="139">
        <f ca="1">LARGE(($E$5:$E$34,$E$37:$E$64,$N$5:$N$64,$W$5:$W$64),ROW(AE54)-4)</f>
        <v>38.659999999999989</v>
      </c>
    </row>
    <row r="55" spans="1:31" x14ac:dyDescent="0.25">
      <c r="A55" s="33" t="s">
        <v>301</v>
      </c>
      <c r="B55" s="71" t="str">
        <f>INDEX(TE!E$3:E$129,MATCH(A55,TE!B$3:B$129,0))</f>
        <v>OAK</v>
      </c>
      <c r="C55" s="39">
        <f>INDEX(TE!D$3:D$129,MATCH(A55,TE!B$3:B$129,0))</f>
        <v>10</v>
      </c>
      <c r="D55" s="222" t="str">
        <f>IF(INDEX(Auction!$H$13:$H$672,MATCH(A55,Auction!$A$13:$A$672,0))&gt;0,"x","")</f>
        <v/>
      </c>
      <c r="E55" s="34">
        <f ca="1">INDEX(TE!Y$3:Y$129,MATCH(A55,TE!$B$3:$B$129,0))</f>
        <v>5.0800000000000054</v>
      </c>
      <c r="F55" s="44" t="str">
        <f ca="1">INDEX(TE!Z$3:Z$129,MATCH(A55,TE!$B$3:$B$129,0))</f>
        <v>TE8</v>
      </c>
      <c r="G55" s="50">
        <f ca="1">IF(D55="",IFERROR(E55/(SUMIFS($E$37:$E$64,$E$37:$E$64,"&gt;0",$D$37:$D$64,"")),1),0)</f>
        <v>1.0298932600784591E-2</v>
      </c>
      <c r="H55" s="41">
        <f ca="1">IF(LeagueInfo!$H$7="Starter/Bench",INDEX(TE!$S$3:$S$129,MATCH(A55,TE!$B$3:$B$129,0))*InflationPct,INDEX(TE!$AA$3:$AA$129,MATCH(A55,TE!$B$3:$B$129,0))*InflationPct)</f>
        <v>2.4332778272807576</v>
      </c>
      <c r="I55" s="32"/>
      <c r="J55" s="60" t="s">
        <v>192</v>
      </c>
      <c r="K55" s="69" t="str">
        <f>INDEX(RB!$E$3:$E$173,MATCH(J55,RB!$B$3:$B$173,0))</f>
        <v>WAS</v>
      </c>
      <c r="L55" s="61">
        <f>INDEX(RB!$D$3:$D$173,MATCH(J55,RB!$B$3:$B$173,0))</f>
        <v>5</v>
      </c>
      <c r="M55" s="223" t="str">
        <f>IF(INDEX(Auction!$H$13:$H$672,MATCH(J55,Auction!$A$13:$A$672,0))&gt;0,"x","")</f>
        <v/>
      </c>
      <c r="N55" s="56">
        <f ca="1">INDEX(RB!Y$3:Y$173,MATCH(J55,RB!$B$3:$B$173,0))</f>
        <v>2.6099999999999994</v>
      </c>
      <c r="O55" s="56" t="str">
        <f ca="1">INDEX(RB!Z$3:Z$173,MATCH(J55,RB!$B$3:$B$173,0))</f>
        <v>RB10</v>
      </c>
      <c r="P55" s="62">
        <f ca="1">IF(M55="",IFERROR(N55/(SUMIFS($N$5:$N$64,$N$5:$N$64,"&gt;0",$M$5:$M$64,"")),1),0)</f>
        <v>1.0726549030809025E-3</v>
      </c>
      <c r="Q55" s="63">
        <f ca="1">IF(LeagueInfo!$H$7="Starter/Bench",INDEX(RB!$S$3:$S$174,MATCH(J55,RB!$B$3:$B$174,0))*InflationPct,INDEX(RB!$AA$3:$AA$174,MATCH(J55,RB!$B$3:$B$174,0))*InflationPct)</f>
        <v>1.25016833252023</v>
      </c>
      <c r="S55" s="94" t="s">
        <v>553</v>
      </c>
      <c r="T55" s="95" t="str">
        <f>INDEX(WR!$E$1:$E$184,MATCH(S55,WR!$B$1:$B$184,0))</f>
        <v>NO</v>
      </c>
      <c r="U55" s="96">
        <f>INDEX(WR!$D$1:$D$184,MATCH(S55,WR!$B$1:$B$184,0))</f>
        <v>5</v>
      </c>
      <c r="V55" s="225" t="str">
        <f>IF(INDEX(Auction!$H$13:$H$672,MATCH(S55,Auction!$A$13:$A$672,0))&gt;0,"x","")</f>
        <v/>
      </c>
      <c r="W55" s="34">
        <f ca="1">INDEX(WR!Y$3:Y$184,MATCH(S55,WR!$B$3:$B$184,0))</f>
        <v>4.6099999999999994</v>
      </c>
      <c r="X55" s="34" t="str">
        <f ca="1">INDEX(WR!Z$3:Z$184,MATCH(S55,WR!$B$3:$B$184,0))</f>
        <v>WR7</v>
      </c>
      <c r="Y55" s="49">
        <f ca="1">IF(V55="",IFERROR(W55/(SUMIFS($W$5:$W$64,$W$5:$W$64,"&gt;0",$V$5:$V$64,"")),1),0)</f>
        <v>3.0345118122157223E-3</v>
      </c>
      <c r="Z55" s="41">
        <f ca="1">IF(LeagueInfo!$H$7="Starter/Bench",INDEX(WR!$S$3:$S$184,MATCH(S55,WR!$B$3:$B$184,0))*InflationPct,INDEX(WR!$AA$3:$AA$184,MATCH(S55,WR!$B$3:$B$184,0))*InflationPct)</f>
        <v>2.2081517290874562</v>
      </c>
      <c r="AB55" s="94">
        <f t="shared" ca="1" si="1"/>
        <v>51</v>
      </c>
      <c r="AC55" s="136" t="str">
        <f t="shared" ca="1" si="2"/>
        <v>Demaryius Thomas</v>
      </c>
      <c r="AD55" s="136" t="str">
        <f t="shared" ca="1" si="3"/>
        <v>WR</v>
      </c>
      <c r="AE55" s="139">
        <f ca="1">LARGE(($E$5:$E$34,$E$37:$E$64,$N$5:$N$64,$W$5:$W$64),ROW(AE55)-4)</f>
        <v>37.229999999999983</v>
      </c>
    </row>
    <row r="56" spans="1:31" x14ac:dyDescent="0.25">
      <c r="A56" s="33" t="s">
        <v>274</v>
      </c>
      <c r="B56" s="71" t="str">
        <f>INDEX(TE!E$3:E$129,MATCH(A56,TE!B$3:B$129,0))</f>
        <v>MIA</v>
      </c>
      <c r="C56" s="39">
        <f>INDEX(TE!D$3:D$129,MATCH(A56,TE!B$3:B$129,0))</f>
        <v>11</v>
      </c>
      <c r="D56" s="222" t="str">
        <f>IF(INDEX(Auction!$H$13:$H$672,MATCH(A56,Auction!$A$13:$A$672,0))&gt;0,"x","")</f>
        <v/>
      </c>
      <c r="E56" s="34">
        <f ca="1">INDEX(TE!Y$3:Y$129,MATCH(A56,TE!$B$3:$B$129,0))</f>
        <v>4.9949999999999974</v>
      </c>
      <c r="F56" s="44" t="str">
        <f ca="1">INDEX(TE!Z$3:Z$129,MATCH(A56,TE!$B$3:$B$129,0))</f>
        <v>TE8</v>
      </c>
      <c r="G56" s="50">
        <f ca="1">IF(D56="",IFERROR(E56/(SUMIFS($E$37:$E$64,$E$37:$E$64,"&gt;0",$D$37:$D$64,"")),1),0)</f>
        <v>1.0126607941125779E-2</v>
      </c>
      <c r="H56" s="41">
        <f ca="1">IF(LeagueInfo!$H$7="Starter/Bench",INDEX(TE!$S$3:$S$129,MATCH(A56,TE!$B$3:$B$129,0))*InflationPct,INDEX(TE!$AA$3:$AA$129,MATCH(A56,TE!$B$3:$B$129,0))*InflationPct)</f>
        <v>2.3925635329266464</v>
      </c>
      <c r="I56" s="32"/>
      <c r="J56" s="60" t="s">
        <v>438</v>
      </c>
      <c r="K56" s="69" t="str">
        <f>INDEX(RB!$E$3:$E$173,MATCH(J56,RB!$B$3:$B$173,0))</f>
        <v>NE</v>
      </c>
      <c r="L56" s="61">
        <f>INDEX(RB!$D$3:$D$173,MATCH(J56,RB!$B$3:$B$173,0))</f>
        <v>9</v>
      </c>
      <c r="M56" s="223" t="str">
        <f>IF(INDEX(Auction!$H$13:$H$672,MATCH(J56,Auction!$A$13:$A$672,0))&gt;0,"x","")</f>
        <v/>
      </c>
      <c r="N56" s="56">
        <f ca="1">INDEX(RB!Y$3:Y$173,MATCH(J56,RB!$B$3:$B$173,0))</f>
        <v>1.7550000000000026</v>
      </c>
      <c r="O56" s="56" t="str">
        <f ca="1">INDEX(RB!Z$3:Z$173,MATCH(J56,RB!$B$3:$B$173,0))</f>
        <v>RB10</v>
      </c>
      <c r="P56" s="62">
        <f ca="1">IF(M56="",IFERROR(N56/(SUMIFS($N$5:$N$64,$N$5:$N$64,"&gt;0",$M$5:$M$64,"")),1),0)</f>
        <v>7.212679520716426E-4</v>
      </c>
      <c r="Q56" s="63">
        <f ca="1">IF(LeagueInfo!$H$7="Starter/Bench",INDEX(RB!$S$3:$S$174,MATCH(J56,RB!$B$3:$B$174,0))*InflationPct,INDEX(RB!$AA$3:$AA$174,MATCH(J56,RB!$B$3:$B$174,0))*InflationPct)</f>
        <v>0.84063043048774233</v>
      </c>
      <c r="S56" s="94" t="s">
        <v>201</v>
      </c>
      <c r="T56" s="95" t="str">
        <f>INDEX(WR!$E$1:$E$184,MATCH(S56,WR!$B$1:$B$184,0))</f>
        <v>TEN</v>
      </c>
      <c r="U56" s="96">
        <f>INDEX(WR!$D$1:$D$184,MATCH(S56,WR!$B$1:$B$184,0))</f>
        <v>8</v>
      </c>
      <c r="V56" s="225" t="str">
        <f>IF(INDEX(Auction!$H$13:$H$672,MATCH(S56,Auction!$A$13:$A$672,0))&gt;0,"x","")</f>
        <v/>
      </c>
      <c r="W56" s="34">
        <f ca="1">INDEX(WR!Y$3:Y$184,MATCH(S56,WR!$B$3:$B$184,0))</f>
        <v>3.0250000000000057</v>
      </c>
      <c r="X56" s="34" t="str">
        <f ca="1">INDEX(WR!Z$3:Z$184,MATCH(S56,WR!$B$3:$B$184,0))</f>
        <v>WR7</v>
      </c>
      <c r="Y56" s="49">
        <f ca="1">IF(V56="",IFERROR(W56/(SUMIFS($W$5:$W$64,$W$5:$W$64,"&gt;0",$V$5:$V$64,"")),1),0)</f>
        <v>1.9911926750439432E-3</v>
      </c>
      <c r="Z56" s="41">
        <f ca="1">IF(LeagueInfo!$H$7="Starter/Bench",INDEX(WR!$S$3:$S$184,MATCH(S56,WR!$B$3:$B$184,0))*InflationPct,INDEX(WR!$AA$3:$AA$184,MATCH(S56,WR!$B$3:$B$184,0))*InflationPct)</f>
        <v>1.4489498873079325</v>
      </c>
      <c r="AB56" s="94">
        <f t="shared" ca="1" si="1"/>
        <v>52</v>
      </c>
      <c r="AC56" s="136" t="str">
        <f t="shared" ca="1" si="2"/>
        <v>Allen Robinson</v>
      </c>
      <c r="AD56" s="136" t="str">
        <f t="shared" ca="1" si="3"/>
        <v>WR</v>
      </c>
      <c r="AE56" s="139">
        <f ca="1">LARGE(($E$5:$E$34,$E$37:$E$64,$N$5:$N$64,$W$5:$W$64),ROW(AE56)-4)</f>
        <v>37.079999999999977</v>
      </c>
    </row>
    <row r="57" spans="1:31" x14ac:dyDescent="0.25">
      <c r="A57" s="33" t="s">
        <v>292</v>
      </c>
      <c r="B57" s="71" t="str">
        <f>INDEX(TE!E$3:E$129,MATCH(A57,TE!B$3:B$129,0))</f>
        <v>HOU</v>
      </c>
      <c r="C57" s="39">
        <f>INDEX(TE!D$3:D$129,MATCH(A57,TE!B$3:B$129,0))</f>
        <v>7</v>
      </c>
      <c r="D57" s="222" t="str">
        <f>IF(INDEX(Auction!$H$13:$H$672,MATCH(A57,Auction!$A$13:$A$672,0))&gt;0,"x","")</f>
        <v/>
      </c>
      <c r="E57" s="34">
        <f ca="1">INDEX(TE!Y$3:Y$129,MATCH(A57,TE!$B$3:$B$129,0))</f>
        <v>4.4050000000000011</v>
      </c>
      <c r="F57" s="44" t="str">
        <f ca="1">INDEX(TE!Z$3:Z$129,MATCH(A57,TE!$B$3:$B$129,0))</f>
        <v>TE8</v>
      </c>
      <c r="G57" s="50">
        <f ca="1">IF(D57="",IFERROR(E57/(SUMIFS($E$37:$E$64,$E$37:$E$64,"&gt;0",$D$37:$D$64,"")),1),0)</f>
        <v>8.9304720682000169E-3</v>
      </c>
      <c r="H57" s="41">
        <f ca="1">IF(LeagueInfo!$H$7="Starter/Bench",INDEX(TE!$S$3:$S$129,MATCH(A57,TE!$B$3:$B$129,0))*InflationPct,INDEX(TE!$AA$3:$AA$129,MATCH(A57,TE!$B$3:$B$129,0))*InflationPct)</f>
        <v>2.1099584309393165</v>
      </c>
      <c r="I57" s="32"/>
      <c r="J57" s="60" t="s">
        <v>162</v>
      </c>
      <c r="K57" s="69" t="str">
        <f>INDEX(RB!$E$3:$E$173,MATCH(J57,RB!$B$3:$B$173,0))</f>
        <v>CIN</v>
      </c>
      <c r="L57" s="61">
        <f>INDEX(RB!$D$3:$D$173,MATCH(J57,RB!$B$3:$B$173,0))</f>
        <v>6</v>
      </c>
      <c r="M57" s="223" t="str">
        <f>IF(INDEX(Auction!$H$13:$H$672,MATCH(J57,Auction!$A$13:$A$672,0))&gt;0,"x","")</f>
        <v/>
      </c>
      <c r="N57" s="56">
        <f ca="1">INDEX(RB!Y$3:Y$173,MATCH(J57,RB!$B$3:$B$173,0))</f>
        <v>1.3149999999999906</v>
      </c>
      <c r="O57" s="56" t="str">
        <f ca="1">INDEX(RB!Z$3:Z$173,MATCH(J57,RB!$B$3:$B$173,0))</f>
        <v>RB10</v>
      </c>
      <c r="P57" s="62">
        <f ca="1">IF(M57="",IFERROR(N57/(SUMIFS($N$5:$N$64,$N$5:$N$64,"&gt;0",$M$5:$M$64,"")),1),0)</f>
        <v>5.4043724044114069E-4</v>
      </c>
      <c r="Q57" s="63">
        <f ca="1">IF(LeagueInfo!$H$7="Starter/Bench",INDEX(RB!$S$3:$S$174,MATCH(J57,RB!$B$3:$B$174,0))*InflationPct,INDEX(RB!$AA$3:$AA$174,MATCH(J57,RB!$B$3:$B$174,0))*InflationPct)</f>
        <v>0.6298740832429468</v>
      </c>
      <c r="S57" s="94" t="s">
        <v>280</v>
      </c>
      <c r="T57" s="95" t="str">
        <f>INDEX(WR!$E$1:$E$184,MATCH(S57,WR!$B$1:$B$184,0))</f>
        <v>DAL</v>
      </c>
      <c r="U57" s="96">
        <f>INDEX(WR!$D$1:$D$184,MATCH(S57,WR!$B$1:$B$184,0))</f>
        <v>6</v>
      </c>
      <c r="V57" s="225" t="str">
        <f>IF(INDEX(Auction!$H$13:$H$672,MATCH(S57,Auction!$A$13:$A$672,0))&gt;0,"x","")</f>
        <v/>
      </c>
      <c r="W57" s="34">
        <f ca="1">INDEX(WR!Y$3:Y$184,MATCH(S57,WR!$B$3:$B$184,0))</f>
        <v>2.2050000000000054</v>
      </c>
      <c r="X57" s="34" t="str">
        <f ca="1">INDEX(WR!Z$3:Z$184,MATCH(S57,WR!$B$3:$B$184,0))</f>
        <v>WR7</v>
      </c>
      <c r="Y57" s="49">
        <f ca="1">IF(V57="",IFERROR(W57/(SUMIFS($W$5:$W$64,$W$5:$W$64,"&gt;0",$V$5:$V$64,"")),1),0)</f>
        <v>1.451431354866743E-3</v>
      </c>
      <c r="Z57" s="41">
        <f ca="1">IF(LeagueInfo!$H$7="Starter/Bench",INDEX(WR!$S$3:$S$184,MATCH(S57,WR!$B$3:$B$184,0))*InflationPct,INDEX(WR!$AA$3:$AA$184,MATCH(S57,WR!$B$3:$B$184,0))*InflationPct)</f>
        <v>1.0561766947153697</v>
      </c>
      <c r="AB57" s="94">
        <f t="shared" ca="1" si="1"/>
        <v>53</v>
      </c>
      <c r="AC57" s="136" t="str">
        <f t="shared" ca="1" si="2"/>
        <v>C.J. Anderson</v>
      </c>
      <c r="AD57" s="136" t="str">
        <f t="shared" ca="1" si="3"/>
        <v>RB</v>
      </c>
      <c r="AE57" s="139">
        <f ca="1">LARGE(($E$5:$E$34,$E$37:$E$64,$N$5:$N$64,$W$5:$W$64),ROW(AE57)-4)</f>
        <v>34.049999999999983</v>
      </c>
    </row>
    <row r="58" spans="1:31" x14ac:dyDescent="0.25">
      <c r="A58" s="33" t="s">
        <v>290</v>
      </c>
      <c r="B58" s="71" t="str">
        <f>INDEX(TE!E$3:E$129,MATCH(A58,TE!B$3:B$129,0))</f>
        <v>LAC</v>
      </c>
      <c r="C58" s="39">
        <f>INDEX(TE!D$3:D$129,MATCH(A58,TE!B$3:B$129,0))</f>
        <v>10</v>
      </c>
      <c r="D58" s="222" t="str">
        <f>IF(INDEX(Auction!$H$13:$H$672,MATCH(A58,Auction!$A$13:$A$672,0))&gt;0,"x","")</f>
        <v/>
      </c>
      <c r="E58" s="34">
        <f ca="1">INDEX(TE!Y$3:Y$129,MATCH(A58,TE!$B$3:$B$129,0))</f>
        <v>2.8150000000000048</v>
      </c>
      <c r="F58" s="44" t="str">
        <f ca="1">INDEX(TE!Z$3:Z$129,MATCH(A58,TE!$B$3:$B$129,0))</f>
        <v>TE9</v>
      </c>
      <c r="G58" s="50">
        <f ca="1">IF(D58="",IFERROR(E58/(SUMIFS($E$37:$E$64,$E$37:$E$64,"&gt;0",$D$37:$D$64,"")),1),0)</f>
        <v>5.7069872581119374E-3</v>
      </c>
      <c r="H58" s="41">
        <f ca="1">IF(LeagueInfo!$H$7="Starter/Bench",INDEX(TE!$S$3:$S$129,MATCH(A58,TE!$B$3:$B$129,0))*InflationPct,INDEX(TE!$AA$3:$AA$129,MATCH(A58,TE!$B$3:$B$129,0))*InflationPct)</f>
        <v>1.3483616306683734</v>
      </c>
      <c r="I58" s="32"/>
      <c r="J58" s="60" t="s">
        <v>155</v>
      </c>
      <c r="K58" s="69" t="str">
        <f>INDEX(RB!$E$3:$E$173,MATCH(J58,RB!$B$3:$B$173,0))</f>
        <v>MIN</v>
      </c>
      <c r="L58" s="61">
        <f>INDEX(RB!$D$3:$D$173,MATCH(J58,RB!$B$3:$B$173,0))</f>
        <v>9</v>
      </c>
      <c r="M58" s="223" t="str">
        <f>IF(INDEX(Auction!$H$13:$H$672,MATCH(J58,Auction!$A$13:$A$672,0))&gt;0,"x","")</f>
        <v/>
      </c>
      <c r="N58" s="56">
        <f ca="1">INDEX(RB!Y$3:Y$173,MATCH(J58,RB!$B$3:$B$173,0))</f>
        <v>0.61499999999999488</v>
      </c>
      <c r="O58" s="56" t="str">
        <f ca="1">INDEX(RB!Z$3:Z$173,MATCH(J58,RB!$B$3:$B$173,0))</f>
        <v>RB10</v>
      </c>
      <c r="P58" s="62">
        <f ca="1">IF(M58="",IFERROR(N58/(SUMIFS($N$5:$N$64,$N$5:$N$64,"&gt;0",$M$5:$M$64,"")),1),0)</f>
        <v>2.5275201739262442E-4</v>
      </c>
      <c r="Q58" s="63">
        <f ca="1">IF(LeagueInfo!$H$7="Starter/Bench",INDEX(RB!$S$3:$S$174,MATCH(J58,RB!$B$3:$B$174,0))*InflationPct,INDEX(RB!$AA$3:$AA$174,MATCH(J58,RB!$B$3:$B$174,0))*InflationPct)</f>
        <v>0.29457989444441962</v>
      </c>
      <c r="S58" s="94" t="s">
        <v>273</v>
      </c>
      <c r="T58" s="95" t="str">
        <f>INDEX(WR!$E$1:$E$184,MATCH(S58,WR!$B$1:$B$184,0))</f>
        <v>NYG</v>
      </c>
      <c r="U58" s="96">
        <f>INDEX(WR!$D$1:$D$184,MATCH(S58,WR!$B$1:$B$184,0))</f>
        <v>8</v>
      </c>
      <c r="V58" s="225" t="str">
        <f>IF(INDEX(Auction!$H$13:$H$672,MATCH(S58,Auction!$A$13:$A$672,0))&gt;0,"x","")</f>
        <v/>
      </c>
      <c r="W58" s="34">
        <f ca="1">INDEX(WR!Y$3:Y$184,MATCH(S58,WR!$B$3:$B$184,0))</f>
        <v>2.1949999999999932</v>
      </c>
      <c r="X58" s="34" t="str">
        <f ca="1">INDEX(WR!Z$3:Z$184,MATCH(S58,WR!$B$3:$B$184,0))</f>
        <v>WR7</v>
      </c>
      <c r="Y58" s="49">
        <f ca="1">IF(V58="",IFERROR(W58/(SUMIFS($W$5:$W$64,$W$5:$W$64,"&gt;0",$V$5:$V$64,"")),1),0)</f>
        <v>1.4448488997426227E-3</v>
      </c>
      <c r="Z58" s="41">
        <f ca="1">IF(LeagueInfo!$H$7="Starter/Bench",INDEX(WR!$S$3:$S$184,MATCH(S58,WR!$B$3:$B$184,0))*InflationPct,INDEX(WR!$AA$3:$AA$184,MATCH(S58,WR!$B$3:$B$184,0))*InflationPct)</f>
        <v>1.0513867777325276</v>
      </c>
      <c r="AB58" s="94">
        <f t="shared" ca="1" si="1"/>
        <v>54</v>
      </c>
      <c r="AC58" s="136" t="str">
        <f t="shared" ca="1" si="2"/>
        <v>Michael Crabtree</v>
      </c>
      <c r="AD58" s="136" t="str">
        <f t="shared" ca="1" si="3"/>
        <v>WR</v>
      </c>
      <c r="AE58" s="139">
        <f ca="1">LARGE(($E$5:$E$34,$E$37:$E$64,$N$5:$N$64,$W$5:$W$64),ROW(AE58)-4)</f>
        <v>33.289999999999985</v>
      </c>
    </row>
    <row r="59" spans="1:31" x14ac:dyDescent="0.25">
      <c r="A59" s="33" t="s">
        <v>297</v>
      </c>
      <c r="B59" s="71" t="str">
        <f>INDEX(TE!E$3:E$129,MATCH(A59,TE!B$3:B$129,0))</f>
        <v>CHI</v>
      </c>
      <c r="C59" s="39">
        <f>INDEX(TE!D$3:D$129,MATCH(A59,TE!B$3:B$129,0))</f>
        <v>9</v>
      </c>
      <c r="D59" s="222" t="str">
        <f>IF(INDEX(Auction!$H$13:$H$672,MATCH(A59,Auction!$A$13:$A$672,0))&gt;0,"x","")</f>
        <v/>
      </c>
      <c r="E59" s="34">
        <f ca="1">INDEX(TE!Y$3:Y$129,MATCH(A59,TE!$B$3:$B$129,0))</f>
        <v>0</v>
      </c>
      <c r="F59" s="44" t="str">
        <f ca="1">INDEX(TE!Z$3:Z$129,MATCH(A59,TE!$B$3:$B$129,0))</f>
        <v>TE9</v>
      </c>
      <c r="G59" s="50">
        <f ca="1">IF(D59="",IFERROR(E59/(SUMIFS($E$37:$E$64,$E$37:$E$64,"&gt;0",$D$37:$D$64,"")),1),0)</f>
        <v>0</v>
      </c>
      <c r="H59" s="41">
        <f ca="1">IF(LeagueInfo!$H$7="Starter/Bench",INDEX(TE!$S$3:$S$129,MATCH(A59,TE!$B$3:$B$129,0))*InflationPct,INDEX(TE!$AA$3:$AA$129,MATCH(A59,TE!$B$3:$B$129,0))*InflationPct)</f>
        <v>0</v>
      </c>
      <c r="I59" s="26"/>
      <c r="J59" s="60" t="s">
        <v>441</v>
      </c>
      <c r="K59" s="69" t="str">
        <f>INDEX(RB!$E$3:$E$173,MATCH(J59,RB!$B$3:$B$173,0))</f>
        <v>OAK</v>
      </c>
      <c r="L59" s="61">
        <f>INDEX(RB!$D$3:$D$173,MATCH(J59,RB!$B$3:$B$173,0))</f>
        <v>10</v>
      </c>
      <c r="M59" s="223" t="str">
        <f>IF(INDEX(Auction!$H$13:$H$672,MATCH(J59,Auction!$A$13:$A$672,0))&gt;0,"x","")</f>
        <v/>
      </c>
      <c r="N59" s="56">
        <f ca="1">INDEX(RB!Y$3:Y$173,MATCH(J59,RB!$B$3:$B$173,0))</f>
        <v>0.53999999999999204</v>
      </c>
      <c r="O59" s="56" t="str">
        <f ca="1">INDEX(RB!Z$3:Z$173,MATCH(J59,RB!$B$3:$B$173,0))</f>
        <v>RB10</v>
      </c>
      <c r="P59" s="62">
        <f ca="1">IF(M59="",IFERROR(N59/(SUMIFS($N$5:$N$64,$N$5:$N$64,"&gt;0",$M$5:$M$64,"")),1),0)</f>
        <v>2.2192860063742489E-4</v>
      </c>
      <c r="Q59" s="63">
        <f ca="1">IF(LeagueInfo!$H$7="Starter/Bench",INDEX(RB!$S$3:$S$174,MATCH(J59,RB!$B$3:$B$174,0))*InflationPct,INDEX(RB!$AA$3:$AA$174,MATCH(J59,RB!$B$3:$B$174,0))*InflationPct)</f>
        <v>0.25865551707314727</v>
      </c>
      <c r="S59" s="94" t="s">
        <v>270</v>
      </c>
      <c r="T59" s="95" t="str">
        <f>INDEX(WR!$E$1:$E$184,MATCH(S59,WR!$B$1:$B$184,0))</f>
        <v>SEA</v>
      </c>
      <c r="U59" s="96">
        <f>INDEX(WR!$D$1:$D$184,MATCH(S59,WR!$B$1:$B$184,0))</f>
        <v>6</v>
      </c>
      <c r="V59" s="225" t="str">
        <f>IF(INDEX(Auction!$H$13:$H$672,MATCH(S59,Auction!$A$13:$A$672,0))&gt;0,"x","")</f>
        <v/>
      </c>
      <c r="W59" s="34">
        <f ca="1">INDEX(WR!Y$3:Y$184,MATCH(S59,WR!$B$3:$B$184,0))</f>
        <v>0.28999999999999204</v>
      </c>
      <c r="X59" s="34" t="str">
        <f ca="1">INDEX(WR!Z$3:Z$184,MATCH(S59,WR!$B$3:$B$184,0))</f>
        <v>WR8</v>
      </c>
      <c r="Y59" s="49">
        <f ca="1">IF(V59="",IFERROR(W59/(SUMIFS($W$5:$W$64,$W$5:$W$64,"&gt;0",$V$5:$V$64,"")),1),0)</f>
        <v>1.9089119859924848E-4</v>
      </c>
      <c r="Z59" s="41">
        <f ca="1">IF(LeagueInfo!$H$7="Starter/Bench",INDEX(WR!$S$3:$S$184,MATCH(S59,WR!$B$3:$B$184,0))*InflationPct,INDEX(WR!$AA$3:$AA$184,MATCH(S59,WR!$B$3:$B$184,0))*InflationPct)</f>
        <v>0.13890759250224399</v>
      </c>
      <c r="AB59" s="94">
        <f t="shared" ca="1" si="1"/>
        <v>55</v>
      </c>
      <c r="AC59" s="136" t="str">
        <f t="shared" ca="1" si="2"/>
        <v>Alshon Jeffery</v>
      </c>
      <c r="AD59" s="136" t="str">
        <f t="shared" ca="1" si="3"/>
        <v>WR</v>
      </c>
      <c r="AE59" s="139">
        <f ca="1">LARGE(($E$5:$E$34,$E$37:$E$64,$N$5:$N$64,$W$5:$W$64),ROW(AE59)-4)</f>
        <v>32.599999999999959</v>
      </c>
    </row>
    <row r="60" spans="1:31" x14ac:dyDescent="0.25">
      <c r="A60" s="33" t="s">
        <v>283</v>
      </c>
      <c r="B60" s="71" t="str">
        <f>INDEX(TE!E$3:E$129,MATCH(A60,TE!B$3:B$129,0))</f>
        <v>NYG</v>
      </c>
      <c r="C60" s="39">
        <f>INDEX(TE!D$3:D$129,MATCH(A60,TE!B$3:B$129,0))</f>
        <v>8</v>
      </c>
      <c r="D60" s="222" t="str">
        <f>IF(INDEX(Auction!$H$13:$H$672,MATCH(A60,Auction!$A$13:$A$672,0))&gt;0,"x","")</f>
        <v/>
      </c>
      <c r="E60" s="34">
        <f ca="1">INDEX(TE!Y$3:Y$129,MATCH(A60,TE!$B$3:$B$129,0))</f>
        <v>-0.35999999999999233</v>
      </c>
      <c r="F60" s="44" t="str">
        <f ca="1">INDEX(TE!Z$3:Z$129,MATCH(A60,TE!$B$3:$B$129,0))</f>
        <v>TE9</v>
      </c>
      <c r="G60" s="50">
        <f ca="1">IF(D60="",IFERROR(E60/(SUMIFS($E$37:$E$64,$E$37:$E$64,"&gt;0",$D$37:$D$64,"")),1),0)</f>
        <v>-7.2984561737841924E-4</v>
      </c>
      <c r="H60" s="41">
        <f ca="1">IF(LeagueInfo!$H$7="Starter/Bench",INDEX(TE!$S$3:$S$129,MATCH(A60,TE!$B$3:$B$129,0))*InflationPct,INDEX(TE!$AA$3:$AA$129,MATCH(A60,TE!$B$3:$B$129,0))*InflationPct)</f>
        <v>-0.17243701138209705</v>
      </c>
      <c r="I60" s="26"/>
      <c r="J60" s="60" t="s">
        <v>437</v>
      </c>
      <c r="K60" s="69" t="str">
        <f>INDEX(RB!$E$3:$E$173,MATCH(J60,RB!$B$3:$B$173,0))</f>
        <v>TB</v>
      </c>
      <c r="L60" s="61">
        <f>INDEX(RB!$D$3:$D$173,MATCH(J60,RB!$B$3:$B$173,0))</f>
        <v>11</v>
      </c>
      <c r="M60" s="223" t="str">
        <f>IF(INDEX(Auction!$H$13:$H$672,MATCH(J60,Auction!$A$13:$A$672,0))&gt;0,"x","")</f>
        <v/>
      </c>
      <c r="N60" s="56">
        <f ca="1">INDEX(RB!Y$3:Y$173,MATCH(J60,RB!$B$3:$B$173,0))</f>
        <v>0</v>
      </c>
      <c r="O60" s="56" t="str">
        <f ca="1">INDEX(RB!Z$3:Z$173,MATCH(J60,RB!$B$3:$B$173,0))</f>
        <v>RB10</v>
      </c>
      <c r="P60" s="62">
        <f ca="1">IF(M60="",IFERROR(N60/(SUMIFS($N$5:$N$64,$N$5:$N$64,"&gt;0",$M$5:$M$64,"")),1),0)</f>
        <v>0</v>
      </c>
      <c r="Q60" s="63">
        <f ca="1">IF(LeagueInfo!$H$7="Starter/Bench",INDEX(RB!$S$3:$S$174,MATCH(J60,RB!$B$3:$B$174,0))*InflationPct,INDEX(RB!$AA$3:$AA$174,MATCH(J60,RB!$B$3:$B$174,0))*InflationPct)</f>
        <v>0</v>
      </c>
      <c r="S60" s="94" t="s">
        <v>278</v>
      </c>
      <c r="T60" s="95" t="str">
        <f>INDEX(WR!$E$1:$E$184,MATCH(S60,WR!$B$1:$B$184,0))</f>
        <v>BUF</v>
      </c>
      <c r="U60" s="96">
        <f>INDEX(WR!$D$1:$D$184,MATCH(S60,WR!$B$1:$B$184,0))</f>
        <v>6</v>
      </c>
      <c r="V60" s="225" t="str">
        <f>IF(INDEX(Auction!$H$13:$H$672,MATCH(S60,Auction!$A$13:$A$672,0))&gt;0,"x","")</f>
        <v/>
      </c>
      <c r="W60" s="34">
        <f ca="1">INDEX(WR!Y$3:Y$184,MATCH(S60,WR!$B$3:$B$184,0))</f>
        <v>0</v>
      </c>
      <c r="X60" s="34" t="str">
        <f ca="1">INDEX(WR!Z$3:Z$184,MATCH(S60,WR!$B$3:$B$184,0))</f>
        <v>WR8</v>
      </c>
      <c r="Y60" s="49">
        <f ca="1">IF(V60="",IFERROR(W60/(SUMIFS($W$5:$W$64,$W$5:$W$64,"&gt;0",$V$5:$V$64,"")),1),0)</f>
        <v>0</v>
      </c>
      <c r="Z60" s="41">
        <f ca="1">IF(LeagueInfo!$H$7="Starter/Bench",INDEX(WR!$S$3:$S$184,MATCH(S60,WR!$B$3:$B$184,0))*InflationPct,INDEX(WR!$AA$3:$AA$184,MATCH(S60,WR!$B$3:$B$184,0))*InflationPct)</f>
        <v>0</v>
      </c>
      <c r="AB60" s="94">
        <f t="shared" ca="1" si="1"/>
        <v>56</v>
      </c>
      <c r="AC60" s="136" t="str">
        <f t="shared" ca="1" si="2"/>
        <v>Terrance West</v>
      </c>
      <c r="AD60" s="136" t="str">
        <f t="shared" ca="1" si="3"/>
        <v>RB</v>
      </c>
      <c r="AE60" s="139">
        <f ca="1">LARGE(($E$5:$E$34,$E$37:$E$64,$N$5:$N$64,$W$5:$W$64),ROW(AE60)-4)</f>
        <v>31.909999999999997</v>
      </c>
    </row>
    <row r="61" spans="1:31" x14ac:dyDescent="0.25">
      <c r="A61" s="33" t="s">
        <v>277</v>
      </c>
      <c r="B61" s="71" t="str">
        <f>INDEX(TE!E$3:E$129,MATCH(A61,TE!B$3:B$129,0))</f>
        <v>CLE</v>
      </c>
      <c r="C61" s="39">
        <f>INDEX(TE!D$3:D$129,MATCH(A61,TE!B$3:B$129,0))</f>
        <v>9</v>
      </c>
      <c r="D61" s="222" t="str">
        <f>IF(INDEX(Auction!$H$13:$H$672,MATCH(A61,Auction!$A$13:$A$672,0))&gt;0,"x","")</f>
        <v/>
      </c>
      <c r="E61" s="34">
        <f ca="1">INDEX(TE!Y$3:Y$129,MATCH(A61,TE!$B$3:$B$129,0))</f>
        <v>-1.514999999999997</v>
      </c>
      <c r="F61" s="44" t="str">
        <f ca="1">INDEX(TE!Z$3:Z$129,MATCH(A61,TE!$B$3:$B$129,0))</f>
        <v>TE9</v>
      </c>
      <c r="G61" s="50">
        <f ca="1">IF(D61="",IFERROR(E61/(SUMIFS($E$37:$E$64,$E$37:$E$64,"&gt;0",$D$37:$D$64,"")),1),0)</f>
        <v>-3.0714336398009073E-3</v>
      </c>
      <c r="H61" s="41">
        <f ca="1">IF(LeagueInfo!$H$7="Starter/Bench",INDEX(TE!$S$3:$S$129,MATCH(A61,TE!$B$3:$B$129,0))*InflationPct,INDEX(TE!$AA$3:$AA$129,MATCH(A61,TE!$B$3:$B$129,0))*InflationPct)</f>
        <v>-0.72567242289967249</v>
      </c>
      <c r="I61" s="32"/>
      <c r="J61" s="60" t="s">
        <v>207</v>
      </c>
      <c r="K61" s="69" t="str">
        <f>INDEX(RB!$E$3:$E$173,MATCH(J61,RB!$B$3:$B$173,0))</f>
        <v>NE</v>
      </c>
      <c r="L61" s="61">
        <f>INDEX(RB!$D$3:$D$173,MATCH(J61,RB!$B$3:$B$173,0))</f>
        <v>9</v>
      </c>
      <c r="M61" s="223" t="str">
        <f>IF(INDEX(Auction!$H$13:$H$672,MATCH(J61,Auction!$A$13:$A$672,0))&gt;0,"x","")</f>
        <v/>
      </c>
      <c r="N61" s="56">
        <f ca="1">INDEX(RB!Y$3:Y$173,MATCH(J61,RB!$B$3:$B$173,0))</f>
        <v>-0.38500000000000512</v>
      </c>
      <c r="O61" s="56" t="str">
        <f ca="1">INDEX(RB!Z$3:Z$173,MATCH(J61,RB!$B$3:$B$173,0))</f>
        <v>RB10</v>
      </c>
      <c r="P61" s="62">
        <f ca="1">IF(M61="",IFERROR(N61/(SUMIFS($N$5:$N$64,$N$5:$N$64,"&gt;0",$M$5:$M$64,"")),1),0)</f>
        <v>-1.5822687267668699E-4</v>
      </c>
      <c r="Q61" s="63">
        <f ca="1">IF(LeagueInfo!$H$7="Starter/Bench",INDEX(RB!$S$3:$S$174,MATCH(J61,RB!$B$3:$B$174,0))*InflationPct,INDEX(RB!$AA$3:$AA$174,MATCH(J61,RB!$B$3:$B$174,0))*InflationPct)</f>
        <v>-0.18441180383919351</v>
      </c>
      <c r="S61" s="94" t="s">
        <v>554</v>
      </c>
      <c r="T61" s="95" t="str">
        <f>INDEX(WR!$E$1:$E$184,MATCH(S61,WR!$B$1:$B$184,0))</f>
        <v>MIA</v>
      </c>
      <c r="U61" s="96">
        <f>INDEX(WR!$D$1:$D$184,MATCH(S61,WR!$B$1:$B$184,0))</f>
        <v>11</v>
      </c>
      <c r="V61" s="225" t="str">
        <f>IF(INDEX(Auction!$H$13:$H$672,MATCH(S61,Auction!$A$13:$A$672,0))&gt;0,"x","")</f>
        <v/>
      </c>
      <c r="W61" s="34">
        <f ca="1">INDEX(WR!Y$3:Y$184,MATCH(S61,WR!$B$3:$B$184,0))</f>
        <v>-0.13500000000000512</v>
      </c>
      <c r="X61" s="34" t="str">
        <f ca="1">INDEX(WR!Z$3:Z$184,MATCH(S61,WR!$B$3:$B$184,0))</f>
        <v>WR8</v>
      </c>
      <c r="Y61" s="49">
        <f ca="1">IF(V61="",IFERROR(W61/(SUMIFS($W$5:$W$64,$W$5:$W$64,"&gt;0",$V$5:$V$64,"")),1),0)</f>
        <v>-8.8863144175518034E-5</v>
      </c>
      <c r="Z61" s="41">
        <f ca="1">IF(LeagueInfo!$H$7="Starter/Bench",INDEX(WR!$S$3:$S$184,MATCH(S61,WR!$B$3:$B$184,0))*InflationPct,INDEX(WR!$AA$3:$AA$184,MATCH(S61,WR!$B$3:$B$184,0))*InflationPct)</f>
        <v>-6.4663879268290231E-2</v>
      </c>
      <c r="AB61" s="94">
        <f t="shared" ca="1" si="1"/>
        <v>57</v>
      </c>
      <c r="AC61" s="136" t="str">
        <f t="shared" ca="1" si="2"/>
        <v>Marcus Mariota</v>
      </c>
      <c r="AD61" s="136" t="str">
        <f t="shared" ca="1" si="3"/>
        <v>QB</v>
      </c>
      <c r="AE61" s="139">
        <f ca="1">LARGE(($E$5:$E$34,$E$37:$E$64,$N$5:$N$64,$W$5:$W$64),ROW(AE61)-4)</f>
        <v>31.098000000000027</v>
      </c>
    </row>
    <row r="62" spans="1:31" x14ac:dyDescent="0.25">
      <c r="A62" s="33" t="s">
        <v>235</v>
      </c>
      <c r="B62" s="71" t="str">
        <f>INDEX(TE!E$3:E$129,MATCH(A62,TE!B$3:B$129,0))</f>
        <v>TB</v>
      </c>
      <c r="C62" s="39">
        <f>INDEX(TE!D$3:D$129,MATCH(A62,TE!B$3:B$129,0))</f>
        <v>11</v>
      </c>
      <c r="D62" s="222" t="str">
        <f>IF(INDEX(Auction!$H$13:$H$672,MATCH(A62,Auction!$A$13:$A$672,0))&gt;0,"x","")</f>
        <v/>
      </c>
      <c r="E62" s="34">
        <f ca="1">INDEX(TE!Y$3:Y$129,MATCH(A62,TE!$B$3:$B$129,0))</f>
        <v>-3.41</v>
      </c>
      <c r="F62" s="44" t="str">
        <f ca="1">INDEX(TE!Z$3:Z$129,MATCH(A62,TE!$B$3:$B$129,0))</f>
        <v>TE9</v>
      </c>
      <c r="G62" s="50">
        <f ca="1">IF(D62="",IFERROR(E62/(SUMIFS($E$37:$E$64,$E$37:$E$64,"&gt;0",$D$37:$D$64,"")),1),0)</f>
        <v>-6.9132598757235082E-3</v>
      </c>
      <c r="H62" s="41">
        <f ca="1">IF(LeagueInfo!$H$7="Starter/Bench",INDEX(TE!$S$3:$S$129,MATCH(A62,TE!$B$3:$B$129,0))*InflationPct,INDEX(TE!$AA$3:$AA$129,MATCH(A62,TE!$B$3:$B$129,0))*InflationPct)</f>
        <v>-1.6333616911471209</v>
      </c>
      <c r="I62" s="26"/>
      <c r="J62" s="60" t="s">
        <v>439</v>
      </c>
      <c r="K62" s="69" t="str">
        <f>INDEX(RB!$E$3:$E$173,MATCH(J62,RB!$B$3:$B$173,0))</f>
        <v>IND</v>
      </c>
      <c r="L62" s="61">
        <f>INDEX(RB!$D$3:$D$173,MATCH(J62,RB!$B$3:$B$173,0))</f>
        <v>11</v>
      </c>
      <c r="M62" s="223" t="str">
        <f>IF(INDEX(Auction!$H$13:$H$672,MATCH(J62,Auction!$A$13:$A$672,0))&gt;0,"x","")</f>
        <v/>
      </c>
      <c r="N62" s="56">
        <f ca="1">INDEX(RB!Y$3:Y$173,MATCH(J62,RB!$B$3:$B$173,0))</f>
        <v>-0.52500000000000568</v>
      </c>
      <c r="O62" s="56" t="str">
        <f ca="1">INDEX(RB!Z$3:Z$173,MATCH(J62,RB!$B$3:$B$173,0))</f>
        <v>RB10</v>
      </c>
      <c r="P62" s="62">
        <f ca="1">IF(M62="",IFERROR(N62/(SUMIFS($N$5:$N$64,$N$5:$N$64,"&gt;0",$M$5:$M$64,"")),1),0)</f>
        <v>-2.1576391728639083E-4</v>
      </c>
      <c r="Q62" s="63">
        <f ca="1">IF(LeagueInfo!$H$7="Starter/Bench",INDEX(RB!$S$3:$S$174,MATCH(J62,RB!$B$3:$B$174,0))*InflationPct,INDEX(RB!$AA$3:$AA$174,MATCH(J62,RB!$B$3:$B$174,0))*InflationPct)</f>
        <v>-0.25147064159889965</v>
      </c>
      <c r="S62" s="94" t="s">
        <v>275</v>
      </c>
      <c r="T62" s="95" t="str">
        <f>INDEX(WR!$E$1:$E$184,MATCH(S62,WR!$B$1:$B$184,0))</f>
        <v>CHI</v>
      </c>
      <c r="U62" s="96">
        <f>INDEX(WR!$D$1:$D$184,MATCH(S62,WR!$B$1:$B$184,0))</f>
        <v>9</v>
      </c>
      <c r="V62" s="225" t="str">
        <f>IF(INDEX(Auction!$H$13:$H$672,MATCH(S62,Auction!$A$13:$A$672,0))&gt;0,"x","")</f>
        <v/>
      </c>
      <c r="W62" s="34">
        <f ca="1">INDEX(WR!Y$3:Y$184,MATCH(S62,WR!$B$3:$B$184,0))</f>
        <v>-0.43999999999999773</v>
      </c>
      <c r="X62" s="34" t="str">
        <f ca="1">INDEX(WR!Z$3:Z$184,MATCH(S62,WR!$B$3:$B$184,0))</f>
        <v>WR8</v>
      </c>
      <c r="Y62" s="49">
        <f ca="1">IF(V62="",IFERROR(W62/(SUMIFS($W$5:$W$64,$W$5:$W$64,"&gt;0",$V$5:$V$64,"")),1),0)</f>
        <v>-2.8962802546093517E-4</v>
      </c>
      <c r="Z62" s="41">
        <f ca="1">IF(LeagueInfo!$H$7="Starter/Bench",INDEX(WR!$S$3:$S$184,MATCH(S62,WR!$B$3:$B$184,0))*InflationPct,INDEX(WR!$AA$3:$AA$184,MATCH(S62,WR!$B$3:$B$184,0))*InflationPct)</f>
        <v>-0.2107563472447887</v>
      </c>
      <c r="AB62" s="94">
        <f t="shared" ca="1" si="1"/>
        <v>58</v>
      </c>
      <c r="AC62" s="136" t="str">
        <f t="shared" ca="1" si="2"/>
        <v>Paul Perkins</v>
      </c>
      <c r="AD62" s="136" t="str">
        <f t="shared" ca="1" si="3"/>
        <v>RB</v>
      </c>
      <c r="AE62" s="139">
        <f ca="1">LARGE(($E$5:$E$34,$E$37:$E$64,$N$5:$N$64,$W$5:$W$64),ROW(AE62)-4)</f>
        <v>29.860000000000014</v>
      </c>
    </row>
    <row r="63" spans="1:31" x14ac:dyDescent="0.25">
      <c r="A63" s="33" t="s">
        <v>716</v>
      </c>
      <c r="B63" s="71" t="str">
        <f>INDEX(TE!E$3:E$129,MATCH(A63,TE!B$3:B$129,0))</f>
        <v>ARI</v>
      </c>
      <c r="C63" s="39">
        <f>INDEX(TE!D$3:D$129,MATCH(A63,TE!B$3:B$129,0))</f>
        <v>8</v>
      </c>
      <c r="D63" s="222" t="str">
        <f>IF(INDEX(Auction!$H$13:$H$672,MATCH(A63,Auction!$A$13:$A$672,0))&gt;0,"x","")</f>
        <v/>
      </c>
      <c r="E63" s="34">
        <f ca="1">INDEX(TE!Y$3:Y$129,MATCH(A63,TE!$B$3:$B$129,0))</f>
        <v>-3.7599999999999945</v>
      </c>
      <c r="F63" s="44" t="str">
        <f ca="1">INDEX(TE!Z$3:Z$129,MATCH(A63,TE!$B$3:$B$129,0))</f>
        <v>TE9</v>
      </c>
      <c r="G63" s="50">
        <f ca="1">IF(D63="",IFERROR(E63/(SUMIFS($E$37:$E$64,$E$37:$E$64,"&gt;0",$D$37:$D$64,"")),1),0)</f>
        <v>-7.6228320037303081E-3</v>
      </c>
      <c r="H63" s="41">
        <f ca="1">IF(LeagueInfo!$H$7="Starter/Bench",INDEX(TE!$S$3:$S$129,MATCH(A63,TE!$B$3:$B$129,0))*InflationPct,INDEX(TE!$AA$3:$AA$129,MATCH(A63,TE!$B$3:$B$129,0))*InflationPct)</f>
        <v>-1.8010087855463828</v>
      </c>
      <c r="I63" s="32"/>
      <c r="J63" s="60" t="s">
        <v>234</v>
      </c>
      <c r="K63" s="69" t="str">
        <f>INDEX(RB!$E$3:$E$173,MATCH(J63,RB!$B$3:$B$173,0))</f>
        <v>TB</v>
      </c>
      <c r="L63" s="61">
        <f>INDEX(RB!$D$3:$D$173,MATCH(J63,RB!$B$3:$B$173,0))</f>
        <v>11</v>
      </c>
      <c r="M63" s="223" t="str">
        <f>IF(INDEX(Auction!$H$13:$H$672,MATCH(J63,Auction!$A$13:$A$672,0))&gt;0,"x","")</f>
        <v/>
      </c>
      <c r="N63" s="56">
        <f ca="1">INDEX(RB!Y$3:Y$173,MATCH(J63,RB!$B$3:$B$173,0))</f>
        <v>-1.3150000000000119</v>
      </c>
      <c r="O63" s="56" t="str">
        <f ca="1">INDEX(RB!Z$3:Z$173,MATCH(J63,RB!$B$3:$B$173,0))</f>
        <v>RB10</v>
      </c>
      <c r="P63" s="62">
        <f ca="1">IF(M63="",IFERROR(N63/(SUMIFS($N$5:$N$64,$N$5:$N$64,"&gt;0",$M$5:$M$64,"")),1),0)</f>
        <v>-5.4043724044114936E-4</v>
      </c>
      <c r="Q63" s="63">
        <f ca="1">IF(LeagueInfo!$H$7="Starter/Bench",INDEX(RB!$S$3:$S$174,MATCH(J63,RB!$B$3:$B$174,0))*InflationPct,INDEX(RB!$AA$3:$AA$174,MATCH(J63,RB!$B$3:$B$174,0))*InflationPct)</f>
        <v>-0.62987408324295702</v>
      </c>
      <c r="S63" s="94" t="s">
        <v>310</v>
      </c>
      <c r="T63" s="95" t="str">
        <f>INDEX(WR!$E$1:$E$184,MATCH(S63,WR!$B$1:$B$184,0))</f>
        <v>ATL</v>
      </c>
      <c r="U63" s="96">
        <f>INDEX(WR!$D$1:$D$184,MATCH(S63,WR!$B$1:$B$184,0))</f>
        <v>5</v>
      </c>
      <c r="V63" s="225" t="str">
        <f>IF(INDEX(Auction!$H$13:$H$672,MATCH(S63,Auction!$A$13:$A$672,0))&gt;0,"x","")</f>
        <v/>
      </c>
      <c r="W63" s="34">
        <f ca="1">INDEX(WR!Y$3:Y$184,MATCH(S63,WR!$B$3:$B$184,0))</f>
        <v>-0.48500000000000654</v>
      </c>
      <c r="X63" s="34" t="str">
        <f ca="1">INDEX(WR!Z$3:Z$184,MATCH(S63,WR!$B$3:$B$184,0))</f>
        <v>WR8</v>
      </c>
      <c r="Y63" s="49">
        <f ca="1">IF(V63="",IFERROR(W63/(SUMIFS($W$5:$W$64,$W$5:$W$64,"&gt;0",$V$5:$V$64,"")),1),0)</f>
        <v>-3.1924907351944587E-4</v>
      </c>
      <c r="Z63" s="41">
        <f ca="1">IF(LeagueInfo!$H$7="Starter/Bench",INDEX(WR!$S$3:$S$184,MATCH(S63,WR!$B$3:$B$184,0))*InflationPct,INDEX(WR!$AA$3:$AA$184,MATCH(S63,WR!$B$3:$B$184,0))*InflationPct)</f>
        <v>-0.23231097366755551</v>
      </c>
      <c r="AB63" s="94">
        <f t="shared" ca="1" si="1"/>
        <v>59</v>
      </c>
      <c r="AC63" s="136" t="str">
        <f t="shared" ca="1" si="2"/>
        <v>Kirk Cousins</v>
      </c>
      <c r="AD63" s="136" t="str">
        <f t="shared" ca="1" si="3"/>
        <v>QB</v>
      </c>
      <c r="AE63" s="139">
        <f ca="1">LARGE(($E$5:$E$34,$E$37:$E$64,$N$5:$N$64,$W$5:$W$64),ROW(AE63)-4)</f>
        <v>29.819999999999951</v>
      </c>
    </row>
    <row r="64" spans="1:31" ht="15.75" thickBot="1" x14ac:dyDescent="0.3">
      <c r="A64" s="35" t="s">
        <v>317</v>
      </c>
      <c r="B64" s="72" t="str">
        <f>INDEX(TE!E$3:E$129,MATCH(A64,TE!B$3:B$129,0))</f>
        <v>PIT</v>
      </c>
      <c r="C64" s="36">
        <f>INDEX(TE!D$3:D$129,MATCH(A64,TE!B$3:B$129,0))</f>
        <v>9</v>
      </c>
      <c r="D64" s="228" t="str">
        <f>IF(INDEX(Auction!$H$13:$H$672,MATCH(A64,Auction!$A$13:$A$672,0))&gt;0,"x","")</f>
        <v/>
      </c>
      <c r="E64" s="37">
        <f ca="1">INDEX(TE!Y$3:Y$129,MATCH(A64,TE!$B$3:$B$129,0))</f>
        <v>-4.1099999999999959</v>
      </c>
      <c r="F64" s="37" t="str">
        <f ca="1">INDEX(TE!Z$3:Z$129,MATCH(A64,TE!$B$3:$B$129,0))</f>
        <v>TE9</v>
      </c>
      <c r="G64" s="51">
        <f ca="1">IF(D64="",IFERROR(E64/(SUMIFS($E$37:$E$64,$E$37:$E$64,"&gt;0",$D$37:$D$64,"")),1),0)</f>
        <v>-8.3324041317371228E-3</v>
      </c>
      <c r="H64" s="42">
        <f ca="1">IF(LeagueInfo!$H$7="Starter/Bench",INDEX(TE!$S$3:$S$129,MATCH(A64,TE!$B$3:$B$129,0))*InflationPct,INDEX(TE!$AA$3:$AA$129,MATCH(A64,TE!$B$3:$B$129,0))*InflationPct)</f>
        <v>-1.9686558799456482</v>
      </c>
      <c r="I64" s="32"/>
      <c r="J64" s="64" t="s">
        <v>443</v>
      </c>
      <c r="K64" s="70" t="str">
        <f>INDEX(RB!$E$3:$E$173,MATCH(J64,RB!$B$3:$B$173,0))</f>
        <v>BUF</v>
      </c>
      <c r="L64" s="65">
        <f>INDEX(RB!$D$3:$D$173,MATCH(J64,RB!$B$3:$B$173,0))</f>
        <v>6</v>
      </c>
      <c r="M64" s="224" t="str">
        <f>IF(INDEX(Auction!$H$13:$H$672,MATCH(J64,Auction!$A$13:$A$672,0))&gt;0,"x","")</f>
        <v/>
      </c>
      <c r="N64" s="66">
        <f ca="1">INDEX(RB!Y$3:Y$173,MATCH(J64,RB!$B$3:$B$173,0))</f>
        <v>-3.1850000000000023</v>
      </c>
      <c r="O64" s="66" t="str">
        <f ca="1">INDEX(RB!Z$3:Z$173,MATCH(J64,RB!$B$3:$B$173,0))</f>
        <v>RB10</v>
      </c>
      <c r="P64" s="67">
        <f ca="1">IF(M64="",IFERROR(N64/(SUMIFS($N$5:$N$64,$N$5:$N$64,"&gt;0",$M$5:$M$64,"")),1),0)</f>
        <v>-1.3089677648707577E-3</v>
      </c>
      <c r="Q64" s="68">
        <f ca="1">IF(LeagueInfo!$H$7="Starter/Bench",INDEX(RB!$S$3:$S$174,MATCH(J64,RB!$B$3:$B$174,0))*InflationPct,INDEX(RB!$AA$3:$AA$174,MATCH(J64,RB!$B$3:$B$174,0))*InflationPct)</f>
        <v>-1.5255885590333089</v>
      </c>
      <c r="S64" s="97" t="s">
        <v>259</v>
      </c>
      <c r="T64" s="98" t="str">
        <f>INDEX(WR!$E$1:$E$184,MATCH(S64,WR!$B$1:$B$184,0))</f>
        <v>ATL</v>
      </c>
      <c r="U64" s="99">
        <f>INDEX(WR!$D$1:$D$184,MATCH(S64,WR!$B$1:$B$184,0))</f>
        <v>5</v>
      </c>
      <c r="V64" s="226" t="str">
        <f>IF(INDEX(Auction!$H$13:$H$672,MATCH(S64,Auction!$A$13:$A$672,0))&gt;0,"x","")</f>
        <v/>
      </c>
      <c r="W64" s="37">
        <f ca="1">INDEX(WR!Y$3:Y$184,MATCH(S64,WR!$B$3:$B$184,0))</f>
        <v>-1.6650000000000063</v>
      </c>
      <c r="X64" s="37" t="str">
        <f ca="1">INDEX(WR!Z$3:Z$184,MATCH(S64,WR!$B$3:$B$184,0))</f>
        <v>WR8</v>
      </c>
      <c r="Y64" s="51">
        <f ca="1">IF(V64="",IFERROR(W64/(SUMIFS($W$5:$W$64,$W$5:$W$64,"&gt;0",$V$5:$V$64,"")),1),0)</f>
        <v>-1.0959787781646849E-3</v>
      </c>
      <c r="Z64" s="42">
        <f ca="1">IF(LeagueInfo!$H$7="Starter/Bench",INDEX(WR!$S$3:$S$184,MATCH(S64,WR!$B$3:$B$184,0))*InflationPct,INDEX(WR!$AA$3:$AA$184,MATCH(S64,WR!$B$3:$B$184,0))*InflationPct)</f>
        <v>-0.79752117764221886</v>
      </c>
      <c r="AB64" s="97">
        <f t="shared" ca="1" si="1"/>
        <v>60</v>
      </c>
      <c r="AC64" s="137" t="str">
        <f t="shared" ca="1" si="2"/>
        <v>Andrew Luck</v>
      </c>
      <c r="AD64" s="137" t="str">
        <f t="shared" ca="1" si="3"/>
        <v>QB</v>
      </c>
      <c r="AE64" s="140">
        <f ca="1">LARGE(($E$5:$E$34,$E$37:$E$64,$N$5:$N$64,$W$5:$W$64),ROW(AE64)-4)</f>
        <v>28.969999999999985</v>
      </c>
    </row>
  </sheetData>
  <sortState ref="S5:Z64">
    <sortCondition descending="1" ref="W5:W64"/>
  </sortState>
  <mergeCells count="6">
    <mergeCell ref="A1:AE1"/>
    <mergeCell ref="A35:H35"/>
    <mergeCell ref="AB3:AE3"/>
    <mergeCell ref="J3:Q3"/>
    <mergeCell ref="S3:Z3"/>
    <mergeCell ref="A3:H3"/>
  </mergeCells>
  <phoneticPr fontId="20" type="noConversion"/>
  <conditionalFormatting sqref="J5:Q64">
    <cfRule type="expression" dxfId="28" priority="1">
      <formula>NOT($M5="")</formula>
    </cfRule>
    <cfRule type="expression" dxfId="27" priority="10">
      <formula>$N5&gt;=MAX(MAX(IF(($V$5:$V$64=""),$W$5:$W$64)),MAX(IF(($M$5:$M$64=""),$N$5:$N$64)),MAX(IF(($D$5:$D$34=""),$E$5:$E$34)),MAX(IF(($D$37:$D$64=""),$E$37:$E$64)))</formula>
    </cfRule>
    <cfRule type="expression" dxfId="26" priority="20">
      <formula>IF(INDEX(INDIRECT(""&amp;LEFT($J$3,2)&amp;"!$V$2:$V$489"),MATCH($J5,INDIRECT(""&amp;LEFT($J$3,2)&amp;"!$B$2:$B$489"),0))="Upside",TRUE,FALSE)</formula>
    </cfRule>
    <cfRule type="expression" dxfId="25" priority="21">
      <formula>IF(INDEX(INDIRECT(""&amp;LEFT($J$3,2)&amp;"!$V$2:$V$489"),MATCH($J5,INDIRECT(""&amp;LEFT($J$3,2)&amp;"!$B$2:$B$489"),0))="Target",TRUE,FALSE)</formula>
    </cfRule>
    <cfRule type="expression" dxfId="24" priority="36">
      <formula>IF(INDEX(INDIRECT(""&amp;LEFT($J$3,2)&amp;"!$V$2:$V$489"),MATCH($J5,INDIRECT(""&amp;LEFT($J$3,2)&amp;"!$B$2:$B$489"),0))="Sleeper",TRUE,FALSE)</formula>
    </cfRule>
    <cfRule type="expression" dxfId="23" priority="37">
      <formula>IF(INDEX(INDIRECT(""&amp;LEFT($J$3,2)&amp;"!$V$2:$V$489"),MATCH($J5,INDIRECT(""&amp;LEFT($J$3,2)&amp;"!$B$2:$B$489"),0))="Avoid",TRUE,FALSE)</formula>
    </cfRule>
  </conditionalFormatting>
  <conditionalFormatting sqref="S5:Z64">
    <cfRule type="expression" dxfId="22" priority="7">
      <formula>NOT($V5="")</formula>
    </cfRule>
    <cfRule type="expression" dxfId="21" priority="8">
      <formula>$W5&gt;=MAX(MAX(IF(($V$5:$V$64=""),$W$5:$W$64)),MAX(IF(($M$5:$M$64=""),$N$5:$N$64)),MAX(IF(($D$5:$D$34=""),$E$5:$E$34)),MAX(IF(($D$37:$D$64=""),$E$37:$E$64)))</formula>
    </cfRule>
    <cfRule type="expression" dxfId="20" priority="16">
      <formula>IF(INDEX(INDIRECT(""&amp;LEFT($S$3,2)&amp;"!$V$2:$V$489"),MATCH($S5,INDIRECT(""&amp;LEFT($S$3,2)&amp;"!$B$2:$B$489"),0))="Upside",TRUE,FALSE)</formula>
    </cfRule>
    <cfRule type="expression" dxfId="19" priority="19">
      <formula>IF(INDEX(INDIRECT(""&amp;LEFT($S$3,2)&amp;"!$V$2:$V$489"),MATCH($S5,INDIRECT(""&amp;LEFT($S$3,2)&amp;"!$B$2:$B$489"),0))="Target",TRUE,FALSE)</formula>
    </cfRule>
    <cfRule type="expression" dxfId="18" priority="40">
      <formula>IF(INDEX(INDIRECT(""&amp;LEFT($S$3,2)&amp;"!$V$2:$V$489"),MATCH($S5,INDIRECT(""&amp;LEFT($S$3,2)&amp;"!$B$2:$B$489"),0))="Sleeper",TRUE,FALSE)</formula>
    </cfRule>
    <cfRule type="expression" dxfId="17" priority="41">
      <formula>IF(INDEX(INDIRECT(""&amp;LEFT($S$3,2)&amp;"!$V$2:$V$489"),MATCH($S5,INDIRECT(""&amp;LEFT($S$3,2)&amp;"!$B$2:$B$489"),0))="Avoid",TRUE,FALSE)</formula>
    </cfRule>
  </conditionalFormatting>
  <conditionalFormatting sqref="A5:H34">
    <cfRule type="expression" dxfId="16" priority="3">
      <formula>NOT($D5="")</formula>
    </cfRule>
    <cfRule type="expression" dxfId="15" priority="5">
      <formula>$E5&gt;=MAX(MAX(IF(($V$5:$V$64=""),$W$5:$W$64)),MAX(IF(($M$5:$M$64=""),$N$5:$N$64)),MAX(IF(($D$5:$D$34=""),$E$5:$E$34)),MAX(IF(($D$37:$D$64=""),$E$37:$E$64)))</formula>
    </cfRule>
    <cfRule type="expression" dxfId="14" priority="11">
      <formula>IF(INDEX(INDIRECT(""&amp;LEFT($A$3,2)&amp;"!$V$2:$V$489"),MATCH($A5,INDIRECT(""&amp;LEFT($A$3,2)&amp;"!$B$2:$B$489"),0))="Upside",TRUE,FALSE)</formula>
    </cfRule>
    <cfRule type="expression" dxfId="13" priority="22">
      <formula>IF(INDEX(INDIRECT(""&amp;LEFT($A$3,2)&amp;"!$V$2:$V$489"),MATCH($A5,INDIRECT(""&amp;LEFT($A$3,2)&amp;"!$B$2:$B$489"),0))="Target",TRUE,FALSE)</formula>
    </cfRule>
    <cfRule type="expression" dxfId="12" priority="34">
      <formula>IF(INDEX(INDIRECT(""&amp;LEFT($A$3,2)&amp;"!$V$2:$V$489"),MATCH($A5,INDIRECT(""&amp;LEFT($A$3,2)&amp;"!$B$2:$B$489"),0))="Sleeper",TRUE,FALSE)</formula>
    </cfRule>
    <cfRule type="expression" dxfId="11" priority="35">
      <formula>IF(INDEX(INDIRECT(""&amp;LEFT($A$3,2)&amp;"!$V$2:$V$489"),MATCH($A5,INDIRECT(""&amp;LEFT($A$3,2)&amp;"!$B$2:$B$489"),0))="Avoid",TRUE,FALSE)</formula>
    </cfRule>
  </conditionalFormatting>
  <conditionalFormatting sqref="A37:H64">
    <cfRule type="expression" dxfId="10" priority="4">
      <formula>NOT($D37="")</formula>
    </cfRule>
    <cfRule type="expression" dxfId="9" priority="9">
      <formula>$E37&gt;=MAX(MAX(IF(($V$5:$V$64=""),$W$5:$W$64)),MAX(IF(($M$5:$M$64=""),$N$5:$N$64)),MAX(IF(($D$5:$D$34=""),$E$5:$E$34)),MAX(IF(($D$37:$D$64=""),$E$37:$E$64)))</formula>
    </cfRule>
    <cfRule type="expression" dxfId="8" priority="17">
      <formula>IF(INDEX(INDIRECT(""&amp;LEFT($A$35,2)&amp;"!$V$2:$V$489"),MATCH($A37,INDIRECT(""&amp;LEFT($A$35,2)&amp;"!$B$2:$B$489"),0))="Upside",TRUE,FALSE)</formula>
    </cfRule>
    <cfRule type="expression" dxfId="7" priority="18">
      <formula>IF(INDEX(INDIRECT(""&amp;LEFT($A$35,2)&amp;"!$V$2:$V$489"),MATCH($A37,INDIRECT(""&amp;LEFT($A$35,2)&amp;"!$B$2:$B$489"),0))="Target",TRUE,FALSE)</formula>
    </cfRule>
    <cfRule type="expression" dxfId="6" priority="38">
      <formula>IF(INDEX(INDIRECT(""&amp;LEFT($A$35,2)&amp;"!$V$2:$V$489"),MATCH($A37,INDIRECT(""&amp;LEFT($A$35,2)&amp;"!$B$2:$B$489"),0))="Sleeper",TRUE,FALSE)</formula>
    </cfRule>
    <cfRule type="expression" dxfId="5" priority="39">
      <formula>IF(INDEX(INDIRECT(""&amp;LEFT($A$35,2)&amp;"!$V$2:$V$489"),MATCH($A37,INDIRECT(""&amp;LEFT($A$35,2)&amp;"!$B$2:$B$489"),0))="Avoid",TRUE,FALSE)</formula>
    </cfRule>
  </conditionalFormatting>
  <conditionalFormatting sqref="AB5:AE64">
    <cfRule type="expression" dxfId="4" priority="12">
      <formula>IF(INDEX(INDIRECT(""&amp;$AD5&amp;"!$V$2:$V$489"),MATCH($AC5,INDIRECT(""&amp;$AD5&amp;"!$B$2:$B$489"),0))="Upside",TRUE,FALSE)</formula>
    </cfRule>
    <cfRule type="expression" dxfId="3" priority="13">
      <formula>IF(INDEX(INDIRECT(""&amp;$AD5&amp;"!$V$2:$V$489"),MATCH($AC5,INDIRECT(""&amp;$AD5&amp;"!$B$2:$B$489"),0))="Sleeper",TRUE,FALSE)</formula>
    </cfRule>
    <cfRule type="expression" dxfId="2" priority="14">
      <formula>IF(INDEX(INDIRECT(""&amp;$AD5&amp;"!$V$2:$V$489"),MATCH($AC5,INDIRECT(""&amp;$AD5&amp;"!$B$2:$B$489"),0))="Avoid",TRUE,FALSE)</formula>
    </cfRule>
    <cfRule type="expression" dxfId="1" priority="15">
      <formula>IF(INDEX(INDIRECT(""&amp;$AD5&amp;"!$V$2:$V$489"),MATCH($AC5,INDIRECT(""&amp;$AD5&amp;"!$B$2:$B$489"),0))="Target",TRUE,FALSE)</formula>
    </cfRule>
    <cfRule type="expression" dxfId="0" priority="23">
      <formula>IF($AD5="RB",IF(INDEX($M$5:$M$64,MATCH($AC5,$J$5:$J$64,0))&lt;&gt;"",TRUE),IF($AD5="WR",IF(INDEX($V$5:$V$64,MATCH($AC5,$S$5:$S$64,0))&lt;&gt;"",TRUE),IF($AD5="QB",IF(INDEX($D$5:$D$34,MATCH($AC5,$A$5:$A$64,0))&lt;&gt;"",TRUE),IF($AD5="TE",IF(INDEX($D$37:$D$64,MATCH($AC5,$A$37:$A$64,0))&lt;&gt;"",TRU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295275</xdr:colOff>
                    <xdr:row>1</xdr:row>
                    <xdr:rowOff>76200</xdr:rowOff>
                  </from>
                  <to>
                    <xdr:col>18</xdr:col>
                    <xdr:colOff>38100</xdr:colOff>
                    <xdr:row>1</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49</vt:i4>
      </vt:variant>
    </vt:vector>
  </HeadingPairs>
  <TitlesOfParts>
    <vt:vector size="65" baseType="lpstr">
      <vt:lpstr>Intro</vt:lpstr>
      <vt:lpstr>LeagueInfo</vt:lpstr>
      <vt:lpstr>DefaultAuctionValues</vt:lpstr>
      <vt:lpstr>QB</vt:lpstr>
      <vt:lpstr>RB</vt:lpstr>
      <vt:lpstr>WR</vt:lpstr>
      <vt:lpstr>FlexQBWRRBTE</vt:lpstr>
      <vt:lpstr>FlexWRRB</vt:lpstr>
      <vt:lpstr>FlexWRRBTE</vt:lpstr>
      <vt:lpstr>TE</vt:lpstr>
      <vt:lpstr>K</vt:lpstr>
      <vt:lpstr>DEF</vt:lpstr>
      <vt:lpstr>BYEs</vt:lpstr>
      <vt:lpstr>Auction</vt:lpstr>
      <vt:lpstr>Teams</vt:lpstr>
      <vt:lpstr>CheatSheet</vt:lpstr>
      <vt:lpstr>AllowNegative</vt:lpstr>
      <vt:lpstr>BenchPF</vt:lpstr>
      <vt:lpstr>FlexOn</vt:lpstr>
      <vt:lpstr>FlexType</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University of Central Florida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2017-08-31T00:40:59Z</dcterms:modified>
  <cp:category/>
  <cp:contentStatus/>
</cp:coreProperties>
</file>